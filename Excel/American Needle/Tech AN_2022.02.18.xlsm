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1D33BE70-3258-4D6B-9346-69D09429539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2" i="1" l="1"/>
  <c r="D29" i="4" l="1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A7" i="8" s="1"/>
  <c r="T7" i="8" s="1"/>
  <c r="S8" i="8"/>
  <c r="A8" i="8" s="1"/>
  <c r="T8" i="8" s="1"/>
  <c r="S9" i="8"/>
  <c r="S10" i="8"/>
  <c r="A10" i="8" s="1"/>
  <c r="T10" i="8" s="1"/>
  <c r="S11" i="8"/>
  <c r="S12" i="8"/>
  <c r="S13" i="8"/>
  <c r="S14" i="8"/>
  <c r="S15" i="8"/>
  <c r="A15" i="8" s="1"/>
  <c r="T15" i="8" s="1"/>
  <c r="S16" i="8"/>
  <c r="A16" i="8" s="1"/>
  <c r="T16" i="8" s="1"/>
  <c r="S17" i="8"/>
  <c r="S18" i="8"/>
  <c r="A18" i="8" s="1"/>
  <c r="T18" i="8" s="1"/>
  <c r="S19" i="8"/>
  <c r="S20" i="8"/>
  <c r="S21" i="8"/>
  <c r="S22" i="8"/>
  <c r="S23" i="8"/>
  <c r="A23" i="8" s="1"/>
  <c r="T23" i="8" s="1"/>
  <c r="S24" i="8"/>
  <c r="A24" i="8" s="1"/>
  <c r="T24" i="8" s="1"/>
  <c r="S25" i="8"/>
  <c r="S26" i="8"/>
  <c r="A26" i="8" s="1"/>
  <c r="T26" i="8" s="1"/>
  <c r="S27" i="8"/>
  <c r="S28" i="8"/>
  <c r="S29" i="8"/>
  <c r="S30" i="8"/>
  <c r="S31" i="8"/>
  <c r="S32" i="8"/>
  <c r="A32" i="8" s="1"/>
  <c r="T32" i="8" s="1"/>
  <c r="S33" i="8"/>
  <c r="S34" i="8"/>
  <c r="A34" i="8" s="1"/>
  <c r="T34" i="8" s="1"/>
  <c r="S35" i="8"/>
  <c r="S36" i="8"/>
  <c r="S37" i="8"/>
  <c r="S38" i="8"/>
  <c r="S39" i="8"/>
  <c r="S40" i="8"/>
  <c r="A40" i="8" s="1"/>
  <c r="T40" i="8" s="1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A55" i="8" s="1"/>
  <c r="T55" i="8" s="1"/>
  <c r="S56" i="8"/>
  <c r="A56" i="8" s="1"/>
  <c r="T56" i="8" s="1"/>
  <c r="S57" i="8"/>
  <c r="S58" i="8"/>
  <c r="A58" i="8" s="1"/>
  <c r="T58" i="8" s="1"/>
  <c r="S59" i="8"/>
  <c r="S60" i="8"/>
  <c r="S61" i="8"/>
  <c r="S62" i="8"/>
  <c r="S63" i="8"/>
  <c r="S64" i="8"/>
  <c r="A64" i="8" s="1"/>
  <c r="T64" i="8" s="1"/>
  <c r="S65" i="8"/>
  <c r="S66" i="8"/>
  <c r="A66" i="8" s="1"/>
  <c r="T66" i="8" s="1"/>
  <c r="S67" i="8"/>
  <c r="S68" i="8"/>
  <c r="S69" i="8"/>
  <c r="S70" i="8"/>
  <c r="S71" i="8"/>
  <c r="A71" i="8" s="1"/>
  <c r="T71" i="8" s="1"/>
  <c r="S72" i="8"/>
  <c r="A72" i="8" s="1"/>
  <c r="T72" i="8" s="1"/>
  <c r="S73" i="8"/>
  <c r="S74" i="8"/>
  <c r="A74" i="8" s="1"/>
  <c r="T74" i="8" s="1"/>
  <c r="S75" i="8"/>
  <c r="S76" i="8"/>
  <c r="S77" i="8"/>
  <c r="S78" i="8"/>
  <c r="S79" i="8"/>
  <c r="A79" i="8" s="1"/>
  <c r="T79" i="8" s="1"/>
  <c r="S80" i="8"/>
  <c r="A80" i="8" s="1"/>
  <c r="T80" i="8" s="1"/>
  <c r="S81" i="8"/>
  <c r="S82" i="8"/>
  <c r="A82" i="8" s="1"/>
  <c r="T82" i="8" s="1"/>
  <c r="S83" i="8"/>
  <c r="S84" i="8"/>
  <c r="S85" i="8"/>
  <c r="S86" i="8"/>
  <c r="S87" i="8"/>
  <c r="A87" i="8" s="1"/>
  <c r="T87" i="8" s="1"/>
  <c r="S88" i="8"/>
  <c r="A88" i="8" s="1"/>
  <c r="T88" i="8" s="1"/>
  <c r="S89" i="8"/>
  <c r="S90" i="8"/>
  <c r="A90" i="8" s="1"/>
  <c r="T90" i="8" s="1"/>
  <c r="S91" i="8"/>
  <c r="S92" i="8"/>
  <c r="S93" i="8"/>
  <c r="S94" i="8"/>
  <c r="S95" i="8"/>
  <c r="S96" i="8"/>
  <c r="A96" i="8" s="1"/>
  <c r="T96" i="8" s="1"/>
  <c r="S97" i="8"/>
  <c r="S98" i="8"/>
  <c r="A98" i="8" s="1"/>
  <c r="T98" i="8" s="1"/>
  <c r="S99" i="8"/>
  <c r="S100" i="8"/>
  <c r="S101" i="8"/>
  <c r="S102" i="8"/>
  <c r="S103" i="8"/>
  <c r="S104" i="8"/>
  <c r="A104" i="8" s="1"/>
  <c r="T104" i="8" s="1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A119" i="8" s="1"/>
  <c r="T119" i="8" s="1"/>
  <c r="S120" i="8"/>
  <c r="A120" i="8" s="1"/>
  <c r="T120" i="8" s="1"/>
  <c r="S121" i="8"/>
  <c r="S122" i="8"/>
  <c r="A122" i="8" s="1"/>
  <c r="T122" i="8" s="1"/>
  <c r="S123" i="8"/>
  <c r="S124" i="8"/>
  <c r="S125" i="8"/>
  <c r="S126" i="8"/>
  <c r="S127" i="8"/>
  <c r="S128" i="8"/>
  <c r="A128" i="8" s="1"/>
  <c r="T128" i="8" s="1"/>
  <c r="S129" i="8"/>
  <c r="S130" i="8"/>
  <c r="A130" i="8" s="1"/>
  <c r="T130" i="8" s="1"/>
  <c r="S131" i="8"/>
  <c r="S132" i="8"/>
  <c r="S133" i="8"/>
  <c r="S134" i="8"/>
  <c r="S135" i="8"/>
  <c r="A135" i="8" s="1"/>
  <c r="T135" i="8" s="1"/>
  <c r="S136" i="8"/>
  <c r="A136" i="8" s="1"/>
  <c r="T136" i="8" s="1"/>
  <c r="S137" i="8"/>
  <c r="S138" i="8"/>
  <c r="A138" i="8" s="1"/>
  <c r="T138" i="8" s="1"/>
  <c r="S139" i="8"/>
  <c r="S140" i="8"/>
  <c r="S141" i="8"/>
  <c r="S142" i="8"/>
  <c r="S143" i="8"/>
  <c r="A143" i="8" s="1"/>
  <c r="T143" i="8" s="1"/>
  <c r="S144" i="8"/>
  <c r="A144" i="8" s="1"/>
  <c r="T144" i="8" s="1"/>
  <c r="S145" i="8"/>
  <c r="S146" i="8"/>
  <c r="A146" i="8" s="1"/>
  <c r="T146" i="8" s="1"/>
  <c r="S147" i="8"/>
  <c r="S148" i="8"/>
  <c r="S149" i="8"/>
  <c r="S150" i="8"/>
  <c r="S151" i="8"/>
  <c r="A151" i="8" s="1"/>
  <c r="T151" i="8" s="1"/>
  <c r="S152" i="8"/>
  <c r="A152" i="8" s="1"/>
  <c r="T152" i="8" s="1"/>
  <c r="S153" i="8"/>
  <c r="S154" i="8"/>
  <c r="A154" i="8" s="1"/>
  <c r="T154" i="8" s="1"/>
  <c r="S155" i="8"/>
  <c r="S156" i="8"/>
  <c r="S157" i="8"/>
  <c r="S158" i="8"/>
  <c r="S159" i="8"/>
  <c r="S160" i="8"/>
  <c r="A160" i="8" s="1"/>
  <c r="T160" i="8" s="1"/>
  <c r="S161" i="8"/>
  <c r="S162" i="8"/>
  <c r="A162" i="8" s="1"/>
  <c r="T162" i="8" s="1"/>
  <c r="S163" i="8"/>
  <c r="S164" i="8"/>
  <c r="S165" i="8"/>
  <c r="S166" i="8"/>
  <c r="S167" i="8"/>
  <c r="S168" i="8"/>
  <c r="A168" i="8" s="1"/>
  <c r="T168" i="8" s="1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A183" i="8" s="1"/>
  <c r="T183" i="8" s="1"/>
  <c r="S184" i="8"/>
  <c r="A184" i="8" s="1"/>
  <c r="T184" i="8" s="1"/>
  <c r="S185" i="8"/>
  <c r="S186" i="8"/>
  <c r="A186" i="8" s="1"/>
  <c r="T186" i="8" s="1"/>
  <c r="S187" i="8"/>
  <c r="S188" i="8"/>
  <c r="S189" i="8"/>
  <c r="S190" i="8"/>
  <c r="S191" i="8"/>
  <c r="S192" i="8"/>
  <c r="A192" i="8" s="1"/>
  <c r="T192" i="8" s="1"/>
  <c r="S193" i="8"/>
  <c r="S194" i="8"/>
  <c r="A194" i="8" s="1"/>
  <c r="T194" i="8" s="1"/>
  <c r="S195" i="8"/>
  <c r="S196" i="8"/>
  <c r="S197" i="8"/>
  <c r="S198" i="8"/>
  <c r="S199" i="8"/>
  <c r="A199" i="8" s="1"/>
  <c r="T199" i="8" s="1"/>
  <c r="S200" i="8"/>
  <c r="A200" i="8" s="1"/>
  <c r="T200" i="8" s="1"/>
  <c r="S201" i="8"/>
  <c r="S202" i="8"/>
  <c r="A202" i="8" s="1"/>
  <c r="T202" i="8" s="1"/>
  <c r="S203" i="8"/>
  <c r="S204" i="8"/>
  <c r="S205" i="8"/>
  <c r="S206" i="8"/>
  <c r="S207" i="8"/>
  <c r="A207" i="8" s="1"/>
  <c r="T207" i="8" s="1"/>
  <c r="S208" i="8"/>
  <c r="A208" i="8" s="1"/>
  <c r="T208" i="8" s="1"/>
  <c r="S209" i="8"/>
  <c r="S210" i="8"/>
  <c r="A210" i="8" s="1"/>
  <c r="T210" i="8" s="1"/>
  <c r="S211" i="8"/>
  <c r="S212" i="8"/>
  <c r="S213" i="8"/>
  <c r="S214" i="8"/>
  <c r="S215" i="8"/>
  <c r="A215" i="8" s="1"/>
  <c r="T215" i="8" s="1"/>
  <c r="S216" i="8"/>
  <c r="A216" i="8" s="1"/>
  <c r="T216" i="8" s="1"/>
  <c r="S217" i="8"/>
  <c r="S218" i="8"/>
  <c r="A218" i="8" s="1"/>
  <c r="T218" i="8" s="1"/>
  <c r="S219" i="8"/>
  <c r="S220" i="8"/>
  <c r="S221" i="8"/>
  <c r="S222" i="8"/>
  <c r="S223" i="8"/>
  <c r="S224" i="8"/>
  <c r="A224" i="8" s="1"/>
  <c r="T224" i="8" s="1"/>
  <c r="S225" i="8"/>
  <c r="S226" i="8"/>
  <c r="A226" i="8" s="1"/>
  <c r="T226" i="8" s="1"/>
  <c r="S227" i="8"/>
  <c r="S228" i="8"/>
  <c r="S229" i="8"/>
  <c r="S230" i="8"/>
  <c r="S231" i="8"/>
  <c r="S232" i="8"/>
  <c r="A232" i="8" s="1"/>
  <c r="T232" i="8" s="1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A247" i="8" s="1"/>
  <c r="T247" i="8" s="1"/>
  <c r="S248" i="8"/>
  <c r="A248" i="8" s="1"/>
  <c r="T248" i="8" s="1"/>
  <c r="S249" i="8"/>
  <c r="S250" i="8"/>
  <c r="A250" i="8" s="1"/>
  <c r="T250" i="8" s="1"/>
  <c r="S251" i="8"/>
  <c r="S252" i="8"/>
  <c r="S253" i="8"/>
  <c r="S254" i="8"/>
  <c r="S255" i="8"/>
  <c r="S256" i="8"/>
  <c r="A256" i="8" s="1"/>
  <c r="T256" i="8" s="1"/>
  <c r="S257" i="8"/>
  <c r="S258" i="8"/>
  <c r="A258" i="8" s="1"/>
  <c r="T258" i="8" s="1"/>
  <c r="S259" i="8"/>
  <c r="S260" i="8"/>
  <c r="S261" i="8"/>
  <c r="S262" i="8"/>
  <c r="S263" i="8"/>
  <c r="A263" i="8" s="1"/>
  <c r="T263" i="8" s="1"/>
  <c r="S264" i="8"/>
  <c r="A264" i="8" s="1"/>
  <c r="T264" i="8" s="1"/>
  <c r="S265" i="8"/>
  <c r="S266" i="8"/>
  <c r="A266" i="8" s="1"/>
  <c r="T266" i="8" s="1"/>
  <c r="S267" i="8"/>
  <c r="S268" i="8"/>
  <c r="S269" i="8"/>
  <c r="S270" i="8"/>
  <c r="S271" i="8"/>
  <c r="A271" i="8" s="1"/>
  <c r="T271" i="8" s="1"/>
  <c r="S272" i="8"/>
  <c r="A272" i="8" s="1"/>
  <c r="T272" i="8" s="1"/>
  <c r="S273" i="8"/>
  <c r="S274" i="8"/>
  <c r="A274" i="8" s="1"/>
  <c r="T274" i="8" s="1"/>
  <c r="S275" i="8"/>
  <c r="S276" i="8"/>
  <c r="S277" i="8"/>
  <c r="S278" i="8"/>
  <c r="S279" i="8"/>
  <c r="A279" i="8" s="1"/>
  <c r="T279" i="8" s="1"/>
  <c r="S280" i="8"/>
  <c r="A280" i="8" s="1"/>
  <c r="T280" i="8" s="1"/>
  <c r="S281" i="8"/>
  <c r="S282" i="8"/>
  <c r="A282" i="8" s="1"/>
  <c r="T282" i="8" s="1"/>
  <c r="S283" i="8"/>
  <c r="S284" i="8"/>
  <c r="S285" i="8"/>
  <c r="S286" i="8"/>
  <c r="S287" i="8"/>
  <c r="S288" i="8"/>
  <c r="A288" i="8" s="1"/>
  <c r="T288" i="8" s="1"/>
  <c r="S289" i="8"/>
  <c r="S290" i="8"/>
  <c r="A290" i="8" s="1"/>
  <c r="T290" i="8" s="1"/>
  <c r="S291" i="8"/>
  <c r="S292" i="8"/>
  <c r="S293" i="8"/>
  <c r="S294" i="8"/>
  <c r="S295" i="8"/>
  <c r="S296" i="8"/>
  <c r="A296" i="8" s="1"/>
  <c r="T296" i="8" s="1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A311" i="8" s="1"/>
  <c r="T311" i="8" s="1"/>
  <c r="S312" i="8"/>
  <c r="A312" i="8" s="1"/>
  <c r="T312" i="8" s="1"/>
  <c r="S313" i="8"/>
  <c r="S314" i="8"/>
  <c r="A314" i="8" s="1"/>
  <c r="T314" i="8" s="1"/>
  <c r="S315" i="8"/>
  <c r="S316" i="8"/>
  <c r="S317" i="8"/>
  <c r="S318" i="8"/>
  <c r="S319" i="8"/>
  <c r="S320" i="8"/>
  <c r="A320" i="8" s="1"/>
  <c r="T320" i="8" s="1"/>
  <c r="S321" i="8"/>
  <c r="S322" i="8"/>
  <c r="A322" i="8" s="1"/>
  <c r="T322" i="8" s="1"/>
  <c r="S323" i="8"/>
  <c r="S324" i="8"/>
  <c r="S325" i="8"/>
  <c r="S326" i="8"/>
  <c r="S327" i="8"/>
  <c r="A327" i="8" s="1"/>
  <c r="T327" i="8" s="1"/>
  <c r="S328" i="8"/>
  <c r="A328" i="8" s="1"/>
  <c r="T328" i="8" s="1"/>
  <c r="S329" i="8"/>
  <c r="S330" i="8"/>
  <c r="A330" i="8" s="1"/>
  <c r="T330" i="8" s="1"/>
  <c r="S331" i="8"/>
  <c r="S332" i="8"/>
  <c r="S333" i="8"/>
  <c r="S334" i="8"/>
  <c r="S335" i="8"/>
  <c r="A335" i="8" s="1"/>
  <c r="T335" i="8" s="1"/>
  <c r="S336" i="8"/>
  <c r="A336" i="8" s="1"/>
  <c r="T336" i="8" s="1"/>
  <c r="S337" i="8"/>
  <c r="S338" i="8"/>
  <c r="A338" i="8" s="1"/>
  <c r="T338" i="8" s="1"/>
  <c r="S339" i="8"/>
  <c r="S340" i="8"/>
  <c r="S341" i="8"/>
  <c r="S342" i="8"/>
  <c r="S343" i="8"/>
  <c r="A343" i="8" s="1"/>
  <c r="T343" i="8" s="1"/>
  <c r="S344" i="8"/>
  <c r="A344" i="8" s="1"/>
  <c r="T344" i="8" s="1"/>
  <c r="S345" i="8"/>
  <c r="S346" i="8"/>
  <c r="A346" i="8" s="1"/>
  <c r="T346" i="8" s="1"/>
  <c r="S347" i="8"/>
  <c r="S348" i="8"/>
  <c r="S349" i="8"/>
  <c r="S350" i="8"/>
  <c r="S351" i="8"/>
  <c r="S352" i="8"/>
  <c r="A352" i="8" s="1"/>
  <c r="T352" i="8" s="1"/>
  <c r="S353" i="8"/>
  <c r="S354" i="8"/>
  <c r="A354" i="8" s="1"/>
  <c r="T354" i="8" s="1"/>
  <c r="S355" i="8"/>
  <c r="S356" i="8"/>
  <c r="S357" i="8"/>
  <c r="S358" i="8"/>
  <c r="S359" i="8"/>
  <c r="S360" i="8"/>
  <c r="A360" i="8" s="1"/>
  <c r="T360" i="8" s="1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9" i="8"/>
  <c r="T9" i="8" s="1"/>
  <c r="A11" i="8"/>
  <c r="T11" i="8" s="1"/>
  <c r="A12" i="8"/>
  <c r="T12" i="8" s="1"/>
  <c r="A13" i="8"/>
  <c r="T13" i="8" s="1"/>
  <c r="A14" i="8"/>
  <c r="T14" i="8" s="1"/>
  <c r="A17" i="8"/>
  <c r="T17" i="8" s="1"/>
  <c r="A19" i="8"/>
  <c r="T19" i="8" s="1"/>
  <c r="A20" i="8"/>
  <c r="T20" i="8" s="1"/>
  <c r="A21" i="8"/>
  <c r="T21" i="8" s="1"/>
  <c r="A22" i="8"/>
  <c r="T22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5" i="8"/>
  <c r="T65" i="8" s="1"/>
  <c r="A67" i="8"/>
  <c r="T67" i="8" s="1"/>
  <c r="A68" i="8"/>
  <c r="T68" i="8" s="1"/>
  <c r="A69" i="8"/>
  <c r="T69" i="8" s="1"/>
  <c r="A70" i="8"/>
  <c r="T70" i="8" s="1"/>
  <c r="A73" i="8"/>
  <c r="T73" i="8" s="1"/>
  <c r="A75" i="8"/>
  <c r="T75" i="8" s="1"/>
  <c r="A76" i="8"/>
  <c r="T76" i="8" s="1"/>
  <c r="A77" i="8"/>
  <c r="T77" i="8" s="1"/>
  <c r="A78" i="8"/>
  <c r="T78" i="8" s="1"/>
  <c r="A81" i="8"/>
  <c r="T81" i="8" s="1"/>
  <c r="A83" i="8"/>
  <c r="T83" i="8" s="1"/>
  <c r="A84" i="8"/>
  <c r="T84" i="8" s="1"/>
  <c r="A85" i="8"/>
  <c r="T85" i="8" s="1"/>
  <c r="A86" i="8"/>
  <c r="T86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9" i="8"/>
  <c r="T129" i="8" s="1"/>
  <c r="A131" i="8"/>
  <c r="T131" i="8" s="1"/>
  <c r="A132" i="8"/>
  <c r="T132" i="8" s="1"/>
  <c r="A133" i="8"/>
  <c r="T133" i="8" s="1"/>
  <c r="A134" i="8"/>
  <c r="T134" i="8" s="1"/>
  <c r="A137" i="8"/>
  <c r="T137" i="8" s="1"/>
  <c r="A139" i="8"/>
  <c r="T139" i="8" s="1"/>
  <c r="A140" i="8"/>
  <c r="T140" i="8" s="1"/>
  <c r="A141" i="8"/>
  <c r="T141" i="8" s="1"/>
  <c r="A142" i="8"/>
  <c r="T142" i="8" s="1"/>
  <c r="A145" i="8"/>
  <c r="T145" i="8" s="1"/>
  <c r="A147" i="8"/>
  <c r="T147" i="8" s="1"/>
  <c r="A148" i="8"/>
  <c r="T148" i="8" s="1"/>
  <c r="A149" i="8"/>
  <c r="T149" i="8" s="1"/>
  <c r="A150" i="8"/>
  <c r="T150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3" i="8"/>
  <c r="T193" i="8" s="1"/>
  <c r="A195" i="8"/>
  <c r="T195" i="8" s="1"/>
  <c r="A196" i="8"/>
  <c r="T196" i="8" s="1"/>
  <c r="A197" i="8"/>
  <c r="T197" i="8" s="1"/>
  <c r="A198" i="8"/>
  <c r="T198" i="8" s="1"/>
  <c r="A201" i="8"/>
  <c r="T201" i="8" s="1"/>
  <c r="A203" i="8"/>
  <c r="T203" i="8" s="1"/>
  <c r="A204" i="8"/>
  <c r="T204" i="8" s="1"/>
  <c r="A205" i="8"/>
  <c r="T205" i="8" s="1"/>
  <c r="A206" i="8"/>
  <c r="T206" i="8" s="1"/>
  <c r="A209" i="8"/>
  <c r="T209" i="8" s="1"/>
  <c r="A211" i="8"/>
  <c r="T211" i="8" s="1"/>
  <c r="A212" i="8"/>
  <c r="T212" i="8" s="1"/>
  <c r="A213" i="8"/>
  <c r="T213" i="8" s="1"/>
  <c r="A214" i="8"/>
  <c r="T214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7" i="8"/>
  <c r="T257" i="8" s="1"/>
  <c r="A259" i="8"/>
  <c r="T259" i="8" s="1"/>
  <c r="A260" i="8"/>
  <c r="T260" i="8" s="1"/>
  <c r="A261" i="8"/>
  <c r="T261" i="8" s="1"/>
  <c r="A262" i="8"/>
  <c r="T262" i="8" s="1"/>
  <c r="A265" i="8"/>
  <c r="T265" i="8" s="1"/>
  <c r="A267" i="8"/>
  <c r="T267" i="8" s="1"/>
  <c r="A268" i="8"/>
  <c r="T268" i="8" s="1"/>
  <c r="A269" i="8"/>
  <c r="T269" i="8" s="1"/>
  <c r="A270" i="8"/>
  <c r="T270" i="8" s="1"/>
  <c r="A273" i="8"/>
  <c r="T273" i="8" s="1"/>
  <c r="A275" i="8"/>
  <c r="T275" i="8" s="1"/>
  <c r="A276" i="8"/>
  <c r="T276" i="8" s="1"/>
  <c r="A277" i="8"/>
  <c r="T277" i="8" s="1"/>
  <c r="A278" i="8"/>
  <c r="T278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1" i="8"/>
  <c r="T321" i="8" s="1"/>
  <c r="A323" i="8"/>
  <c r="T323" i="8" s="1"/>
  <c r="A324" i="8"/>
  <c r="T324" i="8" s="1"/>
  <c r="A325" i="8"/>
  <c r="T325" i="8" s="1"/>
  <c r="A326" i="8"/>
  <c r="T326" i="8" s="1"/>
  <c r="A329" i="8"/>
  <c r="T329" i="8" s="1"/>
  <c r="A331" i="8"/>
  <c r="T331" i="8" s="1"/>
  <c r="A332" i="8"/>
  <c r="T332" i="8" s="1"/>
  <c r="A333" i="8"/>
  <c r="T333" i="8" s="1"/>
  <c r="A334" i="8"/>
  <c r="T334" i="8" s="1"/>
  <c r="A337" i="8"/>
  <c r="T337" i="8" s="1"/>
  <c r="A339" i="8"/>
  <c r="T339" i="8" s="1"/>
  <c r="A340" i="8"/>
  <c r="T340" i="8" s="1"/>
  <c r="A341" i="8"/>
  <c r="T341" i="8" s="1"/>
  <c r="A342" i="8"/>
  <c r="T342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l="1"/>
  <c r="T3723" i="8"/>
  <c r="T4149" i="8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<sst xmlns="http://schemas.openxmlformats.org/spreadsheetml/2006/main" count="7764" uniqueCount="2042">
  <si>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</si>
  <si>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</si>
  <si>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</si>
  <si>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</si>
  <si>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</si>
  <si>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</si>
  <si>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</si>
  <si>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</si>
  <si>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</si>
  <si>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</si>
  <si>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</si>
  <si>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</si>
  <si>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</si>
  <si>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</si>
  <si>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</si>
  <si>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</si>
  <si>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</si>
  <si>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</si>
  <si>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</si>
  <si>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</si>
  <si>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</si>
  <si>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</si>
  <si>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</si>
  <si>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</si>
  <si>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</si>
  <si>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</si>
  <si>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</si>
  <si>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</si>
  <si>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</si>
  <si>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</si>
  <si>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</si>
  <si>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</si>
  <si>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</si>
  <si>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</si>
  <si>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</si>
  <si>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</si>
  <si>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</si>
  <si>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</si>
  <si>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</si>
  <si>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</si>
  <si>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</si>
  <si>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</si>
  <si>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</si>
  <si>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</si>
  <si>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</si>
  <si>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</si>
  <si>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</si>
  <si>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</si>
  <si>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</si>
  <si>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</si>
  <si>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</si>
  <si>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</si>
  <si>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</si>
  <si>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</si>
  <si>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</si>
  <si>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</si>
  <si>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</si>
  <si>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</si>
  <si>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</si>
  <si>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</si>
  <si>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</si>
  <si>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</si>
  <si>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</si>
  <si>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</si>
  <si>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</si>
  <si>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</si>
  <si>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</si>
  <si>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</si>
  <si>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</si>
  <si>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</si>
  <si>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</si>
  <si>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</si>
  <si>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</si>
  <si>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</si>
  <si>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</si>
  <si>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</si>
  <si>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</si>
  <si>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</si>
  <si>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</si>
  <si>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</si>
  <si>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</si>
  <si>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</si>
  <si>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</si>
  <si>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</si>
  <si>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</si>
  <si>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</si>
  <si>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</si>
  <si>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</si>
  <si>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</si>
  <si>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</si>
  <si>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</si>
  <si>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</si>
  <si>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</si>
  <si>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</si>
  <si>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</si>
  <si>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</si>
  <si>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</si>
  <si>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</si>
  <si>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</si>
  <si>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</si>
  <si>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</si>
  <si>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</si>
  <si>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</si>
  <si>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</si>
  <si>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</si>
  <si>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</si>
  <si>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</si>
  <si>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</si>
  <si>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</si>
  <si>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</si>
  <si>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</si>
  <si>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</si>
  <si>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</si>
  <si>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</si>
  <si>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</si>
  <si>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</si>
  <si>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</si>
  <si>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</si>
  <si>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</si>
  <si>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</si>
  <si>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</si>
  <si>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</si>
  <si>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</si>
  <si>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</si>
  <si>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</si>
  <si>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</si>
  <si>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</si>
  <si>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</si>
  <si>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</si>
  <si>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</si>
  <si>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</si>
  <si>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</si>
  <si>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</si>
  <si>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</si>
  <si>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</si>
  <si>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</si>
  <si>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</si>
  <si>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</si>
  <si>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</si>
  <si>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</si>
  <si>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</si>
  <si>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</si>
  <si>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</si>
  <si>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</si>
  <si>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</si>
  <si>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</si>
  <si>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</si>
  <si>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</si>
  <si>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</si>
  <si>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</si>
  <si>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</si>
  <si>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</si>
  <si>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</si>
  <si>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</si>
  <si>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</si>
  <si>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</si>
  <si>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</si>
  <si>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</si>
  <si>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</si>
  <si>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</si>
  <si>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</si>
  <si>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</si>
  <si>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</si>
  <si>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</si>
  <si>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</si>
  <si>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</si>
  <si>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</si>
  <si>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</si>
  <si>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</si>
  <si>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</si>
  <si>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</si>
  <si>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</si>
  <si>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</si>
  <si>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</si>
  <si>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</si>
  <si>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</si>
  <si>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</si>
  <si>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</si>
  <si>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</si>
  <si>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</si>
  <si>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</si>
  <si>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</si>
  <si>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</si>
  <si>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</si>
  <si>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</si>
  <si>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</si>
  <si>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</si>
  <si>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</si>
  <si>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</si>
  <si>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</si>
  <si>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</si>
  <si>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</si>
  <si>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</si>
  <si>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</si>
  <si>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</si>
  <si>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</si>
  <si>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</si>
  <si>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</si>
  <si>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</si>
  <si>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</si>
  <si>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</si>
  <si>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</si>
  <si>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</si>
  <si>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</si>
  <si>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</si>
  <si>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</si>
  <si>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</si>
  <si>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</si>
  <si>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</si>
  <si>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</si>
  <si>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</si>
  <si>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</si>
  <si>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</si>
  <si>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</si>
  <si>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</si>
  <si>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</si>
  <si>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</si>
  <si>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</si>
  <si>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</si>
  <si>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</si>
  <si>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</si>
  <si>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</si>
  <si>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</si>
  <si>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</si>
  <si>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</si>
  <si>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</si>
  <si>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</si>
  <si>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</si>
  <si>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</si>
  <si>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</si>
  <si>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</si>
  <si>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</si>
  <si>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</si>
  <si>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</si>
  <si>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</si>
  <si>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</si>
  <si>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</si>
  <si>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</si>
  <si>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</si>
  <si>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</si>
  <si>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</si>
  <si>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</si>
  <si>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</si>
  <si>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</si>
  <si>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</si>
  <si>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</si>
  <si>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</si>
  <si>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</si>
  <si>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</si>
  <si>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</si>
  <si>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</si>
  <si>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</si>
  <si>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</si>
  <si>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</si>
  <si>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</si>
  <si>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</si>
  <si>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</si>
  <si>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</si>
  <si>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</si>
  <si>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</si>
  <si>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</si>
  <si>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</si>
  <si>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</si>
  <si>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</si>
  <si>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</si>
  <si>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</si>
  <si>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</si>
  <si>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</si>
  <si>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</si>
  <si>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</si>
  <si>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</si>
  <si>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</si>
  <si>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</si>
  <si>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</si>
  <si>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</si>
  <si>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</si>
  <si>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</si>
  <si>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</si>
  <si>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</si>
  <si>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</si>
  <si>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</si>
  <si>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</si>
  <si>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</si>
  <si>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</si>
  <si>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</si>
  <si>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</si>
  <si>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</si>
  <si>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</si>
  <si>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</si>
  <si>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</si>
  <si>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</si>
  <si>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</si>
  <si>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</si>
  <si>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</si>
  <si>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</si>
  <si>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</si>
  <si>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</si>
  <si>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</si>
  <si>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</si>
  <si>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</si>
  <si>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</si>
  <si>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</si>
  <si>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</si>
  <si>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</si>
  <si>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</si>
  <si>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</si>
  <si>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</si>
  <si>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</si>
  <si>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</si>
  <si>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</si>
  <si>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</si>
  <si>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</si>
  <si>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</si>
  <si>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</si>
  <si>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</si>
  <si>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</si>
  <si>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</si>
  <si>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</si>
  <si>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</si>
  <si>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</si>
  <si>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</si>
  <si>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</si>
  <si>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</si>
  <si>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</si>
  <si>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</si>
  <si>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</si>
  <si>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</si>
  <si>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</si>
  <si>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</si>
  <si>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</si>
  <si>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</si>
  <si>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</si>
  <si>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</si>
  <si>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</si>
  <si>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</si>
  <si>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</si>
  <si>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</si>
  <si>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</si>
  <si>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</si>
  <si>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</si>
  <si>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</si>
  <si>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</si>
  <si>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</si>
  <si>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</si>
  <si>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</si>
  <si>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</si>
  <si>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</si>
  <si>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</si>
  <si>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</si>
  <si>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</si>
  <si>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</si>
  <si>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</si>
  <si>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</si>
  <si>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</si>
  <si>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</si>
  <si>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</si>
  <si>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</si>
  <si>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</si>
  <si>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</si>
  <si>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</si>
  <si>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</si>
  <si>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</si>
  <si>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</si>
  <si>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</si>
  <si>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</si>
  <si>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</si>
  <si>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</si>
  <si>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</si>
  <si>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</si>
  <si>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</si>
  <si>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</si>
  <si>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</si>
  <si>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</si>
  <si>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</si>
  <si>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</si>
  <si>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</si>
  <si>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</si>
  <si>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</si>
  <si>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</si>
  <si>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</si>
  <si>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</si>
  <si>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</si>
  <si>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</si>
  <si>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</si>
  <si>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</si>
  <si>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</si>
  <si>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</si>
  <si>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</si>
  <si>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</si>
  <si>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</si>
  <si>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</si>
  <si>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</si>
  <si>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</si>
  <si>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</si>
  <si>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</si>
  <si>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</si>
  <si>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</si>
  <si>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</si>
  <si>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</si>
  <si>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</si>
  <si>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</si>
  <si>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</si>
  <si>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</si>
  <si>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</si>
  <si>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</si>
  <si>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</si>
  <si>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</si>
  <si>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</si>
  <si>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</si>
  <si>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</si>
  <si>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</si>
  <si>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</si>
  <si>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</si>
  <si>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</si>
  <si>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</si>
  <si>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</si>
  <si>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</si>
  <si>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</si>
  <si>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</si>
  <si>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</si>
  <si>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</si>
  <si>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</si>
  <si>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</si>
  <si>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</si>
  <si>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</si>
  <si>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</si>
  <si>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</si>
  <si>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</si>
  <si>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</si>
  <si>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</si>
  <si>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</si>
  <si>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</si>
  <si>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</si>
  <si>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</si>
  <si>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</si>
  <si>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</si>
  <si>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</si>
  <si>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</si>
  <si>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</si>
  <si>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</si>
  <si>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</si>
  <si>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</si>
  <si>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</si>
  <si>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</si>
  <si>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</si>
  <si>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</si>
  <si>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</si>
  <si>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</si>
  <si>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</si>
  <si>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</si>
  <si>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</si>
  <si>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</si>
  <si>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</si>
  <si>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</si>
  <si>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</si>
  <si>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</si>
  <si>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</si>
  <si>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</si>
  <si>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</si>
  <si>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</si>
  <si>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</si>
  <si>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</si>
  <si>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</si>
  <si>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</si>
  <si>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</si>
  <si>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</si>
  <si>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</si>
  <si>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</si>
  <si>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</si>
  <si>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</si>
  <si>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</si>
  <si>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</si>
  <si>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</si>
  <si>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</si>
  <si>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</si>
  <si>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</si>
  <si>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</si>
  <si>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</si>
  <si>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</si>
  <si>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</si>
  <si>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</si>
  <si>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</si>
  <si>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</si>
  <si>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</si>
  <si>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</si>
  <si>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</si>
  <si>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</si>
  <si>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</si>
  <si>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</si>
  <si>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</si>
  <si>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</si>
  <si>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</si>
  <si>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</si>
  <si>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</si>
  <si>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</si>
  <si>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</si>
  <si>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</si>
  <si>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</si>
  <si>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</si>
  <si>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</si>
  <si>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</si>
  <si>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</si>
  <si>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</si>
  <si>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</si>
  <si>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</si>
  <si>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</si>
  <si>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</si>
  <si>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</si>
  <si>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</si>
  <si>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</si>
  <si>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</si>
  <si>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</si>
  <si>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</si>
  <si>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</si>
  <si>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</si>
  <si>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</si>
  <si>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</si>
  <si>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</si>
  <si>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</si>
  <si>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</si>
  <si>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</si>
  <si>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</si>
  <si>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</si>
  <si>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</si>
  <si>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</si>
  <si>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</si>
  <si>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</si>
  <si>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</si>
  <si>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</si>
  <si>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</si>
  <si>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</si>
  <si>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</si>
  <si>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</si>
  <si>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</si>
  <si>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</si>
  <si>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</si>
  <si>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</si>
  <si>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</si>
  <si>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</si>
  <si>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</si>
  <si>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</si>
  <si>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</si>
  <si>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</si>
  <si>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</si>
  <si>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</si>
  <si>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</si>
  <si>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</si>
  <si>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</si>
  <si>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</si>
  <si>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</si>
  <si>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</si>
  <si>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</si>
  <si>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</si>
  <si>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</si>
  <si>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</si>
  <si>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</si>
  <si>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</si>
  <si>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</si>
  <si>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</si>
  <si>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</si>
  <si>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</si>
  <si>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</si>
  <si>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</si>
  <si>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</si>
  <si>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</si>
  <si>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</si>
  <si>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</si>
  <si>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</si>
  <si>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</si>
  <si>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</si>
  <si>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</si>
  <si>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</si>
  <si>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</si>
  <si>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</si>
  <si>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</si>
  <si>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</si>
  <si>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</si>
  <si>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</si>
  <si>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</si>
  <si>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</si>
  <si>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</si>
  <si>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</si>
  <si>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</si>
  <si>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</si>
  <si>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</si>
  <si>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</si>
  <si>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</si>
  <si>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</si>
  <si>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</si>
  <si>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</si>
  <si>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</si>
  <si>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</si>
  <si>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</si>
  <si>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</si>
  <si>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</si>
  <si>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</si>
  <si>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</si>
  <si>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</si>
  <si>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</si>
  <si>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</si>
  <si>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</si>
  <si>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</si>
  <si>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</si>
  <si>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</si>
  <si>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</si>
  <si>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</si>
  <si>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</si>
  <si>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</si>
  <si>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</si>
  <si>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</si>
  <si>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</si>
  <si>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</si>
  <si>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</si>
  <si>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</si>
  <si>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</si>
  <si>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</si>
  <si>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</si>
  <si>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</si>
  <si>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</si>
  <si>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</si>
  <si>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</si>
  <si>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</si>
  <si>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</si>
  <si>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</si>
  <si>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</si>
  <si>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</si>
  <si>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</si>
  <si>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</si>
  <si>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</si>
  <si>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</si>
  <si>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</si>
  <si>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</si>
  <si>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</si>
  <si>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</si>
  <si>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</si>
  <si>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</si>
  <si>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</si>
  <si>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</si>
  <si>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</si>
  <si>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</si>
  <si>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</si>
  <si>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</si>
  <si>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</si>
  <si>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</si>
  <si>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</si>
  <si>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</si>
  <si>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</si>
  <si>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</si>
  <si>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</si>
  <si>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</si>
  <si>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</si>
  <si>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</si>
  <si>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</si>
  <si>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</si>
  <si>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</si>
  <si>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</si>
  <si>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</si>
  <si>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</si>
  <si>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</si>
  <si>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</si>
  <si>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</si>
  <si>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</si>
  <si>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</si>
  <si>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</si>
  <si>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</si>
  <si>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</si>
  <si>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</si>
  <si>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</si>
  <si>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</si>
  <si>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</si>
  <si>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</si>
  <si>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</si>
  <si>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</si>
  <si>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</si>
  <si>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</si>
  <si>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</si>
  <si>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</si>
  <si>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</si>
  <si>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</si>
  <si>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</si>
  <si>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</si>
  <si>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</si>
  <si>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</si>
  <si>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</si>
  <si>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</si>
  <si>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</si>
  <si>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</si>
  <si>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</si>
  <si>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</si>
  <si>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</si>
  <si>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</si>
  <si>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</si>
  <si>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</si>
  <si>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</si>
  <si>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</si>
  <si>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</si>
  <si>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</si>
  <si>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</si>
  <si>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</si>
  <si>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</si>
  <si>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</si>
  <si>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</si>
  <si>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</si>
  <si>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</si>
  <si>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</si>
  <si>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</si>
  <si>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</si>
  <si>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</si>
  <si>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</si>
  <si>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</si>
  <si>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</si>
  <si>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</si>
  <si>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</si>
  <si>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</si>
  <si>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</si>
  <si>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</si>
  <si>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</si>
  <si>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</si>
  <si>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</si>
  <si>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</si>
  <si>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</si>
  <si>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</si>
  <si>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</si>
  <si>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</si>
  <si>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</si>
  <si>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</si>
  <si>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</si>
  <si>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</si>
  <si>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</si>
  <si>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</si>
  <si>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</si>
  <si>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</si>
  <si>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</si>
  <si>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</si>
  <si>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</si>
  <si>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</si>
  <si>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</si>
  <si>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</si>
  <si>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</si>
  <si>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</si>
  <si>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</si>
  <si>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</si>
  <si>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</si>
  <si>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</si>
  <si>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</si>
  <si>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</si>
  <si>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</si>
  <si>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</si>
  <si>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</si>
  <si>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</si>
  <si>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</si>
  <si>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</si>
  <si>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</si>
  <si>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</si>
  <si>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</si>
  <si>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</si>
  <si>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</si>
  <si>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</si>
  <si>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</si>
  <si>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</si>
  <si>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</si>
  <si>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</si>
  <si>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</si>
  <si>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</si>
  <si>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</si>
  <si>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</si>
  <si>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</si>
  <si>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</si>
  <si>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</si>
  <si>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</si>
  <si>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</si>
  <si>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</si>
  <si>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</si>
  <si>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</si>
  <si>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</si>
  <si>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</si>
  <si>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</si>
  <si>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</si>
  <si>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</si>
  <si>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</si>
  <si>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</si>
  <si>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</si>
  <si>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</si>
  <si>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</si>
  <si>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</si>
  <si>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</si>
  <si>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100% хлопок</t>
  </si>
  <si>
    <t>grey</t>
  </si>
  <si>
    <t>ONE</t>
  </si>
  <si>
    <t>100% полиэстер</t>
  </si>
  <si>
    <t>100% акрил</t>
  </si>
  <si>
    <t>56 S/M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</si>
  <si>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</si>
  <si>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</si>
  <si>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</si>
  <si>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</si>
  <si>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</si>
  <si>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</si>
  <si>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</si>
  <si>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</si>
  <si>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</si>
  <si>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</si>
  <si>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</si>
  <si>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</si>
  <si>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</si>
  <si>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</si>
  <si>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</si>
  <si>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</si>
  <si>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</si>
  <si>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</si>
  <si>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</si>
  <si>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</si>
  <si>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</si>
  <si>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</si>
  <si>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</si>
  <si>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</si>
  <si>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</si>
  <si>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</si>
  <si>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navy</t>
  </si>
  <si>
    <t>black</t>
  </si>
  <si>
    <t>white</t>
  </si>
  <si>
    <t>beige</t>
  </si>
  <si>
    <t>red</t>
  </si>
  <si>
    <t>blue</t>
  </si>
  <si>
    <t>mint</t>
  </si>
  <si>
    <t>green</t>
  </si>
  <si>
    <t>TOQUILLA PALM</t>
  </si>
  <si>
    <t>солома Токилла</t>
  </si>
  <si>
    <t>PAPER</t>
  </si>
  <si>
    <t>60 L/XL</t>
  </si>
  <si>
    <t>light blue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</si>
  <si>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</si>
  <si>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</si>
  <si>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</si>
  <si>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</si>
  <si>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</si>
  <si>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</si>
  <si>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</si>
  <si>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</si>
  <si>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</si>
  <si>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65% полиэстер - 35% хлопок</t>
  </si>
  <si>
    <t>Sky Blue</t>
  </si>
  <si>
    <t>camo</t>
  </si>
  <si>
    <t>blk</t>
  </si>
  <si>
    <t>moss</t>
  </si>
  <si>
    <t>gry</t>
  </si>
  <si>
    <t>mar</t>
  </si>
  <si>
    <t>Mineral</t>
  </si>
  <si>
    <t>60% полиэстер - 40% шерсть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</si>
  <si>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</si>
  <si>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</si>
  <si>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</si>
  <si>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</si>
  <si>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</si>
  <si>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</si>
  <si>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</si>
  <si>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</si>
  <si>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</si>
  <si>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</si>
  <si>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</si>
  <si>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</si>
  <si>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</si>
  <si>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06-001-09-00</t>
  </si>
  <si>
    <t>Бейсболка AMERICAN NEEDLE арт. 36670A-CALI California New Raglan (черный) {blk}</t>
  </si>
  <si>
    <t>36670A-CALI California New Raglan</t>
  </si>
  <si>
    <t>AMERICAN NEEDLE-State</t>
  </si>
  <si>
    <t>American Needle, Inc; 1275 Busch Parkway, Buffalo Grove, IL 60089, USA</t>
  </si>
  <si>
    <t>06-001-06-00</t>
  </si>
  <si>
    <t>Бейсболка AMERICAN NEEDLE арт. 36670A-CALI California (синий) {dero}</t>
  </si>
  <si>
    <t>dero</t>
  </si>
  <si>
    <t>06-002-09-00</t>
  </si>
  <si>
    <t>Бейсболка AMERICAN NEEDLE арт. 36670A-NASA Space with NASA New Raglan (черный) {blk}</t>
  </si>
  <si>
    <t>36670A-NASA Space with NASA New Raglan</t>
  </si>
  <si>
    <t>Space</t>
  </si>
  <si>
    <t>06-003-16-00</t>
  </si>
  <si>
    <t>Бейсболка AMERICAN NEEDLE арт. 36670A-NY New York New Raglan (темно-синий) {navy}</t>
  </si>
  <si>
    <t>36670A-NY New York New Raglan</t>
  </si>
  <si>
    <t>06-004-06-00</t>
  </si>
  <si>
    <t>Бейсболка AMERICAN NEEDLE арт. 36670A-TX Texas New Raglan (синий) {dero}</t>
  </si>
  <si>
    <t>36670A-TX Texas New Raglan</t>
  </si>
  <si>
    <t>State</t>
  </si>
  <si>
    <t>06-005-16-00</t>
  </si>
  <si>
    <t>Бейсболка AMERICAN NEEDLE арт. 36672A-NAP Nashville Predators New Raglan NHL (темно-синий) {navy}</t>
  </si>
  <si>
    <t>36672A-NAP Nashville Predators New Raglan NHL</t>
  </si>
  <si>
    <t>Sport</t>
  </si>
  <si>
    <t>06-006-72-00</t>
  </si>
  <si>
    <t>Бейсболка AMERICAN NEEDLE арт. 400A1V-CBH Chicago Blackhawks 400 Series NHL (черный / красный) {blrd}</t>
  </si>
  <si>
    <t>400A1V-CBH Chicago Blackhawks 400 Series NHL</t>
  </si>
  <si>
    <t>80% акрил - 20% шерсть</t>
  </si>
  <si>
    <t>blrd</t>
  </si>
  <si>
    <t>06-007-76-00</t>
  </si>
  <si>
    <t>Бейсболка AMERICAN NEEDLE арт. 400A1V-CFL Calgary Flames 400 Series NHL (красный / желтый) {rdgd}</t>
  </si>
  <si>
    <t>400A1V-CFL Calgary Flames 400 Series NHL</t>
  </si>
  <si>
    <t>AMERICAN NEEDLE-Sport</t>
  </si>
  <si>
    <t>rdgd</t>
  </si>
  <si>
    <t>06-008-09-00</t>
  </si>
  <si>
    <t>Бейсболка AMERICAN NEEDLE арт. 400A1V-CXG Cuban X-Giants 400 Series MILB (черный / фиолетовый) {bkpu}</t>
  </si>
  <si>
    <t>400A1V-CXG Cuban X-Giants 400 Series MILB</t>
  </si>
  <si>
    <t>bkpu</t>
  </si>
  <si>
    <t>06-009-18-00</t>
  </si>
  <si>
    <t>Бейсболка AMERICAN NEEDLE арт. 400A1V-DRW Detroit Red Wings 400 Series NHL (красный) {red}</t>
  </si>
  <si>
    <t>400A1V-DRW Detroit Red Wings 400 Series NHL</t>
  </si>
  <si>
    <t>06-010-11-00</t>
  </si>
  <si>
    <t>Бейсболка AMERICAN NEEDLE арт. 400A1V-HAI Hawaii Islanders 400 Series MILB (зеленый) {kgrn}</t>
  </si>
  <si>
    <t>400A1V-HAI Hawaii Islanders 400 Series MILB</t>
  </si>
  <si>
    <t>kgrn</t>
  </si>
  <si>
    <t>06-011-08-00</t>
  </si>
  <si>
    <t>Бейсболка AMERICAN NEEDLE арт. 400A1V-HOS Hollywood Stars 400 Series MILB (серый / красный) {gyrd}</t>
  </si>
  <si>
    <t>400A1V-HOS Hollywood Stars 400 Series MILB</t>
  </si>
  <si>
    <t>gyrd</t>
  </si>
  <si>
    <t>06-012-10-00</t>
  </si>
  <si>
    <t>Бейсболка AMERICAN NEEDLE арт. 400A1V-LAK Los Angeles Kings 400 Series NHL (черный / серый) {bllg}</t>
  </si>
  <si>
    <t>400A1V-LAK Los Angeles Kings 400 Series NHL</t>
  </si>
  <si>
    <t>bllg</t>
  </si>
  <si>
    <t>06-013-06-00</t>
  </si>
  <si>
    <t>Бейсболка AMERICAN NEEDLE арт. 400A1V-LOS Los Angeles Angels 400 Series MILB (синий) {roy}</t>
  </si>
  <si>
    <t>400A1V-LOS Los Angeles Angels 400 Series MILB</t>
  </si>
  <si>
    <t>roy</t>
  </si>
  <si>
    <t>06-014-21-00</t>
  </si>
  <si>
    <t>Бейсболка AMERICAN NEEDLE арт. 400A1V-MOC Montreal Canadiens 400 Series NHL (синий / красный) {nvrd}</t>
  </si>
  <si>
    <t>400A1V-MOC Montreal Canadiens 400 Series NHL</t>
  </si>
  <si>
    <t>nvrd</t>
  </si>
  <si>
    <t>06-015-06-00</t>
  </si>
  <si>
    <t>Бейсболка AMERICAN NEEDLE арт. 400A1V-NYR New York Rangers 400 Series NHL (синий) {roy}</t>
  </si>
  <si>
    <t>400A1V-NYR New York Rangers 400 Series NHL</t>
  </si>
  <si>
    <t>06-016-09-00</t>
  </si>
  <si>
    <t>Бейсболка AMERICAN NEEDLE арт. 400A1V-PCO Arizona Coyotes 400 Series NHL (черный / бордовый) {bkca}</t>
  </si>
  <si>
    <t>400A1V-PCO Arizona Coyotes 400 Series NHL</t>
  </si>
  <si>
    <t>bkca</t>
  </si>
  <si>
    <t>06-017-09-00</t>
  </si>
  <si>
    <t>Бейсболка AMERICAN NEEDLE арт. 400A1V-PHF Philadelphia Flyers 400 Series NHL (черный / оранжевый) {blor}</t>
  </si>
  <si>
    <t>400A1V-PHF Philadelphia Flyers 400 Series NHL</t>
  </si>
  <si>
    <t>blor</t>
  </si>
  <si>
    <t>06-018-06-00</t>
  </si>
  <si>
    <t>Бейсболка AMERICAN NEEDLE арт. 400A1V-TML Toronto Maple Leafs 400 Series NHL (синий) {roy}</t>
  </si>
  <si>
    <t>400A1V-TML Toronto Maple Leafs 400 Series NHL</t>
  </si>
  <si>
    <t>06-019-18-00</t>
  </si>
  <si>
    <t>Бейсболка AMERICAN NEEDLE арт. 400A1V-WAC Washington Capitals 400 Series NHL (красный / синий) {rdry}</t>
  </si>
  <si>
    <t>400A1V-WAC Washington Capitals 400 Series NHL</t>
  </si>
  <si>
    <t>rdry</t>
  </si>
  <si>
    <t>06-020-72-00</t>
  </si>
  <si>
    <t>Бейсболка AMERICAN NEEDLE арт. 400A2V-CBH Chicago Blackhawks 400 Series NHL (красный / черный) {rdbl}</t>
  </si>
  <si>
    <t>400A2V-CBH Chicago Blackhawks 400 Series NHL</t>
  </si>
  <si>
    <t>rdbl</t>
  </si>
  <si>
    <t>06-021-09-00</t>
  </si>
  <si>
    <t>Бейсболка AMERICAN NEEDLE арт. 400A2V-LAK Los Angeles Kings 400 Series NHL (черный) {blk}</t>
  </si>
  <si>
    <t>400A2V-LAK Los Angeles Kings 400 Series NHL</t>
  </si>
  <si>
    <t>06-022-09-00</t>
  </si>
  <si>
    <t>Бейсболка AMERICAN NEEDLE арт. 400A2V-NYI New York Islanders 400 Series NHL (черный) {blk}</t>
  </si>
  <si>
    <t>400A2V-NYI New York Islanders 400 Series NHL</t>
  </si>
  <si>
    <t>06-023-21-00</t>
  </si>
  <si>
    <t>Бейсболка AMERICAN NEEDLE арт. 400A2V-NYR New York Rangers 400 Series NHL (синий / красный) {nvrd}</t>
  </si>
  <si>
    <t>400A2V-NYR New York Rangers 400 Series NHL</t>
  </si>
  <si>
    <t>06-024-19-00</t>
  </si>
  <si>
    <t>Бейсболка AMERICAN NEEDLE арт. 400A4V-CBH Chicago Blackhawks 400 Series NHL (голубой / красный) {lbdr}</t>
  </si>
  <si>
    <t>400A4V-CBH Chicago Blackhawks 400 Series NHL</t>
  </si>
  <si>
    <t>lbdr</t>
  </si>
  <si>
    <t>06-025-09-00</t>
  </si>
  <si>
    <t>Бейсболка AMERICAN NEEDLE арт. 40742A-AMD Anaheim Ducks Blue Line NHL (черный) {blk}</t>
  </si>
  <si>
    <t>40742A-AMD Anaheim Ducks Blue Line NHL</t>
  </si>
  <si>
    <t>06-026-16-00</t>
  </si>
  <si>
    <t>Бейсболка AMERICAN NEEDLE арт. 40742A-CBJ Columbus Blue Jackets Blue Line NHL (темно-синий) {navy}</t>
  </si>
  <si>
    <t>40742A-CBJ Columbus Blue Jackets Blue Line NHL</t>
  </si>
  <si>
    <t>06-027-18-00</t>
  </si>
  <si>
    <t>Бейсболка AMERICAN NEEDLE арт. 40742A-DRW Detroit Red Wings Blue Line NHL (красный) {red}</t>
  </si>
  <si>
    <t>40742A-DRW Detroit Red Wings Blue Line NHL</t>
  </si>
  <si>
    <t>06-028-11-00</t>
  </si>
  <si>
    <t>Бейсболка AMERICAN NEEDLE арт. 40742A-MNN Minnesota North Stars Blue Line NHL (зеленый) {kelg}</t>
  </si>
  <si>
    <t>40742A-MNN Minnesota North Stars Blue Line NHL</t>
  </si>
  <si>
    <t>kelg</t>
  </si>
  <si>
    <t>06-029-16-00</t>
  </si>
  <si>
    <t>Бейсболка AMERICAN NEEDLE арт. 40742A-MOC Montreal Canadiens Blue Line NHL (темно-синий) {navy}</t>
  </si>
  <si>
    <t>40742A-MOC Montreal Canadiens Blue Line NHL</t>
  </si>
  <si>
    <t>06-030-16-00</t>
  </si>
  <si>
    <t>Бейсболка AMERICAN NEEDLE арт. 40742A-NAP Nashville Predators Blue Line NHL (темно-синий) {navy}</t>
  </si>
  <si>
    <t>40742A-NAP Nashville Predators Blue Line NHL</t>
  </si>
  <si>
    <t>06-031-18-00</t>
  </si>
  <si>
    <t>Бейсболка AMERICAN NEEDLE арт. 40742A-OTS Ottawa Senators Blue Line NHL (красный) {red}</t>
  </si>
  <si>
    <t>40742A-OTS Ottawa Senators Blue Line NHL</t>
  </si>
  <si>
    <t>06-032-13-00</t>
  </si>
  <si>
    <t>Бейсболка AMERICAN NEEDLE арт. 40742A-PCO Arizona Coyotes Blue Line NHL (рыжий) {card}</t>
  </si>
  <si>
    <t>40742A-PCO Arizona Coyotes Blue Line NHL</t>
  </si>
  <si>
    <t>card</t>
  </si>
  <si>
    <t>06-033-09-00</t>
  </si>
  <si>
    <t>Бейсболка AMERICAN NEEDLE арт. 40742A-SEK Seattle Kraken Blue Line NHL (черный) {blk}</t>
  </si>
  <si>
    <t>40742A-SEK Seattle Kraken Blue Line NHL</t>
  </si>
  <si>
    <t>06-033-16-00</t>
  </si>
  <si>
    <t>Бейсболка AMERICAN NEEDLE арт. 40742A-SEK Seattle Kraken Blue Line NHL (темно-синий) {navy}</t>
  </si>
  <si>
    <t>06-033-17-00</t>
  </si>
  <si>
    <t>Бейсболка AMERICAN NEEDLE арт. 40742A-SEK Seattle Kraken Blue Line NHL (белый) {snow}</t>
  </si>
  <si>
    <t>snow</t>
  </si>
  <si>
    <t>06-034-09-00</t>
  </si>
  <si>
    <t>Бейсболка AMERICAN NEEDLE арт. 40742A-SJS San Jose Sharks Blue Line NHL (черный) {blk}</t>
  </si>
  <si>
    <t>40742A-SJS San Jose Sharks Blue Line NHL</t>
  </si>
  <si>
    <t>06-035-06-00</t>
  </si>
  <si>
    <t>Бейсболка AMERICAN NEEDLE арт. 40742A-VAC Vancouver Canucks Blue Line NHL (синий) {roy}</t>
  </si>
  <si>
    <t>40742A-VAC Vancouver Canucks Blue Line NHL</t>
  </si>
  <si>
    <t>06-036-09-00</t>
  </si>
  <si>
    <t>Бейсболка AMERICAN NEEDLE арт. 40742A-VGK Vegas Golden Knights Blue Line NHL (черный) {blk}</t>
  </si>
  <si>
    <t>40742A-VGK Vegas Golden Knights Blue Line NHL</t>
  </si>
  <si>
    <t>06-037-18-00</t>
  </si>
  <si>
    <t>Бейсболка AMERICAN NEEDLE арт. 40742A-WAC Washington Capitals Blue Line NHL (красный) {red}</t>
  </si>
  <si>
    <t>40742A-WAC Washington Capitals Blue Line NHL</t>
  </si>
  <si>
    <t>06-038-16-00</t>
  </si>
  <si>
    <t>Бейсболка AMERICAN NEEDLE арт. 40742A-WPJ Winnipeg Jets Blue Line NHL (темно-синий) {navy}</t>
  </si>
  <si>
    <t>40742A-WPJ Winnipeg Jets Blue Line NHL</t>
  </si>
  <si>
    <t>06-039-09-00</t>
  </si>
  <si>
    <t>Бейсболка AMERICAN NEEDLE арт. 40742B-CAH Carolina Hurricanes Blue Line NHL (черный) {blk}</t>
  </si>
  <si>
    <t>40742B-CAH Carolina Hurricanes Blue Line NHL</t>
  </si>
  <si>
    <t>06-040-16-00</t>
  </si>
  <si>
    <t>Бейсболка AMERICAN NEEDLE арт. 40742B-FLP Carolina Panthers Blue Line NHL (темно-синий) {navy}</t>
  </si>
  <si>
    <t>40742B-FLP Carolina Panthers Blue Line NHL</t>
  </si>
  <si>
    <t>06-041-09-00</t>
  </si>
  <si>
    <t>Бейсболка AMERICAN NEEDLE арт. 40742B-PHF Philadelphia Flyers Blue Line NHL (черный) {blk}</t>
  </si>
  <si>
    <t>40742B-PHF Philadelphia Flyers Blue Line NHL</t>
  </si>
  <si>
    <t>06-042-09-00</t>
  </si>
  <si>
    <t>Бейсболка AMERICAN NEEDLE арт. 40742B-PPN Pittsburgh Penguins Blue Line NHL (черный) {blk}</t>
  </si>
  <si>
    <t>40742B-PPN Pittsburgh Penguins Blue Line NHL</t>
  </si>
  <si>
    <t>06-043-16-00</t>
  </si>
  <si>
    <t>Бейсболка AMERICAN NEEDLE арт. 40742B-SEK Seattle Kraken Blue Line NHL (темно-синий) {navy}</t>
  </si>
  <si>
    <t>40742B-SEK Seattle Kraken Blue Line NHL</t>
  </si>
  <si>
    <t>06-044-06-00</t>
  </si>
  <si>
    <t>Бейсболка AMERICAN NEEDLE арт. 40742B-TML Toronto Maple Leafs Blue Line NHL (синий) {roy}</t>
  </si>
  <si>
    <t>40742B-TML Toronto Maple Leafs Blue Line NHL</t>
  </si>
  <si>
    <t>06-045-16-00</t>
  </si>
  <si>
    <t>Бейсболка AMERICAN NEEDLE арт. 41150A-NASA Space with NASA (темно-синий) {navy}</t>
  </si>
  <si>
    <t>41150A-NASA Space with NASA</t>
  </si>
  <si>
    <t>50% хлопок - 50% полиэстер</t>
  </si>
  <si>
    <t>06-046-09-00</t>
  </si>
  <si>
    <t>Бейсболка AMERICAN NEEDLE арт. 41150B-NASA Mars with NASA (черный) {blk}</t>
  </si>
  <si>
    <t>41150B-NASA Mars with NASA</t>
  </si>
  <si>
    <t>06-047-16-00</t>
  </si>
  <si>
    <t>Бейсболка AMERICAN NEEDLE арт. 41152A-NAP Nashville Predators Raglan Bones NHL (темно-синий) {navy}</t>
  </si>
  <si>
    <t>41152A-NAP Nashville Predators Raglan Bones NHL</t>
  </si>
  <si>
    <t>100% хлопок / сетка 100% полиэстер</t>
  </si>
  <si>
    <t>06-048-16-00</t>
  </si>
  <si>
    <t>Бейсболка AMERICAN NEEDLE арт. 41152A-SEK Seattle Kraken Raglan Bones NHL (темно-синий) {navy}</t>
  </si>
  <si>
    <t>41152A-SEK Seattle Kraken Raglan Bones NHL</t>
  </si>
  <si>
    <t>06-049-09-00</t>
  </si>
  <si>
    <t>Бейсболка AMERICAN NEEDLE арт. 41152A-VGK Vegas Golden Knights Raglan Bones NHL (черный) {blk}</t>
  </si>
  <si>
    <t>41152A-VGK Vegas Golden Knights Raglan Bones NHL</t>
  </si>
  <si>
    <t>06-050-09-00</t>
  </si>
  <si>
    <t>Шапка AMERICAN NEEDLE арт. 42050A-MTFU Fuji Mountain National Park Pillow (черный) {nit}</t>
  </si>
  <si>
    <t>42050A-MTFU Fuji Mountain National Park Pillow</t>
  </si>
  <si>
    <t>nit</t>
  </si>
  <si>
    <t>06-051-16-00</t>
  </si>
  <si>
    <t>Шапка AMERICAN NEEDLE арт. 42050A-YNP Yellowstone National Park Pillow (темно-синий) {niog}</t>
  </si>
  <si>
    <t>42050A-YNP Yellowstone National Park Pillow</t>
  </si>
  <si>
    <t>niog</t>
  </si>
  <si>
    <t>06-052-09-00</t>
  </si>
  <si>
    <t>Бейсболка AMERICAN NEEDLE арт. 42760A-CALI California (черный) {blk}</t>
  </si>
  <si>
    <t>42760A-CALI California</t>
  </si>
  <si>
    <t>06-052-86-00</t>
  </si>
  <si>
    <t>Бейсболка AMERICAN NEEDLE арт. 42760A-CALI California (светло-розовый) {cpnk}</t>
  </si>
  <si>
    <t>cpnk</t>
  </si>
  <si>
    <t>06-052-08-00</t>
  </si>
  <si>
    <t>Бейсболка AMERICAN NEEDLE арт. 42760A-CALI California (серый) {gry}</t>
  </si>
  <si>
    <t>06-052-19-00</t>
  </si>
  <si>
    <t>Бейсболка AMERICAN NEEDLE арт. 42760A-CALI California (голубой) {lblu}</t>
  </si>
  <si>
    <t>lblu</t>
  </si>
  <si>
    <t>06-052-05-00</t>
  </si>
  <si>
    <t>Бейсболка AMERICAN NEEDLE арт. 42760A-CALI California (темно-серый) {moss}</t>
  </si>
  <si>
    <t>06-052-16-00</t>
  </si>
  <si>
    <t>Бейсболка AMERICAN NEEDLE арт. 42760A-CALI California (темно-синий) {navy}</t>
  </si>
  <si>
    <t>06-052-17-00</t>
  </si>
  <si>
    <t>Бейсболка AMERICAN NEEDLE арт. 42760A-CALI California (белый) {snow}</t>
  </si>
  <si>
    <t>06-053-48-00</t>
  </si>
  <si>
    <t>Шапка AMERICAN NEEDLE арт. 42810A-CALI California (черный / белый) {blir}</t>
  </si>
  <si>
    <t>42810A-CALI California</t>
  </si>
  <si>
    <t>blir</t>
  </si>
  <si>
    <t>06-054-09-00</t>
  </si>
  <si>
    <t>Бейсболка AMERICAN NEEDLE арт. 42960A-CALI California Valin (черный) {blk}</t>
  </si>
  <si>
    <t>42960A-CALI California Valin</t>
  </si>
  <si>
    <t>06-055-09-00</t>
  </si>
  <si>
    <t>Бейсболка AMERICAN NEEDLE арт. 42960A-LOSA Los Angeles Valin (черный) {blk}</t>
  </si>
  <si>
    <t>42960A-LOSA Los Angeles Valin</t>
  </si>
  <si>
    <t>06-056-16-00</t>
  </si>
  <si>
    <t>Бейсболка AMERICAN NEEDLE арт. 42960A-NY New York Valin (темно-синий) {navy}</t>
  </si>
  <si>
    <t>42960A-NY New York Valin</t>
  </si>
  <si>
    <t>06-057-09-00</t>
  </si>
  <si>
    <t>Бейсболка AMERICAN NEEDLE арт. 42960B-CALI California Valin (черный) {iblk}</t>
  </si>
  <si>
    <t>42960B-CALI California Valin</t>
  </si>
  <si>
    <t>iblk</t>
  </si>
  <si>
    <t>06-058-20-00</t>
  </si>
  <si>
    <t>Бейсболка AMERICAN NEEDLE арт. 43020A-HAWA Hawaii Ballpark (желтый) {bsun}</t>
  </si>
  <si>
    <t>43020A-HAWA Hawaii Ballpark</t>
  </si>
  <si>
    <t>bsun</t>
  </si>
  <si>
    <t>06-059-09-00</t>
  </si>
  <si>
    <t>Бейсболка AMERICAN NEEDLE арт. 43020A-NASA Mars with NASA Ballpark (черный) {blk}</t>
  </si>
  <si>
    <t>43020A-NASA Mars with NASA Ballpark</t>
  </si>
  <si>
    <t>AMERICAN NEEDLE-Space</t>
  </si>
  <si>
    <t>06-060-09-00</t>
  </si>
  <si>
    <t>Бейсболка AMERICAN NEEDLE арт. 43020E-CALI California Ballpark (черный) {blk}</t>
  </si>
  <si>
    <t>43020E-CALI California Ballpark</t>
  </si>
  <si>
    <t>06-061-08-00</t>
  </si>
  <si>
    <t>Бейсболка AMERICAN NEEDLE арт. 43027A-HOS Hollywood Stars Ballpark MILB (серый / красный) {gyrd}</t>
  </si>
  <si>
    <t>43027A-HOS Hollywood Stars Ballpark MILB</t>
  </si>
  <si>
    <t>06-062-16-00</t>
  </si>
  <si>
    <t>Бейсболка AMERICAN NEEDLE арт. 43027A-SAF San Francisco Seals Ballpark MILB (темно-синий) {nvor}</t>
  </si>
  <si>
    <t>43027A-SAF San Francisco Seals Ballpark MILB</t>
  </si>
  <si>
    <t>nvor</t>
  </si>
  <si>
    <t>06-063-18-00</t>
  </si>
  <si>
    <t>Бейсболка AMERICAN NEEDLE арт. 43027A-SER Seattle Rainiers Ballpark MILB (красный) {rdwh}</t>
  </si>
  <si>
    <t>43027A-SER Seattle Rainiers Ballpark MILB</t>
  </si>
  <si>
    <t>rdwh</t>
  </si>
  <si>
    <t>06-064-36-00</t>
  </si>
  <si>
    <t>Бейсболка AMERICAN NEEDLE арт. 43027A-WHA Chicago Whales Ballpark MILB (кремовый / синий) {stnv}</t>
  </si>
  <si>
    <t>43027A-WHA Chicago Whales Ballpark MILB</t>
  </si>
  <si>
    <t>stnv</t>
  </si>
  <si>
    <t>06-065-16-00</t>
  </si>
  <si>
    <t>Бейсболка AMERICAN NEEDLE арт. 43260A-TX Texas (темно-синий) {navy}</t>
  </si>
  <si>
    <t>43260A-TX Texas</t>
  </si>
  <si>
    <t>06-066-10-00</t>
  </si>
  <si>
    <t>Бейсболка AMERICAN NEEDLE арт. 43350A-NASA Space with NASA (черный / серый) {ibgy}</t>
  </si>
  <si>
    <t>43350A-NASA Space with NASA</t>
  </si>
  <si>
    <t>ibgy</t>
  </si>
  <si>
    <t>06-066-18-00</t>
  </si>
  <si>
    <t>Бейсболка AMERICAN NEEDLE арт. 43350A-NASA Space with NASA (красный / синий) {irn}</t>
  </si>
  <si>
    <t>irn</t>
  </si>
  <si>
    <t>06-067-36-00</t>
  </si>
  <si>
    <t>Бейсболка AMERICAN NEEDLE арт. 43572B-VGK Vegas Golden Knights United NHL (кремовый / черный) {ivbk}</t>
  </si>
  <si>
    <t>43572B-VGK Vegas Golden Knights United NHL</t>
  </si>
  <si>
    <t>ivbk</t>
  </si>
  <si>
    <t>06-068-09-00</t>
  </si>
  <si>
    <t>Бейсболка AMERICAN NEEDLE арт. 43622A-VGK Vegas Golden Knights NHL (черный) {blk}</t>
  </si>
  <si>
    <t>43622A-VGK Vegas Golden Knights NHL</t>
  </si>
  <si>
    <t>06-069-36-00</t>
  </si>
  <si>
    <t>Бейсболка AMERICAN NEEDLE арт. 43710A-MB Malibu Beach (кремовый / оливковый) {pido}</t>
  </si>
  <si>
    <t>43710A-MB Malibu Beach</t>
  </si>
  <si>
    <t>pido</t>
  </si>
  <si>
    <t>06-070-20-00</t>
  </si>
  <si>
    <t>Бейсболка AMERICAN NEEDLE арт. 43732B-NAP Nashville Predators NHL (желтый / синий) {godn}</t>
  </si>
  <si>
    <t>43732B-NAP Nashville Predators NHL</t>
  </si>
  <si>
    <t>godn</t>
  </si>
  <si>
    <t>06-071-34-00</t>
  </si>
  <si>
    <t>Бейсболка AMERICAN NEEDLE арт. 43742A-CBH Chicago Blackhawks NHL (розовый) {cpnk}</t>
  </si>
  <si>
    <t>43742A-CBH Chicago Blackhawks NHL</t>
  </si>
  <si>
    <t>06-071-17-00</t>
  </si>
  <si>
    <t>Бейсболка AMERICAN NEEDLE арт. 43742A-CBH Chicago Blackhawks NHL (белый) {snow}</t>
  </si>
  <si>
    <t>06-072-09-00</t>
  </si>
  <si>
    <t>Бейсболка AMERICAN NEEDLE арт. 43742A-LAK Los Angeles Kings NHL (черный) {blk}</t>
  </si>
  <si>
    <t>43742A-LAK Los Angeles Kings NHL</t>
  </si>
  <si>
    <t>06-072-34-00</t>
  </si>
  <si>
    <t>Бейсболка AMERICAN NEEDLE арт. 43742A-LAK Los Angeles Kings NHL (розовый) {cpnk}</t>
  </si>
  <si>
    <t>06-072-17-00</t>
  </si>
  <si>
    <t>Бейсболка AMERICAN NEEDLE арт. 43742A-LAK Los Angeles Kings NHL (белый) {snow}</t>
  </si>
  <si>
    <t>06-073-34-00</t>
  </si>
  <si>
    <t>Бейсболка AMERICAN NEEDLE арт. 43742A-NYR New York Rangers NHL (розовый) {cpnk}</t>
  </si>
  <si>
    <t>43742A-NYR New York Rangers NHL</t>
  </si>
  <si>
    <t>06-073-17-00</t>
  </si>
  <si>
    <t>Бейсболка AMERICAN NEEDLE арт. 43742A-NYR New York Rangers NHL (белый) {snow}</t>
  </si>
  <si>
    <t>06-074-09-00</t>
  </si>
  <si>
    <t>Бейсболка AMERICAN NEEDLE арт. 43870A-CALI California (черный) {blk}</t>
  </si>
  <si>
    <t>43870A-CALI California</t>
  </si>
  <si>
    <t>06-075-09-00</t>
  </si>
  <si>
    <t>Бейсболка AMERICAN NEEDLE арт. 43870A-NASA Space with NASA (черный) {blk}</t>
  </si>
  <si>
    <t>43870A-NASA Space with NASA</t>
  </si>
  <si>
    <t>06-076-19-00</t>
  </si>
  <si>
    <t>Бейсболка AMERICAN NEEDLE арт. 43880A-MALI Malibu (голубой) {seaf}</t>
  </si>
  <si>
    <t>43880A-MALI Malibu</t>
  </si>
  <si>
    <t>seaf</t>
  </si>
  <si>
    <t>06-077-09-00</t>
  </si>
  <si>
    <t>Бейсболка AMERICAN NEEDLE арт. 43910A-CALI California (черный) {blk}</t>
  </si>
  <si>
    <t>43910A-CALI California</t>
  </si>
  <si>
    <t>06-077-56-00</t>
  </si>
  <si>
    <t>Бейсболка AMERICAN NEEDLE арт. 43910A-CALI California (хаки) {camo}</t>
  </si>
  <si>
    <t>06-078-06-00</t>
  </si>
  <si>
    <t>Бейсболка AMERICAN NEEDLE арт. 43910A-NASA Space with NASA (синий) {navy}</t>
  </si>
  <si>
    <t>43910A-NASA Space with NASA</t>
  </si>
  <si>
    <t>06-079-08-00</t>
  </si>
  <si>
    <t>Бейсболка AMERICAN NEEDLE арт. 43910A-NY New York (серый) {gry}</t>
  </si>
  <si>
    <t>43910A-NY New York</t>
  </si>
  <si>
    <t>06-080-18-00</t>
  </si>
  <si>
    <t>Бейсболка AMERICAN NEEDLE арт. 43910A-TX Texas (красный) {red}</t>
  </si>
  <si>
    <t>43910A-TX Texas</t>
  </si>
  <si>
    <t>06-081-17-00</t>
  </si>
  <si>
    <t>Бейсболка AMERICAN NEEDLE арт. 44500A-NY New York (белый) {wht}</t>
  </si>
  <si>
    <t>44500A-NY New York</t>
  </si>
  <si>
    <t>wht</t>
  </si>
  <si>
    <t>06-082-36-00</t>
  </si>
  <si>
    <t>Бейсболка AMERICAN NEEDLE арт. 44700B-LOSA Los Angeles (кремовый / черный) {ivbk}</t>
  </si>
  <si>
    <t>44700B-LOSA Los Angeles</t>
  </si>
  <si>
    <t>06-083-78-00</t>
  </si>
  <si>
    <t>Бейсболка AMERICAN NEEDLE арт. 44730A-NASA Space with NASA Roughage (синий / черный) {gron}</t>
  </si>
  <si>
    <t>44730A-NASA Space with NASA Roughage</t>
  </si>
  <si>
    <t>gron</t>
  </si>
  <si>
    <t>06-083-72-00</t>
  </si>
  <si>
    <t>Бейсболка AMERICAN NEEDLE арт. 44730A-NASA Space with NASA (черный / красный) {inr}</t>
  </si>
  <si>
    <t>inr</t>
  </si>
  <si>
    <t>06-084-72-00</t>
  </si>
  <si>
    <t>Бейсболка AMERICAN NEEDLE арт. 44740A-ANA Anaheim Aces Archive MILB (черный / красный) {bldr}</t>
  </si>
  <si>
    <t>44740A-ANA Anaheim Aces Archive MILB</t>
  </si>
  <si>
    <t>bldr</t>
  </si>
  <si>
    <t>06-085-16-00</t>
  </si>
  <si>
    <t>Бейсболка AMERICAN NEEDLE арт. 44740A-ASE Austin Senators Archive MILB (темно-синий) {navy}</t>
  </si>
  <si>
    <t>44740A-ASE Austin Senators Archive MILB</t>
  </si>
  <si>
    <t>06-086-11-00</t>
  </si>
  <si>
    <t>Бейсболка AMERICAN NEEDLE арт. 44740A-BSH Boston Shamrocks Archive MILB (зеленый) {dgrn}</t>
  </si>
  <si>
    <t>44740A-BSH Boston Shamrocks Archive MILB</t>
  </si>
  <si>
    <t>dgrn</t>
  </si>
  <si>
    <t>06-087-09-00</t>
  </si>
  <si>
    <t>Бейсболка AMERICAN NEEDLE арт. 44740A-DAU Daiei Unions Archive NLB (черный) {blk}</t>
  </si>
  <si>
    <t>44740A-DAU Daiei Unions Archive NLB</t>
  </si>
  <si>
    <t>06-088-16-00</t>
  </si>
  <si>
    <t>Бейсболка AMERICAN NEEDLE арт. 44740A-HBU Houston Buffalos Archive TLB (темно-синий) {navy}</t>
  </si>
  <si>
    <t>44740A-HBU Houston Buffalos Archive TLB</t>
  </si>
  <si>
    <t>06-089-16-00</t>
  </si>
  <si>
    <t>Бейсболка AMERICAN NEEDLE арт. 44740A-KCK Kansas City Katz Archive MILB (темно-синий) {navy}</t>
  </si>
  <si>
    <t>44740A-KCK Kansas City Katz Archive MILB</t>
  </si>
  <si>
    <t>06-090-09-00</t>
  </si>
  <si>
    <t>Бейсболка AMERICAN NEEDLE арт. 44740A-LAJ Los Angeles Jets Archive ABL (черный) {blk}</t>
  </si>
  <si>
    <t>44740A-LAJ Los Angeles Jets Archive ABL</t>
  </si>
  <si>
    <t>06-091-09-00</t>
  </si>
  <si>
    <t>Бейсболка AMERICAN NEEDLE арт. 44740A-LST Las Vegas Stars Archive MILB (черный) {blk}</t>
  </si>
  <si>
    <t>44740A-LST Las Vegas Stars Archive MILB</t>
  </si>
  <si>
    <t>06-092-16-00</t>
  </si>
  <si>
    <t>Бейсболка AMERICAN NEEDLE арт. 44740A-WHA Chicago Whales Archive MILB (темно-синий) {navb}</t>
  </si>
  <si>
    <t>44740A-WHA Chicago Whales Archive MILB</t>
  </si>
  <si>
    <t>navb</t>
  </si>
  <si>
    <t>06-093-16-00</t>
  </si>
  <si>
    <t>Бейсболка AMERICAN NEEDLE арт. 44742A-NYA New York Americans Archive NHL (темно-синий) {nvdr}</t>
  </si>
  <si>
    <t>44742A-NYA New York Americans Archive NHL</t>
  </si>
  <si>
    <t>nvdr</t>
  </si>
  <si>
    <t>06-094-09-00</t>
  </si>
  <si>
    <t>Бейсболка AMERICAN NEEDLE арт. 44742A-OAS Oakland Seals Archive NHL (черный) {blk}</t>
  </si>
  <si>
    <t>44742A-OAS Oakland Seals Archive NHL</t>
  </si>
  <si>
    <t>06-095-16-00</t>
  </si>
  <si>
    <t>Бейсболка AMERICAN NEEDLE арт. 44747A-CNT Cincinnati Tigers Archive NL (темно-синий) {navy}</t>
  </si>
  <si>
    <t>44747A-CNT Cincinnati Tigers Archive NL</t>
  </si>
  <si>
    <t>06-096-05-00</t>
  </si>
  <si>
    <t>Бейсболка AMERICAN NEEDLE арт. 44747A-MML Minneapolis Millers Archive MILB (темно-серый) {blor}</t>
  </si>
  <si>
    <t>44747A-MML Minneapolis Millers Archive MILB</t>
  </si>
  <si>
    <t>06-097-16-00</t>
  </si>
  <si>
    <t>Бейсболка AMERICAN NEEDLE арт. 44747A-POB Portland Beavers Archive MILB (темно-синий) {navy}</t>
  </si>
  <si>
    <t>44747A-POB Portland Beavers Archive MILB</t>
  </si>
  <si>
    <t>06-098-26-00</t>
  </si>
  <si>
    <t>Бейсболка AMERICAN NEEDLE арт. 44747B-POB Portland Beavers Archive MILB (серый / синий) {gynv}</t>
  </si>
  <si>
    <t>44747B-POB Portland Beavers Archive MILB</t>
  </si>
  <si>
    <t>gynv</t>
  </si>
  <si>
    <t>06-099-18-00</t>
  </si>
  <si>
    <t>Бейсболка AMERICAN NEEDLE арт. 44747B-SER Seattle Rainers Archive MILB (красный) {dki}</t>
  </si>
  <si>
    <t>44747B-SER Seattle Rainers Archive MILB</t>
  </si>
  <si>
    <t>dki</t>
  </si>
  <si>
    <t>06-100-70-00</t>
  </si>
  <si>
    <t>Бейсболка AMERICAN NEEDLE арт. 44810A-CALI California (черный / голубой) {blse}</t>
  </si>
  <si>
    <t>44810A-CALI California</t>
  </si>
  <si>
    <t>blse</t>
  </si>
  <si>
    <t>06-101-16-00</t>
  </si>
  <si>
    <t>Бейсболка AMERICAN NEEDLE арт. 44820A-NASA Space with NASA (темно-синий) {navy}</t>
  </si>
  <si>
    <t>44820A-NASA Space with NASA</t>
  </si>
  <si>
    <t>06-102-17-00</t>
  </si>
  <si>
    <t>Бейсболка AMERICAN NEEDLE арт. 44860A-CALI California (белый) {wht}</t>
  </si>
  <si>
    <t>44860A-CALI California</t>
  </si>
  <si>
    <t>06-103-40-00</t>
  </si>
  <si>
    <t>Бейсболка AMERICAN NEEDLE арт. 44870A-CALI California (черный / розовый) {wbnp}</t>
  </si>
  <si>
    <t>44870A-CALI California</t>
  </si>
  <si>
    <t>wbnp</t>
  </si>
  <si>
    <t>06-104-09-00</t>
  </si>
  <si>
    <t>Бейсболка AMERICAN NEEDLE арт. 44890D-CALI California (черный) {blk}</t>
  </si>
  <si>
    <t>44890D-CALI California</t>
  </si>
  <si>
    <t>06-105-09-00</t>
  </si>
  <si>
    <t>Бейсболка AMERICAN NEEDLE арт. 44900A-CALI California Replay (черный) {blk}</t>
  </si>
  <si>
    <t>44900A-CALI California Replay</t>
  </si>
  <si>
    <t>06-106-17-00</t>
  </si>
  <si>
    <t>Бейсболка AMERICAN NEEDLE арт. 44900B-CALI California Replay (белый) {snow}</t>
  </si>
  <si>
    <t>44900B-CALI California Replay</t>
  </si>
  <si>
    <t>06-107-16-00</t>
  </si>
  <si>
    <t>Бейсболка AMERICAN NEEDLE арт. 44910A-NASA (темно-синий) {navy}</t>
  </si>
  <si>
    <t>44910A-NASA Apollo 50 years</t>
  </si>
  <si>
    <t>06-107-08-00</t>
  </si>
  <si>
    <t>Бейсболка AMERICAN NEEDLE арт. 44910A-NASA Apollo 50 years (серый) {steg}</t>
  </si>
  <si>
    <t>steg</t>
  </si>
  <si>
    <t>06-108-09-00</t>
  </si>
  <si>
    <t>Бейсболка AMERICAN NEEDLE арт. 44940A-NASA Space with NASA (черный) {blk}</t>
  </si>
  <si>
    <t>44940A-NASA Space with NASA</t>
  </si>
  <si>
    <t>06-109-64-00</t>
  </si>
  <si>
    <t>Бейсболка AMERICAN NEEDLE арт. 44970A-CALI California (серый / розовый) {spfa}</t>
  </si>
  <si>
    <t>44970A-CALI California</t>
  </si>
  <si>
    <t>spfa</t>
  </si>
  <si>
    <t>06-110-19-00</t>
  </si>
  <si>
    <t>Бейсболка AMERICAN NEEDLE арт. 45000A-NASA Space with NASA (голубой) {pblu}</t>
  </si>
  <si>
    <t>45000A-NASA Space with NASA</t>
  </si>
  <si>
    <t>58% полиэстер - 42% нейлон</t>
  </si>
  <si>
    <t>pblu</t>
  </si>
  <si>
    <t>06-111-56-00</t>
  </si>
  <si>
    <t>Панама AMERICAN NEEDLE арт. 45010A-CALI California Twill (хаки) {camo}</t>
  </si>
  <si>
    <t>45010A-CALI California Twill</t>
  </si>
  <si>
    <t>06-111-56-56</t>
  </si>
  <si>
    <t>06-111-56-60</t>
  </si>
  <si>
    <t>06-112-09-00</t>
  </si>
  <si>
    <t>Бейсболка AMERICAN NEEDLE арт. 45020A-CALI California Conrad (черный) {blk}</t>
  </si>
  <si>
    <t>45020A-CALI California Conrad</t>
  </si>
  <si>
    <t>06-113-09-00</t>
  </si>
  <si>
    <t>Бейсболка AMERICAN NEEDLE арт. 45030A-NASA Space with NASA General (черный) {blk}</t>
  </si>
  <si>
    <t>45030A-NASA Space with NASA General</t>
  </si>
  <si>
    <t>06-114-09-00</t>
  </si>
  <si>
    <t>Бейсболка AMERICAN NEEDLE арт. 45060A-CA California Surplus (черный) {blk}</t>
  </si>
  <si>
    <t>45060A-CA California Surplus</t>
  </si>
  <si>
    <t>06-115-09-00</t>
  </si>
  <si>
    <t>Бейсболка AMERICAN NEEDLE арт. 45060A-NASA Space with NASA Surplus (черный) {blk}</t>
  </si>
  <si>
    <t>45060A-NASA Space with NASA Surplus</t>
  </si>
  <si>
    <t>06-116-09-00</t>
  </si>
  <si>
    <t>Бейсболка AMERICAN NEEDLE арт. GM-1904A Firebird (черный) {blk}</t>
  </si>
  <si>
    <t>GM-1904A Firebird</t>
  </si>
  <si>
    <t>AMERICAN NEEDLE-Cars</t>
  </si>
  <si>
    <t>06-117-36-00</t>
  </si>
  <si>
    <t>Бейсболка AMERICAN NEEDLE арт. GM-1908A Chevrolet (кремовый / синий) {invy}</t>
  </si>
  <si>
    <t>GM-1908A Chevrolet</t>
  </si>
  <si>
    <t>invy</t>
  </si>
  <si>
    <t>06-118-09-00</t>
  </si>
  <si>
    <t>Бейсболка AMERICAN NEEDLE арт. GM-1909A Chevrolet (черный) {blk}</t>
  </si>
  <si>
    <t>GM-1909A Chevrolet</t>
  </si>
  <si>
    <t>06-119-09-00</t>
  </si>
  <si>
    <t>Бейсболка AMERICAN NEEDLE арт. GM-1909B Cadillac (черный) {blk}</t>
  </si>
  <si>
    <t>GM-1909B Cadillac</t>
  </si>
  <si>
    <t>06-120-19-00</t>
  </si>
  <si>
    <t>Бейсболка AMERICAN NEEDLE арт. GM-1910A Chevrolet (голубой) {iroy}</t>
  </si>
  <si>
    <t>GM-1910A Chevrolet</t>
  </si>
  <si>
    <t>вельветовые</t>
  </si>
  <si>
    <t>iroy</t>
  </si>
  <si>
    <t>06-121-16-00</t>
  </si>
  <si>
    <t>Бейсболка AMERICAN NEEDLE арт. GM-2002A Chevrolet (темно-синий) {invy}</t>
  </si>
  <si>
    <t>GM-2002A Chevrolet</t>
  </si>
  <si>
    <t>06-122-09-00</t>
  </si>
  <si>
    <t>Бейсболка AMERICAN NEEDLE арт. GMC-2001A Cadillac (черный) {blk}</t>
  </si>
  <si>
    <t>GMC-2001A Cadillac</t>
  </si>
  <si>
    <t>06-123-16-00</t>
  </si>
  <si>
    <t>Бейсболка AMERICAN NEEDLE арт. GMC-2001B Chevrolet (темно-синий) {navy}</t>
  </si>
  <si>
    <t>GMC-2001B Chevrolet</t>
  </si>
  <si>
    <t>06-124-09-00</t>
  </si>
  <si>
    <t>Бейсболка AMERICAN NEEDLE арт. SMU277A-NASA Space with NASA (черный) {blk}</t>
  </si>
  <si>
    <t>SMU277A-NASA Space with NASA</t>
  </si>
  <si>
    <t>06-125-06-00</t>
  </si>
  <si>
    <t>Бейсболка AMERICAN NEEDLE арт. SMU277A-YNP Yellowstone (зеленый) {dgrn}</t>
  </si>
  <si>
    <t>SMU277A-YNP Yellowstone</t>
  </si>
  <si>
    <t>06-126-02-00</t>
  </si>
  <si>
    <t>Бейсболка AMERICAN NEEDLE арт. SMU302A-PALMS Palm Springs (бежевый) {stn}</t>
  </si>
  <si>
    <t>SMU302A-PALMS Palm Springs</t>
  </si>
  <si>
    <t>stn</t>
  </si>
  <si>
    <t>06-127-09-00</t>
  </si>
  <si>
    <t>Бейсболка AMERICAN NEEDLE арт. SMU302D-GM Cadillac (черный) {blk}</t>
  </si>
  <si>
    <t>SMU302D-GM Cadillac</t>
  </si>
  <si>
    <t>06-128-06-00</t>
  </si>
  <si>
    <t>Бейсболка AMERICAN NEEDLE арт. SMU500A-TAHOE Lake Tahoe (синий) {gsbn}</t>
  </si>
  <si>
    <t>SMU500A-TAHOE Lake Tahoe</t>
  </si>
  <si>
    <t>gsbn</t>
  </si>
  <si>
    <t>06-129-03-00</t>
  </si>
  <si>
    <t>Бейсболка AMERICAN NEEDLE арт. SMU562-VT Vermont Iconic (оливковый) {dgrn}</t>
  </si>
  <si>
    <t>SMU562-VT Vermont Iconic</t>
  </si>
  <si>
    <t>06-130-03-00</t>
  </si>
  <si>
    <t>Бейсболка AMERICAN NEEDLE арт. SMU598A-VT Vermont (оливковый) {icgc}</t>
  </si>
  <si>
    <t>SMU598A-VT Vermont</t>
  </si>
  <si>
    <t>icgc</t>
  </si>
  <si>
    <t>06-052-01-00</t>
  </si>
  <si>
    <t>Бейсболка AMERICAN NEEDLE арт. 42760A-CALI California (светло-серый) {mineral}</t>
  </si>
  <si>
    <t>06-131-03-00</t>
  </si>
  <si>
    <t>Бейсболка AMERICAN NEEDLE арт. 20001A-AUSTINMO Austin Motor Company (оливковый) {moss}</t>
  </si>
  <si>
    <t>20001A-AUSTINMO Austin Motor Company</t>
  </si>
  <si>
    <t>Cars</t>
  </si>
  <si>
    <t>06-132-09-00</t>
  </si>
  <si>
    <t>Бейсболка AMERICAN NEEDLE арт. 20001A-IRONSIDE Ironside Motorcycle (черный) {black}</t>
  </si>
  <si>
    <t>20001A-IRONSIDE Ironside Motorcycle</t>
  </si>
  <si>
    <t>06-133-16-00</t>
  </si>
  <si>
    <t>Бейсболка AMERICAN NEEDLE арт. 20001A-LAMOTOR Los Angeles Motordrome (темно-синий) {navy}</t>
  </si>
  <si>
    <t>20001A-LAMOTOR Los Angeles Motordrome</t>
  </si>
  <si>
    <t>06-134-18-00</t>
  </si>
  <si>
    <t>Бейсболка AMERICAN NEEDLE арт. 20001A-NWILKES North Wilkesboro Speedway (красный) {crimson}</t>
  </si>
  <si>
    <t>20001A-NWILKES North Wilkesboro Speedway</t>
  </si>
  <si>
    <t>crimson</t>
  </si>
  <si>
    <t>06-135-19-00</t>
  </si>
  <si>
    <t>Бейсболка AMERICAN NEEDLE арт. 20001A-SAUGUS Saugus Speedway (голубой) {seafoam}</t>
  </si>
  <si>
    <t>20001A-SAUGUS Saugus Speedway</t>
  </si>
  <si>
    <t>seafoam</t>
  </si>
  <si>
    <t>06-136-06-00</t>
  </si>
  <si>
    <t>Бейсболка AMERICAN NEEDLE арт. 20001A-SUPERT The Super Track (синий) {blue}</t>
  </si>
  <si>
    <t>20001A-SUPERT The Super Track</t>
  </si>
  <si>
    <t>06-137-65-00</t>
  </si>
  <si>
    <t>Бейсболка AMERICAN NEEDLE арт. 21001A-CA California Sinclair (темно-синий / белый) {nvivr}</t>
  </si>
  <si>
    <t>21001A-CA California Sinclair</t>
  </si>
  <si>
    <t>nvivr</t>
  </si>
  <si>
    <t>06-138-07-00</t>
  </si>
  <si>
    <t>Бейсболка AMERICAN NEEDLE арт. 21002A-CALI California Pacific Coast (темно-зеленый) {dk cedar}</t>
  </si>
  <si>
    <t>21002A-CALI California Pacific Coast</t>
  </si>
  <si>
    <t>58% нейлон - 42% полиэстер</t>
  </si>
  <si>
    <t>dk cedar</t>
  </si>
  <si>
    <t>06-139-19-00</t>
  </si>
  <si>
    <t>Бейсболка AMERICAN NEEDLE арт. 21002A-NASA Space with NASA Pacific Coast (голубой) {sky blue}</t>
  </si>
  <si>
    <t>21002A-NASA Space with NASA Pacific Coast</t>
  </si>
  <si>
    <t>06-140-09-00</t>
  </si>
  <si>
    <t>Бейсболка AMERICAN NEEDLE арт. 21005A-BAT Baltimore Terrapins Archive MILB (черный) {black}</t>
  </si>
  <si>
    <t>21005A-BAT Baltimore Terrapins Archive MILB</t>
  </si>
  <si>
    <t>06-141-09-00</t>
  </si>
  <si>
    <t>Бейсболка AMERICAN NEEDLE арт. 21005A-BBB Birmingham Black Barons Archive NL (черный) {black}</t>
  </si>
  <si>
    <t>21005A-BBB Birmingham Black Barons Archive NL</t>
  </si>
  <si>
    <t>06-142-45-00</t>
  </si>
  <si>
    <t>Бейсболка AMERICAN NEEDLE арт. 21005A-BRB Brooklyn Bushwicks Archive MILB (темно-синий / оранжевый) {nvor}</t>
  </si>
  <si>
    <t>21005A-BRB Brooklyn Bushwicks Archive MILB</t>
  </si>
  <si>
    <t>06-143-38-00</t>
  </si>
  <si>
    <t>Бейсболка AMERICAN NEEDLE арт. 21005A-BTT Brooklyn Tip-Tops Archive MILB (белый / синий) {ivrl}</t>
  </si>
  <si>
    <t>21005A-BTT Brooklyn Tip-Tops Archive MILB</t>
  </si>
  <si>
    <t>ivrl</t>
  </si>
  <si>
    <t>06-144-09-00</t>
  </si>
  <si>
    <t>Бейсболка AMERICAN NEEDLE арт. 21005A-CAG Chicago American Giants Archive NL (черный) {black}</t>
  </si>
  <si>
    <t>21005A-CAG Chicago American Giants Archive NL</t>
  </si>
  <si>
    <t>06-145-95-00</t>
  </si>
  <si>
    <t>Бейсболка AMERICAN NEEDLE арт. 21005A-CBS Chicago Blue Stockings Archive MILB (синий / белый) {royal-ivory}</t>
  </si>
  <si>
    <t>21005A-CBS Chicago Blue Stockings Archive MILB</t>
  </si>
  <si>
    <t>royal-ivory</t>
  </si>
  <si>
    <t>06-146-70-00</t>
  </si>
  <si>
    <t>Бейсболка AMERICAN NEEDLE арт. 21005A-CHO Chicago Orphans Archive MILB (белый / темно-синий) {ivory-navy}</t>
  </si>
  <si>
    <t>21005A-CHO Chicago Orphans Archive MILB</t>
  </si>
  <si>
    <t>ivory-navy</t>
  </si>
  <si>
    <t>06-147-45-00</t>
  </si>
  <si>
    <t>Бейсболка AMERICAN NEEDLE арт. 21005A-CSP Cleveland Spiders Archive MILB (белый / красный) {ivory-red}</t>
  </si>
  <si>
    <t>21005A-CSP Cleveland Spiders Archive MILB</t>
  </si>
  <si>
    <t>ivory-red</t>
  </si>
  <si>
    <t>06-148-48-00</t>
  </si>
  <si>
    <t>Бейсболка AMERICAN NEEDLE арт. 21005A-CUG Chicago Union Giants Archive MILB (белый / черный) {ivory-black}</t>
  </si>
  <si>
    <t>21005A-CUG Chicago Union Giants Archive MILB</t>
  </si>
  <si>
    <t>ivory-black</t>
  </si>
  <si>
    <t>06-149-70-00</t>
  </si>
  <si>
    <t>Бейсболка AMERICAN NEEDLE арт. 21005A-DTW Detroit Wolverines Archive MILB (белый / темно-синий) {ivory-navy}</t>
  </si>
  <si>
    <t>21005A-DTW Detroit Wolverines Archive MILB</t>
  </si>
  <si>
    <t>06-150-01-00</t>
  </si>
  <si>
    <t>Бейсболка AMERICAN NEEDLE арт. 21005A-HOG Homestead Grays Archive NL (светло-серый) {grey}</t>
  </si>
  <si>
    <t>21005A-HOG Homestead Grays Archive NL</t>
  </si>
  <si>
    <t>06-151-18-00</t>
  </si>
  <si>
    <t>Бейсболка AMERICAN NEEDLE арт. 21005A-KCM Kansas City Monarchs Archive NL (красный) {red}</t>
  </si>
  <si>
    <t>21005A-KCM Kansas City Monarchs Archive NL</t>
  </si>
  <si>
    <t>06-152-70-00</t>
  </si>
  <si>
    <t>Бейсболка AMERICAN NEEDLE арт. 21005A-KCP Kansas City Packers Archive MILB (белый / темно-синий) {ivory-navy}</t>
  </si>
  <si>
    <t>21005A-KCP Kansas City Packers Archive MILB</t>
  </si>
  <si>
    <t>06-153-16-00</t>
  </si>
  <si>
    <t>Бейсболка AMERICAN NEEDLE арт. 21005A-LCO Louisville Colonels Archive MILB (темно-синий) {navy-red}</t>
  </si>
  <si>
    <t>21005A-LCO Louisville Colonels Archive MILB</t>
  </si>
  <si>
    <t>navy-red</t>
  </si>
  <si>
    <t>06-154-16-00</t>
  </si>
  <si>
    <t>Бейсболка AMERICAN NEEDLE арт. 21005A-NYC New York Cubans Archive NL (темно-синий) {navy}</t>
  </si>
  <si>
    <t>21005A-NYC New York Cubans Archive NL</t>
  </si>
  <si>
    <t>06-155-09-00</t>
  </si>
  <si>
    <t>Бейсболка AMERICAN NEEDLE арт. 21005A-NYKN New York Knickerbocker Archive MILB (черный) {black}</t>
  </si>
  <si>
    <t>21005A-NYKN New York Knickerbocker Archive MILB</t>
  </si>
  <si>
    <t>06-156-16-00</t>
  </si>
  <si>
    <t>Бейсболка AMERICAN NEEDLE арт. 21005A-SAF San Francisco Seals Archive MILB (темно-синий) {navy}</t>
  </si>
  <si>
    <t>21005A-SAF San Francisco Seals Archive MILB</t>
  </si>
  <si>
    <t>06-157-16-00</t>
  </si>
  <si>
    <t>Бейсболка AMERICAN NEEDLE арт. 21005A-SER Seattle Rainers Archive MILB (темно-синий) {navy}</t>
  </si>
  <si>
    <t>21005A-SER Seattle Rainers Archive MILB</t>
  </si>
  <si>
    <t>06-158-16-00</t>
  </si>
  <si>
    <t>Бейсболка AMERICAN NEEDLE арт. 21005A-STE Saint Louis Terriers Archive MILB (темно-синий) {navy}</t>
  </si>
  <si>
    <t>21005A-STE Saint Louis Terriers Archive MILB</t>
  </si>
  <si>
    <t>06-159-70-00</t>
  </si>
  <si>
    <t>Бейсболка AMERICAN NEEDLE арт. 21005A-WHA Chicago Whales Archive MILB (белый / темно-синий) {ivory-navy}</t>
  </si>
  <si>
    <t>21005A-WHA Chicago Whales Archive MILB</t>
  </si>
  <si>
    <t>06-160-09-00</t>
  </si>
  <si>
    <t>Бейсболка AMERICAN NEEDLE арт. 21005A-YOG Yomiuri Giants Archive NPL (черный) {black}</t>
  </si>
  <si>
    <t>21005A-YOG Yomiuri Giants Archive NPL</t>
  </si>
  <si>
    <t>06-161-12-00</t>
  </si>
  <si>
    <t>Бейсболка AMERICAN NEEDLE арт. 21006A-COA Colorado Avalanche Archive 400 NHL (бордовый) {mar}</t>
  </si>
  <si>
    <t>21006A-COA Colorado Avalanche Archive 400 NHL</t>
  </si>
  <si>
    <t>06-162-01-00</t>
  </si>
  <si>
    <t>Бейсболка AMERICAN NEEDLE арт. 21006A-HOG Homestead Grays Archive 400 NL (светло-серый) {grey}</t>
  </si>
  <si>
    <t>21006A-HOG Homestead Grays Archive 400 NL</t>
  </si>
  <si>
    <t>65% акрил - 35% шерсть</t>
  </si>
  <si>
    <t>06-163-16-00</t>
  </si>
  <si>
    <t>Бейсболка AMERICAN NEEDLE арт. 21006A-LOS Los Angeles Angels Archive 400 MILB (темно-синий) {navy}</t>
  </si>
  <si>
    <t>21006A-LOS Los Angeles Angels Archive 400 MILB</t>
  </si>
  <si>
    <t>06-164-09-00</t>
  </si>
  <si>
    <t>Бейсболка AMERICAN NEEDLE арт. 21006A-NBY New York Black Yankees Archive 400 NL (черный) {black}</t>
  </si>
  <si>
    <t>21006A-NBY New York Black Yankees Archive 400 NL</t>
  </si>
  <si>
    <t>06-165-16-00</t>
  </si>
  <si>
    <t>Бейсболка AMERICAN NEEDLE арт. 21006A-NYC New York Cubans Archive 400 NL (темно-синий) {navy}</t>
  </si>
  <si>
    <t>21006A-NYC New York Cubans Archive 400 NL</t>
  </si>
  <si>
    <t>06-166-62-00</t>
  </si>
  <si>
    <t>Бейсболка AMERICAN NEEDLE арт. 21006A-SJS San Jose Sharks Archive 400 NHL (черный / голубой) {blte}</t>
  </si>
  <si>
    <t>21006A-SJS San Jose Sharks Archive 400 NHL</t>
  </si>
  <si>
    <t>blte</t>
  </si>
  <si>
    <t>06-167-06-00</t>
  </si>
  <si>
    <t>Бейсболка AMERICAN NEEDLE арт. 21006A-TML Toronto Maple Leafs Archive 400 NHL (синий) {roy}</t>
  </si>
  <si>
    <t>21006A-TML Toronto Maple Leafs Archive 400 NHL</t>
  </si>
  <si>
    <t>06-168-21-00</t>
  </si>
  <si>
    <t>Бейсболка AMERICAN NEEDLE арт. 21006A-WPJ Winnipeg Jets Archive 400 NHL (синий / красный) {royal-red}</t>
  </si>
  <si>
    <t>21006A-WPJ Winnipeg Jets Archive 400 NHL</t>
  </si>
  <si>
    <t>royal-red</t>
  </si>
  <si>
    <t>06-169-62-00</t>
  </si>
  <si>
    <t>Бейсболка AMERICAN NEEDLE арт. 21007A-CA California Surf Tri-Color (голубой / темно-синий) {navy}</t>
  </si>
  <si>
    <t>21007A-CA California Surf Tri-Color</t>
  </si>
  <si>
    <t>06-170-53-00</t>
  </si>
  <si>
    <t>Бейсболка AMERICAN NEEDLE арт. 21007A-DAYTONA Daytona Tri-Color (черный / кремовый) {ivory-black}</t>
  </si>
  <si>
    <t>21007A-DAYTONA Daytona Tri-Color</t>
  </si>
  <si>
    <t>06-171-06-00</t>
  </si>
  <si>
    <t>Бейсболка AMERICAN NEEDLE арт. 21007A-NASA Space with NASA Tri-Color (синий / голубой) {blue-royal}</t>
  </si>
  <si>
    <t>21007A-NASA Space with NASA Tri-Color</t>
  </si>
  <si>
    <t>blue-royal</t>
  </si>
  <si>
    <t>06-172-18-00</t>
  </si>
  <si>
    <t>Бейсболка AMERICAN NEEDLE арт. 21010A-CORVETTE Corvette VMoto Valin (красный / белый) {ivory red}</t>
  </si>
  <si>
    <t>21010A-CORVETTE Corvette VMoto Valin</t>
  </si>
  <si>
    <t>ivory red</t>
  </si>
  <si>
    <t>06-173-06-00</t>
  </si>
  <si>
    <t>Бейсболка AMERICAN NEEDLE арт. 21010A-TXWRLD Texas World Speedway VMoto Valin (синий) {core}</t>
  </si>
  <si>
    <t>21010A-TXWRLD Texas World Speedway VMoto Valin</t>
  </si>
  <si>
    <t>core</t>
  </si>
  <si>
    <t>06-174-09-56</t>
  </si>
  <si>
    <t>Панама AMERICAN NEEDLE арт. 21012A-CA California Twill Screen (черный) {black}</t>
  </si>
  <si>
    <t>21012A-CA California Twill Screen</t>
  </si>
  <si>
    <t>06-174-09-60</t>
  </si>
  <si>
    <t>06-175-16-56</t>
  </si>
  <si>
    <t>Панама AMERICAN NEEDLE арт. 21012A-CALI California Twill Screen (темно-синий) {navy}</t>
  </si>
  <si>
    <t>21012A-CALI California Twill Screen</t>
  </si>
  <si>
    <t>06-175-16-60</t>
  </si>
  <si>
    <t>06-176-01-56</t>
  </si>
  <si>
    <t>Панама AMERICAN NEEDLE арт. 21012A-MONT Montauk Twill Screen (светло-серый) {ruisseau}</t>
  </si>
  <si>
    <t>21012A-MONT Montauk Twill Screen</t>
  </si>
  <si>
    <t>ruisseau</t>
  </si>
  <si>
    <t>06-176-01-60</t>
  </si>
  <si>
    <t>06-177-09-56</t>
  </si>
  <si>
    <t>Панама AMERICAN NEEDLE арт. 21012A-PINKE Pink Elephant Twill Screen (черный) {black}</t>
  </si>
  <si>
    <t>21012A-PINKE Pink Elephant Twill Screen</t>
  </si>
  <si>
    <t>06-177-09-60</t>
  </si>
  <si>
    <t>06-178-17-56</t>
  </si>
  <si>
    <t>Панама AMERICAN NEEDLE арт. 21012A-SURF Surf USA Twill Screen (белый) {white}</t>
  </si>
  <si>
    <t>21012A-SURF Surf USA Twill Screen</t>
  </si>
  <si>
    <t>06-178-17-60</t>
  </si>
  <si>
    <t>06-179-08-56</t>
  </si>
  <si>
    <t>Панама AMERICAN NEEDLE арт. 21012A-TAHOE Lake Tahoe Twill Screen (серый) {mineral}</t>
  </si>
  <si>
    <t>21012A-TAHOE Lake Tahoe Twill Screen</t>
  </si>
  <si>
    <t>06-179-08-60</t>
  </si>
  <si>
    <t>06-180-09-00</t>
  </si>
  <si>
    <t>Бейсболка AMERICAN NEEDLE арт. 36670A-HTI Hansin Tigers New Raglan NPL (черный) {black}</t>
  </si>
  <si>
    <t>36670A-HTI Hansin Tigers New Raglan NPL</t>
  </si>
  <si>
    <t>06-181-16-00</t>
  </si>
  <si>
    <t>Бейсболка AMERICAN NEEDLE арт. 36670A-SAF San Francisco Seals New Raglan MILB (темно-синий) {navy}</t>
  </si>
  <si>
    <t>36670A-SAF San Francisco Seals New Raglan MILB</t>
  </si>
  <si>
    <t>06-182-18-00</t>
  </si>
  <si>
    <t>Бейсболка AMERICAN NEEDLE арт. 36670A-SER Seattle Rainiers New Raglan MILB (темно-красный) {dark red}</t>
  </si>
  <si>
    <t>36670A-SER Seattle Rainiers New Raglan MILB</t>
  </si>
  <si>
    <t>dark red</t>
  </si>
  <si>
    <t>06-183-09-00</t>
  </si>
  <si>
    <t>Бейсболка AMERICAN NEEDLE арт. 36670A-YOG Yomiuri Giants New Raglan NPL (черный) {black}</t>
  </si>
  <si>
    <t>36670A-YOG Yomiuri Giants New Raglan NPL</t>
  </si>
  <si>
    <t>06-184-09-00</t>
  </si>
  <si>
    <t>Бейсболка AMERICAN NEEDLE арт. 36672A-BBR Boston Bruins New Raglan NHL (черный) {black}</t>
  </si>
  <si>
    <t>36672A-BBR Boston Bruins New Raglan NHL</t>
  </si>
  <si>
    <t>06-185-09-00</t>
  </si>
  <si>
    <t>Бейсболка AMERICAN NEEDLE арт. 36672A-CBH Chicago Blackhawks New Raglan NHL (черный) {black}</t>
  </si>
  <si>
    <t>36672A-CBH Chicago Blackhawks New Raglan NHL</t>
  </si>
  <si>
    <t>06-186-18-00</t>
  </si>
  <si>
    <t>Бейсболка AMERICAN NEEDLE арт. 36672A-DRW Detroit Red Wings New Raglan NHL (темно-красный) {dark red}</t>
  </si>
  <si>
    <t>36672A-DRW Detroit Red Wings New Raglan NHL</t>
  </si>
  <si>
    <t>06-187-16-00</t>
  </si>
  <si>
    <t>Бейсболка AMERICAN NEEDLE арт. 36672A-HAW Hartford Whalers New Raglan NHL (темно-синий) {navy}</t>
  </si>
  <si>
    <t>36672A-HAW Hartford Whalers New Raglan NHL</t>
  </si>
  <si>
    <t>06-188-09-00</t>
  </si>
  <si>
    <t>Бейсболка AMERICAN NEEDLE арт. 36672A-NHL Original 6 New Raglan NHL (черный) {black}</t>
  </si>
  <si>
    <t>36672A-NHL Original 6 New Raglan NHL</t>
  </si>
  <si>
    <t>06-189-06-00</t>
  </si>
  <si>
    <t>Бейсболка AMERICAN NEEDLE арт. 36672A-NYR New York Rangers New Raglan NHL (синий) {blue}</t>
  </si>
  <si>
    <t>36672A-NYR New York Rangers New Raglan NHL</t>
  </si>
  <si>
    <t>06-190-06-00</t>
  </si>
  <si>
    <t>Бейсболка AMERICAN NEEDLE арт. 36672A-SLB Saint Louis Blues New Raglan NHL (синий) {blue}</t>
  </si>
  <si>
    <t>36672A-SLB Saint Louis Blues New Raglan NHL</t>
  </si>
  <si>
    <t>06-191-09-00</t>
  </si>
  <si>
    <t>Бейсболка AMERICAN NEEDLE арт. 36672A-VGK Vegas Golden Knights New Raglan NHL (черный) {black}</t>
  </si>
  <si>
    <t>36672A-VGK Vegas Golden Knights New Raglan NHL</t>
  </si>
  <si>
    <t>06-192-13-00</t>
  </si>
  <si>
    <t>Шапка AMERICAN NEEDLE арт. 39712A-PHF Philadelphia Flyers Basic NHL (оранжевый) {orange}</t>
  </si>
  <si>
    <t>39712A-PHF Philadelphia Flyers Basic NHL</t>
  </si>
  <si>
    <t>orange</t>
  </si>
  <si>
    <t>06-193-09-00</t>
  </si>
  <si>
    <t>Шапка AMERICAN NEEDLE арт. 39712A-SEK Seattle Kraken Basic NHL (черный) {black}</t>
  </si>
  <si>
    <t>39712A-SEK Seattle Kraken Basic NHL</t>
  </si>
  <si>
    <t>06-193-16-00</t>
  </si>
  <si>
    <t>Шапка AMERICAN NEEDLE арт. 39712A-SEK Seattle Kraken Basic NHL (темно-синий) {navy}</t>
  </si>
  <si>
    <t>06-194-06-00</t>
  </si>
  <si>
    <t>Шапка AMERICAN NEEDLE арт. 39712A-TML Toronto Maple Leafs Basic NHL (синий) {royal}</t>
  </si>
  <si>
    <t>39712A-TML Toronto Maple Leafs Basic NHL</t>
  </si>
  <si>
    <t>royal</t>
  </si>
  <si>
    <t>06-195-09-00</t>
  </si>
  <si>
    <t>Бейсболка AMERICAN NEEDLE арт. 40742A-BBR Boston Bruins Blue Line NHL (черный) {black}</t>
  </si>
  <si>
    <t>40742A-BBR Boston Bruins Blue Line NHL</t>
  </si>
  <si>
    <t>06-196-09-00</t>
  </si>
  <si>
    <t>Бейсболка AMERICAN NEEDLE арт. 40742A-CBH Chicago Blackhawks Blue Line NHL (черный) {black}</t>
  </si>
  <si>
    <t>40742A-CBH Chicago Blackhawks Blue Line NHL</t>
  </si>
  <si>
    <t>06-197-18-00</t>
  </si>
  <si>
    <t>Бейсболка AMERICAN NEEDLE арт. 40742A-CFL Calgary Flames Blue Line NHL (красный) {red}</t>
  </si>
  <si>
    <t>40742A-CFL Calgary Flames Blue Line NHL</t>
  </si>
  <si>
    <t>06-198-12-00</t>
  </si>
  <si>
    <t>Бейсболка AMERICAN NEEDLE арт. 40742A-COA Colorado Avalanche Blue Line NHL (бордовый) {maroon}</t>
  </si>
  <si>
    <t>40742A-COA Colorado Avalanche Blue Line NHL</t>
  </si>
  <si>
    <t>maroon</t>
  </si>
  <si>
    <t>06-199-06-00</t>
  </si>
  <si>
    <t>Бейсболка AMERICAN NEEDLE арт. 40742A-EDO Edmonton Oilers Blue Line NHL (синий) {royal}</t>
  </si>
  <si>
    <t>40742A-EDO Edmonton Oilers Blue Line NHL</t>
  </si>
  <si>
    <t>06-200-06-00</t>
  </si>
  <si>
    <t>Бейсболка AMERICAN NEEDLE арт. 40742A-SLB Saint Louis Blues Blue Line NHL (синий) {royal}</t>
  </si>
  <si>
    <t>40742A-SLB Saint Louis Blues Blue Line NHL</t>
  </si>
  <si>
    <t>06-201-06-00</t>
  </si>
  <si>
    <t>Бейсболка AMERICAN NEEDLE арт. 40742A-TBL Tampa Bay Lightning Blue Line NHL (синий) {royal}</t>
  </si>
  <si>
    <t>40742A-TBL Tampa Bay Lightning Blue Line NHL</t>
  </si>
  <si>
    <t>06-202-06-00</t>
  </si>
  <si>
    <t>Бейсболка AMERICAN NEEDLE арт. 40742B-BUS Buffalo Sabres Blue Line NHL (синий) {royal}</t>
  </si>
  <si>
    <t>40742B-BUS Buffalo Sabres Blue Line NHL</t>
  </si>
  <si>
    <t>06-203-16-00</t>
  </si>
  <si>
    <t>Бейсболка AMERICAN NEEDLE арт. 40742B-HAW Hartford Whalers Blue Line NHL (темно-синий) {navy}</t>
  </si>
  <si>
    <t>40742B-HAW Hartford Whalers Blue Line NHL</t>
  </si>
  <si>
    <t>06-204-09-00</t>
  </si>
  <si>
    <t>Бейсболка AMERICAN NEEDLE арт. 40742B-LAK Los Angeles Kings Blue Line NHL (черный) {black}</t>
  </si>
  <si>
    <t>40742B-LAK Los Angeles Kings Blue Line NHL</t>
  </si>
  <si>
    <t>06-205-09-00</t>
  </si>
  <si>
    <t>Бейсболка AMERICAN NEEDLE арт. 40742B-MNW Minnesota Wild Blue Line NHL (черный) {black}</t>
  </si>
  <si>
    <t>40742B-MNW Minnesota Wild Blue Line NHL</t>
  </si>
  <si>
    <t>06-206-09-00</t>
  </si>
  <si>
    <t>Бейсболка AMERICAN NEEDLE арт. 41152A-BBR Boston Bruins Raglan Bones NHL (черный) {black}</t>
  </si>
  <si>
    <t>41152A-BBR Boston Bruins Raglan Bones NHL</t>
  </si>
  <si>
    <t>06-207-18-00</t>
  </si>
  <si>
    <t>Бейсболка AMERICAN NEEDLE арт. 41152A-CAH Carolina Hurricanes Raglan Bones NHL (красный) {red}</t>
  </si>
  <si>
    <t>41152A-CAH Carolina Hurricanes Raglan Bones NHL</t>
  </si>
  <si>
    <t>06-208-09-00</t>
  </si>
  <si>
    <t>Бейсболка AMERICAN NEEDLE арт. 41152A-CBH Chicago Blackhawks Raglan Bones NHL (черный) {black}</t>
  </si>
  <si>
    <t>41152A-CBH Chicago Blackhawks Raglan Bones NHL</t>
  </si>
  <si>
    <t>06-209-09-00</t>
  </si>
  <si>
    <t>Бейсболка AMERICAN NEEDLE арт. 41152A-DRW Detroit Red Wings Raglan Bones NHL (черный) {black}</t>
  </si>
  <si>
    <t>41152A-DRW Detroit Red Wings Raglan Bones NHL</t>
  </si>
  <si>
    <t>06-210-09-00</t>
  </si>
  <si>
    <t>Бейсболка AMERICAN NEEDLE арт. 41152A-PHF Philadelphia Flyers Raglan Bones NHL (черный) {black}</t>
  </si>
  <si>
    <t>41152A-PHF Philadelphia Flyers Raglan Bones NHL</t>
  </si>
  <si>
    <t>06-211-09-00</t>
  </si>
  <si>
    <t>Бейсболка AMERICAN NEEDLE арт. 41152A-PPN Pittsburgh Penguins Raglan Bones NHL (черный) {black}</t>
  </si>
  <si>
    <t>41152A-PPN Pittsburgh Penguins Raglan Bones NHL</t>
  </si>
  <si>
    <t>06-212-06-00</t>
  </si>
  <si>
    <t>Бейсболка AMERICAN NEEDLE арт. 41152A-SLB Saint Louis Blues Raglan Bones NHL (синий) {royal}</t>
  </si>
  <si>
    <t>41152A-SLB Saint Louis Blues Raglan Bones NHL</t>
  </si>
  <si>
    <t>06-213-16-00</t>
  </si>
  <si>
    <t>Бейсболка AMERICAN NEEDLE арт. 41152A-WAC Washington Capitals Raglan Bones NHL (темно-синий) {navy}</t>
  </si>
  <si>
    <t>41152A-WAC Washington Capitals Raglan Bones NHL</t>
  </si>
  <si>
    <t>06-214-72-00</t>
  </si>
  <si>
    <t>Бейсболка AMERICAN NEEDLE арт. 41722A-CAH Carolina Hurricanes Outfield NHL (черный / красный) {black-red}</t>
  </si>
  <si>
    <t>41722A-CAH Carolina Hurricanes Outfield NHL</t>
  </si>
  <si>
    <t>black-red</t>
  </si>
  <si>
    <t>06-215-51-00</t>
  </si>
  <si>
    <t>Бейсболка AMERICAN NEEDLE арт. 41722A-DAS Dallas Stars Outfield NHL (темно-зеленый / черный) {dkgrbk}</t>
  </si>
  <si>
    <t>41722A-DAS Dallas Stars Outfield NHL</t>
  </si>
  <si>
    <t>dkgrbk</t>
  </si>
  <si>
    <t>06-216-72-00</t>
  </si>
  <si>
    <t>Бейсболка AMERICAN NEEDLE арт. 41722A-DRW Detroit Red Wings Outfield NHL (красный / черный) {red-black}</t>
  </si>
  <si>
    <t>41722A-DRW Detroit Red Wings Outfield NHL</t>
  </si>
  <si>
    <t>red-black</t>
  </si>
  <si>
    <t>06-217-21-00</t>
  </si>
  <si>
    <t>Бейсболка AMERICAN NEEDLE арт. 41722A-NYR New York Rangers Outfield NHL (синий / красный) {royal-red}</t>
  </si>
  <si>
    <t>41722A-NYR New York Rangers Outfield NHL</t>
  </si>
  <si>
    <t>06-218-70-00</t>
  </si>
  <si>
    <t>Бейсболка AMERICAN NEEDLE арт. 41722A-VGK Vegas Golden Knights Outfield NHL (черный / золотой) {bkgld}</t>
  </si>
  <si>
    <t>41722A-VGK Vegas Golden Knights Outfield NHL</t>
  </si>
  <si>
    <t>bkgld</t>
  </si>
  <si>
    <t>06-219-44-00</t>
  </si>
  <si>
    <t>Шапка AMERICAN NEEDLE арт. 42050A-JTNP Joshua Tree National Park Pillow (оливковый / белый) {olgd}</t>
  </si>
  <si>
    <t>42050A-JTNP Joshua Tree National Park Pillow</t>
  </si>
  <si>
    <t>olgd</t>
  </si>
  <si>
    <t>06-220-21-00</t>
  </si>
  <si>
    <t>Бейсболка AMERICAN NEEDLE арт. 42652A-NYR New York Rangers Chipper NHL (синий / красный) {royal-red}</t>
  </si>
  <si>
    <t>42652A-NYR New York Rangers Chipper NHL</t>
  </si>
  <si>
    <t>06-221-72-00</t>
  </si>
  <si>
    <t>Бейсболка AMERICAN NEEDLE арт. 42692A-CBH Chicago Blackhawks Tradition NHL (красный / черный) {red-black}</t>
  </si>
  <si>
    <t>42692A-CBH Chicago Blackhawks Tradition NHL</t>
  </si>
  <si>
    <t>06-222-45-00</t>
  </si>
  <si>
    <t>Бейсболка AMERICAN NEEDLE арт. 42692A-DRW Detroit Red Wings Tradition NHL (белый / красный) {wtrd}</t>
  </si>
  <si>
    <t>42692A-DRW Detroit Red Wings Tradition NHL</t>
  </si>
  <si>
    <t>wtrd</t>
  </si>
  <si>
    <t>06-223-10-00</t>
  </si>
  <si>
    <t>Бейсболка AMERICAN NEEDLE арт. 42692A-LAK Los Angeles Kings Tradition NHL (черный / серый) {bkgr}</t>
  </si>
  <si>
    <t>42692A-LAK Los Angeles Kings Tradition NHL</t>
  </si>
  <si>
    <t>bkgr</t>
  </si>
  <si>
    <t>06-224-71-00</t>
  </si>
  <si>
    <t>Бейсболка AMERICAN NEEDLE арт. 42692A-NYR New York Rangers Tradition NHL (темно-синий / красный) {indrd}</t>
  </si>
  <si>
    <t>42692A-NYR New York Rangers Tradition NHL</t>
  </si>
  <si>
    <t>indrd</t>
  </si>
  <si>
    <t>06-225-18-00</t>
  </si>
  <si>
    <t>Шапка AMERICAN NEEDLE арт. 42792A-DRW Detroit Red Wings Breezy NHL (красный / белый) {red-black}</t>
  </si>
  <si>
    <t>42792A-DRW Detroit Red Wings Breezy NHL</t>
  </si>
  <si>
    <t>06-226-72-00</t>
  </si>
  <si>
    <t>Шапка AMERICAN NEEDLE арт. 42802A-DRW Detroit Red Wings Gusto NHL (красный / черный) {red-black}</t>
  </si>
  <si>
    <t>42802A-DRW Detroit Red Wings Gusto NHL</t>
  </si>
  <si>
    <t>06-227-71-00</t>
  </si>
  <si>
    <t>Шапка AMERICAN NEEDLE арт. 42810A-NASA Space with NASA Pillow (темно-синий / красный) {navy-red}</t>
  </si>
  <si>
    <t>42810A-NASA Space with NASA Pillow</t>
  </si>
  <si>
    <t>06-228-70-00</t>
  </si>
  <si>
    <t>Шапка AMERICAN NEEDLE арт. 42812A-SEK Seattle Kraken Pillow NHL (темно-синий / голубой) {nvbl}</t>
  </si>
  <si>
    <t>42812A-SEK Seattle Kraken Pillow NHL</t>
  </si>
  <si>
    <t>nvbl</t>
  </si>
  <si>
    <t>06-229-09-00</t>
  </si>
  <si>
    <t>Шапка AMERICAN NEEDLE арт. 42822A-CBH Chicago Blackhawks Cuffless (черный) {black}</t>
  </si>
  <si>
    <t>42822A-CBH Chicago Blackhawks Cuffless</t>
  </si>
  <si>
    <t>06-230-06-00</t>
  </si>
  <si>
    <t>Шапка AMERICAN NEEDLE арт. 42822A-NYI New York Islanders Cuffless (синий) {royal}</t>
  </si>
  <si>
    <t>42822A-NYI New York Islanders Cuffless</t>
  </si>
  <si>
    <t>06-231-16-00</t>
  </si>
  <si>
    <t>Бейсболка AMERICAN NEEDLE арт. 42832A-NYR New York Rangers Fleck NHL (темно-синий) {navy}</t>
  </si>
  <si>
    <t>42832A-NYR New York Rangers Fleck NHL</t>
  </si>
  <si>
    <t>06-232-18-00</t>
  </si>
  <si>
    <t>Бейсболка AMERICAN NEEDLE арт. 42862A-DRW Detroit Red Wings Conway NHL (красный) {red}</t>
  </si>
  <si>
    <t>42862A-DRW Detroit Red Wings Conway NHL</t>
  </si>
  <si>
    <t>06-233-06-00</t>
  </si>
  <si>
    <t>Бейсболка AMERICAN NEEDLE арт. 42862A-NYR New York Rangers Conway NHL (синий) {royal}</t>
  </si>
  <si>
    <t>42862A-NYR New York Rangers Conway NHL</t>
  </si>
  <si>
    <t>06-234-48-00</t>
  </si>
  <si>
    <t>Бейсболка AMERICAN NEEDLE арт. 42932A-LAK Los Angeles Kings United NHL (белый / черный) {ivory-blk}</t>
  </si>
  <si>
    <t>42932A-LAK Los Angeles Kings United NHL</t>
  </si>
  <si>
    <t>ivory-blk</t>
  </si>
  <si>
    <t>06-235-38-00</t>
  </si>
  <si>
    <t>Бейсболка AMERICAN NEEDLE арт. 42932A-NYR New York Rangers United NHL (белый / синий) {ivory-royal}</t>
  </si>
  <si>
    <t>42932A-NYR New York Rangers United NHL</t>
  </si>
  <si>
    <t>ivory-royal</t>
  </si>
  <si>
    <t>06-236-48-00</t>
  </si>
  <si>
    <t>Бейсболка AMERICAN NEEDLE арт. 42932A-PPN Pittsburgh Penguins United NHL (белый / черный) {ivory-blk}</t>
  </si>
  <si>
    <t>42932A-PPN Pittsburgh Penguins United NHL</t>
  </si>
  <si>
    <t>06-237-10-00</t>
  </si>
  <si>
    <t>Бейсболка AMERICAN NEEDLE арт. 42992A-CBH Chicago Blackhawks Stanton NHL (серый / черный) {grey-black}</t>
  </si>
  <si>
    <t>42992A-CBH Chicago Blackhawks Stanton NHL</t>
  </si>
  <si>
    <t>80% полиэстер - 20% вискоза</t>
  </si>
  <si>
    <t>grey-black</t>
  </si>
  <si>
    <t>06-238-75-00</t>
  </si>
  <si>
    <t>Бейсболка AMERICAN NEEDLE арт. 42992A-DRW Detroit Red Wings Stanton NHL (серый / красный) {grey-red}</t>
  </si>
  <si>
    <t>42992A-DRW Detroit Red Wings Stanton NHL</t>
  </si>
  <si>
    <t>grey-red</t>
  </si>
  <si>
    <t>06-239-26-00</t>
  </si>
  <si>
    <t>Бейсболка AMERICAN NEEDLE арт. 42992A-NYR New York Rangers Stanton NHL (серый / синий) {grey-royal}</t>
  </si>
  <si>
    <t>42992A-NYR New York Rangers Stanton NHL</t>
  </si>
  <si>
    <t>grey-royal</t>
  </si>
  <si>
    <t>06-240-13-00</t>
  </si>
  <si>
    <t>Бейсболка AMERICAN NEEDLE арт. 43020A-CA California Ballpark (кирпичный) {brick red}</t>
  </si>
  <si>
    <t>43020A-CA California Ballpark</t>
  </si>
  <si>
    <t>brick red</t>
  </si>
  <si>
    <t>06-241-18-00</t>
  </si>
  <si>
    <t>Бейсболка AMERICAN NEEDLE арт. 43020A-MALI Malibu Ballpark (красный) {red}</t>
  </si>
  <si>
    <t>43020A-MALI Malibu Ballpark</t>
  </si>
  <si>
    <t>06-242-11-00</t>
  </si>
  <si>
    <t>Бейсболка AMERICAN NEEDLE арт. 43020A-WIND Wind &amp; Sea Ballpark (зеленый) {mint}</t>
  </si>
  <si>
    <t>43020A-WIND Wind &amp; Sea Ballpark</t>
  </si>
  <si>
    <t>06-243-08-00</t>
  </si>
  <si>
    <t>Бейсболка AMERICAN NEEDLE арт. 43020B-CA California Ballpark (серый) {ruisseau}</t>
  </si>
  <si>
    <t>43020B-CA California Ballpark</t>
  </si>
  <si>
    <t>06-244-16-00</t>
  </si>
  <si>
    <t>Бейсболка AMERICAN NEEDLE арт. 43020C-CA California Ballpark (темно-синий) {navy}</t>
  </si>
  <si>
    <t>43020C-CA California Ballpark</t>
  </si>
  <si>
    <t>06-245-72-00</t>
  </si>
  <si>
    <t>Бейсболка AMERICAN NEEDLE арт. 43027A-BBB Birmingham Black Barons Ballpark NL (черный / красный) {black-red}</t>
  </si>
  <si>
    <t>43027A-BBB Birmingham Black Barons Ballpark NL</t>
  </si>
  <si>
    <t>06-246-16-00</t>
  </si>
  <si>
    <t>Бейсболка AMERICAN NEEDLE арт. 43027A-CAG Chicago American Giants Ballpark NL (темно-синий) {navy}</t>
  </si>
  <si>
    <t>43027A-CAG Chicago American Giants Ballpark NL</t>
  </si>
  <si>
    <t>06-247-08-00</t>
  </si>
  <si>
    <t>Бейсболка AMERICAN NEEDLE арт. 43027A-HOG Homestead Grays Ballpark NL (серый) {grey}</t>
  </si>
  <si>
    <t>43027A-HOG Homestead Grays Ballpark NL</t>
  </si>
  <si>
    <t>06-248-18-00</t>
  </si>
  <si>
    <t>Бейсболка AMERICAN NEEDLE арт. 43027A-KCM Kansas City Monarchs Ballpark NL (красный) {red}</t>
  </si>
  <si>
    <t>43027A-KCM Kansas City Monarchs Ballpark NL</t>
  </si>
  <si>
    <t>06-249-09-00</t>
  </si>
  <si>
    <t>Бейсболка AMERICAN NEEDLE арт. 43062A-DRW Detroit Red Wings U2 Original 6 NHL (черный) {black}</t>
  </si>
  <si>
    <t>43062A-DRW Detroit Red Wings U2 Original 6 NHL</t>
  </si>
  <si>
    <t>06-250-09-00</t>
  </si>
  <si>
    <t>Бейсболка AMERICAN NEEDLE арт. 43062A-NYR New York Rangers U2 Original 6 NHL (черный) {black}</t>
  </si>
  <si>
    <t>43062A-NYR New York Rangers U2 Original 6 NHL</t>
  </si>
  <si>
    <t>06-251-72-00</t>
  </si>
  <si>
    <t>Бейсболка AMERICAN NEEDLE арт. 43082A-DRW Detroit Red Wings Dyer NHL (красный / черный) {red-black}</t>
  </si>
  <si>
    <t>43082A-DRW Detroit Red Wings Dyer NHL</t>
  </si>
  <si>
    <t>06-252-10-00</t>
  </si>
  <si>
    <t>Бейсболка AMERICAN NEEDLE арт. 43082A-LAK Los Angeles Kings Dyer NHL (черный / серый) {black-chr}</t>
  </si>
  <si>
    <t>43082A-LAK Los Angeles Kings Dyer NHL</t>
  </si>
  <si>
    <t>black-chr</t>
  </si>
  <si>
    <t>06-253-45-00</t>
  </si>
  <si>
    <t>Бейсболка AMERICAN NEEDLE арт. 43082A-NYI New York Islanders Dyer NHL (синий / оранжевый) {blorng}</t>
  </si>
  <si>
    <t>43082A-NYI New York Islanders Dyer NHL</t>
  </si>
  <si>
    <t>blorng</t>
  </si>
  <si>
    <t>06-254-19-00</t>
  </si>
  <si>
    <t>Бейсболка AMERICAN NEEDLE арт. 43300A-MALI Malibu Board Shorts (голубой) {blue}</t>
  </si>
  <si>
    <t>43300A-MALI Malibu Board Shorts</t>
  </si>
  <si>
    <t>06-255-09-00</t>
  </si>
  <si>
    <t>Бейсболка AMERICAN NEEDLE арт. 43300C-LOSA Los Angeles Board Shorts (черный) {black}</t>
  </si>
  <si>
    <t>43300C-LOSA Los Angeles Board Shorts</t>
  </si>
  <si>
    <t>06-256-69-00</t>
  </si>
  <si>
    <t>Бейсболка AMERICAN NEEDLE арт. 43352A-BBR Boston Bruins Hanover NHL (темно-серый / желтый) {blk-gold}</t>
  </si>
  <si>
    <t>43352A-BBR Boston Bruins Hanover NHL</t>
  </si>
  <si>
    <t>blk-gold</t>
  </si>
  <si>
    <t>06-257-89-00</t>
  </si>
  <si>
    <t>Бейсболка AMERICAN NEEDLE арт. 43352A-LAK Los Angeles Kings Hanover NHL (темно-серый / серый) {blk-grey}</t>
  </si>
  <si>
    <t>43352A-LAK Los Angeles Kings Hanover NHL</t>
  </si>
  <si>
    <t>blk-grey</t>
  </si>
  <si>
    <t>06-258-32-00</t>
  </si>
  <si>
    <t>Бейсболка AMERICAN NEEDLE арт. 43352A-NAP Nashville Predators Hanover NHL (темно-синий / желтый) {navy-gold}</t>
  </si>
  <si>
    <t>43352A-NAP Nashville Predators Hanover NHL</t>
  </si>
  <si>
    <t>navy-gold</t>
  </si>
  <si>
    <t>06-259-05-00</t>
  </si>
  <si>
    <t>Бейсболка AMERICAN NEEDLE арт. 43422A-LAK Los Angeles Kings Ravenswood NHL (темно-серый) {ivch}</t>
  </si>
  <si>
    <t>43422A-LAK Los Angeles Kings Ravenswood NHL</t>
  </si>
  <si>
    <t>ivch</t>
  </si>
  <si>
    <t>06-260-80-00</t>
  </si>
  <si>
    <t>Бейсболка AMERICAN NEEDLE арт. 43572A-LAK Los Angeles Kings United NHL (кремовый / черный) {ivbk}</t>
  </si>
  <si>
    <t>43572A-LAK Los Angeles Kings United NHL</t>
  </si>
  <si>
    <t>06-261-80-00</t>
  </si>
  <si>
    <t>Бейсболка AMERICAN NEEDLE арт. 43572A-MNW Minnesota Wild United NHL (кремовый / черный) {ivbk}</t>
  </si>
  <si>
    <t>43572A-MNW Minnesota Wild United NHL</t>
  </si>
  <si>
    <t>06-262-38-00</t>
  </si>
  <si>
    <t>Бейсболка AMERICAN NEEDLE арт. 43572A-NYR New York Rangers United NHL (бежевый / синий) {ivrl}</t>
  </si>
  <si>
    <t>43572A-NYR New York Rangers United NHL</t>
  </si>
  <si>
    <t>06-263-72-00</t>
  </si>
  <si>
    <t>Бейсболка AMERICAN NEEDLE арт. 43592A-DRW Detroit Red Wings Gunner NHL (черный / красный) {black-red}</t>
  </si>
  <si>
    <t>43592A-DRW Detroit Red Wings Gunner NHL</t>
  </si>
  <si>
    <t>06-264-89-00</t>
  </si>
  <si>
    <t>Бейсболка AMERICAN NEEDLE арт. 43592A-LAK Los Angeles Kings Gunner NHL (темно-серый / серый) {black-grey}</t>
  </si>
  <si>
    <t>43592A-LAK Los Angeles Kings Gunner NHL</t>
  </si>
  <si>
    <t>black-grey</t>
  </si>
  <si>
    <t>06-265-72-00</t>
  </si>
  <si>
    <t>Бейсболка AMERICAN NEEDLE арт. 43592A-NYR New York Rangers Gunner NHL (красный / синий) {red-royal}</t>
  </si>
  <si>
    <t>43592A-NYR New York Rangers Gunner NHL</t>
  </si>
  <si>
    <t>red-royal</t>
  </si>
  <si>
    <t>06-266-94-00</t>
  </si>
  <si>
    <t>Бейсболка AMERICAN NEEDLE арт. 43642A-DRW Detroit Red Wings White Out NHL (белый / красный) {white-red}</t>
  </si>
  <si>
    <t>43642A-DRW Detroit Red Wings White Out NHL</t>
  </si>
  <si>
    <t>white-red</t>
  </si>
  <si>
    <t>06-267-38-00</t>
  </si>
  <si>
    <t>Бейсболка AMERICAN NEEDLE арт. 43642A-NYR New York Rangers White Out NHL (белый / синий) {white-royal}</t>
  </si>
  <si>
    <t>43642A-NYR New York Rangers White Out NHL</t>
  </si>
  <si>
    <t>white-royal</t>
  </si>
  <si>
    <t>06-268-18-00</t>
  </si>
  <si>
    <t>Бейсболка AMERICAN NEEDLE арт. 43672A-CBH Chicago Blackhawks Stafford NHL (красный) {red}</t>
  </si>
  <si>
    <t>43672A-CBH Chicago Blackhawks Stafford NHL</t>
  </si>
  <si>
    <t>06-269-18-00</t>
  </si>
  <si>
    <t>Бейсболка AMERICAN NEEDLE арт. 43672A-DRW Detroit Red Wings Stafford NHL (красный) {red}</t>
  </si>
  <si>
    <t>43672A-DRW Detroit Red Wings Stafford NHL</t>
  </si>
  <si>
    <t>06-270-16-00</t>
  </si>
  <si>
    <t>Бейсболка AMERICAN NEEDLE арт. 43672A-NAP Nashville Predators Stafford NHL (темно-синий) {navy}</t>
  </si>
  <si>
    <t>43672A-NAP Nashville Predators Stafford NHL</t>
  </si>
  <si>
    <t>06-271-06-00</t>
  </si>
  <si>
    <t>Бейсболка AMERICAN NEEDLE арт. 43672A-NYR New York Rangers Stafford NHL (синий) {royal}</t>
  </si>
  <si>
    <t>43672A-NYR New York Rangers Stafford NHL</t>
  </si>
  <si>
    <t>06-272-95-00</t>
  </si>
  <si>
    <t>Бейсболка AMERICAN NEEDLE арт. 43682A-CBH Chicago Blackhawks Chromel NHL (красный / серый) {red}</t>
  </si>
  <si>
    <t>43682A-CBH Chicago Blackhawks Chromel NHL</t>
  </si>
  <si>
    <t>06-273-95-00</t>
  </si>
  <si>
    <t>Бейсболка AMERICAN NEEDLE арт. 43682A-DRW Detroit Red Wings Chromel NHL (красный / серый) {red}</t>
  </si>
  <si>
    <t>43682A-DRW Detroit Red Wings Chromel NHL</t>
  </si>
  <si>
    <t>06-274-10-00</t>
  </si>
  <si>
    <t>Бейсболка AMERICAN NEEDLE арт. 43682A-LAK Los Angeles Kings Chromel NHL (черный / серый) {black}</t>
  </si>
  <si>
    <t>43682A-LAK Los Angeles Kings Chromel NHL</t>
  </si>
  <si>
    <t>06-275-45-00</t>
  </si>
  <si>
    <t>Бейсболка AMERICAN NEEDLE арт. 43682A-NYR New York Rangers Chromel NHL (синий / серый) {royal}</t>
  </si>
  <si>
    <t>43682A-NYR New York Rangers Chromel NHL</t>
  </si>
  <si>
    <t>06-276-68-00</t>
  </si>
  <si>
    <t>Бейсболка AMERICAN NEEDLE арт. 43682A-PHF Philadelphia Flyers Chromel NHL (оранжевый / серый) {orange}</t>
  </si>
  <si>
    <t>43682A-PHF Philadelphia Flyers Chromel NHL</t>
  </si>
  <si>
    <t>06-277-75-00</t>
  </si>
  <si>
    <t>Бейсболка AMERICAN NEEDLE арт. 43692A-NHL Original 6 Sundown NHL (черный / камуфляж) {black-camo}</t>
  </si>
  <si>
    <t>43692A-NHL Original 6 Sundown NHL</t>
  </si>
  <si>
    <t>black-camo</t>
  </si>
  <si>
    <t>06-278-72-00</t>
  </si>
  <si>
    <t>Бейсболка AMERICAN NEEDLE арт. 43732A-CAH Carolina Hurricanes Blockhead NHL (черный / красный) {black-red}</t>
  </si>
  <si>
    <t>43732A-CAH Carolina Hurricanes Blockhead NHL</t>
  </si>
  <si>
    <t>06-279-33-00</t>
  </si>
  <si>
    <t>Бейсболка AMERICAN NEEDLE арт. 43732A-MNW Minnesota Wild Blockhead NHL (черный / зеленый) {black-green}</t>
  </si>
  <si>
    <t>43732A-MNW Minnesota Wild Blockhead NHL</t>
  </si>
  <si>
    <t>black-green</t>
  </si>
  <si>
    <t>06-280-18-00</t>
  </si>
  <si>
    <t>Бейсболка AMERICAN NEEDLE арт. 43870A-HTC Hiroshima Carp Hepcat NLP (красный) {red}</t>
  </si>
  <si>
    <t>43870A-HTC Hiroshima Carp Hepcat NLP</t>
  </si>
  <si>
    <t>06-281-16-00</t>
  </si>
  <si>
    <t>Бейсболка AMERICAN NEEDLE арт. 43870A-KCK Kansas City Katz Hepcat MILB (темно-синий) {navy}</t>
  </si>
  <si>
    <t>43870A-KCK Kansas City Katz Hepcat MILB</t>
  </si>
  <si>
    <t>06-282-16-00</t>
  </si>
  <si>
    <t>Бейсболка AMERICAN NEEDLE арт. 43870A-WHA Chicago Whales Hepcat MILB (темно-синий) {navy}</t>
  </si>
  <si>
    <t>43870A-WHA Chicago Whales Hepcat MILB</t>
  </si>
  <si>
    <t>06-283-16-00</t>
  </si>
  <si>
    <t>Бейсболка AMERICAN NEEDLE арт. 43870A-YOW Yokohama Whales Hepcat NLP (темно-синий) {navy}</t>
  </si>
  <si>
    <t>43870A-YOW Yokohama Whales Hepcat NLP</t>
  </si>
  <si>
    <t>06-284-16-00</t>
  </si>
  <si>
    <t>Бейсболка AMERICAN NEEDLE арт. 43877A-ASE Austin Senators Hepcat MILB (темно-синий) {navy}</t>
  </si>
  <si>
    <t>43877A-ASE Austin Senators Hepcat MILB</t>
  </si>
  <si>
    <t>06-285-16-00</t>
  </si>
  <si>
    <t>Бейсболка AMERICAN NEEDLE арт. 43877A-SER Seattle Rainiers Hepcat MILB (темно-синий) {navy}</t>
  </si>
  <si>
    <t>43877A-SER Seattle Rainiers Hepcat MILB</t>
  </si>
  <si>
    <t>06-286-16-00</t>
  </si>
  <si>
    <t>Бейсболка AMERICAN NEEDLE арт. 43910A-CHGO City of Chicago Iconic (темно-синий) {navy}</t>
  </si>
  <si>
    <t>43910A-CHGO City of Chicago Iconic</t>
  </si>
  <si>
    <t>06-286-17-00</t>
  </si>
  <si>
    <t>Бейсболка AMERICAN NEEDLE арт. 43910A-CHGO City of Chicago Iconic (белый) {white}</t>
  </si>
  <si>
    <t>06-287-19-00</t>
  </si>
  <si>
    <t>Бейсболка AMERICAN NEEDLE арт. 43910A-GNP Glacier National Park Iconic (голубой) {seafoam}</t>
  </si>
  <si>
    <t>43910A-GNP Glacier National Park Iconic</t>
  </si>
  <si>
    <t>06-288-07-00</t>
  </si>
  <si>
    <t>Бейсболка AMERICAN NEEDLE арт. 43910A-YONP Yosemite National Park Iconic (темно-зеленый) {green}</t>
  </si>
  <si>
    <t>43910A-YONP Yosemite National Park Iconic</t>
  </si>
  <si>
    <t>06-289-18-00</t>
  </si>
  <si>
    <t>Бейсболка AMERICAN NEEDLE арт. 43912A-DRW Detroit Red Wings Iconic NHL (красный) {red}</t>
  </si>
  <si>
    <t>43912A-DRW Detroit Red Wings Iconic NHL</t>
  </si>
  <si>
    <t>06-290-09-00</t>
  </si>
  <si>
    <t>Бейсболка AMERICAN NEEDLE арт. 43912A-LAK Los Angeles Kings Iconic NHL (черный) {black}</t>
  </si>
  <si>
    <t>43912A-LAK Los Angeles Kings Iconic NHL</t>
  </si>
  <si>
    <t>06-291-06-00</t>
  </si>
  <si>
    <t>Бейсболка AMERICAN NEEDLE арт. 43912A-NYR New York Rangers Iconic NHL (синий) {royal}</t>
  </si>
  <si>
    <t>43912A-NYR New York Rangers Iconic NHL</t>
  </si>
  <si>
    <t>06-292-09-00</t>
  </si>
  <si>
    <t>Бейсболка AMERICAN NEEDLE арт. 43912A-VGK Vegas Golden Knights Iconic NHL (черный) {black}</t>
  </si>
  <si>
    <t>43912A-VGK Vegas Golden Knights Iconic NHL</t>
  </si>
  <si>
    <t>06-293-09-00</t>
  </si>
  <si>
    <t>Бейсболка AMERICAN NEEDLE арт. 43942A-LAK Los Angeles Kings Elston NHL (черный) {black}</t>
  </si>
  <si>
    <t>43942A-LAK Los Angeles Kings Elston NHL</t>
  </si>
  <si>
    <t>06-294-06-00</t>
  </si>
  <si>
    <t>Бейсболка AMERICAN NEEDLE арт. 43942A-NYR New York Rangers Elston NHL (синий) {royal}</t>
  </si>
  <si>
    <t>43942A-NYR New York Rangers Elston NHL</t>
  </si>
  <si>
    <t>06-295-72-00</t>
  </si>
  <si>
    <t>Бейсболка AMERICAN NEEDLE арт. 44612A-CBH Chicago Blackhawks Cross Fade NHL (черный / красный) {black-red}</t>
  </si>
  <si>
    <t>44612A-CBH Chicago Blackhawks Cross Fade NHL</t>
  </si>
  <si>
    <t>06-296-21-00</t>
  </si>
  <si>
    <t>Бейсболка AMERICAN NEEDLE арт. 44612A-NYR New York Rangers Cross Fade NHL (синий / красный) {royal-red}</t>
  </si>
  <si>
    <t>44612A-NYR New York Rangers Cross Fade NHL</t>
  </si>
  <si>
    <t>06-297-60-00</t>
  </si>
  <si>
    <t>Бейсболка AMERICAN NEEDLE арт. 44700A-TX Texas Micro Icon (кремовый / темно-синий) {ivnv}</t>
  </si>
  <si>
    <t>44700A-TX Texas Micro Icon</t>
  </si>
  <si>
    <t>ivnv</t>
  </si>
  <si>
    <t>06-298-70-00</t>
  </si>
  <si>
    <t>Бейсболка AMERICAN NEEDLE арт. 44732A-VGK Vegas Golden Knights Roughage NHL (черный / золотой) {bkgld}</t>
  </si>
  <si>
    <t>44732A-VGK Vegas Golden Knights Roughage NHL</t>
  </si>
  <si>
    <t>06-299-16-00</t>
  </si>
  <si>
    <t>Бейсболка AMERICAN NEEDLE арт. 44740A-CPL Cerveceria Polar Archive CABL (темно-синий) {navy}</t>
  </si>
  <si>
    <t>44740A-CPL Cerveceria Polar Archive CABL</t>
  </si>
  <si>
    <t>06-300-70-00</t>
  </si>
  <si>
    <t>Бейсболка AMERICAN NEEDLE арт. 44740A-DUE Duluth Eskimos Archive NFL (белый / темно-синий) {ivnv}</t>
  </si>
  <si>
    <t>44740A-DUE Duluth Eskimos Archive NFL</t>
  </si>
  <si>
    <t>06-301-09-00</t>
  </si>
  <si>
    <t>Бейсболка AMERICAN NEEDLE арт. 44740A-HTI Hanshin Tigers Archive NPL (черный) {black}</t>
  </si>
  <si>
    <t>44740A-HTI Hanshin Tigers Archive NPL</t>
  </si>
  <si>
    <t>06-302-09-00</t>
  </si>
  <si>
    <t>Бейсболка AMERICAN NEEDLE арт. 44740A-LABL Los Angeles Blades Archive NHL (черный) {black}</t>
  </si>
  <si>
    <t>44740A-LABL Los Angeles Blades Archive NHL</t>
  </si>
  <si>
    <t>06-303-16-00</t>
  </si>
  <si>
    <t>Бейсболка AMERICAN NEEDLE арт. 44740A-LOS Los Angeles Angels Archive MILB (темно-синий) {navy}</t>
  </si>
  <si>
    <t>44740A-LOS Los Angeles Angels Archive MILB</t>
  </si>
  <si>
    <t>06-304-39-00</t>
  </si>
  <si>
    <t>Бейсболка AMERICAN NEEDLE арт. 44740A-STE Saint Louis Terriers Archive MILB (кремовый / темно-синий) {stnv}</t>
  </si>
  <si>
    <t>44740A-STE Saint Louis Terriers Archive MILB</t>
  </si>
  <si>
    <t>06-305-09-00</t>
  </si>
  <si>
    <t>Бейсболка AMERICAN NEEDLE арт. 44740A-YOG Yomiuri Giants Archive NPL (черный) {black}</t>
  </si>
  <si>
    <t>44740A-YOG Yomiuri Giants Archive NPL</t>
  </si>
  <si>
    <t>06-306-72-00</t>
  </si>
  <si>
    <t>Бейсболка AMERICAN NEEDLE арт. 44747A-BBB Birmingham Black Barons Archive NL (черный / красный) {bkrd}</t>
  </si>
  <si>
    <t>44747A-BBB Birmingham Black Barons Archive NL</t>
  </si>
  <si>
    <t>bkrd</t>
  </si>
  <si>
    <t>06-307-10-00</t>
  </si>
  <si>
    <t>Бейсболка AMERICAN NEEDLE арт. 44747A-DEC Detroit Cubs Archive NL (серый / черный) {grbk}</t>
  </si>
  <si>
    <t>44747A-DEC Detroit Cubs Archive NL</t>
  </si>
  <si>
    <t>grbk</t>
  </si>
  <si>
    <t>06-308-06-00</t>
  </si>
  <si>
    <t>Бейсболка AMERICAN NEEDLE арт. 44747A-DUB Durham Bulls Archive MILB (синий) {royal}</t>
  </si>
  <si>
    <t>44747A-DUB Durham Bulls Archive MILB</t>
  </si>
  <si>
    <t>06-309-55-00</t>
  </si>
  <si>
    <t>Бейсболка AMERICAN NEEDLE арт. 44747A-HOS Hollywood Stars Archive MILB (серый / темно-синий) {grey-navy}</t>
  </si>
  <si>
    <t>44747A-HOS Hollywood Stars Archive MILB</t>
  </si>
  <si>
    <t>grey-navy</t>
  </si>
  <si>
    <t>06-310-18-00</t>
  </si>
  <si>
    <t>Бейсболка AMERICAN NEEDLE арт. 44747A-KCAN Kansas City All Nations Archive IBL (темно-красный) {dark red}</t>
  </si>
  <si>
    <t>44747A-KCAN Kansas City All Nations Archive IBL</t>
  </si>
  <si>
    <t>06-311-16-00</t>
  </si>
  <si>
    <t>Бейсболка AMERICAN NEEDLE арт. 44747A-MILB Minor League Baseball Archive MILB (темно-синий) {navy}</t>
  </si>
  <si>
    <t>44747A-MILB Minor League Baseball Archive MILB</t>
  </si>
  <si>
    <t>06-312-91-00</t>
  </si>
  <si>
    <t>Бейсболка AMERICAN NEEDLE арт. 44747A-MOU Moultrie Colt .22s Archive MILB (темно-синий / оранжевый) {nvor}</t>
  </si>
  <si>
    <t>44747A-MOU Moultrie Colt .22s Archive MILB</t>
  </si>
  <si>
    <t>06-313-09-00</t>
  </si>
  <si>
    <t>Бейсболка AMERICAN NEEDLE арт. 44747A-NBHOF National Baseball Hall of Fame MILB (черный) {black}</t>
  </si>
  <si>
    <t>44747A-NBHOF National Baseball Hall of Fame MILB</t>
  </si>
  <si>
    <t>06-314-16-00</t>
  </si>
  <si>
    <t>Бейсболка AMERICAN NEEDLE арт. 44747A-SAF San Francisco Seals Archive MILB (темно-синий) {navy}</t>
  </si>
  <si>
    <t>44747A-SAF San Francisco Seals Archive MILB</t>
  </si>
  <si>
    <t>06-315-16-00</t>
  </si>
  <si>
    <t>Бейсболка AMERICAN NEEDLE арт. 44747A-SER Seattle Rainiers Archive MILB (темно-синий) {navy}</t>
  </si>
  <si>
    <t>44747A-SER Seattle Rainiers Archive MILB</t>
  </si>
  <si>
    <t>06-316-06-00</t>
  </si>
  <si>
    <t>Бейсболка AMERICAN NEEDLE арт. 44747A-SLS Saint Louis Stars Archive NL (синий) {royal}</t>
  </si>
  <si>
    <t>44747A-SLS Saint Louis Stars Archive NL</t>
  </si>
  <si>
    <t>06-317-06-00</t>
  </si>
  <si>
    <t>Бейсболка AMERICAN NEEDLE арт. 44747A-SPS Saint Paul Saints Archive MILB (синий) {royal}</t>
  </si>
  <si>
    <t>44747A-SPS Saint Paul Saints Archive MILB</t>
  </si>
  <si>
    <t>06-318-79-00</t>
  </si>
  <si>
    <t>Бейсболка AMERICAN NEEDLE арт. 44890E-CALI California Valin (синий / белый / красный) {rlwtrd}</t>
  </si>
  <si>
    <t>44890E-CALI California Valin</t>
  </si>
  <si>
    <t>85% нейлон - 15% спандекс</t>
  </si>
  <si>
    <t>rlwtrd</t>
  </si>
  <si>
    <t>06-319-19-00</t>
  </si>
  <si>
    <t>Бейсболка AMERICAN NEEDLE арт. 44900A-NASA Space with NASA Replay (голубой) {light blue}</t>
  </si>
  <si>
    <t>44900A-NASA Space with NASA Replay</t>
  </si>
  <si>
    <t>06-320-06-00</t>
  </si>
  <si>
    <t>Бейсболка AMERICAN NEEDLE арт. 44900A-PUG Pug Replay (синий) {blue}</t>
  </si>
  <si>
    <t>44900A-PUG Pug Replay</t>
  </si>
  <si>
    <t>06-321-09-00</t>
  </si>
  <si>
    <t>Бейсболка AMERICAN NEEDLE арт. 44902A-VGK Vegas Golden Knights Replay NHL (черный) {black}</t>
  </si>
  <si>
    <t>44902A-VGK Vegas Golden Knights Replay NHL</t>
  </si>
  <si>
    <t>06-321-17-00</t>
  </si>
  <si>
    <t>Бейсболка AMERICAN NEEDLE арт. 44902A-VGK Vegas Golden Knights Replay NHL (белый) {white}</t>
  </si>
  <si>
    <t>06-322-17-00</t>
  </si>
  <si>
    <t>Бейсболка AMERICAN NEEDLE арт. 44950A-CAUL Cauliflower Foodie Slouch (белый) {white}</t>
  </si>
  <si>
    <t>44950A-CAUL Cauliflower Foodie Slouch</t>
  </si>
  <si>
    <t>Food</t>
  </si>
  <si>
    <t>06-323-03-00</t>
  </si>
  <si>
    <t>Бейсболка AMERICAN NEEDLE арт. 44950A-KALE Kale Foodie Slouch (оливковый) {cedar}</t>
  </si>
  <si>
    <t>44950A-KALE Kale Foodie Slouch</t>
  </si>
  <si>
    <t>cedar</t>
  </si>
  <si>
    <t>06-324-18-00</t>
  </si>
  <si>
    <t>Бейсболка AMERICAN NEEDLE арт. 44950A-KETC Ketchup Foodie Slouch (красный) {red}</t>
  </si>
  <si>
    <t>44950A-KETC Ketchup Foodie Slouch</t>
  </si>
  <si>
    <t>06-325-02-00</t>
  </si>
  <si>
    <t>Бейсболка AMERICAN NEEDLE арт. 44950A-MAYO Mayo Foodie Slouch (бежевый) {beige}</t>
  </si>
  <si>
    <t>44950A-MAYO Mayo Foodie Slouch</t>
  </si>
  <si>
    <t>06-326-20-00</t>
  </si>
  <si>
    <t>Бейсболка AMERICAN NEEDLE арт. 44950A-MUST Mustard Foodie Slouch (желтый) {yellow}</t>
  </si>
  <si>
    <t>44950A-MUST Mustard Foodie Slouch</t>
  </si>
  <si>
    <t>yellow</t>
  </si>
  <si>
    <t>06-327-46-00</t>
  </si>
  <si>
    <t>Бейсболка AMERICAN NEEDLE арт. 44960B-CA California Riptide Valin (белый / голубой) {wtbl}</t>
  </si>
  <si>
    <t>44960B-CA California Riptide Valin</t>
  </si>
  <si>
    <t>wtbl</t>
  </si>
  <si>
    <t>06-328-09-00</t>
  </si>
  <si>
    <t>Бейсболка AMERICAN NEEDLE арт. 45020A-AMER Americana Conrad (черный) {black}</t>
  </si>
  <si>
    <t>45020A-AMER Americana Conrad</t>
  </si>
  <si>
    <t>06-328-16-00</t>
  </si>
  <si>
    <t>Бейсболка AMERICAN NEEDLE арт. 45020A-AMER Americana Conrad (темно-синий) {navy}</t>
  </si>
  <si>
    <t>06-329-09-00</t>
  </si>
  <si>
    <t>Бейсболка AMERICAN NEEDLE арт. 45020A-USA United States Conrad  (черный) {black}</t>
  </si>
  <si>
    <t>45020A-USA United States Conrad</t>
  </si>
  <si>
    <t>06-329-16-00</t>
  </si>
  <si>
    <t>Бейсболка AMERICAN NEEDLE арт. 45020A-USA United States Conrad  (темно-синий) {navy}</t>
  </si>
  <si>
    <t>06-330-01-00</t>
  </si>
  <si>
    <t>Бейсболка AMERICAN NEEDLE арт. GM-1901A Chevrolet New Raglan (светло-серый) {chrome}</t>
  </si>
  <si>
    <t>GM-1901A Chevrolet New Raglan</t>
  </si>
  <si>
    <t>chrome</t>
  </si>
  <si>
    <t>06-331-18-00</t>
  </si>
  <si>
    <t>Бейсболка AMERICAN NEEDLE арт. GM-1909D Corvette Raglan Bones (красный) {red}</t>
  </si>
  <si>
    <t>GM-1909D Corvette Raglan Bones</t>
  </si>
  <si>
    <t>06-332-18-00</t>
  </si>
  <si>
    <t>Шапка AMERICAN NEEDLE арт. 42792A-CBH Chicago Blackhawks Breezy NHL (красный / белый) {red-black}</t>
  </si>
  <si>
    <t>42792A-CBH Chicago Blackhawks Breezy NHL</t>
  </si>
  <si>
    <t>06-333-88-00</t>
  </si>
  <si>
    <t>Бейсболка AMERICAN NEEDLE арт. 44612A-LAK Los Angeles Kings Cross Fade NHL (черный / серый) {black-grey}</t>
  </si>
  <si>
    <t>44612A-LAK Los Angeles Kings Cross Fade NHL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</si>
</sst>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0" fillId="0" borderId="0" xfId="0" applyProtection="1">
      <protection locked="0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65" zoomScaleNormal="65" workbookViewId="0">
      <pane ySplit="1" topLeftCell="A2" activePane="bottomLeft" state="frozen"/>
      <selection pane="bottomLeft" activeCell="R4" sqref="R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8.855468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48" bestFit="1" customWidth="1"/>
    <col min="52" max="52" width="16.5703125" style="148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3" t="s">
        <v>849</v>
      </c>
      <c r="AH1" s="143" t="s">
        <v>850</v>
      </c>
      <c r="AI1" s="143" t="s">
        <v>851</v>
      </c>
      <c r="AJ1" s="143" t="s">
        <v>852</v>
      </c>
      <c r="AK1" s="143" t="s">
        <v>853</v>
      </c>
      <c r="AL1" s="143" t="s">
        <v>854</v>
      </c>
      <c r="AM1" s="143" t="s">
        <v>855</v>
      </c>
      <c r="AN1" s="143" t="s">
        <v>856</v>
      </c>
      <c r="AO1" s="143" t="s">
        <v>550</v>
      </c>
      <c r="AP1" s="143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4" t="s">
        <v>499</v>
      </c>
      <c r="AZ1" s="145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American Needle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" si="2">0.05+0.05</f>
        <v>0.1</v>
      </c>
      <c r="AV2" s="56">
        <f t="shared" ref="AV2" si="3">IF(AU2&lt;&gt;"",AU2*1.5,"Требуется нетто")</f>
        <v>0.15000000000000002</v>
      </c>
      <c r="AW2" s="56" t="str">
        <f t="shared" ref="AW2" si="4">+IF(AU2&lt;&gt;"",IFERROR(AQ2*AU2,"Требуются кол-во и нетто"),"Требуются кол-во и нетто")</f>
        <v>Требуются кол-во и нетто</v>
      </c>
      <c r="AX2" s="56" t="str">
        <f t="shared" ref="AX2" si="5">IF(AV2&lt;&gt;"",IFERROR(AQ2*AV2,"Требуются кол-во и брутто"),"Требуются кол-во и брутто")</f>
        <v>Требуются кол-во и брутто</v>
      </c>
      <c r="AY2" s="146"/>
      <c r="AZ2" s="147" t="str">
        <f t="shared" ref="AZ2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" si="7">IFERROR(IF(BB2,"-",IFERROR(IF(BA2&gt;0,0,1),"")),"")</f>
        <v/>
      </c>
      <c r="BD2" s="91"/>
    </row>
    <row r="3" spans="1:56" ht="98.1" customHeight="1">
      <c r="C3" s="61"/>
      <c r="G3" s="56"/>
      <c r="I3" s="166"/>
      <c r="J3" s="65"/>
      <c r="K3" s="102"/>
      <c r="L3" s="66"/>
      <c r="M3" s="66"/>
      <c r="N3" s="141"/>
      <c r="O3" s="65"/>
      <c r="P3" s="63"/>
      <c r="Q3" s="58"/>
      <c r="R3" s="58"/>
      <c r="S3" s="58"/>
      <c r="V3" s="58"/>
      <c r="X3" s="58"/>
      <c r="Z3" s="58"/>
      <c r="AB3" s="58"/>
      <c r="AD3" s="58"/>
      <c r="AQ3" s="57"/>
      <c r="AR3" s="66"/>
      <c r="AS3" s="56"/>
      <c r="AT3" s="56"/>
      <c r="BB3" s="105"/>
      <c r="BC3" s="73"/>
    </row>
    <row r="4" spans="1:56" ht="98.1" customHeight="1">
      <c r="C4" s="61"/>
      <c r="G4" s="56"/>
      <c r="J4" s="65"/>
      <c r="K4" s="101"/>
      <c r="M4" s="66"/>
      <c r="N4" s="141"/>
      <c r="O4" s="65"/>
      <c r="P4" s="63"/>
      <c r="Q4" s="58"/>
      <c r="R4" s="58"/>
      <c r="S4" s="58"/>
      <c r="V4" s="58"/>
      <c r="X4" s="58"/>
      <c r="Z4" s="58"/>
      <c r="AB4" s="58"/>
      <c r="AD4" s="58"/>
      <c r="AQ4" s="57"/>
      <c r="AR4" s="66"/>
      <c r="AS4" s="56"/>
      <c r="AT4" s="56"/>
      <c r="BB4" s="105"/>
      <c r="BC4" s="73"/>
    </row>
    <row r="5" spans="1:56" ht="98.1" customHeight="1">
      <c r="C5" s="61"/>
      <c r="G5" s="56"/>
      <c r="J5" s="65"/>
      <c r="K5" s="101"/>
      <c r="M5" s="66"/>
      <c r="N5" s="141"/>
      <c r="O5" s="65"/>
      <c r="P5" s="63"/>
      <c r="Q5" s="58"/>
      <c r="R5" s="58"/>
      <c r="S5" s="58"/>
      <c r="V5" s="58"/>
      <c r="X5" s="58"/>
      <c r="Z5" s="58"/>
      <c r="AB5" s="58"/>
      <c r="AD5" s="58"/>
      <c r="AQ5" s="57"/>
      <c r="AR5" s="66"/>
      <c r="AS5" s="56"/>
      <c r="AT5" s="56"/>
      <c r="BB5" s="105"/>
      <c r="BC5" s="73"/>
    </row>
    <row r="6" spans="1:56" ht="98.1" customHeight="1">
      <c r="G6" s="56"/>
      <c r="J6" s="65"/>
      <c r="K6" s="103"/>
      <c r="M6" s="66"/>
      <c r="N6" s="141"/>
      <c r="O6" s="65"/>
      <c r="P6" s="63"/>
      <c r="Q6" s="58"/>
      <c r="R6" s="58"/>
      <c r="S6" s="58"/>
      <c r="V6" s="58"/>
      <c r="X6" s="58"/>
      <c r="Z6" s="58"/>
      <c r="AB6" s="58"/>
      <c r="AD6" s="58"/>
      <c r="AQ6" s="57"/>
      <c r="AR6" s="66"/>
      <c r="AS6" s="56"/>
      <c r="AT6" s="56"/>
      <c r="BB6" s="105"/>
      <c r="BC6" s="73"/>
    </row>
    <row r="7" spans="1:56" ht="98.1" customHeight="1">
      <c r="G7" s="56"/>
      <c r="J7" s="65"/>
      <c r="K7" s="103"/>
      <c r="M7" s="66"/>
      <c r="N7" s="141"/>
      <c r="O7" s="65"/>
      <c r="P7" s="63"/>
      <c r="Q7" s="58"/>
      <c r="R7" s="58"/>
      <c r="S7" s="58"/>
      <c r="V7" s="58"/>
      <c r="X7" s="58"/>
      <c r="Z7" s="58"/>
      <c r="AB7" s="58"/>
      <c r="AD7" s="58"/>
      <c r="AQ7" s="57"/>
      <c r="AR7" s="66"/>
      <c r="AS7" s="56"/>
      <c r="AT7" s="56"/>
      <c r="BB7" s="105"/>
      <c r="BC7" s="73"/>
    </row>
    <row r="8" spans="1:56" ht="98.1" customHeight="1">
      <c r="G8" s="56"/>
      <c r="J8" s="65"/>
      <c r="K8" s="103"/>
      <c r="M8" s="66"/>
      <c r="N8" s="141"/>
      <c r="O8" s="65"/>
      <c r="P8" s="63"/>
      <c r="Q8" s="58"/>
      <c r="R8" s="58"/>
      <c r="S8" s="58"/>
      <c r="V8" s="58"/>
      <c r="X8" s="58"/>
      <c r="Z8" s="58"/>
      <c r="AB8" s="58"/>
      <c r="AD8" s="58"/>
      <c r="AQ8" s="57"/>
      <c r="AR8" s="66"/>
      <c r="AS8" s="56"/>
      <c r="AT8" s="56"/>
      <c r="BB8" s="105"/>
      <c r="BC8" s="73"/>
    </row>
    <row r="9" spans="1:56" ht="98.1" customHeight="1">
      <c r="G9" s="56"/>
      <c r="J9" s="65"/>
      <c r="K9" s="103"/>
      <c r="M9" s="66"/>
      <c r="N9" s="141"/>
      <c r="O9" s="65"/>
      <c r="P9" s="63"/>
      <c r="Q9" s="58"/>
      <c r="R9" s="58"/>
      <c r="S9" s="58"/>
      <c r="V9" s="58"/>
      <c r="X9" s="58"/>
      <c r="Z9" s="58"/>
      <c r="AB9" s="58"/>
      <c r="AD9" s="58"/>
      <c r="AQ9" s="57"/>
      <c r="AR9" s="66"/>
      <c r="AS9" s="56"/>
      <c r="AT9" s="56"/>
      <c r="BB9" s="105"/>
      <c r="BC9" s="73"/>
    </row>
    <row r="10" spans="1:56" ht="98.1" customHeight="1">
      <c r="G10" s="56"/>
      <c r="J10" s="65"/>
      <c r="K10" s="103"/>
      <c r="M10" s="66"/>
      <c r="N10" s="141"/>
      <c r="O10" s="65"/>
      <c r="P10" s="63"/>
      <c r="Q10" s="58"/>
      <c r="R10" s="58"/>
      <c r="S10" s="58"/>
      <c r="V10" s="58"/>
      <c r="X10" s="58"/>
      <c r="Z10" s="58"/>
      <c r="AB10" s="58"/>
      <c r="AD10" s="58"/>
      <c r="AQ10" s="57"/>
      <c r="AR10" s="66"/>
      <c r="AS10" s="56"/>
      <c r="AT10" s="56"/>
      <c r="BB10" s="105"/>
      <c r="BC10" s="73"/>
    </row>
    <row r="11" spans="1:56" ht="98.1" customHeight="1">
      <c r="G11" s="56"/>
      <c r="J11" s="65"/>
      <c r="K11" s="103"/>
      <c r="M11" s="66"/>
      <c r="N11" s="141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/>
      <c r="AR11" s="66"/>
      <c r="AS11" s="56"/>
      <c r="AT11" s="56"/>
      <c r="BB11" s="105"/>
      <c r="BC11" s="73"/>
    </row>
    <row r="12" spans="1:56" ht="98.1" customHeight="1">
      <c r="G12" s="56"/>
      <c r="J12" s="65"/>
      <c r="K12" s="103"/>
      <c r="M12" s="66"/>
      <c r="N12" s="141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/>
      <c r="AR12" s="66"/>
      <c r="AS12" s="56"/>
      <c r="AT12" s="56"/>
      <c r="BB12" s="105"/>
      <c r="BC12" s="73"/>
    </row>
    <row r="13" spans="1:56" ht="98.1" customHeight="1">
      <c r="G13" s="56"/>
      <c r="J13" s="65"/>
      <c r="K13" s="103"/>
      <c r="M13" s="66"/>
      <c r="N13" s="141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/>
      <c r="AR13" s="66"/>
      <c r="AS13" s="56"/>
      <c r="AT13" s="56"/>
      <c r="BB13" s="105"/>
      <c r="BC13" s="73"/>
    </row>
    <row r="14" spans="1:56" ht="98.1" customHeight="1">
      <c r="G14" s="56"/>
      <c r="J14" s="65"/>
      <c r="K14" s="103"/>
      <c r="M14" s="66"/>
      <c r="N14" s="141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BB14" s="105"/>
      <c r="BC14" s="73"/>
    </row>
    <row r="15" spans="1:56" ht="98.1" customHeight="1">
      <c r="G15" s="56"/>
      <c r="J15" s="65"/>
      <c r="K15" s="103"/>
      <c r="M15" s="66"/>
      <c r="N15" s="141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/>
      <c r="AR15" s="66"/>
      <c r="AS15" s="56"/>
      <c r="AT15" s="56"/>
      <c r="BB15" s="105"/>
      <c r="BC15" s="73"/>
    </row>
    <row r="16" spans="1:56" ht="98.1" customHeight="1">
      <c r="G16" s="56"/>
      <c r="J16" s="65"/>
      <c r="K16" s="103"/>
      <c r="M16" s="66"/>
      <c r="N16" s="141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/>
      <c r="AR16" s="66"/>
      <c r="AS16" s="56"/>
      <c r="AT16" s="56"/>
      <c r="BB16" s="105"/>
      <c r="BC16" s="73"/>
    </row>
    <row r="17" spans="7:55" ht="98.1" customHeight="1">
      <c r="G17" s="56"/>
      <c r="J17" s="65"/>
      <c r="K17" s="103"/>
      <c r="M17" s="66"/>
      <c r="N17" s="141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/>
      <c r="AR17" s="66"/>
      <c r="AS17" s="56"/>
      <c r="AT17" s="56"/>
      <c r="BB17" s="105"/>
      <c r="BC17" s="73"/>
    </row>
    <row r="18" spans="7:55" ht="98.1" customHeight="1">
      <c r="G18" s="56"/>
      <c r="J18" s="65"/>
      <c r="K18" s="103"/>
      <c r="M18" s="66"/>
      <c r="N18" s="141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BB18" s="105"/>
      <c r="BC18" s="73"/>
    </row>
    <row r="19" spans="7:55" ht="98.1" customHeight="1">
      <c r="G19" s="56"/>
      <c r="J19" s="65"/>
      <c r="K19" s="103"/>
      <c r="M19" s="66"/>
      <c r="N19" s="141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BB19" s="105"/>
      <c r="BC19" s="73"/>
    </row>
    <row r="20" spans="7:55" ht="98.1" customHeight="1">
      <c r="G20" s="56"/>
      <c r="J20" s="65"/>
      <c r="K20" s="103"/>
      <c r="M20" s="66"/>
      <c r="N20" s="141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/>
      <c r="AR20" s="66"/>
      <c r="AS20" s="56"/>
      <c r="AT20" s="56"/>
      <c r="BB20" s="105"/>
      <c r="BC20" s="73"/>
    </row>
    <row r="21" spans="7:55" ht="98.1" customHeight="1">
      <c r="G21" s="56"/>
      <c r="J21" s="65"/>
      <c r="K21" s="103"/>
      <c r="M21" s="66"/>
      <c r="N21" s="141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BB21" s="105"/>
      <c r="BC21" s="73"/>
    </row>
    <row r="22" spans="7:55" ht="98.1" customHeight="1">
      <c r="G22" s="56"/>
      <c r="J22" s="65"/>
      <c r="K22" s="103"/>
      <c r="M22" s="66"/>
      <c r="N22" s="141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BB22" s="105"/>
      <c r="BC22" s="73"/>
    </row>
    <row r="23" spans="7:55" ht="98.1" customHeight="1">
      <c r="G23" s="56"/>
      <c r="J23" s="65"/>
      <c r="K23" s="103"/>
      <c r="M23" s="66"/>
      <c r="N23" s="141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BB23" s="105"/>
      <c r="BC23" s="73"/>
    </row>
    <row r="24" spans="7:55" ht="98.1" customHeight="1">
      <c r="G24" s="56"/>
      <c r="J24" s="65"/>
      <c r="K24" s="103"/>
      <c r="M24" s="66"/>
      <c r="N24" s="141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BB24" s="105"/>
      <c r="BC24" s="73"/>
    </row>
    <row r="25" spans="7:55" ht="98.1" customHeight="1">
      <c r="G25" s="56"/>
      <c r="J25" s="65"/>
      <c r="K25" s="103"/>
      <c r="M25" s="66"/>
      <c r="N25" s="141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BB25" s="105"/>
      <c r="BC25" s="73"/>
    </row>
    <row r="26" spans="7:55" ht="98.1" customHeight="1">
      <c r="G26" s="56"/>
      <c r="J26" s="65"/>
      <c r="K26" s="103"/>
      <c r="M26" s="66"/>
      <c r="N26" s="141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BB26" s="105"/>
      <c r="BC26" s="73"/>
    </row>
    <row r="27" spans="7:55" ht="98.1" customHeight="1">
      <c r="G27" s="56"/>
      <c r="J27" s="65"/>
      <c r="K27" s="103"/>
      <c r="M27" s="66"/>
      <c r="N27" s="141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/>
      <c r="AR27" s="66"/>
      <c r="AS27" s="56"/>
      <c r="AT27" s="56"/>
      <c r="BB27" s="105"/>
      <c r="BC27" s="73"/>
    </row>
    <row r="28" spans="7:55" ht="98.1" customHeight="1">
      <c r="G28" s="56"/>
      <c r="J28" s="65"/>
      <c r="K28" s="103"/>
      <c r="M28" s="66"/>
      <c r="N28" s="141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BB28" s="105"/>
      <c r="BC28" s="73"/>
    </row>
    <row r="29" spans="7:55" ht="98.1" customHeight="1">
      <c r="G29" s="56"/>
      <c r="J29" s="65"/>
      <c r="K29" s="103"/>
      <c r="M29" s="66"/>
      <c r="N29" s="141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BB29" s="105"/>
      <c r="BC29" s="73"/>
    </row>
    <row r="30" spans="7:55" ht="98.1" customHeight="1">
      <c r="G30" s="56"/>
      <c r="J30" s="58"/>
      <c r="K30" s="103"/>
      <c r="M30" s="66"/>
      <c r="N30" s="141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/>
      <c r="AR30" s="66"/>
      <c r="AS30" s="56"/>
      <c r="AT30" s="56"/>
      <c r="BB30" s="105"/>
      <c r="BC30" s="73"/>
    </row>
    <row r="31" spans="7:55" ht="98.1" customHeight="1">
      <c r="G31" s="56"/>
      <c r="J31" s="58"/>
      <c r="K31" s="103"/>
      <c r="M31" s="66"/>
      <c r="N31" s="141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/>
      <c r="AR31" s="66"/>
      <c r="AS31" s="56"/>
      <c r="AT31" s="56"/>
      <c r="BB31" s="105"/>
      <c r="BC31" s="73"/>
    </row>
    <row r="32" spans="7:55" ht="98.1" customHeight="1">
      <c r="G32" s="56"/>
      <c r="J32" s="58"/>
      <c r="K32" s="103"/>
      <c r="M32" s="66"/>
      <c r="N32" s="141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/>
      <c r="AR32" s="66"/>
      <c r="AS32" s="56"/>
      <c r="AT32" s="56"/>
      <c r="BB32" s="105"/>
      <c r="BC32" s="73"/>
    </row>
    <row r="33" spans="7:55" ht="98.1" customHeight="1">
      <c r="G33" s="56"/>
      <c r="J33" s="58"/>
      <c r="K33" s="103"/>
      <c r="M33" s="66"/>
      <c r="N33" s="141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/>
      <c r="AR33" s="66"/>
      <c r="AS33" s="56"/>
      <c r="AT33" s="56"/>
      <c r="BB33" s="105"/>
      <c r="BC33" s="73"/>
    </row>
    <row r="34" spans="7:55" ht="98.1" customHeight="1">
      <c r="G34" s="56"/>
      <c r="J34" s="58"/>
      <c r="K34" s="103"/>
      <c r="M34" s="66"/>
      <c r="N34" s="141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/>
      <c r="AR34" s="66"/>
      <c r="AS34" s="56"/>
      <c r="AT34" s="56"/>
      <c r="BB34" s="105"/>
      <c r="BC34" s="73"/>
    </row>
    <row r="35" spans="7:55" ht="98.1" customHeight="1">
      <c r="G35" s="56"/>
      <c r="J35" s="58"/>
      <c r="K35" s="103"/>
      <c r="M35" s="66"/>
      <c r="N35" s="141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/>
      <c r="AR35" s="66"/>
      <c r="AS35" s="56"/>
      <c r="AT35" s="56"/>
      <c r="BB35" s="105"/>
      <c r="BC35" s="73"/>
    </row>
    <row r="36" spans="7:55" ht="98.1" customHeight="1">
      <c r="G36" s="56"/>
      <c r="J36" s="58"/>
      <c r="K36" s="103"/>
      <c r="M36" s="66"/>
      <c r="N36" s="141"/>
      <c r="O36" s="65"/>
      <c r="P36" s="63"/>
      <c r="Q36" s="58"/>
      <c r="R36" s="58"/>
      <c r="S36" s="58"/>
      <c r="V36" s="58"/>
      <c r="X36" s="58"/>
      <c r="Z36" s="58"/>
      <c r="AB36" s="58"/>
      <c r="AD36" s="58"/>
      <c r="AR36" s="66"/>
      <c r="AS36" s="56"/>
      <c r="AT36" s="56"/>
      <c r="BB36" s="105"/>
      <c r="BC36" s="73"/>
    </row>
    <row r="37" spans="7:55" ht="98.1" customHeight="1">
      <c r="G37" s="56"/>
      <c r="M37" s="66"/>
      <c r="N37" s="141"/>
      <c r="O37" s="65"/>
      <c r="P37" s="63"/>
      <c r="Q37" s="58"/>
      <c r="R37" s="58"/>
      <c r="S37" s="58"/>
      <c r="V37" s="58"/>
      <c r="X37" s="58"/>
      <c r="Z37" s="58"/>
      <c r="AB37" s="58"/>
      <c r="AD37" s="58"/>
      <c r="AR37" s="66"/>
      <c r="AS37" s="56"/>
      <c r="AT37" s="56"/>
      <c r="BB37" s="105"/>
      <c r="BC37" s="73"/>
    </row>
    <row r="38" spans="7:55" ht="98.1" customHeight="1">
      <c r="G38" s="56"/>
      <c r="M38" s="66"/>
      <c r="N38" s="141"/>
      <c r="O38" s="65"/>
      <c r="P38" s="63"/>
      <c r="Q38" s="58"/>
      <c r="R38" s="58"/>
      <c r="S38" s="58"/>
      <c r="V38" s="58"/>
      <c r="X38" s="58"/>
      <c r="Z38" s="58"/>
      <c r="AB38" s="58"/>
      <c r="AD38" s="58"/>
      <c r="AR38" s="66"/>
      <c r="AS38" s="56"/>
      <c r="AT38" s="56"/>
      <c r="BB38" s="105"/>
      <c r="BC38" s="73"/>
    </row>
    <row r="39" spans="7:55" ht="98.1" customHeight="1">
      <c r="G39" s="56"/>
      <c r="M39" s="66"/>
      <c r="N39" s="141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7:55" ht="98.1" customHeight="1">
      <c r="G40" s="56"/>
      <c r="M40" s="66"/>
      <c r="N40" s="141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7:55" ht="98.1" customHeight="1">
      <c r="G41" s="56"/>
      <c r="L41" s="63"/>
      <c r="M41" s="66"/>
      <c r="N41" s="141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7:55" ht="98.1" customHeight="1">
      <c r="G42" s="56"/>
      <c r="M42" s="66"/>
      <c r="N42" s="141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7:55" ht="98.1" customHeight="1">
      <c r="G43" s="56"/>
      <c r="M43" s="66"/>
      <c r="N43" s="141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7:55" ht="98.1" customHeight="1">
      <c r="G44" s="56"/>
      <c r="L44" s="63"/>
      <c r="M44" s="66"/>
      <c r="N44" s="141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7:55" ht="98.1" customHeight="1">
      <c r="G45" s="56"/>
      <c r="M45" s="66"/>
      <c r="N45" s="141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7:55" ht="98.1" customHeight="1">
      <c r="G46" s="56"/>
      <c r="L46" s="63"/>
      <c r="M46" s="66"/>
      <c r="N46" s="141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7:55" ht="98.1" customHeight="1">
      <c r="G47" s="56"/>
      <c r="L47" s="63"/>
      <c r="M47" s="66"/>
      <c r="N47" s="141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7:55" ht="98.1" customHeight="1">
      <c r="G48" s="56"/>
      <c r="L48" s="63"/>
      <c r="M48" s="66"/>
      <c r="N48" s="141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98.1" customHeight="1">
      <c r="G49" s="56"/>
      <c r="L49" s="63"/>
      <c r="M49" s="66"/>
      <c r="N49" s="141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98.1" customHeight="1">
      <c r="G50" s="56"/>
      <c r="M50" s="66"/>
      <c r="N50" s="141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1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1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2"/>
      <c r="AS52" s="56"/>
      <c r="AT52" s="56"/>
      <c r="BB52" s="105"/>
      <c r="BC52" s="73"/>
    </row>
    <row r="53" spans="7:55" ht="98.1" customHeight="1">
      <c r="G53" s="56"/>
      <c r="M53" s="66"/>
      <c r="N53" s="141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1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3" t="s">
        <v>453</v>
      </c>
      <c r="C1" s="154"/>
      <c r="D1" s="154"/>
      <c r="E1" s="155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6" t="s">
        <v>466</v>
      </c>
      <c r="C5" s="156"/>
      <c r="D5" s="156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7"/>
      <c r="C6" s="158"/>
      <c r="D6" s="158"/>
      <c r="E6" s="159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3" t="s">
        <v>543</v>
      </c>
      <c r="C8" s="154"/>
      <c r="D8" s="154"/>
      <c r="E8" s="155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0" t="s">
        <v>573</v>
      </c>
      <c r="C9" s="161"/>
      <c r="D9" s="162"/>
      <c r="E9" s="38" t="s">
        <v>813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814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0"/>
      <c r="C17" s="151"/>
      <c r="D17" s="151"/>
      <c r="E17" s="152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794</v>
      </c>
      <c r="C1" s="16" t="s">
        <v>795</v>
      </c>
      <c r="D1" s="16" t="s">
        <v>793</v>
      </c>
      <c r="E1" s="137" t="s">
        <v>796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797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797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797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798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799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798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800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801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802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803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803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804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805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806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807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798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808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808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809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810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811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812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804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836</v>
      </c>
      <c r="C26" s="21" t="s">
        <v>811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837</v>
      </c>
      <c r="C27" s="21" t="s">
        <v>839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838</v>
      </c>
      <c r="C28" s="21" t="s">
        <v>860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861</v>
      </c>
      <c r="C29" s="21" t="s">
        <v>806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812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858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859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834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857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835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832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833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815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816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792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3" t="s">
        <v>556</v>
      </c>
      <c r="C20" s="164"/>
      <c r="D20" s="164"/>
      <c r="E20" s="164"/>
      <c r="F20" s="164"/>
      <c r="G20" s="164"/>
      <c r="H20" s="164"/>
      <c r="I20" s="164"/>
      <c r="J20" s="16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9" activePane="bottomLeft" state="frozen"/>
      <selection pane="bottomLeft" activeCell="D19" sqref="D19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4.85546875" style="50" bestFit="1" customWidth="1"/>
    <col min="20" max="20" width="30.57031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6</v>
      </c>
      <c r="Z1" s="77"/>
      <c r="AA1" s="77" t="str">
        <f>RIGHT(TEXT(MAX(AA2:AA6000),"###"),3)</f>
        <v>333</v>
      </c>
      <c r="AB1" s="78" t="str">
        <f>RIGHT("000"&amp;Y1,2)&amp;"-"&amp;RIGHT("000"&amp;AA1,3)</f>
        <v>06-333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06-334-</v>
      </c>
      <c r="AE1" s="80" t="s">
        <v>583</v>
      </c>
      <c r="AF1" s="110" t="s">
        <v>553</v>
      </c>
      <c r="AG1" s="80" t="s">
        <v>831</v>
      </c>
      <c r="AH1" s="149">
        <v>1</v>
      </c>
    </row>
    <row r="2" spans="1:34">
      <c r="A2" s="83" t="str">
        <f>IF(G2&amp;Q2&lt;&gt;"",S2&amp;Q2,"")</f>
        <v>36670A-CALIblk</v>
      </c>
      <c r="B2" s="83" t="str">
        <f>IF(C2&lt;&gt;"",LEFT(C2,9),"")</f>
        <v>06-001-09</v>
      </c>
      <c r="C2" s="106" t="s">
        <v>862</v>
      </c>
      <c r="D2" s="106" t="s">
        <v>863</v>
      </c>
      <c r="E2" s="106" t="s">
        <v>788</v>
      </c>
      <c r="F2" s="107">
        <v>0</v>
      </c>
      <c r="G2" s="106" t="s">
        <v>864</v>
      </c>
      <c r="H2" s="106" t="s">
        <v>53</v>
      </c>
      <c r="I2" s="106" t="s">
        <v>786</v>
      </c>
      <c r="J2" s="106" t="s">
        <v>327</v>
      </c>
      <c r="K2" s="106" t="s">
        <v>382</v>
      </c>
      <c r="L2" s="106" t="s">
        <v>865</v>
      </c>
      <c r="M2" s="106" t="s">
        <v>388</v>
      </c>
      <c r="N2" s="106" t="s">
        <v>43</v>
      </c>
      <c r="O2" s="106" t="s">
        <v>541</v>
      </c>
      <c r="P2" s="106" t="s">
        <v>866</v>
      </c>
      <c r="Q2" s="106" t="s">
        <v>843</v>
      </c>
      <c r="R2" s="106" t="s">
        <v>53</v>
      </c>
      <c r="S2" s="83" t="str">
        <f>IF(G2&lt;&gt;"",IF(StyleSpaceSplit,IFERROR(IF(FIND(" ",G2)&gt;=1,MID(G2,1,FIND(" ",G2)-1),G2),G2),G2),"")</f>
        <v>36670A-CALI</v>
      </c>
      <c r="T2" s="83" t="str">
        <f>IF(A2&lt;&gt;"",IFERROR(IF(FIND(" ",G2)&gt;=1,MID(G2,FIND(" ",G2)+1,LEN(G2)),""),G2),"")</f>
        <v>California New Raglan</v>
      </c>
      <c r="Y2" s="60">
        <f>IFERROR(VALUE(MID($C2,1,2)),0)</f>
        <v>6</v>
      </c>
      <c r="Z2" s="49">
        <f t="shared" ref="Z2:Z66" si="0">IFERROR(VALUE(MID($C2,4,3)),0)</f>
        <v>1</v>
      </c>
      <c r="AA2" s="60">
        <f>VALUE(RIGHT("00"&amp;Y2,2)&amp;RIGHT("000"&amp;Z2,3))</f>
        <v>6001</v>
      </c>
    </row>
    <row r="3" spans="1:34">
      <c r="A3" s="83" t="str">
        <f t="shared" ref="A3:A66" si="1">IF(G3&amp;Q3&lt;&gt;"",S3&amp;Q3,"")</f>
        <v>36670A-CALIdero</v>
      </c>
      <c r="B3" s="83" t="str">
        <f t="shared" ref="B3:B66" si="2">IF(C3&lt;&gt;"",LEFT(C3,9),"")</f>
        <v>06-001-06</v>
      </c>
      <c r="C3" s="106" t="s">
        <v>867</v>
      </c>
      <c r="D3" s="106" t="s">
        <v>868</v>
      </c>
      <c r="E3" s="106" t="s">
        <v>788</v>
      </c>
      <c r="F3" s="107">
        <v>0</v>
      </c>
      <c r="G3" s="106" t="s">
        <v>864</v>
      </c>
      <c r="H3" s="106" t="s">
        <v>71</v>
      </c>
      <c r="I3" s="106" t="s">
        <v>786</v>
      </c>
      <c r="J3" s="106" t="s">
        <v>327</v>
      </c>
      <c r="K3" s="106" t="s">
        <v>382</v>
      </c>
      <c r="L3" s="106" t="s">
        <v>865</v>
      </c>
      <c r="M3" s="106" t="s">
        <v>388</v>
      </c>
      <c r="N3" s="106" t="s">
        <v>43</v>
      </c>
      <c r="O3" s="106" t="s">
        <v>541</v>
      </c>
      <c r="P3" s="106" t="s">
        <v>866</v>
      </c>
      <c r="Q3" s="106" t="s">
        <v>869</v>
      </c>
      <c r="R3" s="106" t="s">
        <v>71</v>
      </c>
      <c r="S3" s="83" t="str">
        <f t="shared" ref="S3:S66" si="3">IF(G3&lt;&gt;"",IF(StyleSpaceSplit,IFERROR(IF(FIND(" ",G3)&gt;=1,MID(G3,1,FIND(" ",G3)-1),G3),G3),G3),"")</f>
        <v>36670A-CALI</v>
      </c>
      <c r="T3" s="83" t="str">
        <f t="shared" ref="T3:T66" si="4">IF(A3&lt;&gt;"",IFERROR(IF(FIND(" ",G3)&gt;=1,MID(G3,FIND(" ",G3)+1,LEN(G3)),""),G3),"")</f>
        <v>California New Raglan</v>
      </c>
      <c r="Y3" s="60">
        <f t="shared" ref="Y3:Y66" si="5">IFERROR(VALUE(MID($C3,1,2)),0)</f>
        <v>6</v>
      </c>
      <c r="Z3" s="49">
        <f t="shared" si="0"/>
        <v>1</v>
      </c>
      <c r="AA3" s="60">
        <f t="shared" ref="AA3:AA66" si="6">VALUE(RIGHT("00"&amp;Y3,2)&amp;RIGHT("000"&amp;Z3,3))</f>
        <v>6001</v>
      </c>
    </row>
    <row r="4" spans="1:34">
      <c r="A4" s="83" t="str">
        <f t="shared" si="1"/>
        <v>36670A-NASAblk</v>
      </c>
      <c r="B4" s="83" t="str">
        <f t="shared" si="2"/>
        <v>06-002-09</v>
      </c>
      <c r="C4" s="106" t="s">
        <v>870</v>
      </c>
      <c r="D4" s="106" t="s">
        <v>871</v>
      </c>
      <c r="E4" s="106" t="s">
        <v>788</v>
      </c>
      <c r="F4" s="107">
        <v>0</v>
      </c>
      <c r="G4" s="106" t="s">
        <v>872</v>
      </c>
      <c r="H4" s="106" t="s">
        <v>53</v>
      </c>
      <c r="I4" s="106" t="s">
        <v>786</v>
      </c>
      <c r="J4" s="106" t="s">
        <v>327</v>
      </c>
      <c r="K4" s="106" t="s">
        <v>382</v>
      </c>
      <c r="L4" s="106" t="s">
        <v>873</v>
      </c>
      <c r="M4" s="106" t="s">
        <v>388</v>
      </c>
      <c r="N4" s="106" t="s">
        <v>43</v>
      </c>
      <c r="O4" s="106" t="s">
        <v>541</v>
      </c>
      <c r="P4" s="106" t="s">
        <v>866</v>
      </c>
      <c r="Q4" s="106" t="s">
        <v>843</v>
      </c>
      <c r="R4" s="106" t="s">
        <v>53</v>
      </c>
      <c r="S4" s="83" t="str">
        <f t="shared" si="3"/>
        <v>36670A-NASA</v>
      </c>
      <c r="T4" s="83" t="str">
        <f t="shared" si="4"/>
        <v>Space with NASA New Raglan</v>
      </c>
      <c r="Y4" s="60">
        <f t="shared" si="5"/>
        <v>6</v>
      </c>
      <c r="Z4" s="49">
        <f t="shared" si="0"/>
        <v>2</v>
      </c>
      <c r="AA4" s="60">
        <f t="shared" si="6"/>
        <v>6002</v>
      </c>
    </row>
    <row r="5" spans="1:34">
      <c r="A5" s="83" t="str">
        <f t="shared" si="1"/>
        <v>36670A-NYnavy</v>
      </c>
      <c r="B5" s="83" t="str">
        <f t="shared" si="2"/>
        <v>06-003-16</v>
      </c>
      <c r="C5" s="106" t="s">
        <v>874</v>
      </c>
      <c r="D5" s="106" t="s">
        <v>875</v>
      </c>
      <c r="E5" s="106" t="s">
        <v>788</v>
      </c>
      <c r="F5" s="107">
        <v>0</v>
      </c>
      <c r="G5" s="106" t="s">
        <v>876</v>
      </c>
      <c r="H5" s="106" t="s">
        <v>55</v>
      </c>
      <c r="I5" s="106" t="s">
        <v>786</v>
      </c>
      <c r="J5" s="106" t="s">
        <v>327</v>
      </c>
      <c r="K5" s="106" t="s">
        <v>382</v>
      </c>
      <c r="L5" s="106" t="s">
        <v>865</v>
      </c>
      <c r="M5" s="106" t="s">
        <v>388</v>
      </c>
      <c r="N5" s="106" t="s">
        <v>43</v>
      </c>
      <c r="O5" s="106" t="s">
        <v>541</v>
      </c>
      <c r="P5" s="106" t="s">
        <v>866</v>
      </c>
      <c r="Q5" s="106" t="s">
        <v>818</v>
      </c>
      <c r="R5" s="106" t="s">
        <v>71</v>
      </c>
      <c r="S5" s="83" t="str">
        <f t="shared" si="3"/>
        <v>36670A-NY</v>
      </c>
      <c r="T5" s="83" t="str">
        <f t="shared" si="4"/>
        <v>New York New Raglan</v>
      </c>
      <c r="Y5" s="60">
        <f t="shared" si="5"/>
        <v>6</v>
      </c>
      <c r="Z5" s="49">
        <f t="shared" si="0"/>
        <v>3</v>
      </c>
      <c r="AA5" s="60">
        <f t="shared" si="6"/>
        <v>6003</v>
      </c>
    </row>
    <row r="6" spans="1:34">
      <c r="A6" s="83" t="str">
        <f t="shared" si="1"/>
        <v>36670A-TXdero</v>
      </c>
      <c r="B6" s="83" t="str">
        <f t="shared" si="2"/>
        <v>06-004-06</v>
      </c>
      <c r="C6" s="106" t="s">
        <v>877</v>
      </c>
      <c r="D6" s="106" t="s">
        <v>878</v>
      </c>
      <c r="E6" s="106" t="s">
        <v>788</v>
      </c>
      <c r="F6" s="107">
        <v>0</v>
      </c>
      <c r="G6" s="106" t="s">
        <v>879</v>
      </c>
      <c r="H6" s="106" t="s">
        <v>71</v>
      </c>
      <c r="I6" s="106" t="s">
        <v>786</v>
      </c>
      <c r="J6" s="106" t="s">
        <v>327</v>
      </c>
      <c r="K6" s="106" t="s">
        <v>382</v>
      </c>
      <c r="L6" s="106" t="s">
        <v>880</v>
      </c>
      <c r="M6" s="106" t="s">
        <v>388</v>
      </c>
      <c r="N6" s="106" t="s">
        <v>43</v>
      </c>
      <c r="O6" s="106" t="s">
        <v>541</v>
      </c>
      <c r="P6" s="106" t="s">
        <v>866</v>
      </c>
      <c r="Q6" s="106" t="s">
        <v>869</v>
      </c>
      <c r="R6" s="106" t="s">
        <v>71</v>
      </c>
      <c r="S6" s="83" t="str">
        <f t="shared" si="3"/>
        <v>36670A-TX</v>
      </c>
      <c r="T6" s="83" t="str">
        <f t="shared" si="4"/>
        <v>Texas New Raglan</v>
      </c>
      <c r="Y6" s="60">
        <f t="shared" si="5"/>
        <v>6</v>
      </c>
      <c r="Z6" s="49">
        <f t="shared" si="0"/>
        <v>4</v>
      </c>
      <c r="AA6" s="60">
        <f t="shared" si="6"/>
        <v>6004</v>
      </c>
    </row>
    <row r="7" spans="1:34">
      <c r="A7" s="83" t="str">
        <f t="shared" si="1"/>
        <v>36672A-NAPnavy</v>
      </c>
      <c r="B7" s="83" t="str">
        <f t="shared" si="2"/>
        <v>06-005-16</v>
      </c>
      <c r="C7" s="106" t="s">
        <v>881</v>
      </c>
      <c r="D7" s="106" t="s">
        <v>882</v>
      </c>
      <c r="E7" s="106" t="s">
        <v>788</v>
      </c>
      <c r="F7" s="107">
        <v>0</v>
      </c>
      <c r="G7" s="106" t="s">
        <v>883</v>
      </c>
      <c r="H7" s="106" t="s">
        <v>55</v>
      </c>
      <c r="I7" s="106" t="s">
        <v>786</v>
      </c>
      <c r="J7" s="106" t="s">
        <v>327</v>
      </c>
      <c r="K7" s="106" t="s">
        <v>382</v>
      </c>
      <c r="L7" s="106" t="s">
        <v>884</v>
      </c>
      <c r="M7" s="106" t="s">
        <v>388</v>
      </c>
      <c r="N7" s="106" t="s">
        <v>43</v>
      </c>
      <c r="O7" s="106" t="s">
        <v>541</v>
      </c>
      <c r="P7" s="106" t="s">
        <v>866</v>
      </c>
      <c r="Q7" s="106" t="s">
        <v>818</v>
      </c>
      <c r="R7" s="106" t="s">
        <v>71</v>
      </c>
      <c r="S7" s="83" t="str">
        <f t="shared" si="3"/>
        <v>36672A-NAP</v>
      </c>
      <c r="T7" s="83" t="str">
        <f t="shared" si="4"/>
        <v>Nashville Predators New Raglan NHL</v>
      </c>
      <c r="Y7" s="60">
        <f t="shared" si="5"/>
        <v>6</v>
      </c>
      <c r="Z7" s="49">
        <f t="shared" si="0"/>
        <v>5</v>
      </c>
      <c r="AA7" s="60">
        <f t="shared" si="6"/>
        <v>6005</v>
      </c>
    </row>
    <row r="8" spans="1:34">
      <c r="A8" s="83" t="str">
        <f t="shared" si="1"/>
        <v>400A1V-CBHblrd</v>
      </c>
      <c r="B8" s="83" t="str">
        <f t="shared" si="2"/>
        <v>06-006-72</v>
      </c>
      <c r="C8" s="106" t="s">
        <v>885</v>
      </c>
      <c r="D8" s="106" t="s">
        <v>886</v>
      </c>
      <c r="E8" s="106" t="s">
        <v>788</v>
      </c>
      <c r="F8" s="107">
        <v>0</v>
      </c>
      <c r="G8" s="106" t="s">
        <v>887</v>
      </c>
      <c r="H8" s="106" t="s">
        <v>302</v>
      </c>
      <c r="I8" s="106" t="s">
        <v>888</v>
      </c>
      <c r="J8" s="106" t="s">
        <v>792</v>
      </c>
      <c r="K8" s="106" t="s">
        <v>382</v>
      </c>
      <c r="L8" s="106" t="s">
        <v>884</v>
      </c>
      <c r="M8" s="106" t="s">
        <v>388</v>
      </c>
      <c r="N8" s="106" t="s">
        <v>44</v>
      </c>
      <c r="O8" s="106" t="s">
        <v>541</v>
      </c>
      <c r="P8" s="106" t="s">
        <v>866</v>
      </c>
      <c r="Q8" s="106" t="s">
        <v>889</v>
      </c>
      <c r="R8" s="106" t="s">
        <v>53</v>
      </c>
      <c r="S8" s="83" t="str">
        <f t="shared" si="3"/>
        <v>400A1V-CBH</v>
      </c>
      <c r="T8" s="83" t="str">
        <f t="shared" si="4"/>
        <v>Chicago Blackhawks 400 Series NHL</v>
      </c>
      <c r="Y8" s="60">
        <f t="shared" si="5"/>
        <v>6</v>
      </c>
      <c r="Z8" s="49">
        <f t="shared" si="0"/>
        <v>6</v>
      </c>
      <c r="AA8" s="60">
        <f t="shared" si="6"/>
        <v>6006</v>
      </c>
    </row>
    <row r="9" spans="1:34">
      <c r="A9" s="83" t="str">
        <f t="shared" si="1"/>
        <v>400A1V-CFLrdgd</v>
      </c>
      <c r="B9" s="83" t="str">
        <f t="shared" si="2"/>
        <v>06-007-76</v>
      </c>
      <c r="C9" s="106" t="s">
        <v>890</v>
      </c>
      <c r="D9" s="106" t="s">
        <v>891</v>
      </c>
      <c r="E9" s="106" t="s">
        <v>788</v>
      </c>
      <c r="F9" s="107">
        <v>0</v>
      </c>
      <c r="G9" s="106" t="s">
        <v>892</v>
      </c>
      <c r="H9" s="106" t="s">
        <v>180</v>
      </c>
      <c r="I9" s="106" t="s">
        <v>888</v>
      </c>
      <c r="J9" s="106" t="s">
        <v>792</v>
      </c>
      <c r="K9" s="106" t="s">
        <v>382</v>
      </c>
      <c r="L9" s="106" t="s">
        <v>893</v>
      </c>
      <c r="M9" s="106" t="s">
        <v>388</v>
      </c>
      <c r="N9" s="106" t="s">
        <v>44</v>
      </c>
      <c r="O9" s="106" t="s">
        <v>541</v>
      </c>
      <c r="P9" s="106" t="s">
        <v>866</v>
      </c>
      <c r="Q9" s="106" t="s">
        <v>894</v>
      </c>
      <c r="R9" s="106" t="s">
        <v>78</v>
      </c>
      <c r="S9" s="83" t="str">
        <f t="shared" si="3"/>
        <v>400A1V-CFL</v>
      </c>
      <c r="T9" s="83" t="str">
        <f t="shared" si="4"/>
        <v>Calgary Flames 400 Series NHL</v>
      </c>
      <c r="Y9" s="60">
        <f t="shared" si="5"/>
        <v>6</v>
      </c>
      <c r="Z9" s="49">
        <f t="shared" si="0"/>
        <v>7</v>
      </c>
      <c r="AA9" s="60">
        <f t="shared" si="6"/>
        <v>6007</v>
      </c>
    </row>
    <row r="10" spans="1:34">
      <c r="A10" s="83" t="str">
        <f t="shared" si="1"/>
        <v>400A1V-CXGbkpu</v>
      </c>
      <c r="B10" s="83" t="str">
        <f t="shared" si="2"/>
        <v>06-008-09</v>
      </c>
      <c r="C10" s="106" t="s">
        <v>895</v>
      </c>
      <c r="D10" s="106" t="s">
        <v>896</v>
      </c>
      <c r="E10" s="106" t="s">
        <v>788</v>
      </c>
      <c r="F10" s="107">
        <v>0</v>
      </c>
      <c r="G10" s="106" t="s">
        <v>897</v>
      </c>
      <c r="H10" s="106" t="s">
        <v>596</v>
      </c>
      <c r="I10" s="106" t="s">
        <v>888</v>
      </c>
      <c r="J10" s="106" t="s">
        <v>792</v>
      </c>
      <c r="K10" s="106" t="s">
        <v>382</v>
      </c>
      <c r="L10" s="106" t="s">
        <v>893</v>
      </c>
      <c r="M10" s="106" t="s">
        <v>388</v>
      </c>
      <c r="N10" s="106" t="s">
        <v>44</v>
      </c>
      <c r="O10" s="106" t="s">
        <v>541</v>
      </c>
      <c r="P10" s="106" t="s">
        <v>866</v>
      </c>
      <c r="Q10" s="106" t="s">
        <v>898</v>
      </c>
      <c r="R10" s="106" t="s">
        <v>53</v>
      </c>
      <c r="S10" s="83" t="str">
        <f t="shared" si="3"/>
        <v>400A1V-CXG</v>
      </c>
      <c r="T10" s="83" t="str">
        <f t="shared" si="4"/>
        <v>Cuban X-Giants 400 Series MILB</v>
      </c>
      <c r="Y10" s="60">
        <f t="shared" si="5"/>
        <v>6</v>
      </c>
      <c r="Z10" s="49">
        <f t="shared" si="0"/>
        <v>8</v>
      </c>
      <c r="AA10" s="60">
        <f t="shared" si="6"/>
        <v>6008</v>
      </c>
    </row>
    <row r="11" spans="1:34">
      <c r="A11" s="83" t="str">
        <f t="shared" si="1"/>
        <v>400A1V-DRWred</v>
      </c>
      <c r="B11" s="83" t="str">
        <f t="shared" si="2"/>
        <v>06-009-18</v>
      </c>
      <c r="C11" s="106" t="s">
        <v>899</v>
      </c>
      <c r="D11" s="106" t="s">
        <v>900</v>
      </c>
      <c r="E11" s="106" t="s">
        <v>788</v>
      </c>
      <c r="F11" s="107">
        <v>0</v>
      </c>
      <c r="G11" s="106" t="s">
        <v>901</v>
      </c>
      <c r="H11" s="106" t="s">
        <v>78</v>
      </c>
      <c r="I11" s="106" t="s">
        <v>888</v>
      </c>
      <c r="J11" s="106" t="s">
        <v>792</v>
      </c>
      <c r="K11" s="106" t="s">
        <v>382</v>
      </c>
      <c r="L11" s="106" t="s">
        <v>893</v>
      </c>
      <c r="M11" s="106" t="s">
        <v>388</v>
      </c>
      <c r="N11" s="106" t="s">
        <v>44</v>
      </c>
      <c r="O11" s="106" t="s">
        <v>541</v>
      </c>
      <c r="P11" s="106" t="s">
        <v>866</v>
      </c>
      <c r="Q11" s="106" t="s">
        <v>822</v>
      </c>
      <c r="R11" s="106" t="s">
        <v>78</v>
      </c>
      <c r="S11" s="83" t="str">
        <f t="shared" si="3"/>
        <v>400A1V-DRW</v>
      </c>
      <c r="T11" s="83" t="str">
        <f t="shared" si="4"/>
        <v>Detroit Red Wings 400 Series NHL</v>
      </c>
      <c r="Y11" s="60">
        <f t="shared" si="5"/>
        <v>6</v>
      </c>
      <c r="Z11" s="49">
        <f t="shared" si="0"/>
        <v>9</v>
      </c>
      <c r="AA11" s="60">
        <f t="shared" si="6"/>
        <v>6009</v>
      </c>
    </row>
    <row r="12" spans="1:34">
      <c r="A12" s="83" t="str">
        <f t="shared" si="1"/>
        <v>400A1V-HAIkgrn</v>
      </c>
      <c r="B12" s="83" t="str">
        <f t="shared" si="2"/>
        <v>06-010-11</v>
      </c>
      <c r="C12" s="106" t="s">
        <v>902</v>
      </c>
      <c r="D12" s="106" t="s">
        <v>903</v>
      </c>
      <c r="E12" s="106" t="s">
        <v>788</v>
      </c>
      <c r="F12" s="107">
        <v>0</v>
      </c>
      <c r="G12" s="106" t="s">
        <v>904</v>
      </c>
      <c r="H12" s="106" t="s">
        <v>60</v>
      </c>
      <c r="I12" s="106" t="s">
        <v>888</v>
      </c>
      <c r="J12" s="106" t="s">
        <v>792</v>
      </c>
      <c r="K12" s="106" t="s">
        <v>382</v>
      </c>
      <c r="L12" s="106" t="s">
        <v>893</v>
      </c>
      <c r="M12" s="106" t="s">
        <v>388</v>
      </c>
      <c r="N12" s="106" t="s">
        <v>44</v>
      </c>
      <c r="O12" s="106" t="s">
        <v>541</v>
      </c>
      <c r="P12" s="106" t="s">
        <v>866</v>
      </c>
      <c r="Q12" s="106" t="s">
        <v>905</v>
      </c>
      <c r="R12" s="106" t="s">
        <v>60</v>
      </c>
      <c r="S12" s="83" t="str">
        <f t="shared" si="3"/>
        <v>400A1V-HAI</v>
      </c>
      <c r="T12" s="83" t="str">
        <f t="shared" si="4"/>
        <v>Hawaii Islanders 400 Series MILB</v>
      </c>
      <c r="Y12" s="60">
        <f t="shared" si="5"/>
        <v>6</v>
      </c>
      <c r="Z12" s="49">
        <f t="shared" si="0"/>
        <v>10</v>
      </c>
      <c r="AA12" s="60">
        <f t="shared" si="6"/>
        <v>6010</v>
      </c>
    </row>
    <row r="13" spans="1:34">
      <c r="A13" s="83" t="str">
        <f t="shared" si="1"/>
        <v>400A1V-HOSgyrd</v>
      </c>
      <c r="B13" s="83" t="str">
        <f t="shared" si="2"/>
        <v>06-011-08</v>
      </c>
      <c r="C13" s="106" t="s">
        <v>906</v>
      </c>
      <c r="D13" s="106" t="s">
        <v>907</v>
      </c>
      <c r="E13" s="106" t="s">
        <v>788</v>
      </c>
      <c r="F13" s="107">
        <v>0</v>
      </c>
      <c r="G13" s="106" t="s">
        <v>908</v>
      </c>
      <c r="H13" s="106" t="s">
        <v>241</v>
      </c>
      <c r="I13" s="106" t="s">
        <v>888</v>
      </c>
      <c r="J13" s="106" t="s">
        <v>792</v>
      </c>
      <c r="K13" s="106" t="s">
        <v>382</v>
      </c>
      <c r="L13" s="106" t="s">
        <v>893</v>
      </c>
      <c r="M13" s="106" t="s">
        <v>388</v>
      </c>
      <c r="N13" s="106" t="s">
        <v>44</v>
      </c>
      <c r="O13" s="106" t="s">
        <v>541</v>
      </c>
      <c r="P13" s="106" t="s">
        <v>866</v>
      </c>
      <c r="Q13" s="106" t="s">
        <v>909</v>
      </c>
      <c r="R13" s="106" t="s">
        <v>83</v>
      </c>
      <c r="S13" s="83" t="str">
        <f t="shared" si="3"/>
        <v>400A1V-HOS</v>
      </c>
      <c r="T13" s="83" t="str">
        <f t="shared" si="4"/>
        <v>Hollywood Stars 400 Series MILB</v>
      </c>
      <c r="Y13" s="60">
        <f t="shared" si="5"/>
        <v>6</v>
      </c>
      <c r="Z13" s="49">
        <f t="shared" si="0"/>
        <v>11</v>
      </c>
      <c r="AA13" s="60">
        <f t="shared" si="6"/>
        <v>6011</v>
      </c>
    </row>
    <row r="14" spans="1:34">
      <c r="A14" s="83" t="str">
        <f t="shared" si="1"/>
        <v>400A1V-LAKbllg</v>
      </c>
      <c r="B14" s="83" t="str">
        <f t="shared" si="2"/>
        <v>06-012-10</v>
      </c>
      <c r="C14" s="106" t="s">
        <v>910</v>
      </c>
      <c r="D14" s="106" t="s">
        <v>911</v>
      </c>
      <c r="E14" s="106" t="s">
        <v>788</v>
      </c>
      <c r="F14" s="107">
        <v>0</v>
      </c>
      <c r="G14" s="106" t="s">
        <v>912</v>
      </c>
      <c r="H14" s="106" t="s">
        <v>308</v>
      </c>
      <c r="I14" s="106" t="s">
        <v>888</v>
      </c>
      <c r="J14" s="106" t="s">
        <v>792</v>
      </c>
      <c r="K14" s="106" t="s">
        <v>382</v>
      </c>
      <c r="L14" s="106" t="s">
        <v>893</v>
      </c>
      <c r="M14" s="106" t="s">
        <v>388</v>
      </c>
      <c r="N14" s="106" t="s">
        <v>44</v>
      </c>
      <c r="O14" s="106" t="s">
        <v>541</v>
      </c>
      <c r="P14" s="106" t="s">
        <v>866</v>
      </c>
      <c r="Q14" s="106" t="s">
        <v>913</v>
      </c>
      <c r="R14" s="106" t="s">
        <v>53</v>
      </c>
      <c r="S14" s="83" t="str">
        <f t="shared" si="3"/>
        <v>400A1V-LAK</v>
      </c>
      <c r="T14" s="83" t="str">
        <f t="shared" si="4"/>
        <v>Los Angeles Kings 400 Series NHL</v>
      </c>
      <c r="Y14" s="60">
        <f t="shared" si="5"/>
        <v>6</v>
      </c>
      <c r="Z14" s="49">
        <f t="shared" si="0"/>
        <v>12</v>
      </c>
      <c r="AA14" s="60">
        <f t="shared" si="6"/>
        <v>6012</v>
      </c>
    </row>
    <row r="15" spans="1:34">
      <c r="A15" s="83" t="str">
        <f t="shared" si="1"/>
        <v>400A1V-LOSroy</v>
      </c>
      <c r="B15" s="83" t="str">
        <f t="shared" si="2"/>
        <v>06-013-06</v>
      </c>
      <c r="C15" s="106" t="s">
        <v>914</v>
      </c>
      <c r="D15" s="106" t="s">
        <v>915</v>
      </c>
      <c r="E15" s="106" t="s">
        <v>788</v>
      </c>
      <c r="F15" s="107">
        <v>0</v>
      </c>
      <c r="G15" s="106" t="s">
        <v>916</v>
      </c>
      <c r="H15" s="106" t="s">
        <v>71</v>
      </c>
      <c r="I15" s="106" t="s">
        <v>888</v>
      </c>
      <c r="J15" s="106" t="s">
        <v>792</v>
      </c>
      <c r="K15" s="106" t="s">
        <v>382</v>
      </c>
      <c r="L15" s="106" t="s">
        <v>893</v>
      </c>
      <c r="M15" s="106" t="s">
        <v>388</v>
      </c>
      <c r="N15" s="106" t="s">
        <v>44</v>
      </c>
      <c r="O15" s="106" t="s">
        <v>541</v>
      </c>
      <c r="P15" s="106" t="s">
        <v>866</v>
      </c>
      <c r="Q15" s="106" t="s">
        <v>917</v>
      </c>
      <c r="R15" s="106" t="s">
        <v>71</v>
      </c>
      <c r="S15" s="83" t="str">
        <f t="shared" si="3"/>
        <v>400A1V-LOS</v>
      </c>
      <c r="T15" s="83" t="str">
        <f t="shared" si="4"/>
        <v>Los Angeles Angels 400 Series MILB</v>
      </c>
      <c r="Y15" s="60">
        <f t="shared" si="5"/>
        <v>6</v>
      </c>
      <c r="Z15" s="49">
        <f t="shared" si="0"/>
        <v>13</v>
      </c>
      <c r="AA15" s="60">
        <f t="shared" si="6"/>
        <v>6013</v>
      </c>
    </row>
    <row r="16" spans="1:34">
      <c r="A16" s="83" t="str">
        <f t="shared" si="1"/>
        <v>400A1V-MOCnvrd</v>
      </c>
      <c r="B16" s="83" t="str">
        <f t="shared" si="2"/>
        <v>06-014-21</v>
      </c>
      <c r="C16" s="106" t="s">
        <v>918</v>
      </c>
      <c r="D16" s="106" t="s">
        <v>919</v>
      </c>
      <c r="E16" s="106" t="s">
        <v>788</v>
      </c>
      <c r="F16" s="107">
        <v>0</v>
      </c>
      <c r="G16" s="106" t="s">
        <v>920</v>
      </c>
      <c r="H16" s="106" t="s">
        <v>252</v>
      </c>
      <c r="I16" s="106" t="s">
        <v>888</v>
      </c>
      <c r="J16" s="106" t="s">
        <v>792</v>
      </c>
      <c r="K16" s="106" t="s">
        <v>382</v>
      </c>
      <c r="L16" s="106" t="s">
        <v>884</v>
      </c>
      <c r="M16" s="106" t="s">
        <v>388</v>
      </c>
      <c r="N16" s="106" t="s">
        <v>44</v>
      </c>
      <c r="O16" s="106" t="s">
        <v>541</v>
      </c>
      <c r="P16" s="106" t="s">
        <v>866</v>
      </c>
      <c r="Q16" s="106" t="s">
        <v>921</v>
      </c>
      <c r="R16" s="106" t="s">
        <v>71</v>
      </c>
      <c r="S16" s="83" t="str">
        <f t="shared" si="3"/>
        <v>400A1V-MOC</v>
      </c>
      <c r="T16" s="83" t="str">
        <f t="shared" si="4"/>
        <v>Montreal Canadiens 400 Series NHL</v>
      </c>
      <c r="Y16" s="60">
        <f t="shared" si="5"/>
        <v>6</v>
      </c>
      <c r="Z16" s="49">
        <f t="shared" si="0"/>
        <v>14</v>
      </c>
      <c r="AA16" s="60">
        <f t="shared" si="6"/>
        <v>6014</v>
      </c>
    </row>
    <row r="17" spans="1:27">
      <c r="A17" s="83" t="str">
        <f t="shared" si="1"/>
        <v>400A1V-NYRroy</v>
      </c>
      <c r="B17" s="83" t="str">
        <f t="shared" si="2"/>
        <v>06-015-06</v>
      </c>
      <c r="C17" s="106" t="s">
        <v>922</v>
      </c>
      <c r="D17" s="106" t="s">
        <v>923</v>
      </c>
      <c r="E17" s="106" t="s">
        <v>788</v>
      </c>
      <c r="F17" s="107">
        <v>0</v>
      </c>
      <c r="G17" s="106" t="s">
        <v>924</v>
      </c>
      <c r="H17" s="106" t="s">
        <v>71</v>
      </c>
      <c r="I17" s="106" t="s">
        <v>888</v>
      </c>
      <c r="J17" s="106" t="s">
        <v>792</v>
      </c>
      <c r="K17" s="106" t="s">
        <v>382</v>
      </c>
      <c r="L17" s="106" t="s">
        <v>884</v>
      </c>
      <c r="M17" s="106" t="s">
        <v>388</v>
      </c>
      <c r="N17" s="106" t="s">
        <v>44</v>
      </c>
      <c r="O17" s="106" t="s">
        <v>541</v>
      </c>
      <c r="P17" s="106" t="s">
        <v>866</v>
      </c>
      <c r="Q17" s="106" t="s">
        <v>917</v>
      </c>
      <c r="R17" s="106" t="s">
        <v>71</v>
      </c>
      <c r="S17" s="83" t="str">
        <f t="shared" si="3"/>
        <v>400A1V-NYR</v>
      </c>
      <c r="T17" s="83" t="str">
        <f t="shared" si="4"/>
        <v>New York Rangers 400 Series NHL</v>
      </c>
      <c r="Y17" s="60">
        <f t="shared" si="5"/>
        <v>6</v>
      </c>
      <c r="Z17" s="49">
        <f t="shared" si="0"/>
        <v>15</v>
      </c>
      <c r="AA17" s="60">
        <f t="shared" si="6"/>
        <v>6015</v>
      </c>
    </row>
    <row r="18" spans="1:27">
      <c r="A18" s="83" t="str">
        <f t="shared" si="1"/>
        <v>400A1V-PCObkca</v>
      </c>
      <c r="B18" s="83" t="str">
        <f t="shared" si="2"/>
        <v>06-016-09</v>
      </c>
      <c r="C18" s="106" t="s">
        <v>925</v>
      </c>
      <c r="D18" s="106" t="s">
        <v>926</v>
      </c>
      <c r="E18" s="106" t="s">
        <v>788</v>
      </c>
      <c r="F18" s="107">
        <v>0</v>
      </c>
      <c r="G18" s="106" t="s">
        <v>927</v>
      </c>
      <c r="H18" s="106" t="s">
        <v>294</v>
      </c>
      <c r="I18" s="106" t="s">
        <v>888</v>
      </c>
      <c r="J18" s="106" t="s">
        <v>792</v>
      </c>
      <c r="K18" s="106" t="s">
        <v>382</v>
      </c>
      <c r="L18" s="106" t="s">
        <v>893</v>
      </c>
      <c r="M18" s="106" t="s">
        <v>388</v>
      </c>
      <c r="N18" s="106" t="s">
        <v>44</v>
      </c>
      <c r="O18" s="106" t="s">
        <v>541</v>
      </c>
      <c r="P18" s="106" t="s">
        <v>866</v>
      </c>
      <c r="Q18" s="106" t="s">
        <v>928</v>
      </c>
      <c r="R18" s="106" t="s">
        <v>53</v>
      </c>
      <c r="S18" s="83" t="str">
        <f t="shared" si="3"/>
        <v>400A1V-PCO</v>
      </c>
      <c r="T18" s="83" t="str">
        <f t="shared" si="4"/>
        <v>Arizona Coyotes 400 Series NHL</v>
      </c>
      <c r="Y18" s="60">
        <f t="shared" si="5"/>
        <v>6</v>
      </c>
      <c r="Z18" s="49">
        <f t="shared" si="0"/>
        <v>16</v>
      </c>
      <c r="AA18" s="60">
        <f t="shared" si="6"/>
        <v>6016</v>
      </c>
    </row>
    <row r="19" spans="1:27">
      <c r="A19" s="83" t="str">
        <f t="shared" si="1"/>
        <v>400A1V-PHFblor</v>
      </c>
      <c r="B19" s="83" t="str">
        <f t="shared" si="2"/>
        <v>06-017-09</v>
      </c>
      <c r="C19" s="106" t="s">
        <v>929</v>
      </c>
      <c r="D19" s="106" t="s">
        <v>930</v>
      </c>
      <c r="E19" s="106" t="s">
        <v>788</v>
      </c>
      <c r="F19" s="107">
        <v>0</v>
      </c>
      <c r="G19" s="106" t="s">
        <v>931</v>
      </c>
      <c r="H19" s="106" t="s">
        <v>306</v>
      </c>
      <c r="I19" s="106" t="s">
        <v>888</v>
      </c>
      <c r="J19" s="106" t="s">
        <v>792</v>
      </c>
      <c r="K19" s="106" t="s">
        <v>382</v>
      </c>
      <c r="L19" s="106" t="s">
        <v>893</v>
      </c>
      <c r="M19" s="106" t="s">
        <v>388</v>
      </c>
      <c r="N19" s="106" t="s">
        <v>44</v>
      </c>
      <c r="O19" s="106" t="s">
        <v>541</v>
      </c>
      <c r="P19" s="106" t="s">
        <v>866</v>
      </c>
      <c r="Q19" s="106" t="s">
        <v>932</v>
      </c>
      <c r="R19" s="106" t="s">
        <v>53</v>
      </c>
      <c r="S19" s="83" t="str">
        <f t="shared" si="3"/>
        <v>400A1V-PHF</v>
      </c>
      <c r="T19" s="83" t="str">
        <f t="shared" si="4"/>
        <v>Philadelphia Flyers 400 Series NHL</v>
      </c>
      <c r="Y19" s="60">
        <f t="shared" si="5"/>
        <v>6</v>
      </c>
      <c r="Z19" s="49">
        <f t="shared" si="0"/>
        <v>17</v>
      </c>
      <c r="AA19" s="60">
        <f t="shared" si="6"/>
        <v>6017</v>
      </c>
    </row>
    <row r="20" spans="1:27">
      <c r="A20" s="83" t="str">
        <f t="shared" si="1"/>
        <v>400A1V-TMLroy</v>
      </c>
      <c r="B20" s="83" t="str">
        <f t="shared" si="2"/>
        <v>06-018-06</v>
      </c>
      <c r="C20" s="106" t="s">
        <v>933</v>
      </c>
      <c r="D20" s="106" t="s">
        <v>934</v>
      </c>
      <c r="E20" s="106" t="s">
        <v>788</v>
      </c>
      <c r="F20" s="107">
        <v>0</v>
      </c>
      <c r="G20" s="106" t="s">
        <v>935</v>
      </c>
      <c r="H20" s="106" t="s">
        <v>71</v>
      </c>
      <c r="I20" s="106" t="s">
        <v>888</v>
      </c>
      <c r="J20" s="106" t="s">
        <v>792</v>
      </c>
      <c r="K20" s="106" t="s">
        <v>382</v>
      </c>
      <c r="L20" s="106" t="s">
        <v>893</v>
      </c>
      <c r="M20" s="106" t="s">
        <v>388</v>
      </c>
      <c r="N20" s="106" t="s">
        <v>44</v>
      </c>
      <c r="O20" s="106" t="s">
        <v>541</v>
      </c>
      <c r="P20" s="106" t="s">
        <v>866</v>
      </c>
      <c r="Q20" s="106" t="s">
        <v>917</v>
      </c>
      <c r="R20" s="106" t="s">
        <v>71</v>
      </c>
      <c r="S20" s="83" t="str">
        <f t="shared" si="3"/>
        <v>400A1V-TML</v>
      </c>
      <c r="T20" s="83" t="str">
        <f t="shared" si="4"/>
        <v>Toronto Maple Leafs 400 Series NHL</v>
      </c>
      <c r="Y20" s="60">
        <f t="shared" si="5"/>
        <v>6</v>
      </c>
      <c r="Z20" s="49">
        <f t="shared" si="0"/>
        <v>18</v>
      </c>
      <c r="AA20" s="60">
        <f t="shared" si="6"/>
        <v>6018</v>
      </c>
    </row>
    <row r="21" spans="1:27">
      <c r="A21" s="83" t="str">
        <f t="shared" si="1"/>
        <v>400A1V-WACrdry</v>
      </c>
      <c r="B21" s="83" t="str">
        <f t="shared" si="2"/>
        <v>06-019-18</v>
      </c>
      <c r="C21" s="106" t="s">
        <v>936</v>
      </c>
      <c r="D21" s="106" t="s">
        <v>937</v>
      </c>
      <c r="E21" s="106" t="s">
        <v>788</v>
      </c>
      <c r="F21" s="107">
        <v>0</v>
      </c>
      <c r="G21" s="106" t="s">
        <v>938</v>
      </c>
      <c r="H21" s="106" t="s">
        <v>185</v>
      </c>
      <c r="I21" s="106" t="s">
        <v>888</v>
      </c>
      <c r="J21" s="106" t="s">
        <v>792</v>
      </c>
      <c r="K21" s="106" t="s">
        <v>382</v>
      </c>
      <c r="L21" s="106" t="s">
        <v>893</v>
      </c>
      <c r="M21" s="106" t="s">
        <v>388</v>
      </c>
      <c r="N21" s="106" t="s">
        <v>44</v>
      </c>
      <c r="O21" s="106" t="s">
        <v>541</v>
      </c>
      <c r="P21" s="106" t="s">
        <v>866</v>
      </c>
      <c r="Q21" s="106" t="s">
        <v>939</v>
      </c>
      <c r="R21" s="106" t="s">
        <v>78</v>
      </c>
      <c r="S21" s="83" t="str">
        <f t="shared" si="3"/>
        <v>400A1V-WAC</v>
      </c>
      <c r="T21" s="83" t="str">
        <f t="shared" si="4"/>
        <v>Washington Capitals 400 Series NHL</v>
      </c>
      <c r="Y21" s="60">
        <f t="shared" si="5"/>
        <v>6</v>
      </c>
      <c r="Z21" s="49">
        <f t="shared" si="0"/>
        <v>19</v>
      </c>
      <c r="AA21" s="60">
        <f t="shared" si="6"/>
        <v>6019</v>
      </c>
    </row>
    <row r="22" spans="1:27">
      <c r="A22" s="83" t="str">
        <f t="shared" si="1"/>
        <v>400A2V-CBHrdbl</v>
      </c>
      <c r="B22" s="83" t="str">
        <f t="shared" si="2"/>
        <v>06-020-72</v>
      </c>
      <c r="C22" s="106" t="s">
        <v>940</v>
      </c>
      <c r="D22" s="106" t="s">
        <v>941</v>
      </c>
      <c r="E22" s="106" t="s">
        <v>788</v>
      </c>
      <c r="F22" s="107">
        <v>0</v>
      </c>
      <c r="G22" s="106" t="s">
        <v>942</v>
      </c>
      <c r="H22" s="106" t="s">
        <v>186</v>
      </c>
      <c r="I22" s="106" t="s">
        <v>888</v>
      </c>
      <c r="J22" s="106" t="s">
        <v>792</v>
      </c>
      <c r="K22" s="106" t="s">
        <v>382</v>
      </c>
      <c r="L22" s="106" t="s">
        <v>884</v>
      </c>
      <c r="M22" s="106" t="s">
        <v>388</v>
      </c>
      <c r="N22" s="106" t="s">
        <v>44</v>
      </c>
      <c r="O22" s="106" t="s">
        <v>541</v>
      </c>
      <c r="P22" s="106" t="s">
        <v>866</v>
      </c>
      <c r="Q22" s="106" t="s">
        <v>943</v>
      </c>
      <c r="R22" s="106" t="s">
        <v>78</v>
      </c>
      <c r="S22" s="83" t="str">
        <f t="shared" si="3"/>
        <v>400A2V-CBH</v>
      </c>
      <c r="T22" s="83" t="str">
        <f t="shared" si="4"/>
        <v>Chicago Blackhawks 400 Series NHL</v>
      </c>
      <c r="Y22" s="60">
        <f t="shared" si="5"/>
        <v>6</v>
      </c>
      <c r="Z22" s="49">
        <f t="shared" si="0"/>
        <v>20</v>
      </c>
      <c r="AA22" s="60">
        <f t="shared" si="6"/>
        <v>6020</v>
      </c>
    </row>
    <row r="23" spans="1:27">
      <c r="A23" s="83" t="str">
        <f t="shared" si="1"/>
        <v>400A2V-LAKblk</v>
      </c>
      <c r="B23" s="83" t="str">
        <f t="shared" si="2"/>
        <v>06-021-09</v>
      </c>
      <c r="C23" s="106" t="s">
        <v>944</v>
      </c>
      <c r="D23" s="106" t="s">
        <v>945</v>
      </c>
      <c r="E23" s="106" t="s">
        <v>788</v>
      </c>
      <c r="F23" s="107">
        <v>0</v>
      </c>
      <c r="G23" s="106" t="s">
        <v>946</v>
      </c>
      <c r="H23" s="106" t="s">
        <v>53</v>
      </c>
      <c r="I23" s="106" t="s">
        <v>888</v>
      </c>
      <c r="J23" s="106" t="s">
        <v>792</v>
      </c>
      <c r="K23" s="106" t="s">
        <v>382</v>
      </c>
      <c r="L23" s="106" t="s">
        <v>893</v>
      </c>
      <c r="M23" s="106" t="s">
        <v>388</v>
      </c>
      <c r="N23" s="106" t="s">
        <v>44</v>
      </c>
      <c r="O23" s="106" t="s">
        <v>541</v>
      </c>
      <c r="P23" s="106" t="s">
        <v>866</v>
      </c>
      <c r="Q23" s="106" t="s">
        <v>843</v>
      </c>
      <c r="R23" s="106" t="s">
        <v>53</v>
      </c>
      <c r="S23" s="83" t="str">
        <f t="shared" si="3"/>
        <v>400A2V-LAK</v>
      </c>
      <c r="T23" s="83" t="str">
        <f t="shared" si="4"/>
        <v>Los Angeles Kings 400 Series NHL</v>
      </c>
      <c r="Y23" s="60">
        <f t="shared" si="5"/>
        <v>6</v>
      </c>
      <c r="Z23" s="49">
        <f t="shared" si="0"/>
        <v>21</v>
      </c>
      <c r="AA23" s="60">
        <f t="shared" si="6"/>
        <v>6021</v>
      </c>
    </row>
    <row r="24" spans="1:27">
      <c r="A24" s="83" t="str">
        <f t="shared" si="1"/>
        <v>400A2V-NYIblk</v>
      </c>
      <c r="B24" s="83" t="str">
        <f t="shared" si="2"/>
        <v>06-022-09</v>
      </c>
      <c r="C24" s="106" t="s">
        <v>947</v>
      </c>
      <c r="D24" s="106" t="s">
        <v>948</v>
      </c>
      <c r="E24" s="106" t="s">
        <v>788</v>
      </c>
      <c r="F24" s="107">
        <v>0</v>
      </c>
      <c r="G24" s="106" t="s">
        <v>949</v>
      </c>
      <c r="H24" s="106" t="s">
        <v>53</v>
      </c>
      <c r="I24" s="106" t="s">
        <v>888</v>
      </c>
      <c r="J24" s="106" t="s">
        <v>792</v>
      </c>
      <c r="K24" s="106" t="s">
        <v>382</v>
      </c>
      <c r="L24" s="106" t="s">
        <v>893</v>
      </c>
      <c r="M24" s="106" t="s">
        <v>388</v>
      </c>
      <c r="N24" s="106" t="s">
        <v>44</v>
      </c>
      <c r="O24" s="106" t="s">
        <v>541</v>
      </c>
      <c r="P24" s="106" t="s">
        <v>866</v>
      </c>
      <c r="Q24" s="106" t="s">
        <v>843</v>
      </c>
      <c r="R24" s="106" t="s">
        <v>53</v>
      </c>
      <c r="S24" s="83" t="str">
        <f t="shared" si="3"/>
        <v>400A2V-NYI</v>
      </c>
      <c r="T24" s="83" t="str">
        <f t="shared" si="4"/>
        <v>New York Islanders 400 Series NHL</v>
      </c>
      <c r="Y24" s="60">
        <f t="shared" si="5"/>
        <v>6</v>
      </c>
      <c r="Z24" s="49">
        <f t="shared" si="0"/>
        <v>22</v>
      </c>
      <c r="AA24" s="60">
        <f t="shared" si="6"/>
        <v>6022</v>
      </c>
    </row>
    <row r="25" spans="1:27">
      <c r="A25" s="83" t="str">
        <f t="shared" si="1"/>
        <v>400A2V-NYRnvrd</v>
      </c>
      <c r="B25" s="83" t="str">
        <f t="shared" si="2"/>
        <v>06-023-21</v>
      </c>
      <c r="C25" s="106" t="s">
        <v>950</v>
      </c>
      <c r="D25" s="106" t="s">
        <v>951</v>
      </c>
      <c r="E25" s="106" t="s">
        <v>788</v>
      </c>
      <c r="F25" s="107">
        <v>0</v>
      </c>
      <c r="G25" s="106" t="s">
        <v>952</v>
      </c>
      <c r="H25" s="106" t="s">
        <v>252</v>
      </c>
      <c r="I25" s="106" t="s">
        <v>888</v>
      </c>
      <c r="J25" s="106" t="s">
        <v>792</v>
      </c>
      <c r="K25" s="106" t="s">
        <v>382</v>
      </c>
      <c r="L25" s="106" t="s">
        <v>884</v>
      </c>
      <c r="M25" s="106" t="s">
        <v>388</v>
      </c>
      <c r="N25" s="106" t="s">
        <v>44</v>
      </c>
      <c r="O25" s="106" t="s">
        <v>541</v>
      </c>
      <c r="P25" s="106" t="s">
        <v>866</v>
      </c>
      <c r="Q25" s="106" t="s">
        <v>921</v>
      </c>
      <c r="R25" s="106" t="s">
        <v>71</v>
      </c>
      <c r="S25" s="83" t="str">
        <f t="shared" si="3"/>
        <v>400A2V-NYR</v>
      </c>
      <c r="T25" s="83" t="str">
        <f t="shared" si="4"/>
        <v>New York Rangers 400 Series NHL</v>
      </c>
      <c r="Y25" s="60">
        <f t="shared" si="5"/>
        <v>6</v>
      </c>
      <c r="Z25" s="49">
        <f t="shared" si="0"/>
        <v>23</v>
      </c>
      <c r="AA25" s="60">
        <f t="shared" si="6"/>
        <v>6023</v>
      </c>
    </row>
    <row r="26" spans="1:27">
      <c r="A26" s="83" t="str">
        <f t="shared" si="1"/>
        <v>400A4V-CBHlbdr</v>
      </c>
      <c r="B26" s="83" t="str">
        <f t="shared" si="2"/>
        <v>06-024-19</v>
      </c>
      <c r="C26" s="106" t="s">
        <v>953</v>
      </c>
      <c r="D26" s="106" t="s">
        <v>954</v>
      </c>
      <c r="E26" s="106" t="s">
        <v>788</v>
      </c>
      <c r="F26" s="107">
        <v>0</v>
      </c>
      <c r="G26" s="106" t="s">
        <v>955</v>
      </c>
      <c r="H26" s="106" t="s">
        <v>135</v>
      </c>
      <c r="I26" s="106" t="s">
        <v>888</v>
      </c>
      <c r="J26" s="106" t="s">
        <v>792</v>
      </c>
      <c r="K26" s="106" t="s">
        <v>382</v>
      </c>
      <c r="L26" s="106" t="s">
        <v>893</v>
      </c>
      <c r="M26" s="106" t="s">
        <v>388</v>
      </c>
      <c r="N26" s="106" t="s">
        <v>44</v>
      </c>
      <c r="O26" s="106" t="s">
        <v>541</v>
      </c>
      <c r="P26" s="106" t="s">
        <v>866</v>
      </c>
      <c r="Q26" s="106" t="s">
        <v>956</v>
      </c>
      <c r="R26" s="106" t="s">
        <v>91</v>
      </c>
      <c r="S26" s="83" t="str">
        <f t="shared" si="3"/>
        <v>400A4V-CBH</v>
      </c>
      <c r="T26" s="83" t="str">
        <f t="shared" si="4"/>
        <v>Chicago Blackhawks 400 Series NHL</v>
      </c>
      <c r="Y26" s="60">
        <f t="shared" si="5"/>
        <v>6</v>
      </c>
      <c r="Z26" s="49">
        <f t="shared" si="0"/>
        <v>24</v>
      </c>
      <c r="AA26" s="60">
        <f t="shared" si="6"/>
        <v>6024</v>
      </c>
    </row>
    <row r="27" spans="1:27">
      <c r="A27" s="83" t="str">
        <f t="shared" si="1"/>
        <v>40742A-AMDblk</v>
      </c>
      <c r="B27" s="83" t="str">
        <f t="shared" si="2"/>
        <v>06-025-09</v>
      </c>
      <c r="C27" s="106" t="s">
        <v>957</v>
      </c>
      <c r="D27" s="106" t="s">
        <v>958</v>
      </c>
      <c r="E27" s="106" t="s">
        <v>788</v>
      </c>
      <c r="F27" s="107">
        <v>0</v>
      </c>
      <c r="G27" s="106" t="s">
        <v>959</v>
      </c>
      <c r="H27" s="106" t="s">
        <v>53</v>
      </c>
      <c r="I27" s="106" t="s">
        <v>786</v>
      </c>
      <c r="J27" s="106" t="s">
        <v>327</v>
      </c>
      <c r="K27" s="106" t="s">
        <v>382</v>
      </c>
      <c r="L27" s="106" t="s">
        <v>893</v>
      </c>
      <c r="M27" s="106" t="s">
        <v>388</v>
      </c>
      <c r="N27" s="106" t="s">
        <v>43</v>
      </c>
      <c r="O27" s="106" t="s">
        <v>541</v>
      </c>
      <c r="P27" s="106" t="s">
        <v>866</v>
      </c>
      <c r="Q27" s="106" t="s">
        <v>843</v>
      </c>
      <c r="R27" s="106" t="s">
        <v>53</v>
      </c>
      <c r="S27" s="83" t="str">
        <f t="shared" si="3"/>
        <v>40742A-AMD</v>
      </c>
      <c r="T27" s="83" t="str">
        <f t="shared" si="4"/>
        <v>Anaheim Ducks Blue Line NHL</v>
      </c>
      <c r="Y27" s="60">
        <f t="shared" si="5"/>
        <v>6</v>
      </c>
      <c r="Z27" s="49">
        <f t="shared" si="0"/>
        <v>25</v>
      </c>
      <c r="AA27" s="60">
        <f t="shared" si="6"/>
        <v>6025</v>
      </c>
    </row>
    <row r="28" spans="1:27">
      <c r="A28" s="83" t="str">
        <f t="shared" si="1"/>
        <v>40742A-CBJnavy</v>
      </c>
      <c r="B28" s="83" t="str">
        <f t="shared" si="2"/>
        <v>06-026-16</v>
      </c>
      <c r="C28" s="106" t="s">
        <v>960</v>
      </c>
      <c r="D28" s="106" t="s">
        <v>961</v>
      </c>
      <c r="E28" s="106" t="s">
        <v>788</v>
      </c>
      <c r="F28" s="107">
        <v>0</v>
      </c>
      <c r="G28" s="106" t="s">
        <v>962</v>
      </c>
      <c r="H28" s="106" t="s">
        <v>55</v>
      </c>
      <c r="I28" s="106" t="s">
        <v>786</v>
      </c>
      <c r="J28" s="106" t="s">
        <v>327</v>
      </c>
      <c r="K28" s="106" t="s">
        <v>382</v>
      </c>
      <c r="L28" s="106" t="s">
        <v>884</v>
      </c>
      <c r="M28" s="106" t="s">
        <v>388</v>
      </c>
      <c r="N28" s="106" t="s">
        <v>43</v>
      </c>
      <c r="O28" s="106" t="s">
        <v>541</v>
      </c>
      <c r="P28" s="106" t="s">
        <v>866</v>
      </c>
      <c r="Q28" s="106" t="s">
        <v>818</v>
      </c>
      <c r="R28" s="106" t="s">
        <v>71</v>
      </c>
      <c r="S28" s="83" t="str">
        <f t="shared" si="3"/>
        <v>40742A-CBJ</v>
      </c>
      <c r="T28" s="83" t="str">
        <f t="shared" si="4"/>
        <v>Columbus Blue Jackets Blue Line NHL</v>
      </c>
      <c r="Y28" s="60">
        <f t="shared" si="5"/>
        <v>6</v>
      </c>
      <c r="Z28" s="49">
        <f t="shared" si="0"/>
        <v>26</v>
      </c>
      <c r="AA28" s="60">
        <f t="shared" si="6"/>
        <v>6026</v>
      </c>
    </row>
    <row r="29" spans="1:27">
      <c r="A29" s="83" t="str">
        <f t="shared" si="1"/>
        <v>40742A-DRWred</v>
      </c>
      <c r="B29" s="83" t="str">
        <f t="shared" si="2"/>
        <v>06-027-18</v>
      </c>
      <c r="C29" s="106" t="s">
        <v>963</v>
      </c>
      <c r="D29" s="106" t="s">
        <v>964</v>
      </c>
      <c r="E29" s="106" t="s">
        <v>788</v>
      </c>
      <c r="F29" s="107">
        <v>0</v>
      </c>
      <c r="G29" s="106" t="s">
        <v>965</v>
      </c>
      <c r="H29" s="106" t="s">
        <v>78</v>
      </c>
      <c r="I29" s="106" t="s">
        <v>786</v>
      </c>
      <c r="J29" s="106" t="s">
        <v>327</v>
      </c>
      <c r="K29" s="106" t="s">
        <v>382</v>
      </c>
      <c r="L29" s="106" t="s">
        <v>893</v>
      </c>
      <c r="M29" s="106" t="s">
        <v>388</v>
      </c>
      <c r="N29" s="106" t="s">
        <v>43</v>
      </c>
      <c r="O29" s="106" t="s">
        <v>541</v>
      </c>
      <c r="P29" s="106" t="s">
        <v>866</v>
      </c>
      <c r="Q29" s="106" t="s">
        <v>822</v>
      </c>
      <c r="R29" s="106" t="s">
        <v>78</v>
      </c>
      <c r="S29" s="83" t="str">
        <f t="shared" si="3"/>
        <v>40742A-DRW</v>
      </c>
      <c r="T29" s="83" t="str">
        <f t="shared" si="4"/>
        <v>Detroit Red Wings Blue Line NHL</v>
      </c>
      <c r="Y29" s="60">
        <f t="shared" si="5"/>
        <v>6</v>
      </c>
      <c r="Z29" s="49">
        <f t="shared" si="0"/>
        <v>27</v>
      </c>
      <c r="AA29" s="60">
        <f t="shared" si="6"/>
        <v>6027</v>
      </c>
    </row>
    <row r="30" spans="1:27">
      <c r="A30" s="83" t="str">
        <f t="shared" si="1"/>
        <v>40742A-MNNkelg</v>
      </c>
      <c r="B30" s="83" t="str">
        <f t="shared" si="2"/>
        <v>06-028-11</v>
      </c>
      <c r="C30" s="106" t="s">
        <v>966</v>
      </c>
      <c r="D30" s="106" t="s">
        <v>967</v>
      </c>
      <c r="E30" s="106" t="s">
        <v>788</v>
      </c>
      <c r="F30" s="107">
        <v>0</v>
      </c>
      <c r="G30" s="106" t="s">
        <v>968</v>
      </c>
      <c r="H30" s="106" t="s">
        <v>60</v>
      </c>
      <c r="I30" s="106" t="s">
        <v>786</v>
      </c>
      <c r="J30" s="106" t="s">
        <v>327</v>
      </c>
      <c r="K30" s="106" t="s">
        <v>382</v>
      </c>
      <c r="L30" s="106" t="s">
        <v>884</v>
      </c>
      <c r="M30" s="106" t="s">
        <v>388</v>
      </c>
      <c r="N30" s="106" t="s">
        <v>43</v>
      </c>
      <c r="O30" s="106" t="s">
        <v>541</v>
      </c>
      <c r="P30" s="106" t="s">
        <v>866</v>
      </c>
      <c r="Q30" s="106" t="s">
        <v>969</v>
      </c>
      <c r="R30" s="106" t="s">
        <v>60</v>
      </c>
      <c r="S30" s="83" t="str">
        <f t="shared" si="3"/>
        <v>40742A-MNN</v>
      </c>
      <c r="T30" s="83" t="str">
        <f t="shared" si="4"/>
        <v>Minnesota North Stars Blue Line NHL</v>
      </c>
      <c r="Y30" s="60">
        <f t="shared" si="5"/>
        <v>6</v>
      </c>
      <c r="Z30" s="49">
        <f t="shared" si="0"/>
        <v>28</v>
      </c>
      <c r="AA30" s="60">
        <f t="shared" si="6"/>
        <v>6028</v>
      </c>
    </row>
    <row r="31" spans="1:27">
      <c r="A31" s="83" t="str">
        <f t="shared" si="1"/>
        <v>40742A-MOCnavy</v>
      </c>
      <c r="B31" s="83" t="str">
        <f t="shared" si="2"/>
        <v>06-029-16</v>
      </c>
      <c r="C31" s="106" t="s">
        <v>970</v>
      </c>
      <c r="D31" s="106" t="s">
        <v>971</v>
      </c>
      <c r="E31" s="106" t="s">
        <v>788</v>
      </c>
      <c r="F31" s="107">
        <v>0</v>
      </c>
      <c r="G31" s="106" t="s">
        <v>972</v>
      </c>
      <c r="H31" s="106" t="s">
        <v>55</v>
      </c>
      <c r="I31" s="106" t="s">
        <v>786</v>
      </c>
      <c r="J31" s="106" t="s">
        <v>327</v>
      </c>
      <c r="K31" s="106" t="s">
        <v>382</v>
      </c>
      <c r="L31" s="106" t="s">
        <v>884</v>
      </c>
      <c r="M31" s="106" t="s">
        <v>388</v>
      </c>
      <c r="N31" s="106" t="s">
        <v>43</v>
      </c>
      <c r="O31" s="106" t="s">
        <v>541</v>
      </c>
      <c r="P31" s="106" t="s">
        <v>866</v>
      </c>
      <c r="Q31" s="106" t="s">
        <v>818</v>
      </c>
      <c r="R31" s="106" t="s">
        <v>71</v>
      </c>
      <c r="S31" s="83" t="str">
        <f t="shared" si="3"/>
        <v>40742A-MOC</v>
      </c>
      <c r="T31" s="83" t="str">
        <f t="shared" si="4"/>
        <v>Montreal Canadiens Blue Line NHL</v>
      </c>
      <c r="Y31" s="60">
        <f t="shared" si="5"/>
        <v>6</v>
      </c>
      <c r="Z31" s="49">
        <f t="shared" si="0"/>
        <v>29</v>
      </c>
      <c r="AA31" s="60">
        <f t="shared" si="6"/>
        <v>6029</v>
      </c>
    </row>
    <row r="32" spans="1:27">
      <c r="A32" s="83" t="str">
        <f t="shared" si="1"/>
        <v>40742A-NAPnavy</v>
      </c>
      <c r="B32" s="83" t="str">
        <f t="shared" si="2"/>
        <v>06-030-16</v>
      </c>
      <c r="C32" s="106" t="s">
        <v>973</v>
      </c>
      <c r="D32" s="106" t="s">
        <v>974</v>
      </c>
      <c r="E32" s="106" t="s">
        <v>788</v>
      </c>
      <c r="F32" s="107">
        <v>0</v>
      </c>
      <c r="G32" s="106" t="s">
        <v>975</v>
      </c>
      <c r="H32" s="106" t="s">
        <v>55</v>
      </c>
      <c r="I32" s="106" t="s">
        <v>786</v>
      </c>
      <c r="J32" s="106" t="s">
        <v>327</v>
      </c>
      <c r="K32" s="106" t="s">
        <v>382</v>
      </c>
      <c r="L32" s="106" t="s">
        <v>884</v>
      </c>
      <c r="M32" s="106" t="s">
        <v>388</v>
      </c>
      <c r="N32" s="106" t="s">
        <v>43</v>
      </c>
      <c r="O32" s="106" t="s">
        <v>541</v>
      </c>
      <c r="P32" s="106" t="s">
        <v>866</v>
      </c>
      <c r="Q32" s="106" t="s">
        <v>818</v>
      </c>
      <c r="R32" s="106" t="s">
        <v>71</v>
      </c>
      <c r="S32" s="83" t="str">
        <f t="shared" si="3"/>
        <v>40742A-NAP</v>
      </c>
      <c r="T32" s="83" t="str">
        <f t="shared" si="4"/>
        <v>Nashville Predators Blue Line NHL</v>
      </c>
      <c r="Y32" s="60">
        <f t="shared" si="5"/>
        <v>6</v>
      </c>
      <c r="Z32" s="49">
        <f t="shared" si="0"/>
        <v>30</v>
      </c>
      <c r="AA32" s="60">
        <f t="shared" si="6"/>
        <v>6030</v>
      </c>
    </row>
    <row r="33" spans="1:27">
      <c r="A33" s="83" t="str">
        <f t="shared" si="1"/>
        <v>40742A-OTSred</v>
      </c>
      <c r="B33" s="83" t="str">
        <f t="shared" si="2"/>
        <v>06-031-18</v>
      </c>
      <c r="C33" s="106" t="s">
        <v>976</v>
      </c>
      <c r="D33" s="106" t="s">
        <v>977</v>
      </c>
      <c r="E33" s="106" t="s">
        <v>788</v>
      </c>
      <c r="F33" s="107">
        <v>0</v>
      </c>
      <c r="G33" s="106" t="s">
        <v>978</v>
      </c>
      <c r="H33" s="106" t="s">
        <v>78</v>
      </c>
      <c r="I33" s="106" t="s">
        <v>786</v>
      </c>
      <c r="J33" s="106" t="s">
        <v>327</v>
      </c>
      <c r="K33" s="106" t="s">
        <v>382</v>
      </c>
      <c r="L33" s="106" t="s">
        <v>893</v>
      </c>
      <c r="M33" s="106" t="s">
        <v>388</v>
      </c>
      <c r="N33" s="106" t="s">
        <v>43</v>
      </c>
      <c r="O33" s="106" t="s">
        <v>541</v>
      </c>
      <c r="P33" s="106" t="s">
        <v>866</v>
      </c>
      <c r="Q33" s="106" t="s">
        <v>822</v>
      </c>
      <c r="R33" s="106" t="s">
        <v>78</v>
      </c>
      <c r="S33" s="83" t="str">
        <f t="shared" si="3"/>
        <v>40742A-OTS</v>
      </c>
      <c r="T33" s="83" t="str">
        <f t="shared" si="4"/>
        <v>Ottawa Senators Blue Line NHL</v>
      </c>
      <c r="Y33" s="60">
        <f t="shared" si="5"/>
        <v>6</v>
      </c>
      <c r="Z33" s="49">
        <f t="shared" si="0"/>
        <v>31</v>
      </c>
      <c r="AA33" s="60">
        <f t="shared" si="6"/>
        <v>6031</v>
      </c>
    </row>
    <row r="34" spans="1:27">
      <c r="A34" s="83" t="str">
        <f t="shared" si="1"/>
        <v>40742A-PCOcard</v>
      </c>
      <c r="B34" s="83" t="str">
        <f t="shared" si="2"/>
        <v>06-032-13</v>
      </c>
      <c r="C34" s="106" t="s">
        <v>979</v>
      </c>
      <c r="D34" s="106" t="s">
        <v>980</v>
      </c>
      <c r="E34" s="106" t="s">
        <v>788</v>
      </c>
      <c r="F34" s="107">
        <v>0</v>
      </c>
      <c r="G34" s="106" t="s">
        <v>981</v>
      </c>
      <c r="H34" s="106" t="s">
        <v>217</v>
      </c>
      <c r="I34" s="106" t="s">
        <v>786</v>
      </c>
      <c r="J34" s="106" t="s">
        <v>327</v>
      </c>
      <c r="K34" s="106" t="s">
        <v>382</v>
      </c>
      <c r="L34" s="106" t="s">
        <v>884</v>
      </c>
      <c r="M34" s="106" t="s">
        <v>388</v>
      </c>
      <c r="N34" s="106" t="s">
        <v>43</v>
      </c>
      <c r="O34" s="106" t="s">
        <v>541</v>
      </c>
      <c r="P34" s="106" t="s">
        <v>866</v>
      </c>
      <c r="Q34" s="106" t="s">
        <v>982</v>
      </c>
      <c r="R34" s="106" t="s">
        <v>199</v>
      </c>
      <c r="S34" s="83" t="str">
        <f t="shared" si="3"/>
        <v>40742A-PCO</v>
      </c>
      <c r="T34" s="83" t="str">
        <f t="shared" si="4"/>
        <v>Arizona Coyotes Blue Line NHL</v>
      </c>
      <c r="Y34" s="60">
        <f t="shared" si="5"/>
        <v>6</v>
      </c>
      <c r="Z34" s="49">
        <f t="shared" si="0"/>
        <v>32</v>
      </c>
      <c r="AA34" s="60">
        <f t="shared" si="6"/>
        <v>6032</v>
      </c>
    </row>
    <row r="35" spans="1:27">
      <c r="A35" s="83" t="str">
        <f t="shared" si="1"/>
        <v>40742A-SEKblk</v>
      </c>
      <c r="B35" s="83" t="str">
        <f t="shared" si="2"/>
        <v>06-033-09</v>
      </c>
      <c r="C35" s="106" t="s">
        <v>983</v>
      </c>
      <c r="D35" s="106" t="s">
        <v>984</v>
      </c>
      <c r="E35" s="106" t="s">
        <v>788</v>
      </c>
      <c r="F35" s="107">
        <v>0</v>
      </c>
      <c r="G35" s="106" t="s">
        <v>985</v>
      </c>
      <c r="H35" s="106" t="s">
        <v>53</v>
      </c>
      <c r="I35" s="106" t="s">
        <v>786</v>
      </c>
      <c r="J35" s="106" t="s">
        <v>327</v>
      </c>
      <c r="K35" s="106" t="s">
        <v>382</v>
      </c>
      <c r="L35" s="106" t="s">
        <v>884</v>
      </c>
      <c r="M35" s="106" t="s">
        <v>388</v>
      </c>
      <c r="N35" s="106" t="s">
        <v>43</v>
      </c>
      <c r="O35" s="106" t="s">
        <v>541</v>
      </c>
      <c r="P35" s="106" t="s">
        <v>866</v>
      </c>
      <c r="Q35" s="106" t="s">
        <v>843</v>
      </c>
      <c r="R35" s="106" t="s">
        <v>53</v>
      </c>
      <c r="S35" s="83" t="str">
        <f t="shared" si="3"/>
        <v>40742A-SEK</v>
      </c>
      <c r="T35" s="83" t="str">
        <f t="shared" si="4"/>
        <v>Seattle Kraken Blue Line NHL</v>
      </c>
      <c r="Y35" s="60">
        <f t="shared" si="5"/>
        <v>6</v>
      </c>
      <c r="Z35" s="49">
        <f t="shared" si="0"/>
        <v>33</v>
      </c>
      <c r="AA35" s="60">
        <f t="shared" si="6"/>
        <v>6033</v>
      </c>
    </row>
    <row r="36" spans="1:27">
      <c r="A36" s="83" t="str">
        <f t="shared" si="1"/>
        <v>40742A-SEKnavy</v>
      </c>
      <c r="B36" s="83" t="str">
        <f t="shared" si="2"/>
        <v>06-033-16</v>
      </c>
      <c r="C36" s="106" t="s">
        <v>986</v>
      </c>
      <c r="D36" s="106" t="s">
        <v>987</v>
      </c>
      <c r="E36" s="106" t="s">
        <v>788</v>
      </c>
      <c r="F36" s="107">
        <v>0</v>
      </c>
      <c r="G36" s="106" t="s">
        <v>985</v>
      </c>
      <c r="H36" s="106" t="s">
        <v>55</v>
      </c>
      <c r="I36" s="106" t="s">
        <v>786</v>
      </c>
      <c r="J36" s="106" t="s">
        <v>327</v>
      </c>
      <c r="K36" s="106" t="s">
        <v>382</v>
      </c>
      <c r="L36" s="106" t="s">
        <v>884</v>
      </c>
      <c r="M36" s="106" t="s">
        <v>388</v>
      </c>
      <c r="N36" s="106" t="s">
        <v>43</v>
      </c>
      <c r="O36" s="106" t="s">
        <v>541</v>
      </c>
      <c r="P36" s="106" t="s">
        <v>866</v>
      </c>
      <c r="Q36" s="106" t="s">
        <v>818</v>
      </c>
      <c r="R36" s="106" t="s">
        <v>71</v>
      </c>
      <c r="S36" s="83" t="str">
        <f t="shared" si="3"/>
        <v>40742A-SEK</v>
      </c>
      <c r="T36" s="83" t="str">
        <f t="shared" si="4"/>
        <v>Seattle Kraken Blue Line NHL</v>
      </c>
      <c r="Y36" s="60">
        <f t="shared" si="5"/>
        <v>6</v>
      </c>
      <c r="Z36" s="49">
        <f t="shared" si="0"/>
        <v>33</v>
      </c>
      <c r="AA36" s="60">
        <f t="shared" si="6"/>
        <v>6033</v>
      </c>
    </row>
    <row r="37" spans="1:27">
      <c r="A37" s="83" t="str">
        <f t="shared" si="1"/>
        <v>40742A-SEKsnow</v>
      </c>
      <c r="B37" s="83" t="str">
        <f t="shared" si="2"/>
        <v>06-033-17</v>
      </c>
      <c r="C37" s="106" t="s">
        <v>988</v>
      </c>
      <c r="D37" s="106" t="s">
        <v>989</v>
      </c>
      <c r="E37" s="106" t="s">
        <v>788</v>
      </c>
      <c r="F37" s="107">
        <v>0</v>
      </c>
      <c r="G37" s="106" t="s">
        <v>985</v>
      </c>
      <c r="H37" s="106" t="s">
        <v>57</v>
      </c>
      <c r="I37" s="106" t="s">
        <v>786</v>
      </c>
      <c r="J37" s="106" t="s">
        <v>327</v>
      </c>
      <c r="K37" s="106" t="s">
        <v>382</v>
      </c>
      <c r="L37" s="106" t="s">
        <v>893</v>
      </c>
      <c r="M37" s="106" t="s">
        <v>388</v>
      </c>
      <c r="N37" s="106" t="s">
        <v>43</v>
      </c>
      <c r="O37" s="106" t="s">
        <v>541</v>
      </c>
      <c r="P37" s="106" t="s">
        <v>866</v>
      </c>
      <c r="Q37" s="106" t="s">
        <v>990</v>
      </c>
      <c r="R37" s="106" t="s">
        <v>57</v>
      </c>
      <c r="S37" s="83" t="str">
        <f t="shared" si="3"/>
        <v>40742A-SEK</v>
      </c>
      <c r="T37" s="83" t="str">
        <f t="shared" si="4"/>
        <v>Seattle Kraken Blue Line NHL</v>
      </c>
      <c r="Y37" s="60">
        <f t="shared" si="5"/>
        <v>6</v>
      </c>
      <c r="Z37" s="49">
        <f t="shared" si="0"/>
        <v>33</v>
      </c>
      <c r="AA37" s="60">
        <f t="shared" si="6"/>
        <v>6033</v>
      </c>
    </row>
    <row r="38" spans="1:27">
      <c r="A38" s="83" t="str">
        <f t="shared" si="1"/>
        <v>40742A-SJSblk</v>
      </c>
      <c r="B38" s="83" t="str">
        <f t="shared" si="2"/>
        <v>06-034-09</v>
      </c>
      <c r="C38" s="106" t="s">
        <v>991</v>
      </c>
      <c r="D38" s="106" t="s">
        <v>992</v>
      </c>
      <c r="E38" s="106" t="s">
        <v>788</v>
      </c>
      <c r="F38" s="107">
        <v>0</v>
      </c>
      <c r="G38" s="106" t="s">
        <v>993</v>
      </c>
      <c r="H38" s="106" t="s">
        <v>53</v>
      </c>
      <c r="I38" s="106" t="s">
        <v>786</v>
      </c>
      <c r="J38" s="106" t="s">
        <v>327</v>
      </c>
      <c r="K38" s="106" t="s">
        <v>382</v>
      </c>
      <c r="L38" s="106" t="s">
        <v>884</v>
      </c>
      <c r="M38" s="106" t="s">
        <v>388</v>
      </c>
      <c r="N38" s="106" t="s">
        <v>43</v>
      </c>
      <c r="O38" s="106" t="s">
        <v>541</v>
      </c>
      <c r="P38" s="106" t="s">
        <v>866</v>
      </c>
      <c r="Q38" s="106" t="s">
        <v>843</v>
      </c>
      <c r="R38" s="106" t="s">
        <v>53</v>
      </c>
      <c r="S38" s="83" t="str">
        <f t="shared" si="3"/>
        <v>40742A-SJS</v>
      </c>
      <c r="T38" s="83" t="str">
        <f t="shared" si="4"/>
        <v>San Jose Sharks Blue Line NHL</v>
      </c>
      <c r="Y38" s="60">
        <f t="shared" si="5"/>
        <v>6</v>
      </c>
      <c r="Z38" s="49">
        <f t="shared" si="0"/>
        <v>34</v>
      </c>
      <c r="AA38" s="60">
        <f t="shared" si="6"/>
        <v>6034</v>
      </c>
    </row>
    <row r="39" spans="1:27">
      <c r="A39" s="83" t="str">
        <f t="shared" si="1"/>
        <v>40742A-VACroy</v>
      </c>
      <c r="B39" s="83" t="str">
        <f t="shared" si="2"/>
        <v>06-035-06</v>
      </c>
      <c r="C39" s="106" t="s">
        <v>994</v>
      </c>
      <c r="D39" s="106" t="s">
        <v>995</v>
      </c>
      <c r="E39" s="106" t="s">
        <v>788</v>
      </c>
      <c r="F39" s="107">
        <v>0</v>
      </c>
      <c r="G39" s="106" t="s">
        <v>996</v>
      </c>
      <c r="H39" s="106" t="s">
        <v>71</v>
      </c>
      <c r="I39" s="106" t="s">
        <v>786</v>
      </c>
      <c r="J39" s="106" t="s">
        <v>327</v>
      </c>
      <c r="K39" s="106" t="s">
        <v>382</v>
      </c>
      <c r="L39" s="106" t="s">
        <v>884</v>
      </c>
      <c r="M39" s="106" t="s">
        <v>388</v>
      </c>
      <c r="N39" s="106" t="s">
        <v>43</v>
      </c>
      <c r="O39" s="106" t="s">
        <v>541</v>
      </c>
      <c r="P39" s="106" t="s">
        <v>866</v>
      </c>
      <c r="Q39" s="106" t="s">
        <v>917</v>
      </c>
      <c r="R39" s="106" t="s">
        <v>71</v>
      </c>
      <c r="S39" s="83" t="str">
        <f t="shared" si="3"/>
        <v>40742A-VAC</v>
      </c>
      <c r="T39" s="83" t="str">
        <f t="shared" si="4"/>
        <v>Vancouver Canucks Blue Line NHL</v>
      </c>
      <c r="Y39" s="60">
        <f t="shared" si="5"/>
        <v>6</v>
      </c>
      <c r="Z39" s="49">
        <f t="shared" si="0"/>
        <v>35</v>
      </c>
      <c r="AA39" s="60">
        <f t="shared" si="6"/>
        <v>6035</v>
      </c>
    </row>
    <row r="40" spans="1:27">
      <c r="A40" s="83" t="str">
        <f t="shared" si="1"/>
        <v>40742A-VGKblk</v>
      </c>
      <c r="B40" s="83" t="str">
        <f t="shared" si="2"/>
        <v>06-036-09</v>
      </c>
      <c r="C40" s="106" t="s">
        <v>997</v>
      </c>
      <c r="D40" s="106" t="s">
        <v>998</v>
      </c>
      <c r="E40" s="106" t="s">
        <v>788</v>
      </c>
      <c r="F40" s="107">
        <v>0</v>
      </c>
      <c r="G40" s="106" t="s">
        <v>999</v>
      </c>
      <c r="H40" s="106" t="s">
        <v>53</v>
      </c>
      <c r="I40" s="106" t="s">
        <v>786</v>
      </c>
      <c r="J40" s="106" t="s">
        <v>327</v>
      </c>
      <c r="K40" s="106" t="s">
        <v>382</v>
      </c>
      <c r="L40" s="106" t="s">
        <v>884</v>
      </c>
      <c r="M40" s="106" t="s">
        <v>388</v>
      </c>
      <c r="N40" s="106" t="s">
        <v>43</v>
      </c>
      <c r="O40" s="106" t="s">
        <v>541</v>
      </c>
      <c r="P40" s="106" t="s">
        <v>866</v>
      </c>
      <c r="Q40" s="106" t="s">
        <v>843</v>
      </c>
      <c r="R40" s="106" t="s">
        <v>53</v>
      </c>
      <c r="S40" s="83" t="str">
        <f t="shared" si="3"/>
        <v>40742A-VGK</v>
      </c>
      <c r="T40" s="83" t="str">
        <f t="shared" si="4"/>
        <v>Vegas Golden Knights Blue Line NHL</v>
      </c>
      <c r="Y40" s="60">
        <f t="shared" si="5"/>
        <v>6</v>
      </c>
      <c r="Z40" s="49">
        <f t="shared" si="0"/>
        <v>36</v>
      </c>
      <c r="AA40" s="60">
        <f t="shared" si="6"/>
        <v>6036</v>
      </c>
    </row>
    <row r="41" spans="1:27">
      <c r="A41" s="83" t="str">
        <f t="shared" si="1"/>
        <v>40742A-WACred</v>
      </c>
      <c r="B41" s="83" t="str">
        <f t="shared" si="2"/>
        <v>06-037-18</v>
      </c>
      <c r="C41" s="106" t="s">
        <v>1000</v>
      </c>
      <c r="D41" s="106" t="s">
        <v>1001</v>
      </c>
      <c r="E41" s="106" t="s">
        <v>788</v>
      </c>
      <c r="F41" s="107">
        <v>0</v>
      </c>
      <c r="G41" s="106" t="s">
        <v>1002</v>
      </c>
      <c r="H41" s="106" t="s">
        <v>78</v>
      </c>
      <c r="I41" s="106" t="s">
        <v>786</v>
      </c>
      <c r="J41" s="106" t="s">
        <v>327</v>
      </c>
      <c r="K41" s="106" t="s">
        <v>382</v>
      </c>
      <c r="L41" s="106" t="s">
        <v>884</v>
      </c>
      <c r="M41" s="106" t="s">
        <v>388</v>
      </c>
      <c r="N41" s="106" t="s">
        <v>43</v>
      </c>
      <c r="O41" s="106" t="s">
        <v>541</v>
      </c>
      <c r="P41" s="106" t="s">
        <v>866</v>
      </c>
      <c r="Q41" s="106" t="s">
        <v>822</v>
      </c>
      <c r="R41" s="106" t="s">
        <v>78</v>
      </c>
      <c r="S41" s="83" t="str">
        <f t="shared" si="3"/>
        <v>40742A-WAC</v>
      </c>
      <c r="T41" s="83" t="str">
        <f t="shared" si="4"/>
        <v>Washington Capitals Blue Line NHL</v>
      </c>
      <c r="Y41" s="60">
        <f t="shared" si="5"/>
        <v>6</v>
      </c>
      <c r="Z41" s="49">
        <f t="shared" si="0"/>
        <v>37</v>
      </c>
      <c r="AA41" s="60">
        <f t="shared" si="6"/>
        <v>6037</v>
      </c>
    </row>
    <row r="42" spans="1:27">
      <c r="A42" s="83" t="str">
        <f t="shared" si="1"/>
        <v>40742A-WPJnavy</v>
      </c>
      <c r="B42" s="83" t="str">
        <f t="shared" si="2"/>
        <v>06-038-16</v>
      </c>
      <c r="C42" s="106" t="s">
        <v>1003</v>
      </c>
      <c r="D42" s="106" t="s">
        <v>1004</v>
      </c>
      <c r="E42" s="106" t="s">
        <v>788</v>
      </c>
      <c r="F42" s="107">
        <v>0</v>
      </c>
      <c r="G42" s="106" t="s">
        <v>1005</v>
      </c>
      <c r="H42" s="106" t="s">
        <v>55</v>
      </c>
      <c r="I42" s="106" t="s">
        <v>786</v>
      </c>
      <c r="J42" s="106" t="s">
        <v>327</v>
      </c>
      <c r="K42" s="106" t="s">
        <v>382</v>
      </c>
      <c r="L42" s="106" t="s">
        <v>884</v>
      </c>
      <c r="M42" s="106" t="s">
        <v>388</v>
      </c>
      <c r="N42" s="106" t="s">
        <v>43</v>
      </c>
      <c r="O42" s="106" t="s">
        <v>541</v>
      </c>
      <c r="P42" s="106" t="s">
        <v>866</v>
      </c>
      <c r="Q42" s="106" t="s">
        <v>818</v>
      </c>
      <c r="R42" s="106" t="s">
        <v>71</v>
      </c>
      <c r="S42" s="83" t="str">
        <f t="shared" si="3"/>
        <v>40742A-WPJ</v>
      </c>
      <c r="T42" s="83" t="str">
        <f t="shared" si="4"/>
        <v>Winnipeg Jets Blue Line NHL</v>
      </c>
      <c r="Y42" s="60">
        <f t="shared" si="5"/>
        <v>6</v>
      </c>
      <c r="Z42" s="49">
        <f t="shared" si="0"/>
        <v>38</v>
      </c>
      <c r="AA42" s="60">
        <f t="shared" si="6"/>
        <v>6038</v>
      </c>
    </row>
    <row r="43" spans="1:27">
      <c r="A43" s="83" t="str">
        <f t="shared" si="1"/>
        <v>40742B-CAHblk</v>
      </c>
      <c r="B43" s="83" t="str">
        <f t="shared" si="2"/>
        <v>06-039-09</v>
      </c>
      <c r="C43" s="106" t="s">
        <v>1006</v>
      </c>
      <c r="D43" s="106" t="s">
        <v>1007</v>
      </c>
      <c r="E43" s="106" t="s">
        <v>788</v>
      </c>
      <c r="F43" s="107">
        <v>0</v>
      </c>
      <c r="G43" s="106" t="s">
        <v>1008</v>
      </c>
      <c r="H43" s="106" t="s">
        <v>53</v>
      </c>
      <c r="I43" s="106" t="s">
        <v>786</v>
      </c>
      <c r="J43" s="106" t="s">
        <v>327</v>
      </c>
      <c r="K43" s="106" t="s">
        <v>382</v>
      </c>
      <c r="L43" s="106" t="s">
        <v>884</v>
      </c>
      <c r="M43" s="106" t="s">
        <v>388</v>
      </c>
      <c r="N43" s="106" t="s">
        <v>43</v>
      </c>
      <c r="O43" s="106" t="s">
        <v>541</v>
      </c>
      <c r="P43" s="106" t="s">
        <v>866</v>
      </c>
      <c r="Q43" s="106" t="s">
        <v>843</v>
      </c>
      <c r="R43" s="106" t="s">
        <v>53</v>
      </c>
      <c r="S43" s="83" t="str">
        <f t="shared" si="3"/>
        <v>40742B-CAH</v>
      </c>
      <c r="T43" s="83" t="str">
        <f t="shared" si="4"/>
        <v>Carolina Hurricanes Blue Line NHL</v>
      </c>
      <c r="Y43" s="60">
        <f t="shared" si="5"/>
        <v>6</v>
      </c>
      <c r="Z43" s="49">
        <f t="shared" si="0"/>
        <v>39</v>
      </c>
      <c r="AA43" s="60">
        <f t="shared" si="6"/>
        <v>6039</v>
      </c>
    </row>
    <row r="44" spans="1:27">
      <c r="A44" s="83" t="str">
        <f t="shared" si="1"/>
        <v>40742B-FLPnavy</v>
      </c>
      <c r="B44" s="83" t="str">
        <f t="shared" si="2"/>
        <v>06-040-16</v>
      </c>
      <c r="C44" s="106" t="s">
        <v>1009</v>
      </c>
      <c r="D44" s="106" t="s">
        <v>1010</v>
      </c>
      <c r="E44" s="106" t="s">
        <v>788</v>
      </c>
      <c r="F44" s="107">
        <v>0</v>
      </c>
      <c r="G44" s="106" t="s">
        <v>1011</v>
      </c>
      <c r="H44" s="106" t="s">
        <v>55</v>
      </c>
      <c r="I44" s="106" t="s">
        <v>786</v>
      </c>
      <c r="J44" s="106" t="s">
        <v>327</v>
      </c>
      <c r="K44" s="106" t="s">
        <v>382</v>
      </c>
      <c r="L44" s="106" t="s">
        <v>884</v>
      </c>
      <c r="M44" s="106" t="s">
        <v>388</v>
      </c>
      <c r="N44" s="106" t="s">
        <v>43</v>
      </c>
      <c r="O44" s="106" t="s">
        <v>541</v>
      </c>
      <c r="P44" s="106" t="s">
        <v>866</v>
      </c>
      <c r="Q44" s="106" t="s">
        <v>818</v>
      </c>
      <c r="R44" s="106" t="s">
        <v>71</v>
      </c>
      <c r="S44" s="83" t="str">
        <f t="shared" si="3"/>
        <v>40742B-FLP</v>
      </c>
      <c r="T44" s="83" t="str">
        <f t="shared" si="4"/>
        <v>Carolina Panthers Blue Line NHL</v>
      </c>
      <c r="Y44" s="60">
        <f t="shared" si="5"/>
        <v>6</v>
      </c>
      <c r="Z44" s="49">
        <f t="shared" si="0"/>
        <v>40</v>
      </c>
      <c r="AA44" s="60">
        <f t="shared" si="6"/>
        <v>6040</v>
      </c>
    </row>
    <row r="45" spans="1:27">
      <c r="A45" s="83" t="str">
        <f t="shared" si="1"/>
        <v>40742B-PHFblk</v>
      </c>
      <c r="B45" s="83" t="str">
        <f t="shared" si="2"/>
        <v>06-041-09</v>
      </c>
      <c r="C45" s="106" t="s">
        <v>1012</v>
      </c>
      <c r="D45" s="106" t="s">
        <v>1013</v>
      </c>
      <c r="E45" s="106" t="s">
        <v>788</v>
      </c>
      <c r="F45" s="107">
        <v>0</v>
      </c>
      <c r="G45" s="106" t="s">
        <v>1014</v>
      </c>
      <c r="H45" s="106" t="s">
        <v>53</v>
      </c>
      <c r="I45" s="106" t="s">
        <v>786</v>
      </c>
      <c r="J45" s="106" t="s">
        <v>327</v>
      </c>
      <c r="K45" s="106" t="s">
        <v>382</v>
      </c>
      <c r="L45" s="106" t="s">
        <v>893</v>
      </c>
      <c r="M45" s="106" t="s">
        <v>388</v>
      </c>
      <c r="N45" s="106" t="s">
        <v>43</v>
      </c>
      <c r="O45" s="106" t="s">
        <v>541</v>
      </c>
      <c r="P45" s="106" t="s">
        <v>866</v>
      </c>
      <c r="Q45" s="106" t="s">
        <v>843</v>
      </c>
      <c r="R45" s="106" t="s">
        <v>53</v>
      </c>
      <c r="S45" s="83" t="str">
        <f t="shared" si="3"/>
        <v>40742B-PHF</v>
      </c>
      <c r="T45" s="83" t="str">
        <f t="shared" si="4"/>
        <v>Philadelphia Flyers Blue Line NHL</v>
      </c>
      <c r="Y45" s="60">
        <f t="shared" si="5"/>
        <v>6</v>
      </c>
      <c r="Z45" s="49">
        <f t="shared" si="0"/>
        <v>41</v>
      </c>
      <c r="AA45" s="60">
        <f t="shared" si="6"/>
        <v>6041</v>
      </c>
    </row>
    <row r="46" spans="1:27">
      <c r="A46" s="83" t="str">
        <f t="shared" si="1"/>
        <v>40742B-PPNblk</v>
      </c>
      <c r="B46" s="83" t="str">
        <f t="shared" si="2"/>
        <v>06-042-09</v>
      </c>
      <c r="C46" s="106" t="s">
        <v>1015</v>
      </c>
      <c r="D46" s="106" t="s">
        <v>1016</v>
      </c>
      <c r="E46" s="106" t="s">
        <v>788</v>
      </c>
      <c r="F46" s="107">
        <v>0</v>
      </c>
      <c r="G46" s="106" t="s">
        <v>1017</v>
      </c>
      <c r="H46" s="106" t="s">
        <v>53</v>
      </c>
      <c r="I46" s="106" t="s">
        <v>786</v>
      </c>
      <c r="J46" s="106" t="s">
        <v>327</v>
      </c>
      <c r="K46" s="106" t="s">
        <v>382</v>
      </c>
      <c r="L46" s="106" t="s">
        <v>893</v>
      </c>
      <c r="M46" s="106" t="s">
        <v>388</v>
      </c>
      <c r="N46" s="106" t="s">
        <v>43</v>
      </c>
      <c r="O46" s="106" t="s">
        <v>541</v>
      </c>
      <c r="P46" s="106" t="s">
        <v>866</v>
      </c>
      <c r="Q46" s="106" t="s">
        <v>843</v>
      </c>
      <c r="R46" s="106" t="s">
        <v>53</v>
      </c>
      <c r="S46" s="83" t="str">
        <f t="shared" si="3"/>
        <v>40742B-PPN</v>
      </c>
      <c r="T46" s="83" t="str">
        <f t="shared" si="4"/>
        <v>Pittsburgh Penguins Blue Line NHL</v>
      </c>
      <c r="Y46" s="60">
        <f t="shared" si="5"/>
        <v>6</v>
      </c>
      <c r="Z46" s="49">
        <f t="shared" si="0"/>
        <v>42</v>
      </c>
      <c r="AA46" s="60">
        <f t="shared" si="6"/>
        <v>6042</v>
      </c>
    </row>
    <row r="47" spans="1:27">
      <c r="A47" s="83" t="str">
        <f t="shared" si="1"/>
        <v>40742B-SEKnavy</v>
      </c>
      <c r="B47" s="83" t="str">
        <f t="shared" si="2"/>
        <v>06-043-16</v>
      </c>
      <c r="C47" s="106" t="s">
        <v>1018</v>
      </c>
      <c r="D47" s="106" t="s">
        <v>1019</v>
      </c>
      <c r="E47" s="106" t="s">
        <v>788</v>
      </c>
      <c r="F47" s="107">
        <v>0</v>
      </c>
      <c r="G47" s="106" t="s">
        <v>1020</v>
      </c>
      <c r="H47" s="106" t="s">
        <v>55</v>
      </c>
      <c r="I47" s="106" t="s">
        <v>786</v>
      </c>
      <c r="J47" s="106" t="s">
        <v>327</v>
      </c>
      <c r="K47" s="106" t="s">
        <v>382</v>
      </c>
      <c r="L47" s="106" t="s">
        <v>884</v>
      </c>
      <c r="M47" s="106" t="s">
        <v>388</v>
      </c>
      <c r="N47" s="106" t="s">
        <v>43</v>
      </c>
      <c r="O47" s="106" t="s">
        <v>541</v>
      </c>
      <c r="P47" s="106" t="s">
        <v>866</v>
      </c>
      <c r="Q47" s="106" t="s">
        <v>818</v>
      </c>
      <c r="R47" s="106" t="s">
        <v>71</v>
      </c>
      <c r="S47" s="83" t="str">
        <f t="shared" si="3"/>
        <v>40742B-SEK</v>
      </c>
      <c r="T47" s="83" t="str">
        <f t="shared" si="4"/>
        <v>Seattle Kraken Blue Line NHL</v>
      </c>
      <c r="Y47" s="60">
        <f t="shared" si="5"/>
        <v>6</v>
      </c>
      <c r="Z47" s="49">
        <f t="shared" si="0"/>
        <v>43</v>
      </c>
      <c r="AA47" s="60">
        <f t="shared" si="6"/>
        <v>6043</v>
      </c>
    </row>
    <row r="48" spans="1:27">
      <c r="A48" s="83" t="str">
        <f t="shared" si="1"/>
        <v>40742B-TMLroy</v>
      </c>
      <c r="B48" s="83" t="str">
        <f t="shared" si="2"/>
        <v>06-044-06</v>
      </c>
      <c r="C48" s="106" t="s">
        <v>1021</v>
      </c>
      <c r="D48" s="106" t="s">
        <v>1022</v>
      </c>
      <c r="E48" s="106" t="s">
        <v>788</v>
      </c>
      <c r="F48" s="107">
        <v>0</v>
      </c>
      <c r="G48" s="106" t="s">
        <v>1023</v>
      </c>
      <c r="H48" s="106" t="s">
        <v>71</v>
      </c>
      <c r="I48" s="106" t="s">
        <v>786</v>
      </c>
      <c r="J48" s="106" t="s">
        <v>327</v>
      </c>
      <c r="K48" s="106" t="s">
        <v>382</v>
      </c>
      <c r="L48" s="106" t="s">
        <v>893</v>
      </c>
      <c r="M48" s="106" t="s">
        <v>388</v>
      </c>
      <c r="N48" s="106" t="s">
        <v>43</v>
      </c>
      <c r="O48" s="106" t="s">
        <v>541</v>
      </c>
      <c r="P48" s="106" t="s">
        <v>866</v>
      </c>
      <c r="Q48" s="106" t="s">
        <v>917</v>
      </c>
      <c r="R48" s="106" t="s">
        <v>71</v>
      </c>
      <c r="S48" s="83" t="str">
        <f t="shared" si="3"/>
        <v>40742B-TML</v>
      </c>
      <c r="T48" s="83" t="str">
        <f t="shared" si="4"/>
        <v>Toronto Maple Leafs Blue Line NHL</v>
      </c>
      <c r="Y48" s="60">
        <f t="shared" si="5"/>
        <v>6</v>
      </c>
      <c r="Z48" s="49">
        <f t="shared" si="0"/>
        <v>44</v>
      </c>
      <c r="AA48" s="60">
        <f t="shared" si="6"/>
        <v>6044</v>
      </c>
    </row>
    <row r="49" spans="1:27">
      <c r="A49" s="83" t="str">
        <f t="shared" si="1"/>
        <v>41150A-NASAnavy</v>
      </c>
      <c r="B49" s="83" t="str">
        <f t="shared" si="2"/>
        <v>06-045-16</v>
      </c>
      <c r="C49" s="106" t="s">
        <v>1024</v>
      </c>
      <c r="D49" s="106" t="s">
        <v>1025</v>
      </c>
      <c r="E49" s="106" t="s">
        <v>788</v>
      </c>
      <c r="F49" s="107">
        <v>0</v>
      </c>
      <c r="G49" s="106" t="s">
        <v>1026</v>
      </c>
      <c r="H49" s="106" t="s">
        <v>55</v>
      </c>
      <c r="I49" s="106" t="s">
        <v>1027</v>
      </c>
      <c r="J49" s="106" t="s">
        <v>356</v>
      </c>
      <c r="K49" s="106" t="s">
        <v>382</v>
      </c>
      <c r="L49" s="106" t="s">
        <v>893</v>
      </c>
      <c r="M49" s="106" t="s">
        <v>388</v>
      </c>
      <c r="N49" s="106" t="s">
        <v>43</v>
      </c>
      <c r="O49" s="106" t="s">
        <v>541</v>
      </c>
      <c r="P49" s="106" t="s">
        <v>866</v>
      </c>
      <c r="Q49" s="106" t="s">
        <v>818</v>
      </c>
      <c r="R49" s="106" t="s">
        <v>71</v>
      </c>
      <c r="S49" s="83" t="str">
        <f t="shared" si="3"/>
        <v>41150A-NASA</v>
      </c>
      <c r="T49" s="83" t="str">
        <f t="shared" si="4"/>
        <v>Space with NASA</v>
      </c>
      <c r="Y49" s="60">
        <f t="shared" si="5"/>
        <v>6</v>
      </c>
      <c r="Z49" s="49">
        <f t="shared" si="0"/>
        <v>45</v>
      </c>
      <c r="AA49" s="60">
        <f t="shared" si="6"/>
        <v>6045</v>
      </c>
    </row>
    <row r="50" spans="1:27">
      <c r="A50" s="83" t="str">
        <f t="shared" si="1"/>
        <v>41150B-NASAblk</v>
      </c>
      <c r="B50" s="83" t="str">
        <f t="shared" si="2"/>
        <v>06-046-09</v>
      </c>
      <c r="C50" s="106" t="s">
        <v>1028</v>
      </c>
      <c r="D50" s="106" t="s">
        <v>1029</v>
      </c>
      <c r="E50" s="106" t="s">
        <v>788</v>
      </c>
      <c r="F50" s="107">
        <v>0</v>
      </c>
      <c r="G50" s="106" t="s">
        <v>1030</v>
      </c>
      <c r="H50" s="106" t="s">
        <v>53</v>
      </c>
      <c r="I50" s="106" t="s">
        <v>1027</v>
      </c>
      <c r="J50" s="106" t="s">
        <v>356</v>
      </c>
      <c r="K50" s="106" t="s">
        <v>382</v>
      </c>
      <c r="L50" s="106" t="s">
        <v>893</v>
      </c>
      <c r="M50" s="106" t="s">
        <v>388</v>
      </c>
      <c r="N50" s="106" t="s">
        <v>43</v>
      </c>
      <c r="O50" s="106" t="s">
        <v>541</v>
      </c>
      <c r="P50" s="106" t="s">
        <v>866</v>
      </c>
      <c r="Q50" s="106" t="s">
        <v>843</v>
      </c>
      <c r="R50" s="106" t="s">
        <v>53</v>
      </c>
      <c r="S50" s="83" t="str">
        <f t="shared" si="3"/>
        <v>41150B-NASA</v>
      </c>
      <c r="T50" s="83" t="str">
        <f t="shared" si="4"/>
        <v>Mars with NASA</v>
      </c>
      <c r="Y50" s="60">
        <f t="shared" si="5"/>
        <v>6</v>
      </c>
      <c r="Z50" s="49">
        <f t="shared" si="0"/>
        <v>46</v>
      </c>
      <c r="AA50" s="60">
        <f t="shared" si="6"/>
        <v>6046</v>
      </c>
    </row>
    <row r="51" spans="1:27">
      <c r="A51" s="83" t="str">
        <f t="shared" si="1"/>
        <v>41152A-NAPnavy</v>
      </c>
      <c r="B51" s="83" t="str">
        <f t="shared" si="2"/>
        <v>06-047-16</v>
      </c>
      <c r="C51" s="106" t="s">
        <v>1031</v>
      </c>
      <c r="D51" s="106" t="s">
        <v>1032</v>
      </c>
      <c r="E51" s="106" t="s">
        <v>788</v>
      </c>
      <c r="F51" s="107">
        <v>0</v>
      </c>
      <c r="G51" s="106" t="s">
        <v>1033</v>
      </c>
      <c r="H51" s="106" t="s">
        <v>55</v>
      </c>
      <c r="I51" s="106" t="s">
        <v>1034</v>
      </c>
      <c r="J51" s="106" t="s">
        <v>356</v>
      </c>
      <c r="K51" s="106" t="s">
        <v>382</v>
      </c>
      <c r="L51" s="106" t="s">
        <v>893</v>
      </c>
      <c r="M51" s="106" t="s">
        <v>388</v>
      </c>
      <c r="N51" s="106" t="s">
        <v>43</v>
      </c>
      <c r="O51" s="106" t="s">
        <v>541</v>
      </c>
      <c r="P51" s="106" t="s">
        <v>866</v>
      </c>
      <c r="Q51" s="106" t="s">
        <v>818</v>
      </c>
      <c r="R51" s="106" t="s">
        <v>71</v>
      </c>
      <c r="S51" s="83" t="str">
        <f t="shared" si="3"/>
        <v>41152A-NAP</v>
      </c>
      <c r="T51" s="83" t="str">
        <f t="shared" si="4"/>
        <v>Nashville Predators Raglan Bones NHL</v>
      </c>
      <c r="Y51" s="60">
        <f t="shared" si="5"/>
        <v>6</v>
      </c>
      <c r="Z51" s="49">
        <f t="shared" si="0"/>
        <v>47</v>
      </c>
      <c r="AA51" s="60">
        <f t="shared" si="6"/>
        <v>6047</v>
      </c>
    </row>
    <row r="52" spans="1:27">
      <c r="A52" s="83" t="str">
        <f t="shared" si="1"/>
        <v>41152A-SEKnavy</v>
      </c>
      <c r="B52" s="83" t="str">
        <f t="shared" si="2"/>
        <v>06-048-16</v>
      </c>
      <c r="C52" s="106" t="s">
        <v>1035</v>
      </c>
      <c r="D52" s="106" t="s">
        <v>1036</v>
      </c>
      <c r="E52" s="106" t="s">
        <v>788</v>
      </c>
      <c r="F52" s="107">
        <v>0</v>
      </c>
      <c r="G52" s="106" t="s">
        <v>1037</v>
      </c>
      <c r="H52" s="106" t="s">
        <v>55</v>
      </c>
      <c r="I52" s="106" t="s">
        <v>1034</v>
      </c>
      <c r="J52" s="106" t="s">
        <v>356</v>
      </c>
      <c r="K52" s="106" t="s">
        <v>382</v>
      </c>
      <c r="L52" s="106" t="s">
        <v>893</v>
      </c>
      <c r="M52" s="106" t="s">
        <v>388</v>
      </c>
      <c r="N52" s="106" t="s">
        <v>43</v>
      </c>
      <c r="O52" s="106" t="s">
        <v>541</v>
      </c>
      <c r="P52" s="106" t="s">
        <v>866</v>
      </c>
      <c r="Q52" s="106" t="s">
        <v>818</v>
      </c>
      <c r="R52" s="106" t="s">
        <v>71</v>
      </c>
      <c r="S52" s="83" t="str">
        <f t="shared" si="3"/>
        <v>41152A-SEK</v>
      </c>
      <c r="T52" s="83" t="str">
        <f t="shared" si="4"/>
        <v>Seattle Kraken Raglan Bones NHL</v>
      </c>
      <c r="Y52" s="60">
        <f t="shared" si="5"/>
        <v>6</v>
      </c>
      <c r="Z52" s="49">
        <f t="shared" si="0"/>
        <v>48</v>
      </c>
      <c r="AA52" s="60">
        <f t="shared" si="6"/>
        <v>6048</v>
      </c>
    </row>
    <row r="53" spans="1:27">
      <c r="A53" s="83" t="str">
        <f t="shared" si="1"/>
        <v>41152A-VGKblk</v>
      </c>
      <c r="B53" s="83" t="str">
        <f t="shared" si="2"/>
        <v>06-049-09</v>
      </c>
      <c r="C53" s="106" t="s">
        <v>1038</v>
      </c>
      <c r="D53" s="106" t="s">
        <v>1039</v>
      </c>
      <c r="E53" s="106" t="s">
        <v>788</v>
      </c>
      <c r="F53" s="107">
        <v>0</v>
      </c>
      <c r="G53" s="106" t="s">
        <v>1040</v>
      </c>
      <c r="H53" s="106" t="s">
        <v>53</v>
      </c>
      <c r="I53" s="106" t="s">
        <v>1034</v>
      </c>
      <c r="J53" s="106" t="s">
        <v>356</v>
      </c>
      <c r="K53" s="106" t="s">
        <v>382</v>
      </c>
      <c r="L53" s="106" t="s">
        <v>893</v>
      </c>
      <c r="M53" s="106" t="s">
        <v>388</v>
      </c>
      <c r="N53" s="106" t="s">
        <v>43</v>
      </c>
      <c r="O53" s="106" t="s">
        <v>541</v>
      </c>
      <c r="P53" s="106" t="s">
        <v>866</v>
      </c>
      <c r="Q53" s="106" t="s">
        <v>843</v>
      </c>
      <c r="R53" s="106" t="s">
        <v>53</v>
      </c>
      <c r="S53" s="83" t="str">
        <f t="shared" si="3"/>
        <v>41152A-VGK</v>
      </c>
      <c r="T53" s="83" t="str">
        <f t="shared" si="4"/>
        <v>Vegas Golden Knights Raglan Bones NHL</v>
      </c>
      <c r="Y53" s="60">
        <f t="shared" si="5"/>
        <v>6</v>
      </c>
      <c r="Z53" s="49">
        <f t="shared" si="0"/>
        <v>49</v>
      </c>
      <c r="AA53" s="60">
        <f t="shared" si="6"/>
        <v>6049</v>
      </c>
    </row>
    <row r="54" spans="1:27">
      <c r="A54" s="83" t="str">
        <f t="shared" si="1"/>
        <v>42050A-MTFUnit</v>
      </c>
      <c r="B54" s="83" t="str">
        <f t="shared" si="2"/>
        <v>06-050-09</v>
      </c>
      <c r="C54" s="106" t="s">
        <v>1041</v>
      </c>
      <c r="D54" s="106" t="s">
        <v>1042</v>
      </c>
      <c r="E54" s="106" t="s">
        <v>788</v>
      </c>
      <c r="F54" s="107">
        <v>0</v>
      </c>
      <c r="G54" s="106" t="s">
        <v>1043</v>
      </c>
      <c r="H54" s="106" t="s">
        <v>53</v>
      </c>
      <c r="I54" s="106" t="s">
        <v>790</v>
      </c>
      <c r="J54" s="106" t="s">
        <v>342</v>
      </c>
      <c r="K54" s="106" t="s">
        <v>382</v>
      </c>
      <c r="L54" s="106" t="s">
        <v>884</v>
      </c>
      <c r="M54" s="106" t="s">
        <v>389</v>
      </c>
      <c r="O54" s="106" t="s">
        <v>542</v>
      </c>
      <c r="P54" s="106" t="s">
        <v>866</v>
      </c>
      <c r="Q54" s="106" t="s">
        <v>1044</v>
      </c>
      <c r="R54" s="106" t="s">
        <v>53</v>
      </c>
      <c r="S54" s="83" t="str">
        <f t="shared" si="3"/>
        <v>42050A-MTFU</v>
      </c>
      <c r="T54" s="83" t="str">
        <f t="shared" si="4"/>
        <v>Fuji Mountain National Park Pillow</v>
      </c>
      <c r="Y54" s="60">
        <f t="shared" si="5"/>
        <v>6</v>
      </c>
      <c r="Z54" s="49">
        <f t="shared" si="0"/>
        <v>50</v>
      </c>
      <c r="AA54" s="60">
        <f t="shared" si="6"/>
        <v>6050</v>
      </c>
    </row>
    <row r="55" spans="1:27">
      <c r="A55" s="83" t="str">
        <f t="shared" si="1"/>
        <v>42050A-YNPniog</v>
      </c>
      <c r="B55" s="83" t="str">
        <f t="shared" si="2"/>
        <v>06-051-16</v>
      </c>
      <c r="C55" s="106" t="s">
        <v>1045</v>
      </c>
      <c r="D55" s="106" t="s">
        <v>1046</v>
      </c>
      <c r="E55" s="106" t="s">
        <v>788</v>
      </c>
      <c r="F55" s="107">
        <v>0</v>
      </c>
      <c r="G55" s="106" t="s">
        <v>1047</v>
      </c>
      <c r="H55" s="106" t="s">
        <v>55</v>
      </c>
      <c r="I55" s="106" t="s">
        <v>790</v>
      </c>
      <c r="J55" s="106" t="s">
        <v>342</v>
      </c>
      <c r="K55" s="106" t="s">
        <v>382</v>
      </c>
      <c r="L55" s="106" t="s">
        <v>884</v>
      </c>
      <c r="M55" s="106" t="s">
        <v>389</v>
      </c>
      <c r="O55" s="106" t="s">
        <v>542</v>
      </c>
      <c r="P55" s="106" t="s">
        <v>866</v>
      </c>
      <c r="Q55" s="106" t="s">
        <v>1048</v>
      </c>
      <c r="R55" s="106" t="s">
        <v>71</v>
      </c>
      <c r="S55" s="83" t="str">
        <f t="shared" si="3"/>
        <v>42050A-YNP</v>
      </c>
      <c r="T55" s="83" t="str">
        <f t="shared" si="4"/>
        <v>Yellowstone National Park Pillow</v>
      </c>
      <c r="Y55" s="60">
        <f t="shared" si="5"/>
        <v>6</v>
      </c>
      <c r="Z55" s="49">
        <f t="shared" si="0"/>
        <v>51</v>
      </c>
      <c r="AA55" s="60">
        <f t="shared" si="6"/>
        <v>6051</v>
      </c>
    </row>
    <row r="56" spans="1:27">
      <c r="A56" s="83" t="str">
        <f t="shared" si="1"/>
        <v>42760A-CALIblk</v>
      </c>
      <c r="B56" s="83" t="str">
        <f t="shared" si="2"/>
        <v>06-052-09</v>
      </c>
      <c r="C56" s="106" t="s">
        <v>1049</v>
      </c>
      <c r="D56" s="106" t="s">
        <v>1050</v>
      </c>
      <c r="E56" s="106" t="s">
        <v>788</v>
      </c>
      <c r="F56" s="107">
        <v>0</v>
      </c>
      <c r="G56" s="106" t="s">
        <v>1051</v>
      </c>
      <c r="H56" s="106" t="s">
        <v>53</v>
      </c>
      <c r="I56" s="106" t="s">
        <v>786</v>
      </c>
      <c r="J56" s="106" t="s">
        <v>327</v>
      </c>
      <c r="K56" s="106" t="s">
        <v>382</v>
      </c>
      <c r="L56" s="106" t="s">
        <v>865</v>
      </c>
      <c r="M56" s="106" t="s">
        <v>388</v>
      </c>
      <c r="N56" s="106" t="s">
        <v>43</v>
      </c>
      <c r="O56" s="106" t="s">
        <v>541</v>
      </c>
      <c r="P56" s="106" t="s">
        <v>866</v>
      </c>
      <c r="Q56" s="106" t="s">
        <v>843</v>
      </c>
      <c r="R56" s="106" t="s">
        <v>53</v>
      </c>
      <c r="S56" s="83" t="str">
        <f t="shared" si="3"/>
        <v>42760A-CALI</v>
      </c>
      <c r="T56" s="83" t="str">
        <f t="shared" si="4"/>
        <v>California</v>
      </c>
      <c r="Y56" s="60">
        <f t="shared" si="5"/>
        <v>6</v>
      </c>
      <c r="Z56" s="49">
        <f t="shared" si="0"/>
        <v>52</v>
      </c>
      <c r="AA56" s="60">
        <f t="shared" si="6"/>
        <v>6052</v>
      </c>
    </row>
    <row r="57" spans="1:27">
      <c r="A57" s="83" t="str">
        <f t="shared" si="1"/>
        <v>42760A-CALIcpnk</v>
      </c>
      <c r="B57" s="83" t="str">
        <f t="shared" si="2"/>
        <v>06-052-86</v>
      </c>
      <c r="C57" s="106" t="s">
        <v>1052</v>
      </c>
      <c r="D57" s="106" t="s">
        <v>1053</v>
      </c>
      <c r="E57" s="106" t="s">
        <v>788</v>
      </c>
      <c r="F57" s="107">
        <v>0</v>
      </c>
      <c r="G57" s="106" t="s">
        <v>1051</v>
      </c>
      <c r="H57" s="106" t="s">
        <v>230</v>
      </c>
      <c r="I57" s="106" t="s">
        <v>786</v>
      </c>
      <c r="J57" s="106" t="s">
        <v>327</v>
      </c>
      <c r="K57" s="106" t="s">
        <v>382</v>
      </c>
      <c r="L57" s="106" t="s">
        <v>865</v>
      </c>
      <c r="M57" s="106" t="s">
        <v>388</v>
      </c>
      <c r="N57" s="106" t="s">
        <v>43</v>
      </c>
      <c r="O57" s="106" t="s">
        <v>541</v>
      </c>
      <c r="P57" s="106" t="s">
        <v>866</v>
      </c>
      <c r="Q57" s="106" t="s">
        <v>1054</v>
      </c>
      <c r="R57" s="106" t="s">
        <v>68</v>
      </c>
      <c r="S57" s="83" t="str">
        <f t="shared" si="3"/>
        <v>42760A-CALI</v>
      </c>
      <c r="T57" s="83" t="str">
        <f t="shared" si="4"/>
        <v>California</v>
      </c>
      <c r="Y57" s="60">
        <f t="shared" si="5"/>
        <v>6</v>
      </c>
      <c r="Z57" s="49">
        <f t="shared" si="0"/>
        <v>52</v>
      </c>
      <c r="AA57" s="60">
        <f t="shared" si="6"/>
        <v>6052</v>
      </c>
    </row>
    <row r="58" spans="1:27">
      <c r="A58" s="83" t="str">
        <f t="shared" si="1"/>
        <v>42760A-CALIgry</v>
      </c>
      <c r="B58" s="83" t="str">
        <f t="shared" si="2"/>
        <v>06-052-08</v>
      </c>
      <c r="C58" s="106" t="s">
        <v>1055</v>
      </c>
      <c r="D58" s="106" t="s">
        <v>1056</v>
      </c>
      <c r="E58" s="106" t="s">
        <v>788</v>
      </c>
      <c r="F58" s="107">
        <v>0</v>
      </c>
      <c r="G58" s="106" t="s">
        <v>1051</v>
      </c>
      <c r="H58" s="106" t="s">
        <v>83</v>
      </c>
      <c r="I58" s="106" t="s">
        <v>786</v>
      </c>
      <c r="J58" s="106" t="s">
        <v>327</v>
      </c>
      <c r="K58" s="106" t="s">
        <v>382</v>
      </c>
      <c r="L58" s="106" t="s">
        <v>865</v>
      </c>
      <c r="M58" s="106" t="s">
        <v>388</v>
      </c>
      <c r="N58" s="106" t="s">
        <v>43</v>
      </c>
      <c r="O58" s="106" t="s">
        <v>541</v>
      </c>
      <c r="P58" s="106" t="s">
        <v>866</v>
      </c>
      <c r="Q58" s="106" t="s">
        <v>845</v>
      </c>
      <c r="R58" s="106" t="s">
        <v>83</v>
      </c>
      <c r="S58" s="83" t="str">
        <f t="shared" si="3"/>
        <v>42760A-CALI</v>
      </c>
      <c r="T58" s="83" t="str">
        <f t="shared" si="4"/>
        <v>California</v>
      </c>
      <c r="Y58" s="60">
        <f t="shared" si="5"/>
        <v>6</v>
      </c>
      <c r="Z58" s="49">
        <f t="shared" si="0"/>
        <v>52</v>
      </c>
      <c r="AA58" s="60">
        <f t="shared" si="6"/>
        <v>6052</v>
      </c>
    </row>
    <row r="59" spans="1:27">
      <c r="A59" s="83" t="str">
        <f t="shared" si="1"/>
        <v>42760A-CALIlblu</v>
      </c>
      <c r="B59" s="83" t="str">
        <f t="shared" si="2"/>
        <v>06-052-19</v>
      </c>
      <c r="C59" s="106" t="s">
        <v>1057</v>
      </c>
      <c r="D59" s="106" t="s">
        <v>1058</v>
      </c>
      <c r="E59" s="106" t="s">
        <v>788</v>
      </c>
      <c r="F59" s="107">
        <v>0</v>
      </c>
      <c r="G59" s="106" t="s">
        <v>1051</v>
      </c>
      <c r="H59" s="106" t="s">
        <v>91</v>
      </c>
      <c r="I59" s="106" t="s">
        <v>786</v>
      </c>
      <c r="J59" s="106" t="s">
        <v>327</v>
      </c>
      <c r="K59" s="106" t="s">
        <v>382</v>
      </c>
      <c r="L59" s="106" t="s">
        <v>865</v>
      </c>
      <c r="M59" s="106" t="s">
        <v>388</v>
      </c>
      <c r="N59" s="106" t="s">
        <v>43</v>
      </c>
      <c r="O59" s="106" t="s">
        <v>541</v>
      </c>
      <c r="P59" s="106" t="s">
        <v>866</v>
      </c>
      <c r="Q59" s="106" t="s">
        <v>1059</v>
      </c>
      <c r="R59" s="106" t="s">
        <v>91</v>
      </c>
      <c r="S59" s="83" t="str">
        <f t="shared" si="3"/>
        <v>42760A-CALI</v>
      </c>
      <c r="T59" s="83" t="str">
        <f t="shared" si="4"/>
        <v>California</v>
      </c>
      <c r="Y59" s="60">
        <f t="shared" si="5"/>
        <v>6</v>
      </c>
      <c r="Z59" s="49">
        <f t="shared" si="0"/>
        <v>52</v>
      </c>
      <c r="AA59" s="60">
        <f t="shared" si="6"/>
        <v>6052</v>
      </c>
    </row>
    <row r="60" spans="1:27">
      <c r="A60" s="83" t="str">
        <f t="shared" si="1"/>
        <v>42760A-CALImoss</v>
      </c>
      <c r="B60" s="83" t="str">
        <f t="shared" si="2"/>
        <v>06-052-05</v>
      </c>
      <c r="C60" s="106" t="s">
        <v>1060</v>
      </c>
      <c r="D60" s="106" t="s">
        <v>1061</v>
      </c>
      <c r="E60" s="106" t="s">
        <v>788</v>
      </c>
      <c r="F60" s="107">
        <v>0</v>
      </c>
      <c r="G60" s="106" t="s">
        <v>1051</v>
      </c>
      <c r="H60" s="106" t="s">
        <v>277</v>
      </c>
      <c r="I60" s="106" t="s">
        <v>786</v>
      </c>
      <c r="J60" s="106" t="s">
        <v>327</v>
      </c>
      <c r="K60" s="106" t="s">
        <v>382</v>
      </c>
      <c r="L60" s="106" t="s">
        <v>865</v>
      </c>
      <c r="M60" s="106" t="s">
        <v>388</v>
      </c>
      <c r="N60" s="106" t="s">
        <v>43</v>
      </c>
      <c r="O60" s="106" t="s">
        <v>541</v>
      </c>
      <c r="P60" s="106" t="s">
        <v>866</v>
      </c>
      <c r="Q60" s="106" t="s">
        <v>844</v>
      </c>
      <c r="R60" s="106" t="s">
        <v>83</v>
      </c>
      <c r="S60" s="83" t="str">
        <f t="shared" si="3"/>
        <v>42760A-CALI</v>
      </c>
      <c r="T60" s="83" t="str">
        <f t="shared" si="4"/>
        <v>California</v>
      </c>
      <c r="Y60" s="60">
        <f t="shared" si="5"/>
        <v>6</v>
      </c>
      <c r="Z60" s="49">
        <f t="shared" si="0"/>
        <v>52</v>
      </c>
      <c r="AA60" s="60">
        <f t="shared" si="6"/>
        <v>6052</v>
      </c>
    </row>
    <row r="61" spans="1:27">
      <c r="A61" s="83" t="str">
        <f t="shared" si="1"/>
        <v>42760A-CALInavy</v>
      </c>
      <c r="B61" s="83" t="str">
        <f t="shared" si="2"/>
        <v>06-052-16</v>
      </c>
      <c r="C61" s="106" t="s">
        <v>1062</v>
      </c>
      <c r="D61" s="106" t="s">
        <v>1063</v>
      </c>
      <c r="E61" s="106" t="s">
        <v>788</v>
      </c>
      <c r="F61" s="107">
        <v>0</v>
      </c>
      <c r="G61" s="106" t="s">
        <v>1051</v>
      </c>
      <c r="H61" s="106" t="s">
        <v>55</v>
      </c>
      <c r="I61" s="106" t="s">
        <v>786</v>
      </c>
      <c r="J61" s="106" t="s">
        <v>327</v>
      </c>
      <c r="K61" s="106" t="s">
        <v>382</v>
      </c>
      <c r="L61" s="106" t="s">
        <v>865</v>
      </c>
      <c r="M61" s="106" t="s">
        <v>388</v>
      </c>
      <c r="N61" s="106" t="s">
        <v>43</v>
      </c>
      <c r="O61" s="106" t="s">
        <v>541</v>
      </c>
      <c r="P61" s="106" t="s">
        <v>866</v>
      </c>
      <c r="Q61" s="106" t="s">
        <v>818</v>
      </c>
      <c r="R61" s="106" t="s">
        <v>71</v>
      </c>
      <c r="S61" s="83" t="str">
        <f t="shared" si="3"/>
        <v>42760A-CALI</v>
      </c>
      <c r="T61" s="83" t="str">
        <f t="shared" si="4"/>
        <v>California</v>
      </c>
      <c r="Y61" s="60">
        <f t="shared" si="5"/>
        <v>6</v>
      </c>
      <c r="Z61" s="49">
        <f t="shared" si="0"/>
        <v>52</v>
      </c>
      <c r="AA61" s="60">
        <f t="shared" si="6"/>
        <v>6052</v>
      </c>
    </row>
    <row r="62" spans="1:27">
      <c r="A62" s="83" t="str">
        <f t="shared" si="1"/>
        <v>42760A-CALIsnow</v>
      </c>
      <c r="B62" s="83" t="str">
        <f t="shared" si="2"/>
        <v>06-052-17</v>
      </c>
      <c r="C62" s="106" t="s">
        <v>1064</v>
      </c>
      <c r="D62" s="106" t="s">
        <v>1065</v>
      </c>
      <c r="E62" s="106" t="s">
        <v>788</v>
      </c>
      <c r="F62" s="107">
        <v>0</v>
      </c>
      <c r="G62" s="106" t="s">
        <v>1051</v>
      </c>
      <c r="H62" s="106" t="s">
        <v>57</v>
      </c>
      <c r="I62" s="106" t="s">
        <v>786</v>
      </c>
      <c r="J62" s="106" t="s">
        <v>327</v>
      </c>
      <c r="K62" s="106" t="s">
        <v>382</v>
      </c>
      <c r="L62" s="106" t="s">
        <v>865</v>
      </c>
      <c r="M62" s="106" t="s">
        <v>388</v>
      </c>
      <c r="N62" s="106" t="s">
        <v>43</v>
      </c>
      <c r="O62" s="106" t="s">
        <v>541</v>
      </c>
      <c r="P62" s="106" t="s">
        <v>866</v>
      </c>
      <c r="Q62" s="106" t="s">
        <v>990</v>
      </c>
      <c r="R62" s="106" t="s">
        <v>57</v>
      </c>
      <c r="S62" s="83" t="str">
        <f t="shared" si="3"/>
        <v>42760A-CALI</v>
      </c>
      <c r="T62" s="83" t="str">
        <f t="shared" si="4"/>
        <v>California</v>
      </c>
      <c r="Y62" s="60">
        <f t="shared" si="5"/>
        <v>6</v>
      </c>
      <c r="Z62" s="49">
        <f t="shared" si="0"/>
        <v>52</v>
      </c>
      <c r="AA62" s="60">
        <f t="shared" si="6"/>
        <v>6052</v>
      </c>
    </row>
    <row r="63" spans="1:27">
      <c r="A63" s="83" t="str">
        <f t="shared" si="1"/>
        <v>42810A-CALIblir</v>
      </c>
      <c r="B63" s="83" t="str">
        <f t="shared" si="2"/>
        <v>06-053-48</v>
      </c>
      <c r="C63" s="106" t="s">
        <v>1066</v>
      </c>
      <c r="D63" s="106" t="s">
        <v>1067</v>
      </c>
      <c r="E63" s="106" t="s">
        <v>788</v>
      </c>
      <c r="F63" s="107">
        <v>0</v>
      </c>
      <c r="G63" s="106" t="s">
        <v>1068</v>
      </c>
      <c r="H63" s="106" t="s">
        <v>293</v>
      </c>
      <c r="I63" s="106" t="s">
        <v>790</v>
      </c>
      <c r="J63" s="106" t="s">
        <v>342</v>
      </c>
      <c r="K63" s="106" t="s">
        <v>382</v>
      </c>
      <c r="L63" s="106" t="s">
        <v>865</v>
      </c>
      <c r="M63" s="106" t="s">
        <v>389</v>
      </c>
      <c r="O63" s="106" t="s">
        <v>542</v>
      </c>
      <c r="P63" s="106" t="s">
        <v>866</v>
      </c>
      <c r="Q63" s="106" t="s">
        <v>1069</v>
      </c>
      <c r="R63" s="106" t="s">
        <v>53</v>
      </c>
      <c r="S63" s="83" t="str">
        <f t="shared" si="3"/>
        <v>42810A-CALI</v>
      </c>
      <c r="T63" s="83" t="str">
        <f t="shared" si="4"/>
        <v>California</v>
      </c>
      <c r="Y63" s="60">
        <f t="shared" si="5"/>
        <v>6</v>
      </c>
      <c r="Z63" s="49">
        <f t="shared" si="0"/>
        <v>53</v>
      </c>
      <c r="AA63" s="60">
        <f t="shared" si="6"/>
        <v>6053</v>
      </c>
    </row>
    <row r="64" spans="1:27">
      <c r="A64" s="83" t="str">
        <f t="shared" si="1"/>
        <v>42960A-CALIblk</v>
      </c>
      <c r="B64" s="83" t="str">
        <f t="shared" si="2"/>
        <v>06-054-09</v>
      </c>
      <c r="C64" s="106" t="s">
        <v>1070</v>
      </c>
      <c r="D64" s="106" t="s">
        <v>1071</v>
      </c>
      <c r="E64" s="106" t="s">
        <v>788</v>
      </c>
      <c r="F64" s="107">
        <v>0</v>
      </c>
      <c r="G64" s="106" t="s">
        <v>1072</v>
      </c>
      <c r="H64" s="106" t="s">
        <v>53</v>
      </c>
      <c r="I64" s="106" t="s">
        <v>1034</v>
      </c>
      <c r="J64" s="106" t="s">
        <v>327</v>
      </c>
      <c r="K64" s="106" t="s">
        <v>382</v>
      </c>
      <c r="L64" s="106" t="s">
        <v>880</v>
      </c>
      <c r="M64" s="106" t="s">
        <v>388</v>
      </c>
      <c r="N64" s="106" t="s">
        <v>43</v>
      </c>
      <c r="O64" s="106" t="s">
        <v>386</v>
      </c>
      <c r="P64" s="106" t="s">
        <v>866</v>
      </c>
      <c r="Q64" s="106" t="s">
        <v>843</v>
      </c>
      <c r="R64" s="106" t="s">
        <v>53</v>
      </c>
      <c r="S64" s="83" t="str">
        <f t="shared" si="3"/>
        <v>42960A-CALI</v>
      </c>
      <c r="T64" s="83" t="str">
        <f t="shared" si="4"/>
        <v>California Valin</v>
      </c>
      <c r="Y64" s="60">
        <f t="shared" si="5"/>
        <v>6</v>
      </c>
      <c r="Z64" s="49">
        <f t="shared" si="0"/>
        <v>54</v>
      </c>
      <c r="AA64" s="60">
        <f t="shared" si="6"/>
        <v>6054</v>
      </c>
    </row>
    <row r="65" spans="1:27">
      <c r="A65" s="83" t="str">
        <f t="shared" si="1"/>
        <v>42960A-LOSAblk</v>
      </c>
      <c r="B65" s="83" t="str">
        <f t="shared" si="2"/>
        <v>06-055-09</v>
      </c>
      <c r="C65" s="106" t="s">
        <v>1073</v>
      </c>
      <c r="D65" s="106" t="s">
        <v>1074</v>
      </c>
      <c r="E65" s="106" t="s">
        <v>788</v>
      </c>
      <c r="F65" s="107">
        <v>0</v>
      </c>
      <c r="G65" s="106" t="s">
        <v>1075</v>
      </c>
      <c r="H65" s="106" t="s">
        <v>53</v>
      </c>
      <c r="I65" s="106" t="s">
        <v>1034</v>
      </c>
      <c r="J65" s="106" t="s">
        <v>356</v>
      </c>
      <c r="K65" s="106" t="s">
        <v>382</v>
      </c>
      <c r="L65" s="106" t="s">
        <v>865</v>
      </c>
      <c r="M65" s="106" t="s">
        <v>388</v>
      </c>
      <c r="N65" s="106" t="s">
        <v>43</v>
      </c>
      <c r="O65" s="106" t="s">
        <v>386</v>
      </c>
      <c r="P65" s="106" t="s">
        <v>866</v>
      </c>
      <c r="Q65" s="106" t="s">
        <v>843</v>
      </c>
      <c r="R65" s="106" t="s">
        <v>53</v>
      </c>
      <c r="S65" s="83" t="str">
        <f t="shared" si="3"/>
        <v>42960A-LOSA</v>
      </c>
      <c r="T65" s="83" t="str">
        <f t="shared" si="4"/>
        <v>Los Angeles Valin</v>
      </c>
      <c r="Y65" s="60">
        <f t="shared" si="5"/>
        <v>6</v>
      </c>
      <c r="Z65" s="49">
        <f t="shared" si="0"/>
        <v>55</v>
      </c>
      <c r="AA65" s="60">
        <f t="shared" si="6"/>
        <v>6055</v>
      </c>
    </row>
    <row r="66" spans="1:27">
      <c r="A66" s="83" t="str">
        <f t="shared" si="1"/>
        <v>42960A-NYnavy</v>
      </c>
      <c r="B66" s="83" t="str">
        <f t="shared" si="2"/>
        <v>06-056-16</v>
      </c>
      <c r="C66" s="106" t="s">
        <v>1076</v>
      </c>
      <c r="D66" s="106" t="s">
        <v>1077</v>
      </c>
      <c r="E66" s="106" t="s">
        <v>788</v>
      </c>
      <c r="F66" s="107">
        <v>0</v>
      </c>
      <c r="G66" s="106" t="s">
        <v>1078</v>
      </c>
      <c r="H66" s="106" t="s">
        <v>55</v>
      </c>
      <c r="I66" s="106" t="s">
        <v>1034</v>
      </c>
      <c r="J66" s="106" t="s">
        <v>356</v>
      </c>
      <c r="K66" s="106" t="s">
        <v>382</v>
      </c>
      <c r="L66" s="106" t="s">
        <v>865</v>
      </c>
      <c r="M66" s="106" t="s">
        <v>388</v>
      </c>
      <c r="N66" s="106" t="s">
        <v>43</v>
      </c>
      <c r="O66" s="106" t="s">
        <v>386</v>
      </c>
      <c r="P66" s="106" t="s">
        <v>866</v>
      </c>
      <c r="Q66" s="106" t="s">
        <v>818</v>
      </c>
      <c r="R66" s="106" t="s">
        <v>71</v>
      </c>
      <c r="S66" s="83" t="str">
        <f t="shared" si="3"/>
        <v>42960A-NY</v>
      </c>
      <c r="T66" s="83" t="str">
        <f t="shared" si="4"/>
        <v>New York Valin</v>
      </c>
      <c r="Y66" s="60">
        <f t="shared" si="5"/>
        <v>6</v>
      </c>
      <c r="Z66" s="49">
        <f t="shared" si="0"/>
        <v>56</v>
      </c>
      <c r="AA66" s="60">
        <f t="shared" si="6"/>
        <v>6056</v>
      </c>
    </row>
    <row r="67" spans="1:27">
      <c r="A67" s="83" t="str">
        <f t="shared" ref="A67:A130" si="7">IF(G67&amp;Q67&lt;&gt;"",S67&amp;Q67,"")</f>
        <v>42960B-CALIiblk</v>
      </c>
      <c r="B67" s="83" t="str">
        <f t="shared" ref="B67:B130" si="8">IF(C67&lt;&gt;"",LEFT(C67,9),"")</f>
        <v>06-057-09</v>
      </c>
      <c r="C67" s="106" t="s">
        <v>1079</v>
      </c>
      <c r="D67" s="106" t="s">
        <v>1080</v>
      </c>
      <c r="E67" s="106" t="s">
        <v>788</v>
      </c>
      <c r="F67" s="107">
        <v>0</v>
      </c>
      <c r="G67" s="106" t="s">
        <v>1081</v>
      </c>
      <c r="H67" s="106" t="s">
        <v>53</v>
      </c>
      <c r="I67" s="106" t="s">
        <v>1034</v>
      </c>
      <c r="J67" s="106" t="s">
        <v>356</v>
      </c>
      <c r="K67" s="106" t="s">
        <v>382</v>
      </c>
      <c r="L67" s="106" t="s">
        <v>865</v>
      </c>
      <c r="M67" s="106" t="s">
        <v>388</v>
      </c>
      <c r="N67" s="106" t="s">
        <v>43</v>
      </c>
      <c r="O67" s="106" t="s">
        <v>386</v>
      </c>
      <c r="P67" s="106" t="s">
        <v>866</v>
      </c>
      <c r="Q67" s="106" t="s">
        <v>1082</v>
      </c>
      <c r="R67" s="106" t="s">
        <v>53</v>
      </c>
      <c r="S67" s="83" t="str">
        <f t="shared" ref="S67:S130" si="9">IF(G67&lt;&gt;"",IF(StyleSpaceSplit,IFERROR(IF(FIND(" ",G67)&gt;=1,MID(G67,1,FIND(" ",G67)-1),G67),G67),G67),"")</f>
        <v>42960B-CALI</v>
      </c>
      <c r="T67" s="83" t="str">
        <f t="shared" ref="T67:T130" si="10">IF(A67&lt;&gt;"",IFERROR(IF(FIND(" ",G67)&gt;=1,MID(G67,FIND(" ",G67)+1,LEN(G67)),""),G67),"")</f>
        <v>California Valin</v>
      </c>
      <c r="Y67" s="60">
        <f t="shared" ref="Y67:Y130" si="11">IFERROR(VALUE(MID($C67,1,2)),0)</f>
        <v>6</v>
      </c>
      <c r="Z67" s="49">
        <f t="shared" ref="Z67:Z130" si="12">IFERROR(VALUE(MID($C67,4,3)),0)</f>
        <v>57</v>
      </c>
      <c r="AA67" s="60">
        <f t="shared" ref="AA67:AA130" si="13">VALUE(RIGHT("00"&amp;Y67,2)&amp;RIGHT("000"&amp;Z67,3))</f>
        <v>6057</v>
      </c>
    </row>
    <row r="68" spans="1:27">
      <c r="A68" s="83" t="str">
        <f t="shared" si="7"/>
        <v>43020A-HAWAbsun</v>
      </c>
      <c r="B68" s="83" t="str">
        <f t="shared" si="8"/>
        <v>06-058-20</v>
      </c>
      <c r="C68" s="106" t="s">
        <v>1083</v>
      </c>
      <c r="D68" s="106" t="s">
        <v>1084</v>
      </c>
      <c r="E68" s="106" t="s">
        <v>788</v>
      </c>
      <c r="F68" s="107">
        <v>0</v>
      </c>
      <c r="G68" s="106" t="s">
        <v>1085</v>
      </c>
      <c r="H68" s="106" t="s">
        <v>65</v>
      </c>
      <c r="I68" s="106" t="s">
        <v>786</v>
      </c>
      <c r="J68" s="106" t="s">
        <v>327</v>
      </c>
      <c r="K68" s="106" t="s">
        <v>382</v>
      </c>
      <c r="L68" s="106" t="s">
        <v>880</v>
      </c>
      <c r="M68" s="106" t="s">
        <v>388</v>
      </c>
      <c r="N68" s="106" t="s">
        <v>43</v>
      </c>
      <c r="O68" s="106" t="s">
        <v>541</v>
      </c>
      <c r="P68" s="106" t="s">
        <v>866</v>
      </c>
      <c r="Q68" s="106" t="s">
        <v>1086</v>
      </c>
      <c r="R68" s="106" t="s">
        <v>65</v>
      </c>
      <c r="S68" s="83" t="str">
        <f t="shared" si="9"/>
        <v>43020A-HAWA</v>
      </c>
      <c r="T68" s="83" t="str">
        <f t="shared" si="10"/>
        <v>Hawaii Ballpark</v>
      </c>
      <c r="Y68" s="60">
        <f t="shared" si="11"/>
        <v>6</v>
      </c>
      <c r="Z68" s="49">
        <f t="shared" si="12"/>
        <v>58</v>
      </c>
      <c r="AA68" s="60">
        <f t="shared" si="13"/>
        <v>6058</v>
      </c>
    </row>
    <row r="69" spans="1:27">
      <c r="A69" s="83" t="str">
        <f t="shared" si="7"/>
        <v>43020A-NASAblk</v>
      </c>
      <c r="B69" s="83" t="str">
        <f t="shared" si="8"/>
        <v>06-059-09</v>
      </c>
      <c r="C69" s="106" t="s">
        <v>1087</v>
      </c>
      <c r="D69" s="106" t="s">
        <v>1088</v>
      </c>
      <c r="E69" s="106" t="s">
        <v>788</v>
      </c>
      <c r="F69" s="107">
        <v>0</v>
      </c>
      <c r="G69" s="106" t="s">
        <v>1089</v>
      </c>
      <c r="H69" s="106" t="s">
        <v>53</v>
      </c>
      <c r="I69" s="106" t="s">
        <v>786</v>
      </c>
      <c r="J69" s="106" t="s">
        <v>327</v>
      </c>
      <c r="K69" s="106" t="s">
        <v>382</v>
      </c>
      <c r="L69" s="106" t="s">
        <v>1090</v>
      </c>
      <c r="M69" s="106" t="s">
        <v>388</v>
      </c>
      <c r="N69" s="106" t="s">
        <v>43</v>
      </c>
      <c r="O69" s="106" t="s">
        <v>541</v>
      </c>
      <c r="P69" s="106" t="s">
        <v>866</v>
      </c>
      <c r="Q69" s="106" t="s">
        <v>843</v>
      </c>
      <c r="R69" s="106" t="s">
        <v>53</v>
      </c>
      <c r="S69" s="83" t="str">
        <f t="shared" si="9"/>
        <v>43020A-NASA</v>
      </c>
      <c r="T69" s="83" t="str">
        <f t="shared" si="10"/>
        <v>Mars with NASA Ballpark</v>
      </c>
      <c r="Y69" s="60">
        <f t="shared" si="11"/>
        <v>6</v>
      </c>
      <c r="Z69" s="49">
        <f t="shared" si="12"/>
        <v>59</v>
      </c>
      <c r="AA69" s="60">
        <f t="shared" si="13"/>
        <v>6059</v>
      </c>
    </row>
    <row r="70" spans="1:27">
      <c r="A70" s="83" t="str">
        <f t="shared" si="7"/>
        <v>43020E-CALIblk</v>
      </c>
      <c r="B70" s="83" t="str">
        <f t="shared" si="8"/>
        <v>06-060-09</v>
      </c>
      <c r="C70" s="106" t="s">
        <v>1091</v>
      </c>
      <c r="D70" s="106" t="s">
        <v>1092</v>
      </c>
      <c r="E70" s="106" t="s">
        <v>788</v>
      </c>
      <c r="F70" s="107">
        <v>0</v>
      </c>
      <c r="G70" s="106" t="s">
        <v>1093</v>
      </c>
      <c r="H70" s="106" t="s">
        <v>53</v>
      </c>
      <c r="I70" s="106" t="s">
        <v>786</v>
      </c>
      <c r="J70" s="106" t="s">
        <v>327</v>
      </c>
      <c r="K70" s="106" t="s">
        <v>382</v>
      </c>
      <c r="L70" s="106" t="s">
        <v>865</v>
      </c>
      <c r="M70" s="106" t="s">
        <v>388</v>
      </c>
      <c r="N70" s="106" t="s">
        <v>43</v>
      </c>
      <c r="O70" s="106" t="s">
        <v>541</v>
      </c>
      <c r="P70" s="106" t="s">
        <v>866</v>
      </c>
      <c r="Q70" s="106" t="s">
        <v>843</v>
      </c>
      <c r="R70" s="106" t="s">
        <v>53</v>
      </c>
      <c r="S70" s="83" t="str">
        <f t="shared" si="9"/>
        <v>43020E-CALI</v>
      </c>
      <c r="T70" s="83" t="str">
        <f t="shared" si="10"/>
        <v>California Ballpark</v>
      </c>
      <c r="Y70" s="60">
        <f t="shared" si="11"/>
        <v>6</v>
      </c>
      <c r="Z70" s="49">
        <f t="shared" si="12"/>
        <v>60</v>
      </c>
      <c r="AA70" s="60">
        <f t="shared" si="13"/>
        <v>6060</v>
      </c>
    </row>
    <row r="71" spans="1:27">
      <c r="A71" s="83" t="str">
        <f t="shared" si="7"/>
        <v>43027A-HOSgyrd</v>
      </c>
      <c r="B71" s="83" t="str">
        <f t="shared" si="8"/>
        <v>06-061-08</v>
      </c>
      <c r="C71" s="106" t="s">
        <v>1094</v>
      </c>
      <c r="D71" s="106" t="s">
        <v>1095</v>
      </c>
      <c r="E71" s="106" t="s">
        <v>788</v>
      </c>
      <c r="F71" s="107">
        <v>0</v>
      </c>
      <c r="G71" s="106" t="s">
        <v>1096</v>
      </c>
      <c r="H71" s="106" t="s">
        <v>241</v>
      </c>
      <c r="I71" s="106" t="s">
        <v>786</v>
      </c>
      <c r="J71" s="106" t="s">
        <v>327</v>
      </c>
      <c r="K71" s="106" t="s">
        <v>382</v>
      </c>
      <c r="L71" s="106" t="s">
        <v>884</v>
      </c>
      <c r="M71" s="106" t="s">
        <v>388</v>
      </c>
      <c r="N71" s="106" t="s">
        <v>43</v>
      </c>
      <c r="O71" s="106" t="s">
        <v>541</v>
      </c>
      <c r="P71" s="106" t="s">
        <v>866</v>
      </c>
      <c r="Q71" s="106" t="s">
        <v>909</v>
      </c>
      <c r="R71" s="106" t="s">
        <v>83</v>
      </c>
      <c r="S71" s="83" t="str">
        <f t="shared" si="9"/>
        <v>43027A-HOS</v>
      </c>
      <c r="T71" s="83" t="str">
        <f t="shared" si="10"/>
        <v>Hollywood Stars Ballpark MILB</v>
      </c>
      <c r="Y71" s="60">
        <f t="shared" si="11"/>
        <v>6</v>
      </c>
      <c r="Z71" s="49">
        <f t="shared" si="12"/>
        <v>61</v>
      </c>
      <c r="AA71" s="60">
        <f t="shared" si="13"/>
        <v>6061</v>
      </c>
    </row>
    <row r="72" spans="1:27">
      <c r="A72" s="83" t="str">
        <f t="shared" si="7"/>
        <v>43027A-SAFnvor</v>
      </c>
      <c r="B72" s="83" t="str">
        <f t="shared" si="8"/>
        <v>06-062-16</v>
      </c>
      <c r="C72" s="106" t="s">
        <v>1097</v>
      </c>
      <c r="D72" s="106" t="s">
        <v>1098</v>
      </c>
      <c r="E72" s="106" t="s">
        <v>788</v>
      </c>
      <c r="F72" s="107">
        <v>0</v>
      </c>
      <c r="G72" s="106" t="s">
        <v>1099</v>
      </c>
      <c r="H72" s="106" t="s">
        <v>55</v>
      </c>
      <c r="I72" s="106" t="s">
        <v>786</v>
      </c>
      <c r="J72" s="106" t="s">
        <v>327</v>
      </c>
      <c r="K72" s="106" t="s">
        <v>382</v>
      </c>
      <c r="L72" s="106" t="s">
        <v>884</v>
      </c>
      <c r="M72" s="106" t="s">
        <v>388</v>
      </c>
      <c r="N72" s="106" t="s">
        <v>43</v>
      </c>
      <c r="O72" s="106" t="s">
        <v>541</v>
      </c>
      <c r="P72" s="106" t="s">
        <v>866</v>
      </c>
      <c r="Q72" s="106" t="s">
        <v>1100</v>
      </c>
      <c r="R72" s="106" t="s">
        <v>71</v>
      </c>
      <c r="S72" s="83" t="str">
        <f t="shared" si="9"/>
        <v>43027A-SAF</v>
      </c>
      <c r="T72" s="83" t="str">
        <f t="shared" si="10"/>
        <v>San Francisco Seals Ballpark MILB</v>
      </c>
      <c r="Y72" s="60">
        <f t="shared" si="11"/>
        <v>6</v>
      </c>
      <c r="Z72" s="49">
        <f t="shared" si="12"/>
        <v>62</v>
      </c>
      <c r="AA72" s="60">
        <f t="shared" si="13"/>
        <v>6062</v>
      </c>
    </row>
    <row r="73" spans="1:27">
      <c r="A73" s="83" t="str">
        <f t="shared" si="7"/>
        <v>43027A-SERrdwh</v>
      </c>
      <c r="B73" s="83" t="str">
        <f t="shared" si="8"/>
        <v>06-063-18</v>
      </c>
      <c r="C73" s="106" t="s">
        <v>1101</v>
      </c>
      <c r="D73" s="106" t="s">
        <v>1102</v>
      </c>
      <c r="E73" s="106" t="s">
        <v>788</v>
      </c>
      <c r="F73" s="107">
        <v>0</v>
      </c>
      <c r="G73" s="106" t="s">
        <v>1103</v>
      </c>
      <c r="H73" s="106" t="s">
        <v>78</v>
      </c>
      <c r="I73" s="106" t="s">
        <v>786</v>
      </c>
      <c r="J73" s="106" t="s">
        <v>327</v>
      </c>
      <c r="K73" s="106" t="s">
        <v>382</v>
      </c>
      <c r="L73" s="106" t="s">
        <v>884</v>
      </c>
      <c r="M73" s="106" t="s">
        <v>388</v>
      </c>
      <c r="N73" s="106" t="s">
        <v>43</v>
      </c>
      <c r="O73" s="106" t="s">
        <v>541</v>
      </c>
      <c r="P73" s="106" t="s">
        <v>866</v>
      </c>
      <c r="Q73" s="106" t="s">
        <v>1104</v>
      </c>
      <c r="R73" s="106" t="s">
        <v>78</v>
      </c>
      <c r="S73" s="83" t="str">
        <f t="shared" si="9"/>
        <v>43027A-SER</v>
      </c>
      <c r="T73" s="83" t="str">
        <f t="shared" si="10"/>
        <v>Seattle Rainiers Ballpark MILB</v>
      </c>
      <c r="Y73" s="60">
        <f t="shared" si="11"/>
        <v>6</v>
      </c>
      <c r="Z73" s="49">
        <f t="shared" si="12"/>
        <v>63</v>
      </c>
      <c r="AA73" s="60">
        <f t="shared" si="13"/>
        <v>6063</v>
      </c>
    </row>
    <row r="74" spans="1:27">
      <c r="A74" s="83" t="str">
        <f t="shared" si="7"/>
        <v>43027A-WHAstnv</v>
      </c>
      <c r="B74" s="83" t="str">
        <f t="shared" si="8"/>
        <v>06-064-36</v>
      </c>
      <c r="C74" s="106" t="s">
        <v>1105</v>
      </c>
      <c r="D74" s="106" t="s">
        <v>1106</v>
      </c>
      <c r="E74" s="106" t="s">
        <v>788</v>
      </c>
      <c r="F74" s="107">
        <v>0</v>
      </c>
      <c r="G74" s="106" t="s">
        <v>1107</v>
      </c>
      <c r="H74" s="106" t="s">
        <v>685</v>
      </c>
      <c r="I74" s="106" t="s">
        <v>786</v>
      </c>
      <c r="J74" s="106" t="s">
        <v>327</v>
      </c>
      <c r="K74" s="106" t="s">
        <v>382</v>
      </c>
      <c r="L74" s="106" t="s">
        <v>884</v>
      </c>
      <c r="M74" s="106" t="s">
        <v>388</v>
      </c>
      <c r="N74" s="106" t="s">
        <v>43</v>
      </c>
      <c r="O74" s="106" t="s">
        <v>541</v>
      </c>
      <c r="P74" s="106" t="s">
        <v>866</v>
      </c>
      <c r="Q74" s="106" t="s">
        <v>1108</v>
      </c>
      <c r="R74" s="106" t="s">
        <v>63</v>
      </c>
      <c r="S74" s="83" t="str">
        <f t="shared" si="9"/>
        <v>43027A-WHA</v>
      </c>
      <c r="T74" s="83" t="str">
        <f t="shared" si="10"/>
        <v>Chicago Whales Ballpark MILB</v>
      </c>
      <c r="Y74" s="60">
        <f t="shared" si="11"/>
        <v>6</v>
      </c>
      <c r="Z74" s="49">
        <f t="shared" si="12"/>
        <v>64</v>
      </c>
      <c r="AA74" s="60">
        <f t="shared" si="13"/>
        <v>6064</v>
      </c>
    </row>
    <row r="75" spans="1:27">
      <c r="A75" s="83" t="str">
        <f t="shared" si="7"/>
        <v>43260A-TXnavy</v>
      </c>
      <c r="B75" s="83" t="str">
        <f t="shared" si="8"/>
        <v>06-065-16</v>
      </c>
      <c r="C75" s="106" t="s">
        <v>1109</v>
      </c>
      <c r="D75" s="106" t="s">
        <v>1110</v>
      </c>
      <c r="E75" s="106" t="s">
        <v>788</v>
      </c>
      <c r="F75" s="107">
        <v>0</v>
      </c>
      <c r="G75" s="106" t="s">
        <v>1111</v>
      </c>
      <c r="H75" s="106" t="s">
        <v>55</v>
      </c>
      <c r="I75" s="106" t="s">
        <v>1027</v>
      </c>
      <c r="J75" s="106" t="s">
        <v>356</v>
      </c>
      <c r="K75" s="106" t="s">
        <v>382</v>
      </c>
      <c r="L75" s="106" t="s">
        <v>865</v>
      </c>
      <c r="M75" s="106" t="s">
        <v>388</v>
      </c>
      <c r="N75" s="106" t="s">
        <v>43</v>
      </c>
      <c r="O75" s="106" t="s">
        <v>541</v>
      </c>
      <c r="P75" s="106" t="s">
        <v>866</v>
      </c>
      <c r="Q75" s="106" t="s">
        <v>818</v>
      </c>
      <c r="R75" s="106" t="s">
        <v>71</v>
      </c>
      <c r="S75" s="83" t="str">
        <f t="shared" si="9"/>
        <v>43260A-TX</v>
      </c>
      <c r="T75" s="83" t="str">
        <f t="shared" si="10"/>
        <v>Texas</v>
      </c>
      <c r="Y75" s="60">
        <f t="shared" si="11"/>
        <v>6</v>
      </c>
      <c r="Z75" s="49">
        <f t="shared" si="12"/>
        <v>65</v>
      </c>
      <c r="AA75" s="60">
        <f t="shared" si="13"/>
        <v>6065</v>
      </c>
    </row>
    <row r="76" spans="1:27">
      <c r="A76" s="83" t="str">
        <f t="shared" si="7"/>
        <v>43350A-NASAibgy</v>
      </c>
      <c r="B76" s="83" t="str">
        <f t="shared" si="8"/>
        <v>06-066-10</v>
      </c>
      <c r="C76" s="106" t="s">
        <v>1112</v>
      </c>
      <c r="D76" s="106" t="s">
        <v>1113</v>
      </c>
      <c r="E76" s="106" t="s">
        <v>788</v>
      </c>
      <c r="F76" s="107">
        <v>0</v>
      </c>
      <c r="G76" s="106" t="s">
        <v>1114</v>
      </c>
      <c r="H76" s="106" t="s">
        <v>308</v>
      </c>
      <c r="I76" s="106" t="s">
        <v>1027</v>
      </c>
      <c r="J76" s="106" t="s">
        <v>356</v>
      </c>
      <c r="K76" s="106" t="s">
        <v>382</v>
      </c>
      <c r="L76" s="106" t="s">
        <v>1090</v>
      </c>
      <c r="M76" s="106" t="s">
        <v>388</v>
      </c>
      <c r="N76" s="106" t="s">
        <v>43</v>
      </c>
      <c r="O76" s="106" t="s">
        <v>386</v>
      </c>
      <c r="P76" s="106" t="s">
        <v>866</v>
      </c>
      <c r="Q76" s="106" t="s">
        <v>1115</v>
      </c>
      <c r="R76" s="106" t="s">
        <v>53</v>
      </c>
      <c r="S76" s="83" t="str">
        <f t="shared" si="9"/>
        <v>43350A-NASA</v>
      </c>
      <c r="T76" s="83" t="str">
        <f t="shared" si="10"/>
        <v>Space with NASA</v>
      </c>
      <c r="Y76" s="60">
        <f t="shared" si="11"/>
        <v>6</v>
      </c>
      <c r="Z76" s="49">
        <f t="shared" si="12"/>
        <v>66</v>
      </c>
      <c r="AA76" s="60">
        <f t="shared" si="13"/>
        <v>6066</v>
      </c>
    </row>
    <row r="77" spans="1:27">
      <c r="A77" s="83" t="str">
        <f t="shared" si="7"/>
        <v>43350A-NASAirn</v>
      </c>
      <c r="B77" s="83" t="str">
        <f t="shared" si="8"/>
        <v>06-066-18</v>
      </c>
      <c r="C77" s="106" t="s">
        <v>1116</v>
      </c>
      <c r="D77" s="106" t="s">
        <v>1117</v>
      </c>
      <c r="E77" s="106" t="s">
        <v>788</v>
      </c>
      <c r="F77" s="107">
        <v>0</v>
      </c>
      <c r="G77" s="106" t="s">
        <v>1114</v>
      </c>
      <c r="H77" s="106" t="s">
        <v>185</v>
      </c>
      <c r="I77" s="106" t="s">
        <v>1027</v>
      </c>
      <c r="J77" s="106" t="s">
        <v>356</v>
      </c>
      <c r="K77" s="106" t="s">
        <v>382</v>
      </c>
      <c r="L77" s="106" t="s">
        <v>1090</v>
      </c>
      <c r="M77" s="106" t="s">
        <v>388</v>
      </c>
      <c r="N77" s="106" t="s">
        <v>43</v>
      </c>
      <c r="O77" s="106" t="s">
        <v>386</v>
      </c>
      <c r="P77" s="106" t="s">
        <v>866</v>
      </c>
      <c r="Q77" s="106" t="s">
        <v>1118</v>
      </c>
      <c r="R77" s="106" t="s">
        <v>78</v>
      </c>
      <c r="S77" s="83" t="str">
        <f t="shared" si="9"/>
        <v>43350A-NASA</v>
      </c>
      <c r="T77" s="83" t="str">
        <f t="shared" si="10"/>
        <v>Space with NASA</v>
      </c>
      <c r="Y77" s="60">
        <f t="shared" si="11"/>
        <v>6</v>
      </c>
      <c r="Z77" s="49">
        <f t="shared" si="12"/>
        <v>66</v>
      </c>
      <c r="AA77" s="60">
        <f t="shared" si="13"/>
        <v>6066</v>
      </c>
    </row>
    <row r="78" spans="1:27">
      <c r="A78" s="83" t="str">
        <f t="shared" si="7"/>
        <v>43572B-VGKivbk</v>
      </c>
      <c r="B78" s="83" t="str">
        <f t="shared" si="8"/>
        <v>06-067-36</v>
      </c>
      <c r="C78" s="106" t="s">
        <v>1119</v>
      </c>
      <c r="D78" s="106" t="s">
        <v>1120</v>
      </c>
      <c r="E78" s="106" t="s">
        <v>788</v>
      </c>
      <c r="F78" s="107">
        <v>0</v>
      </c>
      <c r="G78" s="106" t="s">
        <v>1121</v>
      </c>
      <c r="H78" s="106" t="s">
        <v>51</v>
      </c>
      <c r="I78" s="106" t="s">
        <v>786</v>
      </c>
      <c r="J78" s="106" t="s">
        <v>327</v>
      </c>
      <c r="K78" s="106" t="s">
        <v>382</v>
      </c>
      <c r="L78" s="106" t="s">
        <v>884</v>
      </c>
      <c r="M78" s="106" t="s">
        <v>388</v>
      </c>
      <c r="N78" s="106" t="s">
        <v>43</v>
      </c>
      <c r="O78" s="106" t="s">
        <v>541</v>
      </c>
      <c r="P78" s="106" t="s">
        <v>866</v>
      </c>
      <c r="Q78" s="106" t="s">
        <v>1122</v>
      </c>
      <c r="R78" s="106" t="s">
        <v>63</v>
      </c>
      <c r="S78" s="83" t="str">
        <f t="shared" si="9"/>
        <v>43572B-VGK</v>
      </c>
      <c r="T78" s="83" t="str">
        <f t="shared" si="10"/>
        <v>Vegas Golden Knights United NHL</v>
      </c>
      <c r="Y78" s="60">
        <f t="shared" si="11"/>
        <v>6</v>
      </c>
      <c r="Z78" s="49">
        <f t="shared" si="12"/>
        <v>67</v>
      </c>
      <c r="AA78" s="60">
        <f t="shared" si="13"/>
        <v>6067</v>
      </c>
    </row>
    <row r="79" spans="1:27">
      <c r="A79" s="83" t="str">
        <f t="shared" si="7"/>
        <v>43622A-VGKblk</v>
      </c>
      <c r="B79" s="83" t="str">
        <f t="shared" si="8"/>
        <v>06-068-09</v>
      </c>
      <c r="C79" s="106" t="s">
        <v>1123</v>
      </c>
      <c r="D79" s="106" t="s">
        <v>1124</v>
      </c>
      <c r="E79" s="106" t="s">
        <v>788</v>
      </c>
      <c r="F79" s="107">
        <v>0</v>
      </c>
      <c r="G79" s="106" t="s">
        <v>1125</v>
      </c>
      <c r="H79" s="106" t="s">
        <v>53</v>
      </c>
      <c r="I79" s="106" t="s">
        <v>786</v>
      </c>
      <c r="J79" s="106" t="s">
        <v>327</v>
      </c>
      <c r="K79" s="106" t="s">
        <v>382</v>
      </c>
      <c r="L79" s="106" t="s">
        <v>893</v>
      </c>
      <c r="M79" s="106" t="s">
        <v>388</v>
      </c>
      <c r="N79" s="106" t="s">
        <v>43</v>
      </c>
      <c r="O79" s="106" t="s">
        <v>541</v>
      </c>
      <c r="P79" s="106" t="s">
        <v>866</v>
      </c>
      <c r="Q79" s="106" t="s">
        <v>843</v>
      </c>
      <c r="R79" s="106" t="s">
        <v>53</v>
      </c>
      <c r="S79" s="83" t="str">
        <f t="shared" si="9"/>
        <v>43622A-VGK</v>
      </c>
      <c r="T79" s="83" t="str">
        <f t="shared" si="10"/>
        <v>Vegas Golden Knights NHL</v>
      </c>
      <c r="Y79" s="60">
        <f t="shared" si="11"/>
        <v>6</v>
      </c>
      <c r="Z79" s="49">
        <f t="shared" si="12"/>
        <v>68</v>
      </c>
      <c r="AA79" s="60">
        <f t="shared" si="13"/>
        <v>6068</v>
      </c>
    </row>
    <row r="80" spans="1:27">
      <c r="A80" s="83" t="str">
        <f t="shared" si="7"/>
        <v>43710A-MBpido</v>
      </c>
      <c r="B80" s="83" t="str">
        <f t="shared" si="8"/>
        <v>06-069-36</v>
      </c>
      <c r="C80" s="106" t="s">
        <v>1126</v>
      </c>
      <c r="D80" s="106" t="s">
        <v>1127</v>
      </c>
      <c r="E80" s="106" t="s">
        <v>788</v>
      </c>
      <c r="F80" s="107">
        <v>0</v>
      </c>
      <c r="G80" s="106" t="s">
        <v>1128</v>
      </c>
      <c r="H80" s="106" t="s">
        <v>692</v>
      </c>
      <c r="I80" s="106" t="s">
        <v>1027</v>
      </c>
      <c r="J80" s="106" t="s">
        <v>356</v>
      </c>
      <c r="K80" s="106" t="s">
        <v>382</v>
      </c>
      <c r="L80" s="106" t="s">
        <v>865</v>
      </c>
      <c r="M80" s="106" t="s">
        <v>388</v>
      </c>
      <c r="N80" s="106" t="s">
        <v>43</v>
      </c>
      <c r="O80" s="106" t="s">
        <v>386</v>
      </c>
      <c r="P80" s="106" t="s">
        <v>866</v>
      </c>
      <c r="Q80" s="106" t="s">
        <v>1129</v>
      </c>
      <c r="R80" s="106" t="s">
        <v>63</v>
      </c>
      <c r="S80" s="83" t="str">
        <f t="shared" si="9"/>
        <v>43710A-MB</v>
      </c>
      <c r="T80" s="83" t="str">
        <f t="shared" si="10"/>
        <v>Malibu Beach</v>
      </c>
      <c r="Y80" s="60">
        <f t="shared" si="11"/>
        <v>6</v>
      </c>
      <c r="Z80" s="49">
        <f t="shared" si="12"/>
        <v>69</v>
      </c>
      <c r="AA80" s="60">
        <f t="shared" si="13"/>
        <v>6069</v>
      </c>
    </row>
    <row r="81" spans="1:27">
      <c r="A81" s="83" t="str">
        <f t="shared" si="7"/>
        <v>43732B-NAPgodn</v>
      </c>
      <c r="B81" s="83" t="str">
        <f t="shared" si="8"/>
        <v>06-070-20</v>
      </c>
      <c r="C81" s="106" t="s">
        <v>1130</v>
      </c>
      <c r="D81" s="106" t="s">
        <v>1131</v>
      </c>
      <c r="E81" s="106" t="s">
        <v>788</v>
      </c>
      <c r="F81" s="107">
        <v>0</v>
      </c>
      <c r="G81" s="106" t="s">
        <v>1132</v>
      </c>
      <c r="H81" s="106" t="s">
        <v>693</v>
      </c>
      <c r="I81" s="106" t="s">
        <v>840</v>
      </c>
      <c r="J81" s="106" t="s">
        <v>792</v>
      </c>
      <c r="K81" s="106" t="s">
        <v>382</v>
      </c>
      <c r="L81" s="106" t="s">
        <v>893</v>
      </c>
      <c r="M81" s="106" t="s">
        <v>388</v>
      </c>
      <c r="N81" s="106" t="s">
        <v>43</v>
      </c>
      <c r="O81" s="106" t="s">
        <v>541</v>
      </c>
      <c r="P81" s="106" t="s">
        <v>866</v>
      </c>
      <c r="Q81" s="106" t="s">
        <v>1133</v>
      </c>
      <c r="R81" s="106" t="s">
        <v>65</v>
      </c>
      <c r="S81" s="83" t="str">
        <f t="shared" si="9"/>
        <v>43732B-NAP</v>
      </c>
      <c r="T81" s="83" t="str">
        <f t="shared" si="10"/>
        <v>Nashville Predators NHL</v>
      </c>
      <c r="Y81" s="60">
        <f t="shared" si="11"/>
        <v>6</v>
      </c>
      <c r="Z81" s="49">
        <f t="shared" si="12"/>
        <v>70</v>
      </c>
      <c r="AA81" s="60">
        <f t="shared" si="13"/>
        <v>6070</v>
      </c>
    </row>
    <row r="82" spans="1:27">
      <c r="A82" s="83" t="str">
        <f t="shared" si="7"/>
        <v>43742A-CBHcpnk</v>
      </c>
      <c r="B82" s="83" t="str">
        <f t="shared" si="8"/>
        <v>06-071-34</v>
      </c>
      <c r="C82" s="106" t="s">
        <v>1134</v>
      </c>
      <c r="D82" s="106" t="s">
        <v>1135</v>
      </c>
      <c r="E82" s="106" t="s">
        <v>788</v>
      </c>
      <c r="F82" s="107">
        <v>0</v>
      </c>
      <c r="G82" s="106" t="s">
        <v>1136</v>
      </c>
      <c r="H82" s="106" t="s">
        <v>68</v>
      </c>
      <c r="I82" s="106" t="s">
        <v>786</v>
      </c>
      <c r="J82" s="106" t="s">
        <v>327</v>
      </c>
      <c r="K82" s="106" t="s">
        <v>382</v>
      </c>
      <c r="L82" s="106" t="s">
        <v>893</v>
      </c>
      <c r="M82" s="106" t="s">
        <v>388</v>
      </c>
      <c r="N82" s="106" t="s">
        <v>43</v>
      </c>
      <c r="O82" s="106" t="s">
        <v>541</v>
      </c>
      <c r="P82" s="106" t="s">
        <v>866</v>
      </c>
      <c r="Q82" s="106" t="s">
        <v>1054</v>
      </c>
      <c r="R82" s="106" t="s">
        <v>68</v>
      </c>
      <c r="S82" s="83" t="str">
        <f t="shared" si="9"/>
        <v>43742A-CBH</v>
      </c>
      <c r="T82" s="83" t="str">
        <f t="shared" si="10"/>
        <v>Chicago Blackhawks NHL</v>
      </c>
      <c r="Y82" s="60">
        <f t="shared" si="11"/>
        <v>6</v>
      </c>
      <c r="Z82" s="49">
        <f t="shared" si="12"/>
        <v>71</v>
      </c>
      <c r="AA82" s="60">
        <f t="shared" si="13"/>
        <v>6071</v>
      </c>
    </row>
    <row r="83" spans="1:27">
      <c r="A83" s="83" t="str">
        <f t="shared" si="7"/>
        <v>43742A-CBHsnow</v>
      </c>
      <c r="B83" s="83" t="str">
        <f t="shared" si="8"/>
        <v>06-071-17</v>
      </c>
      <c r="C83" s="106" t="s">
        <v>1137</v>
      </c>
      <c r="D83" s="106" t="s">
        <v>1138</v>
      </c>
      <c r="E83" s="106" t="s">
        <v>788</v>
      </c>
      <c r="F83" s="107">
        <v>0</v>
      </c>
      <c r="G83" s="106" t="s">
        <v>1136</v>
      </c>
      <c r="H83" s="106" t="s">
        <v>57</v>
      </c>
      <c r="I83" s="106" t="s">
        <v>786</v>
      </c>
      <c r="J83" s="106" t="s">
        <v>327</v>
      </c>
      <c r="K83" s="106" t="s">
        <v>382</v>
      </c>
      <c r="L83" s="106" t="s">
        <v>893</v>
      </c>
      <c r="M83" s="106" t="s">
        <v>388</v>
      </c>
      <c r="N83" s="106" t="s">
        <v>43</v>
      </c>
      <c r="O83" s="106" t="s">
        <v>541</v>
      </c>
      <c r="P83" s="106" t="s">
        <v>866</v>
      </c>
      <c r="Q83" s="106" t="s">
        <v>990</v>
      </c>
      <c r="R83" s="106" t="s">
        <v>57</v>
      </c>
      <c r="S83" s="83" t="str">
        <f t="shared" si="9"/>
        <v>43742A-CBH</v>
      </c>
      <c r="T83" s="83" t="str">
        <f t="shared" si="10"/>
        <v>Chicago Blackhawks NHL</v>
      </c>
      <c r="Y83" s="60">
        <f t="shared" si="11"/>
        <v>6</v>
      </c>
      <c r="Z83" s="49">
        <f t="shared" si="12"/>
        <v>71</v>
      </c>
      <c r="AA83" s="60">
        <f t="shared" si="13"/>
        <v>6071</v>
      </c>
    </row>
    <row r="84" spans="1:27">
      <c r="A84" s="83" t="str">
        <f t="shared" si="7"/>
        <v>43742A-LAKblk</v>
      </c>
      <c r="B84" s="83" t="str">
        <f t="shared" si="8"/>
        <v>06-072-09</v>
      </c>
      <c r="C84" s="106" t="s">
        <v>1139</v>
      </c>
      <c r="D84" s="106" t="s">
        <v>1140</v>
      </c>
      <c r="E84" s="106" t="s">
        <v>788</v>
      </c>
      <c r="F84" s="107">
        <v>0</v>
      </c>
      <c r="G84" s="106" t="s">
        <v>1141</v>
      </c>
      <c r="H84" s="106" t="s">
        <v>53</v>
      </c>
      <c r="I84" s="106" t="s">
        <v>786</v>
      </c>
      <c r="J84" s="106" t="s">
        <v>327</v>
      </c>
      <c r="K84" s="106" t="s">
        <v>382</v>
      </c>
      <c r="L84" s="106" t="s">
        <v>893</v>
      </c>
      <c r="M84" s="106" t="s">
        <v>388</v>
      </c>
      <c r="N84" s="106" t="s">
        <v>43</v>
      </c>
      <c r="O84" s="106" t="s">
        <v>541</v>
      </c>
      <c r="P84" s="106" t="s">
        <v>866</v>
      </c>
      <c r="Q84" s="106" t="s">
        <v>843</v>
      </c>
      <c r="R84" s="106" t="s">
        <v>53</v>
      </c>
      <c r="S84" s="83" t="str">
        <f t="shared" si="9"/>
        <v>43742A-LAK</v>
      </c>
      <c r="T84" s="83" t="str">
        <f t="shared" si="10"/>
        <v>Los Angeles Kings NHL</v>
      </c>
      <c r="Y84" s="60">
        <f t="shared" si="11"/>
        <v>6</v>
      </c>
      <c r="Z84" s="49">
        <f t="shared" si="12"/>
        <v>72</v>
      </c>
      <c r="AA84" s="60">
        <f t="shared" si="13"/>
        <v>6072</v>
      </c>
    </row>
    <row r="85" spans="1:27">
      <c r="A85" s="83" t="str">
        <f t="shared" si="7"/>
        <v>43742A-LAKcpnk</v>
      </c>
      <c r="B85" s="83" t="str">
        <f t="shared" si="8"/>
        <v>06-072-34</v>
      </c>
      <c r="C85" s="106" t="s">
        <v>1142</v>
      </c>
      <c r="D85" s="106" t="s">
        <v>1143</v>
      </c>
      <c r="E85" s="106" t="s">
        <v>788</v>
      </c>
      <c r="F85" s="107">
        <v>0</v>
      </c>
      <c r="G85" s="106" t="s">
        <v>1141</v>
      </c>
      <c r="H85" s="106" t="s">
        <v>68</v>
      </c>
      <c r="I85" s="106" t="s">
        <v>786</v>
      </c>
      <c r="J85" s="106" t="s">
        <v>327</v>
      </c>
      <c r="K85" s="106" t="s">
        <v>382</v>
      </c>
      <c r="L85" s="106" t="s">
        <v>893</v>
      </c>
      <c r="M85" s="106" t="s">
        <v>388</v>
      </c>
      <c r="N85" s="106" t="s">
        <v>43</v>
      </c>
      <c r="O85" s="106" t="s">
        <v>541</v>
      </c>
      <c r="P85" s="106" t="s">
        <v>866</v>
      </c>
      <c r="Q85" s="106" t="s">
        <v>1054</v>
      </c>
      <c r="R85" s="106" t="s">
        <v>68</v>
      </c>
      <c r="S85" s="83" t="str">
        <f t="shared" si="9"/>
        <v>43742A-LAK</v>
      </c>
      <c r="T85" s="83" t="str">
        <f t="shared" si="10"/>
        <v>Los Angeles Kings NHL</v>
      </c>
      <c r="Y85" s="60">
        <f t="shared" si="11"/>
        <v>6</v>
      </c>
      <c r="Z85" s="49">
        <f t="shared" si="12"/>
        <v>72</v>
      </c>
      <c r="AA85" s="60">
        <f t="shared" si="13"/>
        <v>6072</v>
      </c>
    </row>
    <row r="86" spans="1:27">
      <c r="A86" s="83" t="str">
        <f t="shared" si="7"/>
        <v>43742A-LAKsnow</v>
      </c>
      <c r="B86" s="83" t="str">
        <f t="shared" si="8"/>
        <v>06-072-17</v>
      </c>
      <c r="C86" s="106" t="s">
        <v>1144</v>
      </c>
      <c r="D86" s="106" t="s">
        <v>1145</v>
      </c>
      <c r="E86" s="106" t="s">
        <v>788</v>
      </c>
      <c r="F86" s="107">
        <v>0</v>
      </c>
      <c r="G86" s="106" t="s">
        <v>1141</v>
      </c>
      <c r="H86" s="106" t="s">
        <v>57</v>
      </c>
      <c r="I86" s="106" t="s">
        <v>786</v>
      </c>
      <c r="J86" s="106" t="s">
        <v>327</v>
      </c>
      <c r="K86" s="106" t="s">
        <v>382</v>
      </c>
      <c r="L86" s="106" t="s">
        <v>893</v>
      </c>
      <c r="M86" s="106" t="s">
        <v>388</v>
      </c>
      <c r="N86" s="106" t="s">
        <v>43</v>
      </c>
      <c r="O86" s="106" t="s">
        <v>541</v>
      </c>
      <c r="P86" s="106" t="s">
        <v>866</v>
      </c>
      <c r="Q86" s="106" t="s">
        <v>990</v>
      </c>
      <c r="R86" s="106" t="s">
        <v>57</v>
      </c>
      <c r="S86" s="83" t="str">
        <f t="shared" si="9"/>
        <v>43742A-LAK</v>
      </c>
      <c r="T86" s="83" t="str">
        <f t="shared" si="10"/>
        <v>Los Angeles Kings NHL</v>
      </c>
      <c r="Y86" s="60">
        <f t="shared" si="11"/>
        <v>6</v>
      </c>
      <c r="Z86" s="49">
        <f t="shared" si="12"/>
        <v>72</v>
      </c>
      <c r="AA86" s="60">
        <f t="shared" si="13"/>
        <v>6072</v>
      </c>
    </row>
    <row r="87" spans="1:27">
      <c r="A87" s="83" t="str">
        <f t="shared" si="7"/>
        <v>43742A-NYRcpnk</v>
      </c>
      <c r="B87" s="83" t="str">
        <f t="shared" si="8"/>
        <v>06-073-34</v>
      </c>
      <c r="C87" s="106" t="s">
        <v>1146</v>
      </c>
      <c r="D87" s="106" t="s">
        <v>1147</v>
      </c>
      <c r="E87" s="106" t="s">
        <v>788</v>
      </c>
      <c r="F87" s="107">
        <v>0</v>
      </c>
      <c r="G87" s="106" t="s">
        <v>1148</v>
      </c>
      <c r="H87" s="106" t="s">
        <v>68</v>
      </c>
      <c r="I87" s="106" t="s">
        <v>786</v>
      </c>
      <c r="J87" s="106" t="s">
        <v>327</v>
      </c>
      <c r="K87" s="106" t="s">
        <v>382</v>
      </c>
      <c r="L87" s="106" t="s">
        <v>893</v>
      </c>
      <c r="M87" s="106" t="s">
        <v>388</v>
      </c>
      <c r="N87" s="106" t="s">
        <v>43</v>
      </c>
      <c r="O87" s="106" t="s">
        <v>541</v>
      </c>
      <c r="P87" s="106" t="s">
        <v>866</v>
      </c>
      <c r="Q87" s="106" t="s">
        <v>1054</v>
      </c>
      <c r="R87" s="106" t="s">
        <v>68</v>
      </c>
      <c r="S87" s="83" t="str">
        <f t="shared" si="9"/>
        <v>43742A-NYR</v>
      </c>
      <c r="T87" s="83" t="str">
        <f t="shared" si="10"/>
        <v>New York Rangers NHL</v>
      </c>
      <c r="Y87" s="60">
        <f t="shared" si="11"/>
        <v>6</v>
      </c>
      <c r="Z87" s="49">
        <f t="shared" si="12"/>
        <v>73</v>
      </c>
      <c r="AA87" s="60">
        <f t="shared" si="13"/>
        <v>6073</v>
      </c>
    </row>
    <row r="88" spans="1:27">
      <c r="A88" s="83" t="str">
        <f t="shared" si="7"/>
        <v>43742A-NYRsnow</v>
      </c>
      <c r="B88" s="83" t="str">
        <f t="shared" si="8"/>
        <v>06-073-17</v>
      </c>
      <c r="C88" s="106" t="s">
        <v>1149</v>
      </c>
      <c r="D88" s="106" t="s">
        <v>1150</v>
      </c>
      <c r="E88" s="106" t="s">
        <v>788</v>
      </c>
      <c r="F88" s="107">
        <v>0</v>
      </c>
      <c r="G88" s="106" t="s">
        <v>1148</v>
      </c>
      <c r="H88" s="106" t="s">
        <v>57</v>
      </c>
      <c r="I88" s="106" t="s">
        <v>786</v>
      </c>
      <c r="J88" s="106" t="s">
        <v>327</v>
      </c>
      <c r="K88" s="106" t="s">
        <v>382</v>
      </c>
      <c r="L88" s="106" t="s">
        <v>893</v>
      </c>
      <c r="M88" s="106" t="s">
        <v>388</v>
      </c>
      <c r="N88" s="106" t="s">
        <v>43</v>
      </c>
      <c r="O88" s="106" t="s">
        <v>541</v>
      </c>
      <c r="P88" s="106" t="s">
        <v>866</v>
      </c>
      <c r="Q88" s="106" t="s">
        <v>990</v>
      </c>
      <c r="R88" s="106" t="s">
        <v>57</v>
      </c>
      <c r="S88" s="83" t="str">
        <f t="shared" si="9"/>
        <v>43742A-NYR</v>
      </c>
      <c r="T88" s="83" t="str">
        <f t="shared" si="10"/>
        <v>New York Rangers NHL</v>
      </c>
      <c r="Y88" s="60">
        <f t="shared" si="11"/>
        <v>6</v>
      </c>
      <c r="Z88" s="49">
        <f t="shared" si="12"/>
        <v>73</v>
      </c>
      <c r="AA88" s="60">
        <f t="shared" si="13"/>
        <v>6073</v>
      </c>
    </row>
    <row r="89" spans="1:27">
      <c r="A89" s="83" t="str">
        <f t="shared" si="7"/>
        <v>43870A-CALIblk</v>
      </c>
      <c r="B89" s="83" t="str">
        <f t="shared" si="8"/>
        <v>06-074-09</v>
      </c>
      <c r="C89" s="106" t="s">
        <v>1151</v>
      </c>
      <c r="D89" s="106" t="s">
        <v>1152</v>
      </c>
      <c r="E89" s="106" t="s">
        <v>788</v>
      </c>
      <c r="F89" s="107">
        <v>0</v>
      </c>
      <c r="G89" s="106" t="s">
        <v>1153</v>
      </c>
      <c r="H89" s="106" t="s">
        <v>53</v>
      </c>
      <c r="I89" s="106" t="s">
        <v>786</v>
      </c>
      <c r="J89" s="106" t="s">
        <v>327</v>
      </c>
      <c r="K89" s="106" t="s">
        <v>382</v>
      </c>
      <c r="L89" s="106" t="s">
        <v>865</v>
      </c>
      <c r="M89" s="106" t="s">
        <v>388</v>
      </c>
      <c r="N89" s="106" t="s">
        <v>43</v>
      </c>
      <c r="O89" s="106" t="s">
        <v>386</v>
      </c>
      <c r="P89" s="106" t="s">
        <v>866</v>
      </c>
      <c r="Q89" s="106" t="s">
        <v>843</v>
      </c>
      <c r="R89" s="106" t="s">
        <v>53</v>
      </c>
      <c r="S89" s="83" t="str">
        <f t="shared" si="9"/>
        <v>43870A-CALI</v>
      </c>
      <c r="T89" s="83" t="str">
        <f t="shared" si="10"/>
        <v>California</v>
      </c>
      <c r="Y89" s="60">
        <f t="shared" si="11"/>
        <v>6</v>
      </c>
      <c r="Z89" s="49">
        <f t="shared" si="12"/>
        <v>74</v>
      </c>
      <c r="AA89" s="60">
        <f t="shared" si="13"/>
        <v>6074</v>
      </c>
    </row>
    <row r="90" spans="1:27">
      <c r="A90" s="83" t="str">
        <f t="shared" si="7"/>
        <v>43870A-NASAblk</v>
      </c>
      <c r="B90" s="83" t="str">
        <f t="shared" si="8"/>
        <v>06-075-09</v>
      </c>
      <c r="C90" s="106" t="s">
        <v>1154</v>
      </c>
      <c r="D90" s="106" t="s">
        <v>1155</v>
      </c>
      <c r="E90" s="106" t="s">
        <v>788</v>
      </c>
      <c r="F90" s="107">
        <v>0</v>
      </c>
      <c r="G90" s="106" t="s">
        <v>1156</v>
      </c>
      <c r="H90" s="106" t="s">
        <v>53</v>
      </c>
      <c r="I90" s="106" t="s">
        <v>786</v>
      </c>
      <c r="J90" s="106" t="s">
        <v>327</v>
      </c>
      <c r="K90" s="106" t="s">
        <v>382</v>
      </c>
      <c r="L90" s="106" t="s">
        <v>1090</v>
      </c>
      <c r="M90" s="106" t="s">
        <v>388</v>
      </c>
      <c r="N90" s="106" t="s">
        <v>43</v>
      </c>
      <c r="O90" s="106" t="s">
        <v>386</v>
      </c>
      <c r="P90" s="106" t="s">
        <v>866</v>
      </c>
      <c r="Q90" s="106" t="s">
        <v>843</v>
      </c>
      <c r="R90" s="106" t="s">
        <v>53</v>
      </c>
      <c r="S90" s="83" t="str">
        <f t="shared" si="9"/>
        <v>43870A-NASA</v>
      </c>
      <c r="T90" s="83" t="str">
        <f t="shared" si="10"/>
        <v>Space with NASA</v>
      </c>
      <c r="Y90" s="60">
        <f t="shared" si="11"/>
        <v>6</v>
      </c>
      <c r="Z90" s="49">
        <f t="shared" si="12"/>
        <v>75</v>
      </c>
      <c r="AA90" s="60">
        <f t="shared" si="13"/>
        <v>6075</v>
      </c>
    </row>
    <row r="91" spans="1:27">
      <c r="A91" s="83" t="str">
        <f t="shared" si="7"/>
        <v>43880A-MALIseaf</v>
      </c>
      <c r="B91" s="83" t="str">
        <f t="shared" si="8"/>
        <v>06-076-19</v>
      </c>
      <c r="C91" s="106" t="s">
        <v>1157</v>
      </c>
      <c r="D91" s="106" t="s">
        <v>1158</v>
      </c>
      <c r="E91" s="106" t="s">
        <v>788</v>
      </c>
      <c r="F91" s="107">
        <v>0</v>
      </c>
      <c r="G91" s="106" t="s">
        <v>1159</v>
      </c>
      <c r="H91" s="106" t="s">
        <v>91</v>
      </c>
      <c r="I91" s="106" t="s">
        <v>786</v>
      </c>
      <c r="J91" s="106" t="s">
        <v>327</v>
      </c>
      <c r="K91" s="106" t="s">
        <v>382</v>
      </c>
      <c r="L91" s="106" t="s">
        <v>865</v>
      </c>
      <c r="M91" s="106" t="s">
        <v>388</v>
      </c>
      <c r="N91" s="106" t="s">
        <v>43</v>
      </c>
      <c r="O91" s="106" t="s">
        <v>386</v>
      </c>
      <c r="P91" s="106" t="s">
        <v>866</v>
      </c>
      <c r="Q91" s="106" t="s">
        <v>1160</v>
      </c>
      <c r="R91" s="106" t="s">
        <v>91</v>
      </c>
      <c r="S91" s="83" t="str">
        <f t="shared" si="9"/>
        <v>43880A-MALI</v>
      </c>
      <c r="T91" s="83" t="str">
        <f t="shared" si="10"/>
        <v>Malibu</v>
      </c>
      <c r="Y91" s="60">
        <f t="shared" si="11"/>
        <v>6</v>
      </c>
      <c r="Z91" s="49">
        <f t="shared" si="12"/>
        <v>76</v>
      </c>
      <c r="AA91" s="60">
        <f t="shared" si="13"/>
        <v>6076</v>
      </c>
    </row>
    <row r="92" spans="1:27">
      <c r="A92" s="83" t="str">
        <f t="shared" si="7"/>
        <v>43910A-CALIblk</v>
      </c>
      <c r="B92" s="83" t="str">
        <f t="shared" si="8"/>
        <v>06-077-09</v>
      </c>
      <c r="C92" s="106" t="s">
        <v>1161</v>
      </c>
      <c r="D92" s="106" t="s">
        <v>1162</v>
      </c>
      <c r="E92" s="106" t="s">
        <v>788</v>
      </c>
      <c r="F92" s="107">
        <v>0</v>
      </c>
      <c r="G92" s="106" t="s">
        <v>1163</v>
      </c>
      <c r="H92" s="106" t="s">
        <v>53</v>
      </c>
      <c r="I92" s="106" t="s">
        <v>786</v>
      </c>
      <c r="J92" s="106" t="s">
        <v>327</v>
      </c>
      <c r="K92" s="106" t="s">
        <v>382</v>
      </c>
      <c r="L92" s="106" t="s">
        <v>865</v>
      </c>
      <c r="M92" s="106" t="s">
        <v>388</v>
      </c>
      <c r="N92" s="106" t="s">
        <v>43</v>
      </c>
      <c r="O92" s="106" t="s">
        <v>386</v>
      </c>
      <c r="P92" s="106" t="s">
        <v>866</v>
      </c>
      <c r="Q92" s="106" t="s">
        <v>843</v>
      </c>
      <c r="R92" s="106" t="s">
        <v>53</v>
      </c>
      <c r="S92" s="83" t="str">
        <f t="shared" si="9"/>
        <v>43910A-CALI</v>
      </c>
      <c r="T92" s="83" t="str">
        <f t="shared" si="10"/>
        <v>California</v>
      </c>
      <c r="Y92" s="60">
        <f t="shared" si="11"/>
        <v>6</v>
      </c>
      <c r="Z92" s="49">
        <f t="shared" si="12"/>
        <v>77</v>
      </c>
      <c r="AA92" s="60">
        <f t="shared" si="13"/>
        <v>6077</v>
      </c>
    </row>
    <row r="93" spans="1:27">
      <c r="A93" s="83" t="str">
        <f t="shared" si="7"/>
        <v>43910A-CALIcamo</v>
      </c>
      <c r="B93" s="83" t="str">
        <f t="shared" si="8"/>
        <v>06-077-56</v>
      </c>
      <c r="C93" s="106" t="s">
        <v>1164</v>
      </c>
      <c r="D93" s="106" t="s">
        <v>1165</v>
      </c>
      <c r="E93" s="106" t="s">
        <v>788</v>
      </c>
      <c r="F93" s="107">
        <v>0</v>
      </c>
      <c r="G93" s="106" t="s">
        <v>1163</v>
      </c>
      <c r="H93" s="106" t="s">
        <v>290</v>
      </c>
      <c r="I93" s="106" t="s">
        <v>786</v>
      </c>
      <c r="J93" s="106" t="s">
        <v>327</v>
      </c>
      <c r="K93" s="106" t="s">
        <v>382</v>
      </c>
      <c r="L93" s="106" t="s">
        <v>865</v>
      </c>
      <c r="M93" s="106" t="s">
        <v>388</v>
      </c>
      <c r="N93" s="106" t="s">
        <v>43</v>
      </c>
      <c r="O93" s="106" t="s">
        <v>386</v>
      </c>
      <c r="P93" s="106" t="s">
        <v>866</v>
      </c>
      <c r="Q93" s="106" t="s">
        <v>842</v>
      </c>
      <c r="R93" s="106" t="s">
        <v>195</v>
      </c>
      <c r="S93" s="83" t="str">
        <f t="shared" si="9"/>
        <v>43910A-CALI</v>
      </c>
      <c r="T93" s="83" t="str">
        <f t="shared" si="10"/>
        <v>California</v>
      </c>
      <c r="Y93" s="60">
        <f t="shared" si="11"/>
        <v>6</v>
      </c>
      <c r="Z93" s="49">
        <f t="shared" si="12"/>
        <v>77</v>
      </c>
      <c r="AA93" s="60">
        <f t="shared" si="13"/>
        <v>6077</v>
      </c>
    </row>
    <row r="94" spans="1:27">
      <c r="A94" s="83" t="str">
        <f t="shared" si="7"/>
        <v>43910A-NASAnavy</v>
      </c>
      <c r="B94" s="83" t="str">
        <f t="shared" si="8"/>
        <v>06-078-06</v>
      </c>
      <c r="C94" s="106" t="s">
        <v>1166</v>
      </c>
      <c r="D94" s="106" t="s">
        <v>1167</v>
      </c>
      <c r="E94" s="106" t="s">
        <v>788</v>
      </c>
      <c r="F94" s="107">
        <v>0</v>
      </c>
      <c r="G94" s="106" t="s">
        <v>1168</v>
      </c>
      <c r="H94" s="106" t="s">
        <v>71</v>
      </c>
      <c r="I94" s="106" t="s">
        <v>786</v>
      </c>
      <c r="J94" s="106" t="s">
        <v>327</v>
      </c>
      <c r="K94" s="106" t="s">
        <v>382</v>
      </c>
      <c r="L94" s="106" t="s">
        <v>1090</v>
      </c>
      <c r="M94" s="106" t="s">
        <v>388</v>
      </c>
      <c r="N94" s="106" t="s">
        <v>43</v>
      </c>
      <c r="O94" s="106" t="s">
        <v>386</v>
      </c>
      <c r="P94" s="106" t="s">
        <v>866</v>
      </c>
      <c r="Q94" s="106" t="s">
        <v>818</v>
      </c>
      <c r="R94" s="106" t="s">
        <v>71</v>
      </c>
      <c r="S94" s="83" t="str">
        <f t="shared" si="9"/>
        <v>43910A-NASA</v>
      </c>
      <c r="T94" s="83" t="str">
        <f t="shared" si="10"/>
        <v>Space with NASA</v>
      </c>
      <c r="Y94" s="60">
        <f t="shared" si="11"/>
        <v>6</v>
      </c>
      <c r="Z94" s="49">
        <f t="shared" si="12"/>
        <v>78</v>
      </c>
      <c r="AA94" s="60">
        <f t="shared" si="13"/>
        <v>6078</v>
      </c>
    </row>
    <row r="95" spans="1:27">
      <c r="A95" s="83" t="str">
        <f t="shared" si="7"/>
        <v>43910A-NYgry</v>
      </c>
      <c r="B95" s="83" t="str">
        <f t="shared" si="8"/>
        <v>06-079-08</v>
      </c>
      <c r="C95" s="106" t="s">
        <v>1169</v>
      </c>
      <c r="D95" s="106" t="s">
        <v>1170</v>
      </c>
      <c r="E95" s="106" t="s">
        <v>788</v>
      </c>
      <c r="F95" s="107">
        <v>0</v>
      </c>
      <c r="G95" s="106" t="s">
        <v>1171</v>
      </c>
      <c r="H95" s="106" t="s">
        <v>83</v>
      </c>
      <c r="I95" s="106" t="s">
        <v>786</v>
      </c>
      <c r="J95" s="106" t="s">
        <v>327</v>
      </c>
      <c r="K95" s="106" t="s">
        <v>382</v>
      </c>
      <c r="L95" s="106" t="s">
        <v>865</v>
      </c>
      <c r="M95" s="106" t="s">
        <v>388</v>
      </c>
      <c r="N95" s="106" t="s">
        <v>43</v>
      </c>
      <c r="O95" s="106" t="s">
        <v>386</v>
      </c>
      <c r="P95" s="106" t="s">
        <v>866</v>
      </c>
      <c r="Q95" s="106" t="s">
        <v>845</v>
      </c>
      <c r="R95" s="106" t="s">
        <v>83</v>
      </c>
      <c r="S95" s="83" t="str">
        <f t="shared" si="9"/>
        <v>43910A-NY</v>
      </c>
      <c r="T95" s="83" t="str">
        <f t="shared" si="10"/>
        <v>New York</v>
      </c>
      <c r="Y95" s="60">
        <f t="shared" si="11"/>
        <v>6</v>
      </c>
      <c r="Z95" s="49">
        <f t="shared" si="12"/>
        <v>79</v>
      </c>
      <c r="AA95" s="60">
        <f t="shared" si="13"/>
        <v>6079</v>
      </c>
    </row>
    <row r="96" spans="1:27">
      <c r="A96" s="83" t="str">
        <f t="shared" si="7"/>
        <v>43910A-TXred</v>
      </c>
      <c r="B96" s="83" t="str">
        <f t="shared" si="8"/>
        <v>06-080-18</v>
      </c>
      <c r="C96" s="106" t="s">
        <v>1172</v>
      </c>
      <c r="D96" s="106" t="s">
        <v>1173</v>
      </c>
      <c r="E96" s="106" t="s">
        <v>788</v>
      </c>
      <c r="F96" s="107">
        <v>0</v>
      </c>
      <c r="G96" s="106" t="s">
        <v>1174</v>
      </c>
      <c r="H96" s="106" t="s">
        <v>78</v>
      </c>
      <c r="I96" s="106" t="s">
        <v>786</v>
      </c>
      <c r="J96" s="106" t="s">
        <v>327</v>
      </c>
      <c r="K96" s="106" t="s">
        <v>382</v>
      </c>
      <c r="L96" s="106" t="s">
        <v>865</v>
      </c>
      <c r="M96" s="106" t="s">
        <v>388</v>
      </c>
      <c r="N96" s="106" t="s">
        <v>43</v>
      </c>
      <c r="O96" s="106" t="s">
        <v>386</v>
      </c>
      <c r="P96" s="106" t="s">
        <v>866</v>
      </c>
      <c r="Q96" s="106" t="s">
        <v>822</v>
      </c>
      <c r="R96" s="106" t="s">
        <v>78</v>
      </c>
      <c r="S96" s="83" t="str">
        <f t="shared" si="9"/>
        <v>43910A-TX</v>
      </c>
      <c r="T96" s="83" t="str">
        <f t="shared" si="10"/>
        <v>Texas</v>
      </c>
      <c r="Y96" s="60">
        <f t="shared" si="11"/>
        <v>6</v>
      </c>
      <c r="Z96" s="49">
        <f t="shared" si="12"/>
        <v>80</v>
      </c>
      <c r="AA96" s="60">
        <f t="shared" si="13"/>
        <v>6080</v>
      </c>
    </row>
    <row r="97" spans="1:27">
      <c r="A97" s="83" t="str">
        <f t="shared" si="7"/>
        <v>44500A-NYwht</v>
      </c>
      <c r="B97" s="83" t="str">
        <f t="shared" si="8"/>
        <v>06-081-17</v>
      </c>
      <c r="C97" s="106" t="s">
        <v>1175</v>
      </c>
      <c r="D97" s="106" t="s">
        <v>1176</v>
      </c>
      <c r="E97" s="106" t="s">
        <v>788</v>
      </c>
      <c r="F97" s="107">
        <v>0</v>
      </c>
      <c r="G97" s="106" t="s">
        <v>1177</v>
      </c>
      <c r="H97" s="106" t="s">
        <v>57</v>
      </c>
      <c r="I97" s="106" t="s">
        <v>786</v>
      </c>
      <c r="J97" s="106" t="s">
        <v>327</v>
      </c>
      <c r="K97" s="106" t="s">
        <v>382</v>
      </c>
      <c r="L97" s="106" t="s">
        <v>865</v>
      </c>
      <c r="M97" s="106" t="s">
        <v>388</v>
      </c>
      <c r="N97" s="106" t="s">
        <v>43</v>
      </c>
      <c r="O97" s="106" t="s">
        <v>386</v>
      </c>
      <c r="P97" s="106" t="s">
        <v>866</v>
      </c>
      <c r="Q97" s="106" t="s">
        <v>1178</v>
      </c>
      <c r="R97" s="106" t="s">
        <v>57</v>
      </c>
      <c r="S97" s="83" t="str">
        <f t="shared" si="9"/>
        <v>44500A-NY</v>
      </c>
      <c r="T97" s="83" t="str">
        <f t="shared" si="10"/>
        <v>New York</v>
      </c>
      <c r="Y97" s="60">
        <f t="shared" si="11"/>
        <v>6</v>
      </c>
      <c r="Z97" s="49">
        <f t="shared" si="12"/>
        <v>81</v>
      </c>
      <c r="AA97" s="60">
        <f t="shared" si="13"/>
        <v>6081</v>
      </c>
    </row>
    <row r="98" spans="1:27">
      <c r="A98" s="83" t="str">
        <f t="shared" si="7"/>
        <v>44700B-LOSAivbk</v>
      </c>
      <c r="B98" s="83" t="str">
        <f t="shared" si="8"/>
        <v>06-082-36</v>
      </c>
      <c r="C98" s="106" t="s">
        <v>1179</v>
      </c>
      <c r="D98" s="106" t="s">
        <v>1180</v>
      </c>
      <c r="E98" s="106" t="s">
        <v>788</v>
      </c>
      <c r="F98" s="107">
        <v>0</v>
      </c>
      <c r="G98" s="106" t="s">
        <v>1181</v>
      </c>
      <c r="H98" s="106" t="s">
        <v>51</v>
      </c>
      <c r="I98" s="106" t="s">
        <v>786</v>
      </c>
      <c r="J98" s="106" t="s">
        <v>327</v>
      </c>
      <c r="K98" s="106" t="s">
        <v>382</v>
      </c>
      <c r="L98" s="106" t="s">
        <v>865</v>
      </c>
      <c r="M98" s="106" t="s">
        <v>388</v>
      </c>
      <c r="N98" s="106" t="s">
        <v>43</v>
      </c>
      <c r="O98" s="106" t="s">
        <v>541</v>
      </c>
      <c r="P98" s="106" t="s">
        <v>866</v>
      </c>
      <c r="Q98" s="106" t="s">
        <v>1122</v>
      </c>
      <c r="R98" s="106" t="s">
        <v>63</v>
      </c>
      <c r="S98" s="83" t="str">
        <f t="shared" si="9"/>
        <v>44700B-LOSA</v>
      </c>
      <c r="T98" s="83" t="str">
        <f t="shared" si="10"/>
        <v>Los Angeles</v>
      </c>
      <c r="Y98" s="60">
        <f t="shared" si="11"/>
        <v>6</v>
      </c>
      <c r="Z98" s="49">
        <f t="shared" si="12"/>
        <v>82</v>
      </c>
      <c r="AA98" s="60">
        <f t="shared" si="13"/>
        <v>6082</v>
      </c>
    </row>
    <row r="99" spans="1:27">
      <c r="A99" s="83" t="str">
        <f t="shared" si="7"/>
        <v>44730A-NASAgron</v>
      </c>
      <c r="B99" s="83" t="str">
        <f t="shared" si="8"/>
        <v>06-083-78</v>
      </c>
      <c r="C99" s="106" t="s">
        <v>1182</v>
      </c>
      <c r="D99" s="106" t="s">
        <v>1183</v>
      </c>
      <c r="E99" s="106" t="s">
        <v>788</v>
      </c>
      <c r="F99" s="107">
        <v>0</v>
      </c>
      <c r="G99" s="106" t="s">
        <v>1184</v>
      </c>
      <c r="H99" s="106" t="s">
        <v>259</v>
      </c>
      <c r="I99" s="106" t="s">
        <v>1034</v>
      </c>
      <c r="J99" s="106" t="s">
        <v>356</v>
      </c>
      <c r="K99" s="106" t="s">
        <v>382</v>
      </c>
      <c r="L99" s="106" t="s">
        <v>873</v>
      </c>
      <c r="M99" s="106" t="s">
        <v>388</v>
      </c>
      <c r="N99" s="106" t="s">
        <v>43</v>
      </c>
      <c r="O99" s="106" t="s">
        <v>386</v>
      </c>
      <c r="P99" s="106" t="s">
        <v>866</v>
      </c>
      <c r="Q99" s="106" t="s">
        <v>1185</v>
      </c>
      <c r="R99" s="106" t="s">
        <v>71</v>
      </c>
      <c r="S99" s="83" t="str">
        <f t="shared" si="9"/>
        <v>44730A-NASA</v>
      </c>
      <c r="T99" s="83" t="str">
        <f t="shared" si="10"/>
        <v>Space with NASA Roughage</v>
      </c>
      <c r="Y99" s="60">
        <f t="shared" si="11"/>
        <v>6</v>
      </c>
      <c r="Z99" s="49">
        <f t="shared" si="12"/>
        <v>83</v>
      </c>
      <c r="AA99" s="60">
        <f t="shared" si="13"/>
        <v>6083</v>
      </c>
    </row>
    <row r="100" spans="1:27">
      <c r="A100" s="83" t="str">
        <f t="shared" si="7"/>
        <v>44730A-NASAinr</v>
      </c>
      <c r="B100" s="83" t="str">
        <f t="shared" si="8"/>
        <v>06-083-72</v>
      </c>
      <c r="C100" s="106" t="s">
        <v>1186</v>
      </c>
      <c r="D100" s="106" t="s">
        <v>1187</v>
      </c>
      <c r="E100" s="106" t="s">
        <v>788</v>
      </c>
      <c r="F100" s="107">
        <v>0</v>
      </c>
      <c r="G100" s="106" t="s">
        <v>1184</v>
      </c>
      <c r="H100" s="106" t="s">
        <v>302</v>
      </c>
      <c r="I100" s="106" t="s">
        <v>1034</v>
      </c>
      <c r="J100" s="106" t="s">
        <v>356</v>
      </c>
      <c r="K100" s="106" t="s">
        <v>382</v>
      </c>
      <c r="L100" s="106" t="s">
        <v>1090</v>
      </c>
      <c r="M100" s="106" t="s">
        <v>388</v>
      </c>
      <c r="N100" s="106" t="s">
        <v>43</v>
      </c>
      <c r="O100" s="106" t="s">
        <v>386</v>
      </c>
      <c r="P100" s="106" t="s">
        <v>866</v>
      </c>
      <c r="Q100" s="106" t="s">
        <v>1188</v>
      </c>
      <c r="R100" s="106" t="s">
        <v>53</v>
      </c>
      <c r="S100" s="83" t="str">
        <f t="shared" si="9"/>
        <v>44730A-NASA</v>
      </c>
      <c r="T100" s="83" t="str">
        <f t="shared" si="10"/>
        <v>Space with NASA Roughage</v>
      </c>
      <c r="Y100" s="60">
        <f t="shared" si="11"/>
        <v>6</v>
      </c>
      <c r="Z100" s="49">
        <f t="shared" si="12"/>
        <v>83</v>
      </c>
      <c r="AA100" s="60">
        <f t="shared" si="13"/>
        <v>6083</v>
      </c>
    </row>
    <row r="101" spans="1:27">
      <c r="A101" s="83" t="str">
        <f t="shared" si="7"/>
        <v>44740A-ANAbldr</v>
      </c>
      <c r="B101" s="83" t="str">
        <f t="shared" si="8"/>
        <v>06-084-72</v>
      </c>
      <c r="C101" s="106" t="s">
        <v>1189</v>
      </c>
      <c r="D101" s="106" t="s">
        <v>1190</v>
      </c>
      <c r="E101" s="106" t="s">
        <v>788</v>
      </c>
      <c r="F101" s="107">
        <v>0</v>
      </c>
      <c r="G101" s="106" t="s">
        <v>1191</v>
      </c>
      <c r="H101" s="106" t="s">
        <v>302</v>
      </c>
      <c r="I101" s="106" t="s">
        <v>786</v>
      </c>
      <c r="J101" s="106" t="s">
        <v>327</v>
      </c>
      <c r="K101" s="106" t="s">
        <v>382</v>
      </c>
      <c r="L101" s="106" t="s">
        <v>884</v>
      </c>
      <c r="M101" s="106" t="s">
        <v>388</v>
      </c>
      <c r="N101" s="106" t="s">
        <v>43</v>
      </c>
      <c r="O101" s="106" t="s">
        <v>541</v>
      </c>
      <c r="P101" s="106" t="s">
        <v>866</v>
      </c>
      <c r="Q101" s="106" t="s">
        <v>1192</v>
      </c>
      <c r="R101" s="106" t="s">
        <v>53</v>
      </c>
      <c r="S101" s="83" t="str">
        <f t="shared" si="9"/>
        <v>44740A-ANA</v>
      </c>
      <c r="T101" s="83" t="str">
        <f t="shared" si="10"/>
        <v>Anaheim Aces Archive MILB</v>
      </c>
      <c r="Y101" s="60">
        <f t="shared" si="11"/>
        <v>6</v>
      </c>
      <c r="Z101" s="49">
        <f t="shared" si="12"/>
        <v>84</v>
      </c>
      <c r="AA101" s="60">
        <f t="shared" si="13"/>
        <v>6084</v>
      </c>
    </row>
    <row r="102" spans="1:27">
      <c r="A102" s="83" t="str">
        <f t="shared" si="7"/>
        <v>44740A-ASEnavy</v>
      </c>
      <c r="B102" s="83" t="str">
        <f t="shared" si="8"/>
        <v>06-085-16</v>
      </c>
      <c r="C102" s="106" t="s">
        <v>1193</v>
      </c>
      <c r="D102" s="106" t="s">
        <v>1194</v>
      </c>
      <c r="E102" s="106" t="s">
        <v>788</v>
      </c>
      <c r="F102" s="107">
        <v>0</v>
      </c>
      <c r="G102" s="106" t="s">
        <v>1195</v>
      </c>
      <c r="H102" s="106" t="s">
        <v>55</v>
      </c>
      <c r="I102" s="106" t="s">
        <v>786</v>
      </c>
      <c r="J102" s="106" t="s">
        <v>327</v>
      </c>
      <c r="K102" s="106" t="s">
        <v>382</v>
      </c>
      <c r="L102" s="106" t="s">
        <v>884</v>
      </c>
      <c r="M102" s="106" t="s">
        <v>388</v>
      </c>
      <c r="N102" s="106" t="s">
        <v>43</v>
      </c>
      <c r="O102" s="106" t="s">
        <v>541</v>
      </c>
      <c r="P102" s="106" t="s">
        <v>866</v>
      </c>
      <c r="Q102" s="106" t="s">
        <v>818</v>
      </c>
      <c r="R102" s="106" t="s">
        <v>71</v>
      </c>
      <c r="S102" s="83" t="str">
        <f t="shared" si="9"/>
        <v>44740A-ASE</v>
      </c>
      <c r="T102" s="83" t="str">
        <f t="shared" si="10"/>
        <v>Austin Senators Archive MILB</v>
      </c>
      <c r="Y102" s="60">
        <f t="shared" si="11"/>
        <v>6</v>
      </c>
      <c r="Z102" s="49">
        <f t="shared" si="12"/>
        <v>85</v>
      </c>
      <c r="AA102" s="60">
        <f t="shared" si="13"/>
        <v>6085</v>
      </c>
    </row>
    <row r="103" spans="1:27">
      <c r="A103" s="83" t="str">
        <f t="shared" si="7"/>
        <v>44740A-BSHdgrn</v>
      </c>
      <c r="B103" s="83" t="str">
        <f t="shared" si="8"/>
        <v>06-086-11</v>
      </c>
      <c r="C103" s="106" t="s">
        <v>1196</v>
      </c>
      <c r="D103" s="106" t="s">
        <v>1197</v>
      </c>
      <c r="E103" s="106" t="s">
        <v>788</v>
      </c>
      <c r="F103" s="107">
        <v>0</v>
      </c>
      <c r="G103" s="106" t="s">
        <v>1198</v>
      </c>
      <c r="H103" s="106" t="s">
        <v>60</v>
      </c>
      <c r="I103" s="106" t="s">
        <v>786</v>
      </c>
      <c r="J103" s="106" t="s">
        <v>327</v>
      </c>
      <c r="K103" s="106" t="s">
        <v>382</v>
      </c>
      <c r="L103" s="106" t="s">
        <v>884</v>
      </c>
      <c r="M103" s="106" t="s">
        <v>388</v>
      </c>
      <c r="N103" s="106" t="s">
        <v>43</v>
      </c>
      <c r="O103" s="106" t="s">
        <v>541</v>
      </c>
      <c r="P103" s="106" t="s">
        <v>866</v>
      </c>
      <c r="Q103" s="106" t="s">
        <v>1199</v>
      </c>
      <c r="R103" s="106" t="s">
        <v>60</v>
      </c>
      <c r="S103" s="83" t="str">
        <f t="shared" si="9"/>
        <v>44740A-BSH</v>
      </c>
      <c r="T103" s="83" t="str">
        <f t="shared" si="10"/>
        <v>Boston Shamrocks Archive MILB</v>
      </c>
      <c r="Y103" s="60">
        <f t="shared" si="11"/>
        <v>6</v>
      </c>
      <c r="Z103" s="49">
        <f t="shared" si="12"/>
        <v>86</v>
      </c>
      <c r="AA103" s="60">
        <f t="shared" si="13"/>
        <v>6086</v>
      </c>
    </row>
    <row r="104" spans="1:27">
      <c r="A104" s="83" t="str">
        <f t="shared" si="7"/>
        <v>44740A-DAUblk</v>
      </c>
      <c r="B104" s="83" t="str">
        <f t="shared" si="8"/>
        <v>06-087-09</v>
      </c>
      <c r="C104" s="106" t="s">
        <v>1200</v>
      </c>
      <c r="D104" s="106" t="s">
        <v>1201</v>
      </c>
      <c r="E104" s="106" t="s">
        <v>788</v>
      </c>
      <c r="F104" s="107">
        <v>0</v>
      </c>
      <c r="G104" s="106" t="s">
        <v>1202</v>
      </c>
      <c r="H104" s="106" t="s">
        <v>53</v>
      </c>
      <c r="I104" s="106" t="s">
        <v>786</v>
      </c>
      <c r="J104" s="106" t="s">
        <v>327</v>
      </c>
      <c r="K104" s="106" t="s">
        <v>382</v>
      </c>
      <c r="L104" s="106" t="s">
        <v>884</v>
      </c>
      <c r="M104" s="106" t="s">
        <v>388</v>
      </c>
      <c r="N104" s="106" t="s">
        <v>43</v>
      </c>
      <c r="O104" s="106" t="s">
        <v>541</v>
      </c>
      <c r="P104" s="106" t="s">
        <v>866</v>
      </c>
      <c r="Q104" s="106" t="s">
        <v>843</v>
      </c>
      <c r="R104" s="106" t="s">
        <v>53</v>
      </c>
      <c r="S104" s="83" t="str">
        <f t="shared" si="9"/>
        <v>44740A-DAU</v>
      </c>
      <c r="T104" s="83" t="str">
        <f t="shared" si="10"/>
        <v>Daiei Unions Archive NLB</v>
      </c>
      <c r="Y104" s="60">
        <f t="shared" si="11"/>
        <v>6</v>
      </c>
      <c r="Z104" s="49">
        <f t="shared" si="12"/>
        <v>87</v>
      </c>
      <c r="AA104" s="60">
        <f t="shared" si="13"/>
        <v>6087</v>
      </c>
    </row>
    <row r="105" spans="1:27">
      <c r="A105" s="83" t="str">
        <f t="shared" si="7"/>
        <v>44740A-HBUnavy</v>
      </c>
      <c r="B105" s="83" t="str">
        <f t="shared" si="8"/>
        <v>06-088-16</v>
      </c>
      <c r="C105" s="106" t="s">
        <v>1203</v>
      </c>
      <c r="D105" s="106" t="s">
        <v>1204</v>
      </c>
      <c r="E105" s="106" t="s">
        <v>788</v>
      </c>
      <c r="F105" s="107">
        <v>0</v>
      </c>
      <c r="G105" s="106" t="s">
        <v>1205</v>
      </c>
      <c r="H105" s="106" t="s">
        <v>55</v>
      </c>
      <c r="I105" s="106" t="s">
        <v>786</v>
      </c>
      <c r="J105" s="106" t="s">
        <v>327</v>
      </c>
      <c r="K105" s="106" t="s">
        <v>382</v>
      </c>
      <c r="L105" s="106" t="s">
        <v>884</v>
      </c>
      <c r="M105" s="106" t="s">
        <v>388</v>
      </c>
      <c r="N105" s="106" t="s">
        <v>43</v>
      </c>
      <c r="O105" s="106" t="s">
        <v>541</v>
      </c>
      <c r="P105" s="106" t="s">
        <v>866</v>
      </c>
      <c r="Q105" s="106" t="s">
        <v>818</v>
      </c>
      <c r="R105" s="106" t="s">
        <v>71</v>
      </c>
      <c r="S105" s="83" t="str">
        <f t="shared" si="9"/>
        <v>44740A-HBU</v>
      </c>
      <c r="T105" s="83" t="str">
        <f t="shared" si="10"/>
        <v>Houston Buffalos Archive TLB</v>
      </c>
      <c r="Y105" s="60">
        <f t="shared" si="11"/>
        <v>6</v>
      </c>
      <c r="Z105" s="49">
        <f t="shared" si="12"/>
        <v>88</v>
      </c>
      <c r="AA105" s="60">
        <f t="shared" si="13"/>
        <v>6088</v>
      </c>
    </row>
    <row r="106" spans="1:27">
      <c r="A106" s="83" t="str">
        <f t="shared" si="7"/>
        <v>44740A-KCKnavy</v>
      </c>
      <c r="B106" s="83" t="str">
        <f t="shared" si="8"/>
        <v>06-089-16</v>
      </c>
      <c r="C106" s="106" t="s">
        <v>1206</v>
      </c>
      <c r="D106" s="106" t="s">
        <v>1207</v>
      </c>
      <c r="E106" s="106" t="s">
        <v>788</v>
      </c>
      <c r="F106" s="107">
        <v>0</v>
      </c>
      <c r="G106" s="106" t="s">
        <v>1208</v>
      </c>
      <c r="H106" s="106" t="s">
        <v>55</v>
      </c>
      <c r="I106" s="106" t="s">
        <v>786</v>
      </c>
      <c r="J106" s="106" t="s">
        <v>327</v>
      </c>
      <c r="K106" s="106" t="s">
        <v>382</v>
      </c>
      <c r="L106" s="106" t="s">
        <v>893</v>
      </c>
      <c r="M106" s="106" t="s">
        <v>388</v>
      </c>
      <c r="N106" s="106" t="s">
        <v>43</v>
      </c>
      <c r="O106" s="106" t="s">
        <v>541</v>
      </c>
      <c r="P106" s="106" t="s">
        <v>866</v>
      </c>
      <c r="Q106" s="106" t="s">
        <v>818</v>
      </c>
      <c r="R106" s="106" t="s">
        <v>71</v>
      </c>
      <c r="S106" s="83" t="str">
        <f t="shared" si="9"/>
        <v>44740A-KCK</v>
      </c>
      <c r="T106" s="83" t="str">
        <f t="shared" si="10"/>
        <v>Kansas City Katz Archive MILB</v>
      </c>
      <c r="Y106" s="60">
        <f t="shared" si="11"/>
        <v>6</v>
      </c>
      <c r="Z106" s="49">
        <f t="shared" si="12"/>
        <v>89</v>
      </c>
      <c r="AA106" s="60">
        <f t="shared" si="13"/>
        <v>6089</v>
      </c>
    </row>
    <row r="107" spans="1:27">
      <c r="A107" s="83" t="str">
        <f t="shared" si="7"/>
        <v>44740A-LAJblk</v>
      </c>
      <c r="B107" s="83" t="str">
        <f t="shared" si="8"/>
        <v>06-090-09</v>
      </c>
      <c r="C107" s="106" t="s">
        <v>1209</v>
      </c>
      <c r="D107" s="106" t="s">
        <v>1210</v>
      </c>
      <c r="E107" s="106" t="s">
        <v>788</v>
      </c>
      <c r="F107" s="107">
        <v>0</v>
      </c>
      <c r="G107" s="106" t="s">
        <v>1211</v>
      </c>
      <c r="H107" s="106" t="s">
        <v>53</v>
      </c>
      <c r="I107" s="106" t="s">
        <v>786</v>
      </c>
      <c r="J107" s="106" t="s">
        <v>327</v>
      </c>
      <c r="K107" s="106" t="s">
        <v>382</v>
      </c>
      <c r="L107" s="106" t="s">
        <v>884</v>
      </c>
      <c r="M107" s="106" t="s">
        <v>388</v>
      </c>
      <c r="N107" s="106" t="s">
        <v>43</v>
      </c>
      <c r="O107" s="106" t="s">
        <v>541</v>
      </c>
      <c r="P107" s="106" t="s">
        <v>866</v>
      </c>
      <c r="Q107" s="106" t="s">
        <v>843</v>
      </c>
      <c r="R107" s="106" t="s">
        <v>53</v>
      </c>
      <c r="S107" s="83" t="str">
        <f t="shared" si="9"/>
        <v>44740A-LAJ</v>
      </c>
      <c r="T107" s="83" t="str">
        <f t="shared" si="10"/>
        <v>Los Angeles Jets Archive ABL</v>
      </c>
      <c r="Y107" s="60">
        <f t="shared" si="11"/>
        <v>6</v>
      </c>
      <c r="Z107" s="49">
        <f t="shared" si="12"/>
        <v>90</v>
      </c>
      <c r="AA107" s="60">
        <f t="shared" si="13"/>
        <v>6090</v>
      </c>
    </row>
    <row r="108" spans="1:27">
      <c r="A108" s="83" t="str">
        <f t="shared" si="7"/>
        <v>44740A-LSTblk</v>
      </c>
      <c r="B108" s="83" t="str">
        <f t="shared" si="8"/>
        <v>06-091-09</v>
      </c>
      <c r="C108" s="106" t="s">
        <v>1212</v>
      </c>
      <c r="D108" s="106" t="s">
        <v>1213</v>
      </c>
      <c r="E108" s="106" t="s">
        <v>788</v>
      </c>
      <c r="F108" s="107">
        <v>0</v>
      </c>
      <c r="G108" s="106" t="s">
        <v>1214</v>
      </c>
      <c r="H108" s="106" t="s">
        <v>53</v>
      </c>
      <c r="I108" s="106" t="s">
        <v>786</v>
      </c>
      <c r="J108" s="106" t="s">
        <v>327</v>
      </c>
      <c r="K108" s="106" t="s">
        <v>382</v>
      </c>
      <c r="L108" s="106" t="s">
        <v>884</v>
      </c>
      <c r="M108" s="106" t="s">
        <v>388</v>
      </c>
      <c r="N108" s="106" t="s">
        <v>43</v>
      </c>
      <c r="O108" s="106" t="s">
        <v>541</v>
      </c>
      <c r="P108" s="106" t="s">
        <v>866</v>
      </c>
      <c r="Q108" s="106" t="s">
        <v>843</v>
      </c>
      <c r="R108" s="106" t="s">
        <v>53</v>
      </c>
      <c r="S108" s="83" t="str">
        <f t="shared" si="9"/>
        <v>44740A-LST</v>
      </c>
      <c r="T108" s="83" t="str">
        <f t="shared" si="10"/>
        <v>Las Vegas Stars Archive MILB</v>
      </c>
      <c r="Y108" s="60">
        <f t="shared" si="11"/>
        <v>6</v>
      </c>
      <c r="Z108" s="49">
        <f t="shared" si="12"/>
        <v>91</v>
      </c>
      <c r="AA108" s="60">
        <f t="shared" si="13"/>
        <v>6091</v>
      </c>
    </row>
    <row r="109" spans="1:27">
      <c r="A109" s="83" t="str">
        <f t="shared" si="7"/>
        <v>44740A-WHAnavb</v>
      </c>
      <c r="B109" s="83" t="str">
        <f t="shared" si="8"/>
        <v>06-092-16</v>
      </c>
      <c r="C109" s="106" t="s">
        <v>1215</v>
      </c>
      <c r="D109" s="106" t="s">
        <v>1216</v>
      </c>
      <c r="E109" s="106" t="s">
        <v>788</v>
      </c>
      <c r="F109" s="107">
        <v>0</v>
      </c>
      <c r="G109" s="106" t="s">
        <v>1217</v>
      </c>
      <c r="H109" s="106" t="s">
        <v>55</v>
      </c>
      <c r="I109" s="106" t="s">
        <v>786</v>
      </c>
      <c r="J109" s="106" t="s">
        <v>327</v>
      </c>
      <c r="K109" s="106" t="s">
        <v>382</v>
      </c>
      <c r="L109" s="106" t="s">
        <v>884</v>
      </c>
      <c r="M109" s="106" t="s">
        <v>388</v>
      </c>
      <c r="N109" s="106" t="s">
        <v>43</v>
      </c>
      <c r="O109" s="106" t="s">
        <v>541</v>
      </c>
      <c r="P109" s="106" t="s">
        <v>866</v>
      </c>
      <c r="Q109" s="106" t="s">
        <v>1218</v>
      </c>
      <c r="R109" s="106" t="s">
        <v>71</v>
      </c>
      <c r="S109" s="83" t="str">
        <f t="shared" si="9"/>
        <v>44740A-WHA</v>
      </c>
      <c r="T109" s="83" t="str">
        <f t="shared" si="10"/>
        <v>Chicago Whales Archive MILB</v>
      </c>
      <c r="Y109" s="60">
        <f t="shared" si="11"/>
        <v>6</v>
      </c>
      <c r="Z109" s="49">
        <f t="shared" si="12"/>
        <v>92</v>
      </c>
      <c r="AA109" s="60">
        <f t="shared" si="13"/>
        <v>6092</v>
      </c>
    </row>
    <row r="110" spans="1:27">
      <c r="A110" s="83" t="str">
        <f t="shared" si="7"/>
        <v>44742A-NYAnvdr</v>
      </c>
      <c r="B110" s="83" t="str">
        <f t="shared" si="8"/>
        <v>06-093-16</v>
      </c>
      <c r="C110" s="106" t="s">
        <v>1219</v>
      </c>
      <c r="D110" s="106" t="s">
        <v>1220</v>
      </c>
      <c r="E110" s="106" t="s">
        <v>788</v>
      </c>
      <c r="F110" s="107">
        <v>0</v>
      </c>
      <c r="G110" s="106" t="s">
        <v>1221</v>
      </c>
      <c r="H110" s="106" t="s">
        <v>55</v>
      </c>
      <c r="I110" s="106" t="s">
        <v>786</v>
      </c>
      <c r="J110" s="106" t="s">
        <v>327</v>
      </c>
      <c r="K110" s="106" t="s">
        <v>382</v>
      </c>
      <c r="L110" s="106" t="s">
        <v>884</v>
      </c>
      <c r="M110" s="106" t="s">
        <v>388</v>
      </c>
      <c r="N110" s="106" t="s">
        <v>43</v>
      </c>
      <c r="O110" s="106" t="s">
        <v>541</v>
      </c>
      <c r="P110" s="106" t="s">
        <v>866</v>
      </c>
      <c r="Q110" s="106" t="s">
        <v>1222</v>
      </c>
      <c r="R110" s="106" t="s">
        <v>71</v>
      </c>
      <c r="S110" s="83" t="str">
        <f t="shared" si="9"/>
        <v>44742A-NYA</v>
      </c>
      <c r="T110" s="83" t="str">
        <f t="shared" si="10"/>
        <v>New York Americans Archive NHL</v>
      </c>
      <c r="Y110" s="60">
        <f t="shared" si="11"/>
        <v>6</v>
      </c>
      <c r="Z110" s="49">
        <f t="shared" si="12"/>
        <v>93</v>
      </c>
      <c r="AA110" s="60">
        <f t="shared" si="13"/>
        <v>6093</v>
      </c>
    </row>
    <row r="111" spans="1:27">
      <c r="A111" s="83" t="str">
        <f t="shared" si="7"/>
        <v>44742A-OASblk</v>
      </c>
      <c r="B111" s="83" t="str">
        <f t="shared" si="8"/>
        <v>06-094-09</v>
      </c>
      <c r="C111" s="106" t="s">
        <v>1223</v>
      </c>
      <c r="D111" s="106" t="s">
        <v>1224</v>
      </c>
      <c r="E111" s="106" t="s">
        <v>788</v>
      </c>
      <c r="F111" s="107">
        <v>0</v>
      </c>
      <c r="G111" s="106" t="s">
        <v>1225</v>
      </c>
      <c r="H111" s="106" t="s">
        <v>53</v>
      </c>
      <c r="I111" s="106" t="s">
        <v>786</v>
      </c>
      <c r="J111" s="106" t="s">
        <v>327</v>
      </c>
      <c r="K111" s="106" t="s">
        <v>382</v>
      </c>
      <c r="L111" s="106" t="s">
        <v>893</v>
      </c>
      <c r="M111" s="106" t="s">
        <v>388</v>
      </c>
      <c r="N111" s="106" t="s">
        <v>43</v>
      </c>
      <c r="O111" s="106" t="s">
        <v>541</v>
      </c>
      <c r="P111" s="106" t="s">
        <v>866</v>
      </c>
      <c r="Q111" s="106" t="s">
        <v>843</v>
      </c>
      <c r="R111" s="106" t="s">
        <v>53</v>
      </c>
      <c r="S111" s="83" t="str">
        <f t="shared" si="9"/>
        <v>44742A-OAS</v>
      </c>
      <c r="T111" s="83" t="str">
        <f t="shared" si="10"/>
        <v>Oakland Seals Archive NHL</v>
      </c>
      <c r="Y111" s="60">
        <f t="shared" si="11"/>
        <v>6</v>
      </c>
      <c r="Z111" s="49">
        <f t="shared" si="12"/>
        <v>94</v>
      </c>
      <c r="AA111" s="60">
        <f t="shared" si="13"/>
        <v>6094</v>
      </c>
    </row>
    <row r="112" spans="1:27">
      <c r="A112" s="83" t="str">
        <f t="shared" si="7"/>
        <v>44747A-CNTnavy</v>
      </c>
      <c r="B112" s="83" t="str">
        <f t="shared" si="8"/>
        <v>06-095-16</v>
      </c>
      <c r="C112" s="106" t="s">
        <v>1226</v>
      </c>
      <c r="D112" s="106" t="s">
        <v>1227</v>
      </c>
      <c r="E112" s="106" t="s">
        <v>788</v>
      </c>
      <c r="F112" s="107">
        <v>0</v>
      </c>
      <c r="G112" s="106" t="s">
        <v>1228</v>
      </c>
      <c r="H112" s="106" t="s">
        <v>55</v>
      </c>
      <c r="I112" s="106" t="s">
        <v>786</v>
      </c>
      <c r="J112" s="106" t="s">
        <v>327</v>
      </c>
      <c r="K112" s="106" t="s">
        <v>382</v>
      </c>
      <c r="L112" s="106" t="s">
        <v>884</v>
      </c>
      <c r="M112" s="106" t="s">
        <v>388</v>
      </c>
      <c r="N112" s="106" t="s">
        <v>43</v>
      </c>
      <c r="O112" s="106" t="s">
        <v>541</v>
      </c>
      <c r="P112" s="106" t="s">
        <v>866</v>
      </c>
      <c r="Q112" s="106" t="s">
        <v>818</v>
      </c>
      <c r="R112" s="106" t="s">
        <v>71</v>
      </c>
      <c r="S112" s="83" t="str">
        <f t="shared" si="9"/>
        <v>44747A-CNT</v>
      </c>
      <c r="T112" s="83" t="str">
        <f t="shared" si="10"/>
        <v>Cincinnati Tigers Archive NL</v>
      </c>
      <c r="Y112" s="60">
        <f t="shared" si="11"/>
        <v>6</v>
      </c>
      <c r="Z112" s="49">
        <f t="shared" si="12"/>
        <v>95</v>
      </c>
      <c r="AA112" s="60">
        <f t="shared" si="13"/>
        <v>6095</v>
      </c>
    </row>
    <row r="113" spans="1:27">
      <c r="A113" s="83" t="str">
        <f t="shared" si="7"/>
        <v>44747A-MMLblor</v>
      </c>
      <c r="B113" s="83" t="str">
        <f t="shared" si="8"/>
        <v>06-096-05</v>
      </c>
      <c r="C113" s="106" t="s">
        <v>1229</v>
      </c>
      <c r="D113" s="106" t="s">
        <v>1230</v>
      </c>
      <c r="E113" s="106" t="s">
        <v>788</v>
      </c>
      <c r="F113" s="107">
        <v>0</v>
      </c>
      <c r="G113" s="106" t="s">
        <v>1231</v>
      </c>
      <c r="H113" s="106" t="s">
        <v>277</v>
      </c>
      <c r="I113" s="106" t="s">
        <v>786</v>
      </c>
      <c r="J113" s="106" t="s">
        <v>327</v>
      </c>
      <c r="K113" s="106" t="s">
        <v>382</v>
      </c>
      <c r="L113" s="106" t="s">
        <v>893</v>
      </c>
      <c r="M113" s="106" t="s">
        <v>388</v>
      </c>
      <c r="N113" s="106" t="s">
        <v>43</v>
      </c>
      <c r="O113" s="106" t="s">
        <v>541</v>
      </c>
      <c r="P113" s="106" t="s">
        <v>866</v>
      </c>
      <c r="Q113" s="106" t="s">
        <v>932</v>
      </c>
      <c r="R113" s="106" t="s">
        <v>83</v>
      </c>
      <c r="S113" s="83" t="str">
        <f t="shared" si="9"/>
        <v>44747A-MML</v>
      </c>
      <c r="T113" s="83" t="str">
        <f t="shared" si="10"/>
        <v>Minneapolis Millers Archive MILB</v>
      </c>
      <c r="Y113" s="60">
        <f t="shared" si="11"/>
        <v>6</v>
      </c>
      <c r="Z113" s="49">
        <f t="shared" si="12"/>
        <v>96</v>
      </c>
      <c r="AA113" s="60">
        <f t="shared" si="13"/>
        <v>6096</v>
      </c>
    </row>
    <row r="114" spans="1:27">
      <c r="A114" s="83" t="str">
        <f t="shared" si="7"/>
        <v>44747A-POBnavy</v>
      </c>
      <c r="B114" s="83" t="str">
        <f t="shared" si="8"/>
        <v>06-097-16</v>
      </c>
      <c r="C114" s="106" t="s">
        <v>1232</v>
      </c>
      <c r="D114" s="106" t="s">
        <v>1233</v>
      </c>
      <c r="E114" s="106" t="s">
        <v>788</v>
      </c>
      <c r="F114" s="107">
        <v>0</v>
      </c>
      <c r="G114" s="106" t="s">
        <v>1234</v>
      </c>
      <c r="H114" s="106" t="s">
        <v>55</v>
      </c>
      <c r="I114" s="106" t="s">
        <v>786</v>
      </c>
      <c r="J114" s="106" t="s">
        <v>327</v>
      </c>
      <c r="K114" s="106" t="s">
        <v>382</v>
      </c>
      <c r="L114" s="106" t="s">
        <v>893</v>
      </c>
      <c r="M114" s="106" t="s">
        <v>388</v>
      </c>
      <c r="N114" s="106" t="s">
        <v>43</v>
      </c>
      <c r="O114" s="106" t="s">
        <v>541</v>
      </c>
      <c r="P114" s="106" t="s">
        <v>866</v>
      </c>
      <c r="Q114" s="106" t="s">
        <v>818</v>
      </c>
      <c r="R114" s="106" t="s">
        <v>71</v>
      </c>
      <c r="S114" s="83" t="str">
        <f t="shared" si="9"/>
        <v>44747A-POB</v>
      </c>
      <c r="T114" s="83" t="str">
        <f t="shared" si="10"/>
        <v>Portland Beavers Archive MILB</v>
      </c>
      <c r="Y114" s="60">
        <f t="shared" si="11"/>
        <v>6</v>
      </c>
      <c r="Z114" s="49">
        <f t="shared" si="12"/>
        <v>97</v>
      </c>
      <c r="AA114" s="60">
        <f t="shared" si="13"/>
        <v>6097</v>
      </c>
    </row>
    <row r="115" spans="1:27">
      <c r="A115" s="83" t="str">
        <f t="shared" si="7"/>
        <v>44747B-POBgynv</v>
      </c>
      <c r="B115" s="83" t="str">
        <f t="shared" si="8"/>
        <v>06-098-26</v>
      </c>
      <c r="C115" s="106" t="s">
        <v>1235</v>
      </c>
      <c r="D115" s="106" t="s">
        <v>1236</v>
      </c>
      <c r="E115" s="106" t="s">
        <v>788</v>
      </c>
      <c r="F115" s="107">
        <v>0</v>
      </c>
      <c r="G115" s="106" t="s">
        <v>1237</v>
      </c>
      <c r="H115" s="106" t="s">
        <v>245</v>
      </c>
      <c r="I115" s="106" t="s">
        <v>786</v>
      </c>
      <c r="J115" s="106" t="s">
        <v>327</v>
      </c>
      <c r="K115" s="106" t="s">
        <v>382</v>
      </c>
      <c r="L115" s="106" t="s">
        <v>893</v>
      </c>
      <c r="M115" s="106" t="s">
        <v>388</v>
      </c>
      <c r="N115" s="106" t="s">
        <v>43</v>
      </c>
      <c r="O115" s="106" t="s">
        <v>541</v>
      </c>
      <c r="P115" s="106" t="s">
        <v>866</v>
      </c>
      <c r="Q115" s="106" t="s">
        <v>1238</v>
      </c>
      <c r="R115" s="106" t="s">
        <v>83</v>
      </c>
      <c r="S115" s="83" t="str">
        <f t="shared" si="9"/>
        <v>44747B-POB</v>
      </c>
      <c r="T115" s="83" t="str">
        <f t="shared" si="10"/>
        <v>Portland Beavers Archive MILB</v>
      </c>
      <c r="Y115" s="60">
        <f t="shared" si="11"/>
        <v>6</v>
      </c>
      <c r="Z115" s="49">
        <f t="shared" si="12"/>
        <v>98</v>
      </c>
      <c r="AA115" s="60">
        <f t="shared" si="13"/>
        <v>6098</v>
      </c>
    </row>
    <row r="116" spans="1:27">
      <c r="A116" s="83" t="str">
        <f t="shared" si="7"/>
        <v>44747B-SERdki</v>
      </c>
      <c r="B116" s="83" t="str">
        <f t="shared" si="8"/>
        <v>06-099-18</v>
      </c>
      <c r="C116" s="106" t="s">
        <v>1239</v>
      </c>
      <c r="D116" s="106" t="s">
        <v>1240</v>
      </c>
      <c r="E116" s="106" t="s">
        <v>788</v>
      </c>
      <c r="F116" s="107">
        <v>0</v>
      </c>
      <c r="G116" s="106" t="s">
        <v>1241</v>
      </c>
      <c r="H116" s="106" t="s">
        <v>78</v>
      </c>
      <c r="I116" s="106" t="s">
        <v>786</v>
      </c>
      <c r="J116" s="106" t="s">
        <v>327</v>
      </c>
      <c r="K116" s="106" t="s">
        <v>382</v>
      </c>
      <c r="L116" s="106" t="s">
        <v>893</v>
      </c>
      <c r="M116" s="106" t="s">
        <v>388</v>
      </c>
      <c r="N116" s="106" t="s">
        <v>43</v>
      </c>
      <c r="O116" s="106" t="s">
        <v>541</v>
      </c>
      <c r="P116" s="106" t="s">
        <v>866</v>
      </c>
      <c r="Q116" s="106" t="s">
        <v>1242</v>
      </c>
      <c r="R116" s="106" t="s">
        <v>78</v>
      </c>
      <c r="S116" s="83" t="str">
        <f t="shared" si="9"/>
        <v>44747B-SER</v>
      </c>
      <c r="T116" s="83" t="str">
        <f t="shared" si="10"/>
        <v>Seattle Rainers Archive MILB</v>
      </c>
      <c r="Y116" s="60">
        <f t="shared" si="11"/>
        <v>6</v>
      </c>
      <c r="Z116" s="49">
        <f t="shared" si="12"/>
        <v>99</v>
      </c>
      <c r="AA116" s="60">
        <f t="shared" si="13"/>
        <v>6099</v>
      </c>
    </row>
    <row r="117" spans="1:27">
      <c r="A117" s="83" t="str">
        <f t="shared" si="7"/>
        <v>44810A-CALIblse</v>
      </c>
      <c r="B117" s="83" t="str">
        <f t="shared" si="8"/>
        <v>06-100-70</v>
      </c>
      <c r="C117" s="106" t="s">
        <v>1243</v>
      </c>
      <c r="D117" s="106" t="s">
        <v>1244</v>
      </c>
      <c r="E117" s="106" t="s">
        <v>788</v>
      </c>
      <c r="F117" s="107">
        <v>0</v>
      </c>
      <c r="G117" s="106" t="s">
        <v>1245</v>
      </c>
      <c r="H117" s="106" t="s">
        <v>296</v>
      </c>
      <c r="I117" s="106" t="s">
        <v>786</v>
      </c>
      <c r="J117" s="106" t="s">
        <v>327</v>
      </c>
      <c r="K117" s="106" t="s">
        <v>382</v>
      </c>
      <c r="L117" s="106" t="s">
        <v>865</v>
      </c>
      <c r="M117" s="106" t="s">
        <v>388</v>
      </c>
      <c r="N117" s="106" t="s">
        <v>43</v>
      </c>
      <c r="O117" s="106" t="s">
        <v>386</v>
      </c>
      <c r="P117" s="106" t="s">
        <v>866</v>
      </c>
      <c r="Q117" s="106" t="s">
        <v>1246</v>
      </c>
      <c r="R117" s="106" t="s">
        <v>53</v>
      </c>
      <c r="S117" s="83" t="str">
        <f t="shared" si="9"/>
        <v>44810A-CALI</v>
      </c>
      <c r="T117" s="83" t="str">
        <f t="shared" si="10"/>
        <v>California</v>
      </c>
      <c r="Y117" s="60">
        <f t="shared" si="11"/>
        <v>6</v>
      </c>
      <c r="Z117" s="49">
        <f t="shared" si="12"/>
        <v>100</v>
      </c>
      <c r="AA117" s="60">
        <f t="shared" si="13"/>
        <v>6100</v>
      </c>
    </row>
    <row r="118" spans="1:27">
      <c r="A118" s="83" t="str">
        <f t="shared" si="7"/>
        <v>44820A-NASAnavy</v>
      </c>
      <c r="B118" s="83" t="str">
        <f t="shared" si="8"/>
        <v>06-101-16</v>
      </c>
      <c r="C118" s="106" t="s">
        <v>1247</v>
      </c>
      <c r="D118" s="106" t="s">
        <v>1248</v>
      </c>
      <c r="E118" s="106" t="s">
        <v>788</v>
      </c>
      <c r="F118" s="107">
        <v>0</v>
      </c>
      <c r="G118" s="106" t="s">
        <v>1249</v>
      </c>
      <c r="H118" s="106" t="s">
        <v>55</v>
      </c>
      <c r="I118" s="106" t="s">
        <v>786</v>
      </c>
      <c r="J118" s="106" t="s">
        <v>327</v>
      </c>
      <c r="K118" s="106" t="s">
        <v>382</v>
      </c>
      <c r="L118" s="106" t="s">
        <v>873</v>
      </c>
      <c r="M118" s="106" t="s">
        <v>388</v>
      </c>
      <c r="N118" s="106" t="s">
        <v>43</v>
      </c>
      <c r="O118" s="106" t="s">
        <v>386</v>
      </c>
      <c r="P118" s="106" t="s">
        <v>866</v>
      </c>
      <c r="Q118" s="106" t="s">
        <v>818</v>
      </c>
      <c r="R118" s="106" t="s">
        <v>71</v>
      </c>
      <c r="S118" s="83" t="str">
        <f t="shared" si="9"/>
        <v>44820A-NASA</v>
      </c>
      <c r="T118" s="83" t="str">
        <f t="shared" si="10"/>
        <v>Space with NASA</v>
      </c>
      <c r="Y118" s="60">
        <f t="shared" si="11"/>
        <v>6</v>
      </c>
      <c r="Z118" s="49">
        <f t="shared" si="12"/>
        <v>101</v>
      </c>
      <c r="AA118" s="60">
        <f t="shared" si="13"/>
        <v>6101</v>
      </c>
    </row>
    <row r="119" spans="1:27">
      <c r="A119" s="83" t="str">
        <f t="shared" si="7"/>
        <v>44860A-CALIwht</v>
      </c>
      <c r="B119" s="83" t="str">
        <f t="shared" si="8"/>
        <v>06-102-17</v>
      </c>
      <c r="C119" s="106" t="s">
        <v>1250</v>
      </c>
      <c r="D119" s="106" t="s">
        <v>1251</v>
      </c>
      <c r="E119" s="106" t="s">
        <v>788</v>
      </c>
      <c r="F119" s="107">
        <v>0</v>
      </c>
      <c r="G119" s="106" t="s">
        <v>1252</v>
      </c>
      <c r="H119" s="106" t="s">
        <v>57</v>
      </c>
      <c r="I119" s="106" t="s">
        <v>786</v>
      </c>
      <c r="J119" s="106" t="s">
        <v>327</v>
      </c>
      <c r="K119" s="106" t="s">
        <v>382</v>
      </c>
      <c r="L119" s="106" t="s">
        <v>865</v>
      </c>
      <c r="M119" s="106" t="s">
        <v>388</v>
      </c>
      <c r="N119" s="106" t="s">
        <v>43</v>
      </c>
      <c r="O119" s="106" t="s">
        <v>386</v>
      </c>
      <c r="P119" s="106" t="s">
        <v>866</v>
      </c>
      <c r="Q119" s="106" t="s">
        <v>1178</v>
      </c>
      <c r="R119" s="106" t="s">
        <v>57</v>
      </c>
      <c r="S119" s="83" t="str">
        <f t="shared" si="9"/>
        <v>44860A-CALI</v>
      </c>
      <c r="T119" s="83" t="str">
        <f t="shared" si="10"/>
        <v>California</v>
      </c>
      <c r="Y119" s="60">
        <f t="shared" si="11"/>
        <v>6</v>
      </c>
      <c r="Z119" s="49">
        <f t="shared" si="12"/>
        <v>102</v>
      </c>
      <c r="AA119" s="60">
        <f t="shared" si="13"/>
        <v>6102</v>
      </c>
    </row>
    <row r="120" spans="1:27">
      <c r="A120" s="83" t="str">
        <f t="shared" si="7"/>
        <v>44870A-CALIwbnp</v>
      </c>
      <c r="B120" s="83" t="str">
        <f t="shared" si="8"/>
        <v>06-103-40</v>
      </c>
      <c r="C120" s="106" t="s">
        <v>1253</v>
      </c>
      <c r="D120" s="106" t="s">
        <v>1254</v>
      </c>
      <c r="E120" s="106" t="s">
        <v>788</v>
      </c>
      <c r="F120" s="107">
        <v>0</v>
      </c>
      <c r="G120" s="106" t="s">
        <v>1255</v>
      </c>
      <c r="H120" s="106" t="s">
        <v>307</v>
      </c>
      <c r="I120" s="106" t="s">
        <v>789</v>
      </c>
      <c r="J120" s="106" t="s">
        <v>356</v>
      </c>
      <c r="K120" s="106" t="s">
        <v>382</v>
      </c>
      <c r="L120" s="106" t="s">
        <v>865</v>
      </c>
      <c r="M120" s="106" t="s">
        <v>388</v>
      </c>
      <c r="O120" s="106" t="s">
        <v>386</v>
      </c>
      <c r="P120" s="106" t="s">
        <v>866</v>
      </c>
      <c r="Q120" s="106" t="s">
        <v>1256</v>
      </c>
      <c r="R120" s="106" t="s">
        <v>53</v>
      </c>
      <c r="S120" s="83" t="str">
        <f t="shared" si="9"/>
        <v>44870A-CALI</v>
      </c>
      <c r="T120" s="83" t="str">
        <f t="shared" si="10"/>
        <v>California</v>
      </c>
      <c r="Y120" s="60">
        <f t="shared" si="11"/>
        <v>6</v>
      </c>
      <c r="Z120" s="49">
        <f t="shared" si="12"/>
        <v>103</v>
      </c>
      <c r="AA120" s="60">
        <f t="shared" si="13"/>
        <v>6103</v>
      </c>
    </row>
    <row r="121" spans="1:27">
      <c r="A121" s="83" t="str">
        <f t="shared" si="7"/>
        <v>44890D-CALIblk</v>
      </c>
      <c r="B121" s="83" t="str">
        <f t="shared" si="8"/>
        <v>06-104-09</v>
      </c>
      <c r="C121" s="106" t="s">
        <v>1257</v>
      </c>
      <c r="D121" s="106" t="s">
        <v>1258</v>
      </c>
      <c r="E121" s="106" t="s">
        <v>788</v>
      </c>
      <c r="F121" s="107">
        <v>0</v>
      </c>
      <c r="G121" s="106" t="s">
        <v>1259</v>
      </c>
      <c r="H121" s="106" t="s">
        <v>53</v>
      </c>
      <c r="I121" s="106" t="s">
        <v>789</v>
      </c>
      <c r="J121" s="106" t="s">
        <v>356</v>
      </c>
      <c r="K121" s="106" t="s">
        <v>382</v>
      </c>
      <c r="L121" s="106" t="s">
        <v>865</v>
      </c>
      <c r="M121" s="106" t="s">
        <v>388</v>
      </c>
      <c r="O121" s="106" t="s">
        <v>386</v>
      </c>
      <c r="P121" s="106" t="s">
        <v>866</v>
      </c>
      <c r="Q121" s="106" t="s">
        <v>843</v>
      </c>
      <c r="R121" s="106" t="s">
        <v>53</v>
      </c>
      <c r="S121" s="83" t="str">
        <f t="shared" si="9"/>
        <v>44890D-CALI</v>
      </c>
      <c r="T121" s="83" t="str">
        <f t="shared" si="10"/>
        <v>California</v>
      </c>
      <c r="Y121" s="60">
        <f t="shared" si="11"/>
        <v>6</v>
      </c>
      <c r="Z121" s="49">
        <f t="shared" si="12"/>
        <v>104</v>
      </c>
      <c r="AA121" s="60">
        <f t="shared" si="13"/>
        <v>6104</v>
      </c>
    </row>
    <row r="122" spans="1:27">
      <c r="A122" s="83" t="str">
        <f t="shared" si="7"/>
        <v>44900A-CALIblk</v>
      </c>
      <c r="B122" s="83" t="str">
        <f t="shared" si="8"/>
        <v>06-105-09</v>
      </c>
      <c r="C122" s="106" t="s">
        <v>1260</v>
      </c>
      <c r="D122" s="106" t="s">
        <v>1261</v>
      </c>
      <c r="E122" s="106" t="s">
        <v>788</v>
      </c>
      <c r="F122" s="107">
        <v>0</v>
      </c>
      <c r="G122" s="106" t="s">
        <v>1262</v>
      </c>
      <c r="H122" s="106" t="s">
        <v>53</v>
      </c>
      <c r="I122" s="106" t="s">
        <v>786</v>
      </c>
      <c r="J122" s="106" t="s">
        <v>327</v>
      </c>
      <c r="K122" s="106" t="s">
        <v>382</v>
      </c>
      <c r="L122" s="106" t="s">
        <v>865</v>
      </c>
      <c r="M122" s="106" t="s">
        <v>388</v>
      </c>
      <c r="N122" s="106" t="s">
        <v>43</v>
      </c>
      <c r="O122" s="106" t="s">
        <v>541</v>
      </c>
      <c r="P122" s="106" t="s">
        <v>866</v>
      </c>
      <c r="Q122" s="106" t="s">
        <v>843</v>
      </c>
      <c r="R122" s="106" t="s">
        <v>53</v>
      </c>
      <c r="S122" s="83" t="str">
        <f t="shared" si="9"/>
        <v>44900A-CALI</v>
      </c>
      <c r="T122" s="83" t="str">
        <f t="shared" si="10"/>
        <v>California Replay</v>
      </c>
      <c r="Y122" s="60">
        <f t="shared" si="11"/>
        <v>6</v>
      </c>
      <c r="Z122" s="49">
        <f t="shared" si="12"/>
        <v>105</v>
      </c>
      <c r="AA122" s="60">
        <f t="shared" si="13"/>
        <v>6105</v>
      </c>
    </row>
    <row r="123" spans="1:27">
      <c r="A123" s="83" t="str">
        <f t="shared" si="7"/>
        <v>44900B-CALIsnow</v>
      </c>
      <c r="B123" s="83" t="str">
        <f t="shared" si="8"/>
        <v>06-106-17</v>
      </c>
      <c r="C123" s="106" t="s">
        <v>1263</v>
      </c>
      <c r="D123" s="106" t="s">
        <v>1264</v>
      </c>
      <c r="E123" s="106" t="s">
        <v>788</v>
      </c>
      <c r="F123" s="107">
        <v>0</v>
      </c>
      <c r="G123" s="106" t="s">
        <v>1265</v>
      </c>
      <c r="H123" s="106" t="s">
        <v>57</v>
      </c>
      <c r="I123" s="106" t="s">
        <v>786</v>
      </c>
      <c r="J123" s="106" t="s">
        <v>327</v>
      </c>
      <c r="K123" s="106" t="s">
        <v>382</v>
      </c>
      <c r="L123" s="106" t="s">
        <v>880</v>
      </c>
      <c r="M123" s="106" t="s">
        <v>388</v>
      </c>
      <c r="N123" s="106" t="s">
        <v>43</v>
      </c>
      <c r="O123" s="106" t="s">
        <v>541</v>
      </c>
      <c r="P123" s="106" t="s">
        <v>866</v>
      </c>
      <c r="Q123" s="106" t="s">
        <v>990</v>
      </c>
      <c r="R123" s="106" t="s">
        <v>57</v>
      </c>
      <c r="S123" s="83" t="str">
        <f t="shared" si="9"/>
        <v>44900B-CALI</v>
      </c>
      <c r="T123" s="83" t="str">
        <f t="shared" si="10"/>
        <v>California Replay</v>
      </c>
      <c r="Y123" s="60">
        <f t="shared" si="11"/>
        <v>6</v>
      </c>
      <c r="Z123" s="49">
        <f t="shared" si="12"/>
        <v>106</v>
      </c>
      <c r="AA123" s="60">
        <f t="shared" si="13"/>
        <v>6106</v>
      </c>
    </row>
    <row r="124" spans="1:27">
      <c r="A124" s="83" t="str">
        <f t="shared" si="7"/>
        <v>44910A-NASAnavy</v>
      </c>
      <c r="B124" s="83" t="str">
        <f t="shared" si="8"/>
        <v>06-107-16</v>
      </c>
      <c r="C124" s="106" t="s">
        <v>1266</v>
      </c>
      <c r="D124" s="106" t="s">
        <v>1267</v>
      </c>
      <c r="E124" s="106" t="s">
        <v>788</v>
      </c>
      <c r="F124" s="107">
        <v>0</v>
      </c>
      <c r="G124" s="106" t="s">
        <v>1268</v>
      </c>
      <c r="H124" s="106" t="s">
        <v>55</v>
      </c>
      <c r="I124" s="106" t="s">
        <v>786</v>
      </c>
      <c r="J124" s="106" t="s">
        <v>327</v>
      </c>
      <c r="K124" s="106" t="s">
        <v>382</v>
      </c>
      <c r="L124" s="106" t="s">
        <v>1090</v>
      </c>
      <c r="M124" s="106" t="s">
        <v>388</v>
      </c>
      <c r="N124" s="106" t="s">
        <v>43</v>
      </c>
      <c r="O124" s="106" t="s">
        <v>386</v>
      </c>
      <c r="P124" s="106" t="s">
        <v>866</v>
      </c>
      <c r="Q124" s="106" t="s">
        <v>818</v>
      </c>
      <c r="R124" s="106" t="s">
        <v>71</v>
      </c>
      <c r="S124" s="83" t="str">
        <f t="shared" si="9"/>
        <v>44910A-NASA</v>
      </c>
      <c r="T124" s="83" t="str">
        <f t="shared" si="10"/>
        <v>Apollo 50 years</v>
      </c>
      <c r="Y124" s="60">
        <f t="shared" si="11"/>
        <v>6</v>
      </c>
      <c r="Z124" s="49">
        <f t="shared" si="12"/>
        <v>107</v>
      </c>
      <c r="AA124" s="60">
        <f t="shared" si="13"/>
        <v>6107</v>
      </c>
    </row>
    <row r="125" spans="1:27">
      <c r="A125" s="83" t="str">
        <f t="shared" si="7"/>
        <v>44910A-NASAsteg</v>
      </c>
      <c r="B125" s="83" t="str">
        <f t="shared" si="8"/>
        <v>06-107-08</v>
      </c>
      <c r="C125" s="106" t="s">
        <v>1269</v>
      </c>
      <c r="D125" s="106" t="s">
        <v>1270</v>
      </c>
      <c r="E125" s="106" t="s">
        <v>788</v>
      </c>
      <c r="F125" s="107">
        <v>0</v>
      </c>
      <c r="G125" s="106" t="s">
        <v>1268</v>
      </c>
      <c r="H125" s="106" t="s">
        <v>83</v>
      </c>
      <c r="I125" s="106" t="s">
        <v>786</v>
      </c>
      <c r="J125" s="106" t="s">
        <v>327</v>
      </c>
      <c r="K125" s="106" t="s">
        <v>382</v>
      </c>
      <c r="L125" s="106" t="s">
        <v>1090</v>
      </c>
      <c r="M125" s="106" t="s">
        <v>388</v>
      </c>
      <c r="N125" s="106" t="s">
        <v>43</v>
      </c>
      <c r="O125" s="106" t="s">
        <v>386</v>
      </c>
      <c r="P125" s="106" t="s">
        <v>866</v>
      </c>
      <c r="Q125" s="106" t="s">
        <v>1271</v>
      </c>
      <c r="R125" s="106" t="s">
        <v>83</v>
      </c>
      <c r="S125" s="83" t="str">
        <f t="shared" si="9"/>
        <v>44910A-NASA</v>
      </c>
      <c r="T125" s="83" t="str">
        <f t="shared" si="10"/>
        <v>Apollo 50 years</v>
      </c>
      <c r="Y125" s="60">
        <f t="shared" si="11"/>
        <v>6</v>
      </c>
      <c r="Z125" s="49">
        <f t="shared" si="12"/>
        <v>107</v>
      </c>
      <c r="AA125" s="60">
        <f t="shared" si="13"/>
        <v>6107</v>
      </c>
    </row>
    <row r="126" spans="1:27">
      <c r="A126" s="83" t="str">
        <f t="shared" si="7"/>
        <v>44940A-NASAblk</v>
      </c>
      <c r="B126" s="83" t="str">
        <f t="shared" si="8"/>
        <v>06-108-09</v>
      </c>
      <c r="C126" s="106" t="s">
        <v>1272</v>
      </c>
      <c r="D126" s="106" t="s">
        <v>1273</v>
      </c>
      <c r="E126" s="106" t="s">
        <v>788</v>
      </c>
      <c r="F126" s="107">
        <v>0</v>
      </c>
      <c r="G126" s="106" t="s">
        <v>1274</v>
      </c>
      <c r="H126" s="106" t="s">
        <v>53</v>
      </c>
      <c r="I126" s="106" t="s">
        <v>786</v>
      </c>
      <c r="J126" s="106" t="s">
        <v>327</v>
      </c>
      <c r="K126" s="106" t="s">
        <v>382</v>
      </c>
      <c r="L126" s="106" t="s">
        <v>1090</v>
      </c>
      <c r="M126" s="106" t="s">
        <v>388</v>
      </c>
      <c r="N126" s="106" t="s">
        <v>43</v>
      </c>
      <c r="O126" s="106" t="s">
        <v>386</v>
      </c>
      <c r="P126" s="106" t="s">
        <v>866</v>
      </c>
      <c r="Q126" s="106" t="s">
        <v>843</v>
      </c>
      <c r="R126" s="106" t="s">
        <v>53</v>
      </c>
      <c r="S126" s="83" t="str">
        <f t="shared" si="9"/>
        <v>44940A-NASA</v>
      </c>
      <c r="T126" s="83" t="str">
        <f t="shared" si="10"/>
        <v>Space with NASA</v>
      </c>
      <c r="Y126" s="60">
        <f t="shared" si="11"/>
        <v>6</v>
      </c>
      <c r="Z126" s="49">
        <f t="shared" si="12"/>
        <v>108</v>
      </c>
      <c r="AA126" s="60">
        <f t="shared" si="13"/>
        <v>6108</v>
      </c>
    </row>
    <row r="127" spans="1:27">
      <c r="A127" s="83" t="str">
        <f t="shared" si="7"/>
        <v>44970A-CALIspfa</v>
      </c>
      <c r="B127" s="83" t="str">
        <f t="shared" si="8"/>
        <v>06-109-64</v>
      </c>
      <c r="C127" s="106" t="s">
        <v>1275</v>
      </c>
      <c r="D127" s="106" t="s">
        <v>1276</v>
      </c>
      <c r="E127" s="106" t="s">
        <v>788</v>
      </c>
      <c r="F127" s="107">
        <v>0</v>
      </c>
      <c r="G127" s="106" t="s">
        <v>1277</v>
      </c>
      <c r="H127" s="106" t="s">
        <v>244</v>
      </c>
      <c r="I127" s="106" t="s">
        <v>786</v>
      </c>
      <c r="J127" s="106" t="s">
        <v>327</v>
      </c>
      <c r="K127" s="106" t="s">
        <v>382</v>
      </c>
      <c r="L127" s="106" t="s">
        <v>1090</v>
      </c>
      <c r="M127" s="106" t="s">
        <v>388</v>
      </c>
      <c r="N127" s="106" t="s">
        <v>43</v>
      </c>
      <c r="O127" s="106" t="s">
        <v>386</v>
      </c>
      <c r="P127" s="106" t="s">
        <v>866</v>
      </c>
      <c r="Q127" s="106" t="s">
        <v>1278</v>
      </c>
      <c r="R127" s="106" t="s">
        <v>83</v>
      </c>
      <c r="S127" s="83" t="str">
        <f t="shared" si="9"/>
        <v>44970A-CALI</v>
      </c>
      <c r="T127" s="83" t="str">
        <f t="shared" si="10"/>
        <v>California</v>
      </c>
      <c r="Y127" s="60">
        <f t="shared" si="11"/>
        <v>6</v>
      </c>
      <c r="Z127" s="49">
        <f t="shared" si="12"/>
        <v>109</v>
      </c>
      <c r="AA127" s="60">
        <f t="shared" si="13"/>
        <v>6109</v>
      </c>
    </row>
    <row r="128" spans="1:27">
      <c r="A128" s="83" t="str">
        <f t="shared" si="7"/>
        <v>45000A-NASApblu</v>
      </c>
      <c r="B128" s="83" t="str">
        <f t="shared" si="8"/>
        <v>06-110-19</v>
      </c>
      <c r="C128" s="106" t="s">
        <v>1279</v>
      </c>
      <c r="D128" s="106" t="s">
        <v>1280</v>
      </c>
      <c r="E128" s="106" t="s">
        <v>788</v>
      </c>
      <c r="F128" s="107">
        <v>0</v>
      </c>
      <c r="G128" s="106" t="s">
        <v>1281</v>
      </c>
      <c r="H128" s="106" t="s">
        <v>91</v>
      </c>
      <c r="I128" s="106" t="s">
        <v>1282</v>
      </c>
      <c r="J128" s="106" t="s">
        <v>327</v>
      </c>
      <c r="K128" s="106" t="s">
        <v>382</v>
      </c>
      <c r="L128" s="106" t="s">
        <v>1090</v>
      </c>
      <c r="M128" s="106" t="s">
        <v>388</v>
      </c>
      <c r="N128" s="106" t="s">
        <v>43</v>
      </c>
      <c r="O128" s="106" t="s">
        <v>386</v>
      </c>
      <c r="P128" s="106" t="s">
        <v>866</v>
      </c>
      <c r="Q128" s="106" t="s">
        <v>1283</v>
      </c>
      <c r="R128" s="106" t="s">
        <v>91</v>
      </c>
      <c r="S128" s="83" t="str">
        <f t="shared" si="9"/>
        <v>45000A-NASA</v>
      </c>
      <c r="T128" s="83" t="str">
        <f t="shared" si="10"/>
        <v>Space with NASA</v>
      </c>
      <c r="Y128" s="60">
        <f t="shared" si="11"/>
        <v>6</v>
      </c>
      <c r="Z128" s="49">
        <f t="shared" si="12"/>
        <v>110</v>
      </c>
      <c r="AA128" s="60">
        <f t="shared" si="13"/>
        <v>6110</v>
      </c>
    </row>
    <row r="129" spans="1:27">
      <c r="A129" s="83" t="str">
        <f t="shared" si="7"/>
        <v>45010A-CALIcamo</v>
      </c>
      <c r="B129" s="83" t="str">
        <f t="shared" si="8"/>
        <v>06-111-56</v>
      </c>
      <c r="C129" s="106" t="s">
        <v>1284</v>
      </c>
      <c r="D129" s="106" t="s">
        <v>1285</v>
      </c>
      <c r="E129" s="106" t="s">
        <v>788</v>
      </c>
      <c r="F129" s="107">
        <v>0</v>
      </c>
      <c r="G129" s="106" t="s">
        <v>1286</v>
      </c>
      <c r="H129" s="106" t="s">
        <v>290</v>
      </c>
      <c r="I129" s="106" t="s">
        <v>840</v>
      </c>
      <c r="J129" s="106" t="s">
        <v>325</v>
      </c>
      <c r="K129" s="106" t="s">
        <v>382</v>
      </c>
      <c r="L129" s="106" t="s">
        <v>880</v>
      </c>
      <c r="M129" s="106" t="s">
        <v>388</v>
      </c>
      <c r="N129" s="106" t="s">
        <v>43</v>
      </c>
      <c r="O129" s="106" t="s">
        <v>541</v>
      </c>
      <c r="P129" s="106" t="s">
        <v>866</v>
      </c>
      <c r="Q129" s="106" t="s">
        <v>842</v>
      </c>
      <c r="R129" s="106" t="s">
        <v>195</v>
      </c>
      <c r="S129" s="83" t="str">
        <f t="shared" si="9"/>
        <v>45010A-CALI</v>
      </c>
      <c r="T129" s="83" t="str">
        <f t="shared" si="10"/>
        <v>California Twill</v>
      </c>
      <c r="Y129" s="60">
        <f t="shared" si="11"/>
        <v>6</v>
      </c>
      <c r="Z129" s="49">
        <f t="shared" si="12"/>
        <v>111</v>
      </c>
      <c r="AA129" s="60">
        <f t="shared" si="13"/>
        <v>6111</v>
      </c>
    </row>
    <row r="130" spans="1:27">
      <c r="A130" s="83" t="str">
        <f t="shared" si="7"/>
        <v>45010A-CALIcamo</v>
      </c>
      <c r="B130" s="83" t="str">
        <f t="shared" si="8"/>
        <v>06-111-56</v>
      </c>
      <c r="C130" s="106" t="s">
        <v>1287</v>
      </c>
      <c r="D130" s="106" t="s">
        <v>1285</v>
      </c>
      <c r="E130" s="106" t="s">
        <v>791</v>
      </c>
      <c r="F130" s="107">
        <v>56</v>
      </c>
      <c r="G130" s="106" t="s">
        <v>1286</v>
      </c>
      <c r="H130" s="106" t="s">
        <v>290</v>
      </c>
      <c r="I130" s="106" t="s">
        <v>840</v>
      </c>
      <c r="J130" s="106" t="s">
        <v>325</v>
      </c>
      <c r="K130" s="106" t="s">
        <v>382</v>
      </c>
      <c r="L130" s="106" t="s">
        <v>880</v>
      </c>
      <c r="M130" s="106" t="s">
        <v>388</v>
      </c>
      <c r="N130" s="106" t="s">
        <v>43</v>
      </c>
      <c r="O130" s="106" t="s">
        <v>541</v>
      </c>
      <c r="P130" s="106" t="s">
        <v>866</v>
      </c>
      <c r="Q130" s="106" t="s">
        <v>842</v>
      </c>
      <c r="R130" s="106" t="s">
        <v>195</v>
      </c>
      <c r="S130" s="83" t="str">
        <f t="shared" si="9"/>
        <v>45010A-CALI</v>
      </c>
      <c r="T130" s="83" t="str">
        <f t="shared" si="10"/>
        <v>California Twill</v>
      </c>
      <c r="Y130" s="60">
        <f t="shared" si="11"/>
        <v>6</v>
      </c>
      <c r="Z130" s="49">
        <f t="shared" si="12"/>
        <v>111</v>
      </c>
      <c r="AA130" s="60">
        <f t="shared" si="13"/>
        <v>6111</v>
      </c>
    </row>
    <row r="131" spans="1:27">
      <c r="A131" s="83" t="str">
        <f t="shared" ref="A131:A194" si="14">IF(G131&amp;Q131&lt;&gt;"",S131&amp;Q131,"")</f>
        <v>45010A-CALIcamo</v>
      </c>
      <c r="B131" s="83" t="str">
        <f t="shared" ref="B131:B194" si="15">IF(C131&lt;&gt;"",LEFT(C131,9),"")</f>
        <v>06-111-56</v>
      </c>
      <c r="C131" s="106" t="s">
        <v>1288</v>
      </c>
      <c r="D131" s="106" t="s">
        <v>1285</v>
      </c>
      <c r="E131" s="106" t="s">
        <v>829</v>
      </c>
      <c r="F131" s="107">
        <v>60</v>
      </c>
      <c r="G131" s="106" t="s">
        <v>1286</v>
      </c>
      <c r="H131" s="106" t="s">
        <v>290</v>
      </c>
      <c r="I131" s="106" t="s">
        <v>840</v>
      </c>
      <c r="J131" s="106" t="s">
        <v>325</v>
      </c>
      <c r="K131" s="106" t="s">
        <v>382</v>
      </c>
      <c r="L131" s="106" t="s">
        <v>880</v>
      </c>
      <c r="M131" s="106" t="s">
        <v>388</v>
      </c>
      <c r="N131" s="106" t="s">
        <v>43</v>
      </c>
      <c r="O131" s="106" t="s">
        <v>541</v>
      </c>
      <c r="P131" s="106" t="s">
        <v>866</v>
      </c>
      <c r="Q131" s="106" t="s">
        <v>842</v>
      </c>
      <c r="R131" s="106" t="s">
        <v>195</v>
      </c>
      <c r="S131" s="83" t="str">
        <f t="shared" ref="S131:S194" si="16">IF(G131&lt;&gt;"",IF(StyleSpaceSplit,IFERROR(IF(FIND(" ",G131)&gt;=1,MID(G131,1,FIND(" ",G131)-1),G131),G131),G131),"")</f>
        <v>45010A-CALI</v>
      </c>
      <c r="T131" s="83" t="str">
        <f t="shared" ref="T131:T194" si="17">IF(A131&lt;&gt;"",IFERROR(IF(FIND(" ",G131)&gt;=1,MID(G131,FIND(" ",G131)+1,LEN(G131)),""),G131),"")</f>
        <v>California Twill</v>
      </c>
      <c r="Y131" s="60">
        <f t="shared" ref="Y131:Y194" si="18">IFERROR(VALUE(MID($C131,1,2)),0)</f>
        <v>6</v>
      </c>
      <c r="Z131" s="49">
        <f t="shared" ref="Z131:Z194" si="19">IFERROR(VALUE(MID($C131,4,3)),0)</f>
        <v>111</v>
      </c>
      <c r="AA131" s="60">
        <f t="shared" ref="AA131:AA194" si="20">VALUE(RIGHT("00"&amp;Y131,2)&amp;RIGHT("000"&amp;Z131,3))</f>
        <v>6111</v>
      </c>
    </row>
    <row r="132" spans="1:27">
      <c r="A132" s="83" t="str">
        <f t="shared" si="14"/>
        <v>45020A-CALIblk</v>
      </c>
      <c r="B132" s="83" t="str">
        <f t="shared" si="15"/>
        <v>06-112-09</v>
      </c>
      <c r="C132" s="106" t="s">
        <v>1289</v>
      </c>
      <c r="D132" s="106" t="s">
        <v>1290</v>
      </c>
      <c r="E132" s="106" t="s">
        <v>788</v>
      </c>
      <c r="F132" s="107">
        <v>0</v>
      </c>
      <c r="G132" s="106" t="s">
        <v>1291</v>
      </c>
      <c r="H132" s="106" t="s">
        <v>53</v>
      </c>
      <c r="I132" s="106" t="s">
        <v>786</v>
      </c>
      <c r="J132" s="106" t="s">
        <v>327</v>
      </c>
      <c r="K132" s="106" t="s">
        <v>382</v>
      </c>
      <c r="L132" s="106" t="s">
        <v>880</v>
      </c>
      <c r="M132" s="106" t="s">
        <v>388</v>
      </c>
      <c r="N132" s="106" t="s">
        <v>43</v>
      </c>
      <c r="O132" s="106" t="s">
        <v>386</v>
      </c>
      <c r="P132" s="106" t="s">
        <v>866</v>
      </c>
      <c r="Q132" s="106" t="s">
        <v>843</v>
      </c>
      <c r="R132" s="106" t="s">
        <v>53</v>
      </c>
      <c r="S132" s="83" t="str">
        <f t="shared" si="16"/>
        <v>45020A-CALI</v>
      </c>
      <c r="T132" s="83" t="str">
        <f t="shared" si="17"/>
        <v>California Conrad</v>
      </c>
      <c r="Y132" s="60">
        <f t="shared" si="18"/>
        <v>6</v>
      </c>
      <c r="Z132" s="49">
        <f t="shared" si="19"/>
        <v>112</v>
      </c>
      <c r="AA132" s="60">
        <f t="shared" si="20"/>
        <v>6112</v>
      </c>
    </row>
    <row r="133" spans="1:27">
      <c r="A133" s="83" t="str">
        <f t="shared" si="14"/>
        <v>45030A-NASAblk</v>
      </c>
      <c r="B133" s="83" t="str">
        <f t="shared" si="15"/>
        <v>06-113-09</v>
      </c>
      <c r="C133" s="106" t="s">
        <v>1292</v>
      </c>
      <c r="D133" s="106" t="s">
        <v>1293</v>
      </c>
      <c r="E133" s="106" t="s">
        <v>788</v>
      </c>
      <c r="F133" s="107">
        <v>0</v>
      </c>
      <c r="G133" s="106" t="s">
        <v>1294</v>
      </c>
      <c r="H133" s="106" t="s">
        <v>53</v>
      </c>
      <c r="I133" s="106" t="s">
        <v>786</v>
      </c>
      <c r="J133" s="106" t="s">
        <v>327</v>
      </c>
      <c r="K133" s="106" t="s">
        <v>382</v>
      </c>
      <c r="L133" s="106" t="s">
        <v>873</v>
      </c>
      <c r="M133" s="106" t="s">
        <v>388</v>
      </c>
      <c r="N133" s="106" t="s">
        <v>43</v>
      </c>
      <c r="O133" s="106" t="s">
        <v>386</v>
      </c>
      <c r="P133" s="106" t="s">
        <v>866</v>
      </c>
      <c r="Q133" s="106" t="s">
        <v>843</v>
      </c>
      <c r="R133" s="106" t="s">
        <v>53</v>
      </c>
      <c r="S133" s="83" t="str">
        <f t="shared" si="16"/>
        <v>45030A-NASA</v>
      </c>
      <c r="T133" s="83" t="str">
        <f t="shared" si="17"/>
        <v>Space with NASA General</v>
      </c>
      <c r="Y133" s="60">
        <f t="shared" si="18"/>
        <v>6</v>
      </c>
      <c r="Z133" s="49">
        <f t="shared" si="19"/>
        <v>113</v>
      </c>
      <c r="AA133" s="60">
        <f t="shared" si="20"/>
        <v>6113</v>
      </c>
    </row>
    <row r="134" spans="1:27">
      <c r="A134" s="83" t="str">
        <f t="shared" si="14"/>
        <v>45060A-CAblk</v>
      </c>
      <c r="B134" s="83" t="str">
        <f t="shared" si="15"/>
        <v>06-114-09</v>
      </c>
      <c r="C134" s="106" t="s">
        <v>1295</v>
      </c>
      <c r="D134" s="106" t="s">
        <v>1296</v>
      </c>
      <c r="E134" s="106" t="s">
        <v>788</v>
      </c>
      <c r="F134" s="107">
        <v>0</v>
      </c>
      <c r="G134" s="106" t="s">
        <v>1297</v>
      </c>
      <c r="H134" s="106" t="s">
        <v>53</v>
      </c>
      <c r="I134" s="106" t="s">
        <v>786</v>
      </c>
      <c r="J134" s="106" t="s">
        <v>327</v>
      </c>
      <c r="K134" s="106" t="s">
        <v>382</v>
      </c>
      <c r="L134" s="106" t="s">
        <v>865</v>
      </c>
      <c r="M134" s="106" t="s">
        <v>388</v>
      </c>
      <c r="N134" s="106" t="s">
        <v>43</v>
      </c>
      <c r="O134" s="106" t="s">
        <v>386</v>
      </c>
      <c r="P134" s="106" t="s">
        <v>866</v>
      </c>
      <c r="Q134" s="106" t="s">
        <v>843</v>
      </c>
      <c r="R134" s="106" t="s">
        <v>53</v>
      </c>
      <c r="S134" s="83" t="str">
        <f t="shared" si="16"/>
        <v>45060A-CA</v>
      </c>
      <c r="T134" s="83" t="str">
        <f t="shared" si="17"/>
        <v>California Surplus</v>
      </c>
      <c r="Y134" s="60">
        <f t="shared" si="18"/>
        <v>6</v>
      </c>
      <c r="Z134" s="49">
        <f t="shared" si="19"/>
        <v>114</v>
      </c>
      <c r="AA134" s="60">
        <f t="shared" si="20"/>
        <v>6114</v>
      </c>
    </row>
    <row r="135" spans="1:27">
      <c r="A135" s="83" t="str">
        <f t="shared" si="14"/>
        <v>45060A-NASAblk</v>
      </c>
      <c r="B135" s="83" t="str">
        <f t="shared" si="15"/>
        <v>06-115-09</v>
      </c>
      <c r="C135" s="106" t="s">
        <v>1298</v>
      </c>
      <c r="D135" s="106" t="s">
        <v>1299</v>
      </c>
      <c r="E135" s="106" t="s">
        <v>788</v>
      </c>
      <c r="F135" s="107">
        <v>0</v>
      </c>
      <c r="G135" s="106" t="s">
        <v>1300</v>
      </c>
      <c r="H135" s="106" t="s">
        <v>53</v>
      </c>
      <c r="I135" s="106" t="s">
        <v>786</v>
      </c>
      <c r="J135" s="106" t="s">
        <v>327</v>
      </c>
      <c r="K135" s="106" t="s">
        <v>382</v>
      </c>
      <c r="L135" s="106" t="s">
        <v>873</v>
      </c>
      <c r="M135" s="106" t="s">
        <v>388</v>
      </c>
      <c r="N135" s="106" t="s">
        <v>43</v>
      </c>
      <c r="O135" s="106" t="s">
        <v>386</v>
      </c>
      <c r="P135" s="106" t="s">
        <v>866</v>
      </c>
      <c r="Q135" s="106" t="s">
        <v>843</v>
      </c>
      <c r="R135" s="106" t="s">
        <v>53</v>
      </c>
      <c r="S135" s="83" t="str">
        <f t="shared" si="16"/>
        <v>45060A-NASA</v>
      </c>
      <c r="T135" s="83" t="str">
        <f t="shared" si="17"/>
        <v>Space with NASA Surplus</v>
      </c>
      <c r="Y135" s="60">
        <f t="shared" si="18"/>
        <v>6</v>
      </c>
      <c r="Z135" s="49">
        <f t="shared" si="19"/>
        <v>115</v>
      </c>
      <c r="AA135" s="60">
        <f t="shared" si="20"/>
        <v>6115</v>
      </c>
    </row>
    <row r="136" spans="1:27">
      <c r="A136" s="83" t="str">
        <f t="shared" si="14"/>
        <v>GM-1904Ablk</v>
      </c>
      <c r="B136" s="83" t="str">
        <f t="shared" si="15"/>
        <v>06-116-09</v>
      </c>
      <c r="C136" s="106" t="s">
        <v>1301</v>
      </c>
      <c r="D136" s="106" t="s">
        <v>1302</v>
      </c>
      <c r="E136" s="106" t="s">
        <v>788</v>
      </c>
      <c r="F136" s="107">
        <v>0</v>
      </c>
      <c r="G136" s="106" t="s">
        <v>1303</v>
      </c>
      <c r="H136" s="106" t="s">
        <v>53</v>
      </c>
      <c r="I136" s="106" t="s">
        <v>786</v>
      </c>
      <c r="J136" s="106" t="s">
        <v>327</v>
      </c>
      <c r="K136" s="106" t="s">
        <v>382</v>
      </c>
      <c r="L136" s="106" t="s">
        <v>1304</v>
      </c>
      <c r="M136" s="106" t="s">
        <v>388</v>
      </c>
      <c r="N136" s="106" t="s">
        <v>43</v>
      </c>
      <c r="O136" s="106" t="s">
        <v>541</v>
      </c>
      <c r="P136" s="106" t="s">
        <v>866</v>
      </c>
      <c r="Q136" s="106" t="s">
        <v>843</v>
      </c>
      <c r="R136" s="106" t="s">
        <v>53</v>
      </c>
      <c r="S136" s="83" t="str">
        <f t="shared" si="16"/>
        <v>GM-1904A</v>
      </c>
      <c r="T136" s="83" t="str">
        <f t="shared" si="17"/>
        <v>Firebird</v>
      </c>
      <c r="Y136" s="60">
        <f t="shared" si="18"/>
        <v>6</v>
      </c>
      <c r="Z136" s="49">
        <f t="shared" si="19"/>
        <v>116</v>
      </c>
      <c r="AA136" s="60">
        <f t="shared" si="20"/>
        <v>6116</v>
      </c>
    </row>
    <row r="137" spans="1:27">
      <c r="A137" s="83" t="str">
        <f t="shared" si="14"/>
        <v>GM-1908Ainvy</v>
      </c>
      <c r="B137" s="83" t="str">
        <f t="shared" si="15"/>
        <v>06-117-36</v>
      </c>
      <c r="C137" s="106" t="s">
        <v>1305</v>
      </c>
      <c r="D137" s="106" t="s">
        <v>1306</v>
      </c>
      <c r="E137" s="106" t="s">
        <v>788</v>
      </c>
      <c r="F137" s="107">
        <v>0</v>
      </c>
      <c r="G137" s="106" t="s">
        <v>1307</v>
      </c>
      <c r="H137" s="106" t="s">
        <v>685</v>
      </c>
      <c r="I137" s="106" t="s">
        <v>786</v>
      </c>
      <c r="J137" s="106" t="s">
        <v>327</v>
      </c>
      <c r="K137" s="106" t="s">
        <v>382</v>
      </c>
      <c r="L137" s="106" t="s">
        <v>1304</v>
      </c>
      <c r="M137" s="106" t="s">
        <v>388</v>
      </c>
      <c r="N137" s="106" t="s">
        <v>43</v>
      </c>
      <c r="O137" s="106" t="s">
        <v>541</v>
      </c>
      <c r="P137" s="106" t="s">
        <v>866</v>
      </c>
      <c r="Q137" s="106" t="s">
        <v>1308</v>
      </c>
      <c r="R137" s="106" t="s">
        <v>63</v>
      </c>
      <c r="S137" s="83" t="str">
        <f t="shared" si="16"/>
        <v>GM-1908A</v>
      </c>
      <c r="T137" s="83" t="str">
        <f t="shared" si="17"/>
        <v>Chevrolet</v>
      </c>
      <c r="Y137" s="60">
        <f t="shared" si="18"/>
        <v>6</v>
      </c>
      <c r="Z137" s="49">
        <f t="shared" si="19"/>
        <v>117</v>
      </c>
      <c r="AA137" s="60">
        <f t="shared" si="20"/>
        <v>6117</v>
      </c>
    </row>
    <row r="138" spans="1:27">
      <c r="A138" s="83" t="str">
        <f t="shared" si="14"/>
        <v>GM-1909Ablk</v>
      </c>
      <c r="B138" s="83" t="str">
        <f t="shared" si="15"/>
        <v>06-118-09</v>
      </c>
      <c r="C138" s="106" t="s">
        <v>1309</v>
      </c>
      <c r="D138" s="106" t="s">
        <v>1310</v>
      </c>
      <c r="E138" s="106" t="s">
        <v>788</v>
      </c>
      <c r="F138" s="107">
        <v>0</v>
      </c>
      <c r="G138" s="106" t="s">
        <v>1311</v>
      </c>
      <c r="H138" s="106" t="s">
        <v>53</v>
      </c>
      <c r="I138" s="106" t="s">
        <v>1027</v>
      </c>
      <c r="J138" s="106" t="s">
        <v>356</v>
      </c>
      <c r="K138" s="106" t="s">
        <v>382</v>
      </c>
      <c r="L138" s="106" t="s">
        <v>1304</v>
      </c>
      <c r="M138" s="106" t="s">
        <v>388</v>
      </c>
      <c r="N138" s="106" t="s">
        <v>43</v>
      </c>
      <c r="O138" s="106" t="s">
        <v>541</v>
      </c>
      <c r="P138" s="106" t="s">
        <v>866</v>
      </c>
      <c r="Q138" s="106" t="s">
        <v>843</v>
      </c>
      <c r="R138" s="106" t="s">
        <v>53</v>
      </c>
      <c r="S138" s="83" t="str">
        <f t="shared" si="16"/>
        <v>GM-1909A</v>
      </c>
      <c r="T138" s="83" t="str">
        <f t="shared" si="17"/>
        <v>Chevrolet</v>
      </c>
      <c r="Y138" s="60">
        <f t="shared" si="18"/>
        <v>6</v>
      </c>
      <c r="Z138" s="49">
        <f t="shared" si="19"/>
        <v>118</v>
      </c>
      <c r="AA138" s="60">
        <f t="shared" si="20"/>
        <v>6118</v>
      </c>
    </row>
    <row r="139" spans="1:27">
      <c r="A139" s="83" t="str">
        <f t="shared" si="14"/>
        <v>GM-1909Bblk</v>
      </c>
      <c r="B139" s="83" t="str">
        <f t="shared" si="15"/>
        <v>06-119-09</v>
      </c>
      <c r="C139" s="106" t="s">
        <v>1312</v>
      </c>
      <c r="D139" s="106" t="s">
        <v>1313</v>
      </c>
      <c r="E139" s="106" t="s">
        <v>788</v>
      </c>
      <c r="F139" s="107">
        <v>0</v>
      </c>
      <c r="G139" s="106" t="s">
        <v>1314</v>
      </c>
      <c r="H139" s="106" t="s">
        <v>53</v>
      </c>
      <c r="I139" s="106" t="s">
        <v>1027</v>
      </c>
      <c r="J139" s="106" t="s">
        <v>356</v>
      </c>
      <c r="K139" s="106" t="s">
        <v>382</v>
      </c>
      <c r="L139" s="106" t="s">
        <v>1304</v>
      </c>
      <c r="M139" s="106" t="s">
        <v>388</v>
      </c>
      <c r="N139" s="106" t="s">
        <v>43</v>
      </c>
      <c r="O139" s="106" t="s">
        <v>541</v>
      </c>
      <c r="P139" s="106" t="s">
        <v>866</v>
      </c>
      <c r="Q139" s="106" t="s">
        <v>843</v>
      </c>
      <c r="R139" s="106" t="s">
        <v>53</v>
      </c>
      <c r="S139" s="83" t="str">
        <f t="shared" si="16"/>
        <v>GM-1909B</v>
      </c>
      <c r="T139" s="83" t="str">
        <f t="shared" si="17"/>
        <v>Cadillac</v>
      </c>
      <c r="Y139" s="60">
        <f t="shared" si="18"/>
        <v>6</v>
      </c>
      <c r="Z139" s="49">
        <f t="shared" si="19"/>
        <v>119</v>
      </c>
      <c r="AA139" s="60">
        <f t="shared" si="20"/>
        <v>6119</v>
      </c>
    </row>
    <row r="140" spans="1:27">
      <c r="A140" s="83" t="str">
        <f t="shared" si="14"/>
        <v>GM-1910Airoy</v>
      </c>
      <c r="B140" s="83" t="str">
        <f t="shared" si="15"/>
        <v>06-120-19</v>
      </c>
      <c r="C140" s="106" t="s">
        <v>1315</v>
      </c>
      <c r="D140" s="106" t="s">
        <v>1316</v>
      </c>
      <c r="E140" s="106" t="s">
        <v>788</v>
      </c>
      <c r="F140" s="107">
        <v>0</v>
      </c>
      <c r="G140" s="106" t="s">
        <v>1317</v>
      </c>
      <c r="H140" s="106" t="s">
        <v>91</v>
      </c>
      <c r="I140" s="106" t="s">
        <v>1027</v>
      </c>
      <c r="J140" s="106" t="s">
        <v>356</v>
      </c>
      <c r="K140" s="106" t="s">
        <v>382</v>
      </c>
      <c r="L140" s="106" t="s">
        <v>1304</v>
      </c>
      <c r="M140" s="106" t="s">
        <v>388</v>
      </c>
      <c r="N140" s="106" t="s">
        <v>1318</v>
      </c>
      <c r="O140" s="106" t="s">
        <v>541</v>
      </c>
      <c r="P140" s="106" t="s">
        <v>866</v>
      </c>
      <c r="Q140" s="106" t="s">
        <v>1319</v>
      </c>
      <c r="R140" s="106" t="s">
        <v>91</v>
      </c>
      <c r="S140" s="83" t="str">
        <f t="shared" si="16"/>
        <v>GM-1910A</v>
      </c>
      <c r="T140" s="83" t="str">
        <f t="shared" si="17"/>
        <v>Chevrolet</v>
      </c>
      <c r="Y140" s="60">
        <f t="shared" si="18"/>
        <v>6</v>
      </c>
      <c r="Z140" s="49">
        <f t="shared" si="19"/>
        <v>120</v>
      </c>
      <c r="AA140" s="60">
        <f t="shared" si="20"/>
        <v>6120</v>
      </c>
    </row>
    <row r="141" spans="1:27">
      <c r="A141" s="83" t="str">
        <f t="shared" si="14"/>
        <v>GM-2002Ainvy</v>
      </c>
      <c r="B141" s="83" t="str">
        <f t="shared" si="15"/>
        <v>06-121-16</v>
      </c>
      <c r="C141" s="106" t="s">
        <v>1320</v>
      </c>
      <c r="D141" s="106" t="s">
        <v>1321</v>
      </c>
      <c r="E141" s="106" t="s">
        <v>788</v>
      </c>
      <c r="F141" s="107">
        <v>0</v>
      </c>
      <c r="G141" s="106" t="s">
        <v>1322</v>
      </c>
      <c r="H141" s="106" t="s">
        <v>55</v>
      </c>
      <c r="I141" s="106" t="s">
        <v>1027</v>
      </c>
      <c r="J141" s="106" t="s">
        <v>356</v>
      </c>
      <c r="K141" s="106" t="s">
        <v>382</v>
      </c>
      <c r="L141" s="106" t="s">
        <v>1304</v>
      </c>
      <c r="M141" s="106" t="s">
        <v>388</v>
      </c>
      <c r="N141" s="106" t="s">
        <v>43</v>
      </c>
      <c r="O141" s="106" t="s">
        <v>386</v>
      </c>
      <c r="P141" s="106" t="s">
        <v>866</v>
      </c>
      <c r="Q141" s="106" t="s">
        <v>1308</v>
      </c>
      <c r="R141" s="106" t="s">
        <v>71</v>
      </c>
      <c r="S141" s="83" t="str">
        <f t="shared" si="16"/>
        <v>GM-2002A</v>
      </c>
      <c r="T141" s="83" t="str">
        <f t="shared" si="17"/>
        <v>Chevrolet</v>
      </c>
      <c r="Y141" s="60">
        <f t="shared" si="18"/>
        <v>6</v>
      </c>
      <c r="Z141" s="49">
        <f t="shared" si="19"/>
        <v>121</v>
      </c>
      <c r="AA141" s="60">
        <f t="shared" si="20"/>
        <v>6121</v>
      </c>
    </row>
    <row r="142" spans="1:27">
      <c r="A142" s="83" t="str">
        <f t="shared" si="14"/>
        <v>GMC-2001Ablk</v>
      </c>
      <c r="B142" s="83" t="str">
        <f t="shared" si="15"/>
        <v>06-122-09</v>
      </c>
      <c r="C142" s="106" t="s">
        <v>1323</v>
      </c>
      <c r="D142" s="106" t="s">
        <v>1324</v>
      </c>
      <c r="E142" s="106" t="s">
        <v>788</v>
      </c>
      <c r="F142" s="107">
        <v>0</v>
      </c>
      <c r="G142" s="106" t="s">
        <v>1325</v>
      </c>
      <c r="H142" s="106" t="s">
        <v>53</v>
      </c>
      <c r="I142" s="106" t="s">
        <v>1027</v>
      </c>
      <c r="J142" s="106" t="s">
        <v>356</v>
      </c>
      <c r="K142" s="106" t="s">
        <v>382</v>
      </c>
      <c r="L142" s="106" t="s">
        <v>1304</v>
      </c>
      <c r="M142" s="106" t="s">
        <v>388</v>
      </c>
      <c r="N142" s="106" t="s">
        <v>43</v>
      </c>
      <c r="O142" s="106" t="s">
        <v>386</v>
      </c>
      <c r="P142" s="106" t="s">
        <v>866</v>
      </c>
      <c r="Q142" s="106" t="s">
        <v>843</v>
      </c>
      <c r="R142" s="106" t="s">
        <v>53</v>
      </c>
      <c r="S142" s="83" t="str">
        <f t="shared" si="16"/>
        <v>GMC-2001A</v>
      </c>
      <c r="T142" s="83" t="str">
        <f t="shared" si="17"/>
        <v>Cadillac</v>
      </c>
      <c r="Y142" s="60">
        <f t="shared" si="18"/>
        <v>6</v>
      </c>
      <c r="Z142" s="49">
        <f t="shared" si="19"/>
        <v>122</v>
      </c>
      <c r="AA142" s="60">
        <f t="shared" si="20"/>
        <v>6122</v>
      </c>
    </row>
    <row r="143" spans="1:27">
      <c r="A143" s="83" t="str">
        <f t="shared" si="14"/>
        <v>GMC-2001Bnavy</v>
      </c>
      <c r="B143" s="83" t="str">
        <f t="shared" si="15"/>
        <v>06-123-16</v>
      </c>
      <c r="C143" s="106" t="s">
        <v>1326</v>
      </c>
      <c r="D143" s="106" t="s">
        <v>1327</v>
      </c>
      <c r="E143" s="106" t="s">
        <v>788</v>
      </c>
      <c r="F143" s="107">
        <v>0</v>
      </c>
      <c r="G143" s="106" t="s">
        <v>1328</v>
      </c>
      <c r="H143" s="106" t="s">
        <v>55</v>
      </c>
      <c r="I143" s="106" t="s">
        <v>1027</v>
      </c>
      <c r="J143" s="106" t="s">
        <v>356</v>
      </c>
      <c r="K143" s="106" t="s">
        <v>382</v>
      </c>
      <c r="L143" s="106" t="s">
        <v>1304</v>
      </c>
      <c r="M143" s="106" t="s">
        <v>388</v>
      </c>
      <c r="N143" s="106" t="s">
        <v>43</v>
      </c>
      <c r="O143" s="106" t="s">
        <v>386</v>
      </c>
      <c r="P143" s="106" t="s">
        <v>866</v>
      </c>
      <c r="Q143" s="106" t="s">
        <v>818</v>
      </c>
      <c r="R143" s="106" t="s">
        <v>71</v>
      </c>
      <c r="S143" s="83" t="str">
        <f t="shared" si="16"/>
        <v>GMC-2001B</v>
      </c>
      <c r="T143" s="83" t="str">
        <f t="shared" si="17"/>
        <v>Chevrolet</v>
      </c>
      <c r="Y143" s="60">
        <f t="shared" si="18"/>
        <v>6</v>
      </c>
      <c r="Z143" s="49">
        <f t="shared" si="19"/>
        <v>123</v>
      </c>
      <c r="AA143" s="60">
        <f t="shared" si="20"/>
        <v>6123</v>
      </c>
    </row>
    <row r="144" spans="1:27">
      <c r="A144" s="83" t="str">
        <f t="shared" si="14"/>
        <v>SMU277A-NASAblk</v>
      </c>
      <c r="B144" s="83" t="str">
        <f t="shared" si="15"/>
        <v>06-124-09</v>
      </c>
      <c r="C144" s="106" t="s">
        <v>1329</v>
      </c>
      <c r="D144" s="106" t="s">
        <v>1330</v>
      </c>
      <c r="E144" s="106" t="s">
        <v>788</v>
      </c>
      <c r="F144" s="107">
        <v>0</v>
      </c>
      <c r="G144" s="106" t="s">
        <v>1331</v>
      </c>
      <c r="H144" s="106" t="s">
        <v>53</v>
      </c>
      <c r="I144" s="106" t="s">
        <v>1027</v>
      </c>
      <c r="J144" s="106" t="s">
        <v>356</v>
      </c>
      <c r="K144" s="106" t="s">
        <v>382</v>
      </c>
      <c r="L144" s="106" t="s">
        <v>1090</v>
      </c>
      <c r="M144" s="106" t="s">
        <v>388</v>
      </c>
      <c r="N144" s="106" t="s">
        <v>43</v>
      </c>
      <c r="O144" s="106" t="s">
        <v>541</v>
      </c>
      <c r="P144" s="106" t="s">
        <v>866</v>
      </c>
      <c r="Q144" s="106" t="s">
        <v>843</v>
      </c>
      <c r="R144" s="106" t="s">
        <v>53</v>
      </c>
      <c r="S144" s="83" t="str">
        <f t="shared" si="16"/>
        <v>SMU277A-NASA</v>
      </c>
      <c r="T144" s="83" t="str">
        <f t="shared" si="17"/>
        <v>Space with NASA</v>
      </c>
      <c r="Y144" s="60">
        <f t="shared" si="18"/>
        <v>6</v>
      </c>
      <c r="Z144" s="49">
        <f t="shared" si="19"/>
        <v>124</v>
      </c>
      <c r="AA144" s="60">
        <f t="shared" si="20"/>
        <v>6124</v>
      </c>
    </row>
    <row r="145" spans="1:27">
      <c r="A145" s="83" t="str">
        <f t="shared" si="14"/>
        <v>SMU277A-YNPdgrn</v>
      </c>
      <c r="B145" s="83" t="str">
        <f t="shared" si="15"/>
        <v>06-125-06</v>
      </c>
      <c r="C145" s="106" t="s">
        <v>1332</v>
      </c>
      <c r="D145" s="106" t="s">
        <v>1333</v>
      </c>
      <c r="E145" s="106" t="s">
        <v>788</v>
      </c>
      <c r="F145" s="107">
        <v>0</v>
      </c>
      <c r="G145" s="106" t="s">
        <v>1334</v>
      </c>
      <c r="H145" s="106" t="s">
        <v>60</v>
      </c>
      <c r="I145" s="106" t="s">
        <v>1027</v>
      </c>
      <c r="J145" s="106" t="s">
        <v>356</v>
      </c>
      <c r="K145" s="106" t="s">
        <v>382</v>
      </c>
      <c r="L145" s="106" t="s">
        <v>865</v>
      </c>
      <c r="M145" s="106" t="s">
        <v>388</v>
      </c>
      <c r="N145" s="106" t="s">
        <v>43</v>
      </c>
      <c r="O145" s="106" t="s">
        <v>541</v>
      </c>
      <c r="P145" s="106" t="s">
        <v>866</v>
      </c>
      <c r="Q145" s="106" t="s">
        <v>1199</v>
      </c>
      <c r="R145" s="106" t="s">
        <v>60</v>
      </c>
      <c r="S145" s="83" t="str">
        <f t="shared" si="16"/>
        <v>SMU277A-YNP</v>
      </c>
      <c r="T145" s="83" t="str">
        <f t="shared" si="17"/>
        <v>Yellowstone</v>
      </c>
      <c r="Y145" s="60">
        <f t="shared" si="18"/>
        <v>6</v>
      </c>
      <c r="Z145" s="49">
        <f t="shared" si="19"/>
        <v>125</v>
      </c>
      <c r="AA145" s="60">
        <f t="shared" si="20"/>
        <v>6125</v>
      </c>
    </row>
    <row r="146" spans="1:27">
      <c r="A146" s="83" t="str">
        <f t="shared" si="14"/>
        <v>SMU302A-PALMSstn</v>
      </c>
      <c r="B146" s="83" t="str">
        <f t="shared" si="15"/>
        <v>06-126-02</v>
      </c>
      <c r="C146" s="106" t="s">
        <v>1335</v>
      </c>
      <c r="D146" s="106" t="s">
        <v>1336</v>
      </c>
      <c r="E146" s="106" t="s">
        <v>788</v>
      </c>
      <c r="F146" s="107">
        <v>0</v>
      </c>
      <c r="G146" s="106" t="s">
        <v>1337</v>
      </c>
      <c r="H146" s="106" t="s">
        <v>63</v>
      </c>
      <c r="I146" s="106" t="s">
        <v>786</v>
      </c>
      <c r="J146" s="106" t="s">
        <v>327</v>
      </c>
      <c r="K146" s="106" t="s">
        <v>382</v>
      </c>
      <c r="L146" s="106" t="s">
        <v>865</v>
      </c>
      <c r="M146" s="106" t="s">
        <v>388</v>
      </c>
      <c r="N146" s="106" t="s">
        <v>43</v>
      </c>
      <c r="O146" s="106" t="s">
        <v>541</v>
      </c>
      <c r="P146" s="106" t="s">
        <v>866</v>
      </c>
      <c r="Q146" s="106" t="s">
        <v>1338</v>
      </c>
      <c r="R146" s="106" t="s">
        <v>63</v>
      </c>
      <c r="S146" s="83" t="str">
        <f t="shared" si="16"/>
        <v>SMU302A-PALMS</v>
      </c>
      <c r="T146" s="83" t="str">
        <f t="shared" si="17"/>
        <v>Palm Springs</v>
      </c>
      <c r="Y146" s="60">
        <f t="shared" si="18"/>
        <v>6</v>
      </c>
      <c r="Z146" s="49">
        <f t="shared" si="19"/>
        <v>126</v>
      </c>
      <c r="AA146" s="60">
        <f t="shared" si="20"/>
        <v>6126</v>
      </c>
    </row>
    <row r="147" spans="1:27">
      <c r="A147" s="83" t="str">
        <f t="shared" si="14"/>
        <v>SMU302D-GMblk</v>
      </c>
      <c r="B147" s="83" t="str">
        <f t="shared" si="15"/>
        <v>06-127-09</v>
      </c>
      <c r="C147" s="106" t="s">
        <v>1339</v>
      </c>
      <c r="D147" s="106" t="s">
        <v>1340</v>
      </c>
      <c r="E147" s="106" t="s">
        <v>788</v>
      </c>
      <c r="F147" s="107">
        <v>0</v>
      </c>
      <c r="G147" s="106" t="s">
        <v>1341</v>
      </c>
      <c r="H147" s="106" t="s">
        <v>53</v>
      </c>
      <c r="I147" s="106" t="s">
        <v>786</v>
      </c>
      <c r="J147" s="106" t="s">
        <v>327</v>
      </c>
      <c r="K147" s="106" t="s">
        <v>382</v>
      </c>
      <c r="L147" s="106" t="s">
        <v>1304</v>
      </c>
      <c r="M147" s="106" t="s">
        <v>388</v>
      </c>
      <c r="N147" s="106" t="s">
        <v>43</v>
      </c>
      <c r="O147" s="106" t="s">
        <v>541</v>
      </c>
      <c r="P147" s="106" t="s">
        <v>866</v>
      </c>
      <c r="Q147" s="106" t="s">
        <v>843</v>
      </c>
      <c r="R147" s="106" t="s">
        <v>53</v>
      </c>
      <c r="S147" s="83" t="str">
        <f t="shared" si="16"/>
        <v>SMU302D-GM</v>
      </c>
      <c r="T147" s="83" t="str">
        <f t="shared" si="17"/>
        <v>Cadillac</v>
      </c>
      <c r="Y147" s="60">
        <f t="shared" si="18"/>
        <v>6</v>
      </c>
      <c r="Z147" s="49">
        <f t="shared" si="19"/>
        <v>127</v>
      </c>
      <c r="AA147" s="60">
        <f t="shared" si="20"/>
        <v>6127</v>
      </c>
    </row>
    <row r="148" spans="1:27">
      <c r="A148" s="83" t="str">
        <f t="shared" si="14"/>
        <v>SMU500A-TAHOEgsbn</v>
      </c>
      <c r="B148" s="83" t="str">
        <f t="shared" si="15"/>
        <v>06-128-06</v>
      </c>
      <c r="C148" s="106" t="s">
        <v>1342</v>
      </c>
      <c r="D148" s="106" t="s">
        <v>1343</v>
      </c>
      <c r="E148" s="106" t="s">
        <v>788</v>
      </c>
      <c r="F148" s="107">
        <v>0</v>
      </c>
      <c r="G148" s="106" t="s">
        <v>1344</v>
      </c>
      <c r="H148" s="106" t="s">
        <v>71</v>
      </c>
      <c r="I148" s="106" t="s">
        <v>1027</v>
      </c>
      <c r="J148" s="106" t="s">
        <v>356</v>
      </c>
      <c r="K148" s="106" t="s">
        <v>382</v>
      </c>
      <c r="L148" s="106" t="s">
        <v>865</v>
      </c>
      <c r="M148" s="106" t="s">
        <v>388</v>
      </c>
      <c r="N148" s="106" t="s">
        <v>43</v>
      </c>
      <c r="O148" s="106" t="s">
        <v>386</v>
      </c>
      <c r="P148" s="106" t="s">
        <v>866</v>
      </c>
      <c r="Q148" s="106" t="s">
        <v>1345</v>
      </c>
      <c r="R148" s="106" t="s">
        <v>71</v>
      </c>
      <c r="S148" s="83" t="str">
        <f t="shared" si="16"/>
        <v>SMU500A-TAHOE</v>
      </c>
      <c r="T148" s="83" t="str">
        <f t="shared" si="17"/>
        <v>Lake Tahoe</v>
      </c>
      <c r="Y148" s="60">
        <f t="shared" si="18"/>
        <v>6</v>
      </c>
      <c r="Z148" s="49">
        <f t="shared" si="19"/>
        <v>128</v>
      </c>
      <c r="AA148" s="60">
        <f t="shared" si="20"/>
        <v>6128</v>
      </c>
    </row>
    <row r="149" spans="1:27">
      <c r="A149" s="83" t="str">
        <f t="shared" si="14"/>
        <v>SMU562-VTdgrn</v>
      </c>
      <c r="B149" s="83" t="str">
        <f t="shared" si="15"/>
        <v>06-129-03</v>
      </c>
      <c r="C149" s="106" t="s">
        <v>1346</v>
      </c>
      <c r="D149" s="106" t="s">
        <v>1347</v>
      </c>
      <c r="E149" s="106" t="s">
        <v>788</v>
      </c>
      <c r="F149" s="107">
        <v>0</v>
      </c>
      <c r="G149" s="106" t="s">
        <v>1348</v>
      </c>
      <c r="H149" s="106" t="s">
        <v>195</v>
      </c>
      <c r="I149" s="106" t="s">
        <v>786</v>
      </c>
      <c r="J149" s="106" t="s">
        <v>327</v>
      </c>
      <c r="K149" s="106" t="s">
        <v>382</v>
      </c>
      <c r="L149" s="106" t="s">
        <v>880</v>
      </c>
      <c r="M149" s="106" t="s">
        <v>388</v>
      </c>
      <c r="N149" s="106" t="s">
        <v>43</v>
      </c>
      <c r="O149" s="106" t="s">
        <v>386</v>
      </c>
      <c r="P149" s="106" t="s">
        <v>866</v>
      </c>
      <c r="Q149" s="106" t="s">
        <v>1199</v>
      </c>
      <c r="R149" s="106" t="s">
        <v>195</v>
      </c>
      <c r="S149" s="83" t="str">
        <f t="shared" si="16"/>
        <v>SMU562-VT</v>
      </c>
      <c r="T149" s="83" t="str">
        <f t="shared" si="17"/>
        <v>Vermont Iconic</v>
      </c>
      <c r="Y149" s="60">
        <f t="shared" si="18"/>
        <v>6</v>
      </c>
      <c r="Z149" s="49">
        <f t="shared" si="19"/>
        <v>129</v>
      </c>
      <c r="AA149" s="60">
        <f t="shared" si="20"/>
        <v>6129</v>
      </c>
    </row>
    <row r="150" spans="1:27">
      <c r="A150" s="83" t="str">
        <f t="shared" si="14"/>
        <v>SMU598A-VTicgc</v>
      </c>
      <c r="B150" s="83" t="str">
        <f t="shared" si="15"/>
        <v>06-130-03</v>
      </c>
      <c r="C150" s="106" t="s">
        <v>1349</v>
      </c>
      <c r="D150" s="106" t="s">
        <v>1350</v>
      </c>
      <c r="E150" s="106" t="s">
        <v>788</v>
      </c>
      <c r="F150" s="107">
        <v>0</v>
      </c>
      <c r="G150" s="106" t="s">
        <v>1351</v>
      </c>
      <c r="H150" s="106" t="s">
        <v>195</v>
      </c>
      <c r="I150" s="106" t="s">
        <v>1027</v>
      </c>
      <c r="J150" s="106" t="s">
        <v>356</v>
      </c>
      <c r="K150" s="106" t="s">
        <v>382</v>
      </c>
      <c r="L150" s="106" t="s">
        <v>865</v>
      </c>
      <c r="M150" s="106" t="s">
        <v>388</v>
      </c>
      <c r="N150" s="106" t="s">
        <v>43</v>
      </c>
      <c r="O150" s="106" t="s">
        <v>386</v>
      </c>
      <c r="P150" s="106" t="s">
        <v>866</v>
      </c>
      <c r="Q150" s="106" t="s">
        <v>1352</v>
      </c>
      <c r="R150" s="106" t="s">
        <v>195</v>
      </c>
      <c r="S150" s="83" t="str">
        <f t="shared" si="16"/>
        <v>SMU598A-VT</v>
      </c>
      <c r="T150" s="83" t="str">
        <f t="shared" si="17"/>
        <v>Vermont</v>
      </c>
      <c r="Y150" s="60">
        <f t="shared" si="18"/>
        <v>6</v>
      </c>
      <c r="Z150" s="49">
        <f t="shared" si="19"/>
        <v>130</v>
      </c>
      <c r="AA150" s="60">
        <f t="shared" si="20"/>
        <v>6130</v>
      </c>
    </row>
    <row r="151" spans="1:27">
      <c r="A151" s="83" t="str">
        <f t="shared" si="14"/>
        <v>42760A-CALIMineral</v>
      </c>
      <c r="B151" s="83" t="str">
        <f t="shared" si="15"/>
        <v>06-052-01</v>
      </c>
      <c r="C151" s="106" t="s">
        <v>1353</v>
      </c>
      <c r="D151" s="106" t="s">
        <v>1354</v>
      </c>
      <c r="E151" s="106" t="s">
        <v>788</v>
      </c>
      <c r="F151" s="107">
        <v>0</v>
      </c>
      <c r="G151" s="106" t="s">
        <v>1051</v>
      </c>
      <c r="H151" s="106" t="s">
        <v>120</v>
      </c>
      <c r="I151" s="106" t="s">
        <v>786</v>
      </c>
      <c r="J151" s="106" t="s">
        <v>327</v>
      </c>
      <c r="K151" s="106" t="s">
        <v>382</v>
      </c>
      <c r="L151" s="106" t="s">
        <v>880</v>
      </c>
      <c r="M151" s="106" t="s">
        <v>388</v>
      </c>
      <c r="N151" s="106" t="s">
        <v>43</v>
      </c>
      <c r="O151" s="106" t="s">
        <v>541</v>
      </c>
      <c r="P151" s="106" t="s">
        <v>866</v>
      </c>
      <c r="Q151" s="106" t="s">
        <v>847</v>
      </c>
      <c r="R151" s="106" t="s">
        <v>71</v>
      </c>
      <c r="S151" s="83" t="str">
        <f t="shared" si="16"/>
        <v>42760A-CALI</v>
      </c>
      <c r="T151" s="83" t="str">
        <f t="shared" si="17"/>
        <v>California</v>
      </c>
      <c r="Y151" s="60">
        <f t="shared" si="18"/>
        <v>6</v>
      </c>
      <c r="Z151" s="49">
        <f t="shared" si="19"/>
        <v>52</v>
      </c>
      <c r="AA151" s="60">
        <f t="shared" si="20"/>
        <v>6052</v>
      </c>
    </row>
    <row r="152" spans="1:27">
      <c r="A152" s="83" t="str">
        <f t="shared" si="14"/>
        <v>20001A-AUSTINMOmoss</v>
      </c>
      <c r="B152" s="83" t="str">
        <f t="shared" si="15"/>
        <v>06-131-03</v>
      </c>
      <c r="C152" s="106" t="s">
        <v>1355</v>
      </c>
      <c r="D152" s="106" t="s">
        <v>1356</v>
      </c>
      <c r="E152" s="106" t="s">
        <v>788</v>
      </c>
      <c r="F152" s="107">
        <v>0</v>
      </c>
      <c r="G152" s="106" t="s">
        <v>1357</v>
      </c>
      <c r="H152" s="106" t="s">
        <v>195</v>
      </c>
      <c r="I152" s="106" t="s">
        <v>786</v>
      </c>
      <c r="J152" s="106" t="s">
        <v>327</v>
      </c>
      <c r="K152" s="106" t="s">
        <v>382</v>
      </c>
      <c r="L152" s="106" t="s">
        <v>1358</v>
      </c>
      <c r="M152" s="106" t="s">
        <v>388</v>
      </c>
      <c r="N152" s="106" t="s">
        <v>43</v>
      </c>
      <c r="O152" s="106" t="s">
        <v>541</v>
      </c>
      <c r="P152" s="106" t="s">
        <v>866</v>
      </c>
      <c r="Q152" s="106" t="s">
        <v>844</v>
      </c>
      <c r="R152" s="106" t="s">
        <v>195</v>
      </c>
      <c r="S152" s="83" t="str">
        <f t="shared" si="16"/>
        <v>20001A-AUSTINMO</v>
      </c>
      <c r="T152" s="83" t="str">
        <f t="shared" si="17"/>
        <v>Austin Motor Company</v>
      </c>
      <c r="Y152" s="60">
        <f t="shared" si="18"/>
        <v>6</v>
      </c>
      <c r="Z152" s="49">
        <f t="shared" si="19"/>
        <v>131</v>
      </c>
      <c r="AA152" s="60">
        <f t="shared" si="20"/>
        <v>6131</v>
      </c>
    </row>
    <row r="153" spans="1:27">
      <c r="A153" s="83" t="str">
        <f t="shared" si="14"/>
        <v>20001A-IRONSIDEblack</v>
      </c>
      <c r="B153" s="83" t="str">
        <f t="shared" si="15"/>
        <v>06-132-09</v>
      </c>
      <c r="C153" s="106" t="s">
        <v>1359</v>
      </c>
      <c r="D153" s="106" t="s">
        <v>1360</v>
      </c>
      <c r="E153" s="106" t="s">
        <v>788</v>
      </c>
      <c r="F153" s="107">
        <v>0</v>
      </c>
      <c r="G153" s="106" t="s">
        <v>1361</v>
      </c>
      <c r="H153" s="106" t="s">
        <v>53</v>
      </c>
      <c r="I153" s="106" t="s">
        <v>786</v>
      </c>
      <c r="J153" s="106" t="s">
        <v>327</v>
      </c>
      <c r="K153" s="106" t="s">
        <v>382</v>
      </c>
      <c r="L153" s="106" t="s">
        <v>1358</v>
      </c>
      <c r="M153" s="106" t="s">
        <v>388</v>
      </c>
      <c r="N153" s="106" t="s">
        <v>43</v>
      </c>
      <c r="O153" s="106" t="s">
        <v>541</v>
      </c>
      <c r="P153" s="106" t="s">
        <v>866</v>
      </c>
      <c r="Q153" s="106" t="s">
        <v>819</v>
      </c>
      <c r="R153" s="106" t="s">
        <v>53</v>
      </c>
      <c r="S153" s="83" t="str">
        <f t="shared" si="16"/>
        <v>20001A-IRONSIDE</v>
      </c>
      <c r="T153" s="83" t="str">
        <f t="shared" si="17"/>
        <v>Ironside Motorcycle</v>
      </c>
      <c r="Y153" s="60">
        <f t="shared" si="18"/>
        <v>6</v>
      </c>
      <c r="Z153" s="49">
        <f t="shared" si="19"/>
        <v>132</v>
      </c>
      <c r="AA153" s="60">
        <f t="shared" si="20"/>
        <v>6132</v>
      </c>
    </row>
    <row r="154" spans="1:27">
      <c r="A154" s="83" t="str">
        <f t="shared" si="14"/>
        <v>20001A-LAMOTORnavy</v>
      </c>
      <c r="B154" s="83" t="str">
        <f t="shared" si="15"/>
        <v>06-133-16</v>
      </c>
      <c r="C154" s="106" t="s">
        <v>1362</v>
      </c>
      <c r="D154" s="106" t="s">
        <v>1363</v>
      </c>
      <c r="E154" s="106" t="s">
        <v>788</v>
      </c>
      <c r="F154" s="107">
        <v>0</v>
      </c>
      <c r="G154" s="106" t="s">
        <v>1364</v>
      </c>
      <c r="H154" s="106" t="s">
        <v>55</v>
      </c>
      <c r="I154" s="106" t="s">
        <v>786</v>
      </c>
      <c r="J154" s="106" t="s">
        <v>327</v>
      </c>
      <c r="K154" s="106" t="s">
        <v>382</v>
      </c>
      <c r="L154" s="106" t="s">
        <v>1358</v>
      </c>
      <c r="M154" s="106" t="s">
        <v>388</v>
      </c>
      <c r="N154" s="106" t="s">
        <v>43</v>
      </c>
      <c r="O154" s="106" t="s">
        <v>541</v>
      </c>
      <c r="P154" s="106" t="s">
        <v>866</v>
      </c>
      <c r="Q154" s="106" t="s">
        <v>818</v>
      </c>
      <c r="R154" s="106" t="s">
        <v>71</v>
      </c>
      <c r="S154" s="83" t="str">
        <f t="shared" si="16"/>
        <v>20001A-LAMOTOR</v>
      </c>
      <c r="T154" s="83" t="str">
        <f t="shared" si="17"/>
        <v>Los Angeles Motordrome</v>
      </c>
      <c r="Y154" s="60">
        <f t="shared" si="18"/>
        <v>6</v>
      </c>
      <c r="Z154" s="49">
        <f t="shared" si="19"/>
        <v>133</v>
      </c>
      <c r="AA154" s="60">
        <f t="shared" si="20"/>
        <v>6133</v>
      </c>
    </row>
    <row r="155" spans="1:27">
      <c r="A155" s="83" t="str">
        <f t="shared" si="14"/>
        <v>20001A-NWILKEScrimson</v>
      </c>
      <c r="B155" s="83" t="str">
        <f t="shared" si="15"/>
        <v>06-134-18</v>
      </c>
      <c r="C155" s="106" t="s">
        <v>1365</v>
      </c>
      <c r="D155" s="106" t="s">
        <v>1366</v>
      </c>
      <c r="E155" s="106" t="s">
        <v>788</v>
      </c>
      <c r="F155" s="107">
        <v>0</v>
      </c>
      <c r="G155" s="106" t="s">
        <v>1367</v>
      </c>
      <c r="H155" s="106" t="s">
        <v>78</v>
      </c>
      <c r="I155" s="106" t="s">
        <v>786</v>
      </c>
      <c r="J155" s="106" t="s">
        <v>327</v>
      </c>
      <c r="K155" s="106" t="s">
        <v>382</v>
      </c>
      <c r="L155" s="106" t="s">
        <v>1358</v>
      </c>
      <c r="M155" s="106" t="s">
        <v>388</v>
      </c>
      <c r="N155" s="106" t="s">
        <v>43</v>
      </c>
      <c r="O155" s="106" t="s">
        <v>541</v>
      </c>
      <c r="P155" s="106" t="s">
        <v>866</v>
      </c>
      <c r="Q155" s="106" t="s">
        <v>1368</v>
      </c>
      <c r="R155" s="106" t="s">
        <v>78</v>
      </c>
      <c r="S155" s="83" t="str">
        <f t="shared" si="16"/>
        <v>20001A-NWILKES</v>
      </c>
      <c r="T155" s="83" t="str">
        <f t="shared" si="17"/>
        <v>North Wilkesboro Speedway</v>
      </c>
      <c r="Y155" s="60">
        <f t="shared" si="18"/>
        <v>6</v>
      </c>
      <c r="Z155" s="49">
        <f t="shared" si="19"/>
        <v>134</v>
      </c>
      <c r="AA155" s="60">
        <f t="shared" si="20"/>
        <v>6134</v>
      </c>
    </row>
    <row r="156" spans="1:27">
      <c r="A156" s="83" t="str">
        <f t="shared" si="14"/>
        <v>20001A-SAUGUSseafoam</v>
      </c>
      <c r="B156" s="83" t="str">
        <f t="shared" si="15"/>
        <v>06-135-19</v>
      </c>
      <c r="C156" s="106" t="s">
        <v>1369</v>
      </c>
      <c r="D156" s="106" t="s">
        <v>1370</v>
      </c>
      <c r="E156" s="106" t="s">
        <v>788</v>
      </c>
      <c r="F156" s="107">
        <v>0</v>
      </c>
      <c r="G156" s="106" t="s">
        <v>1371</v>
      </c>
      <c r="H156" s="106" t="s">
        <v>91</v>
      </c>
      <c r="I156" s="106" t="s">
        <v>786</v>
      </c>
      <c r="J156" s="106" t="s">
        <v>327</v>
      </c>
      <c r="K156" s="106" t="s">
        <v>382</v>
      </c>
      <c r="L156" s="106" t="s">
        <v>1358</v>
      </c>
      <c r="M156" s="106" t="s">
        <v>388</v>
      </c>
      <c r="N156" s="106" t="s">
        <v>43</v>
      </c>
      <c r="O156" s="106" t="s">
        <v>541</v>
      </c>
      <c r="P156" s="106" t="s">
        <v>866</v>
      </c>
      <c r="Q156" s="106" t="s">
        <v>1372</v>
      </c>
      <c r="R156" s="106" t="s">
        <v>91</v>
      </c>
      <c r="S156" s="83" t="str">
        <f t="shared" si="16"/>
        <v>20001A-SAUGUS</v>
      </c>
      <c r="T156" s="83" t="str">
        <f t="shared" si="17"/>
        <v>Saugus Speedway</v>
      </c>
      <c r="Y156" s="60">
        <f t="shared" si="18"/>
        <v>6</v>
      </c>
      <c r="Z156" s="49">
        <f t="shared" si="19"/>
        <v>135</v>
      </c>
      <c r="AA156" s="60">
        <f t="shared" si="20"/>
        <v>6135</v>
      </c>
    </row>
    <row r="157" spans="1:27">
      <c r="A157" s="83" t="str">
        <f t="shared" si="14"/>
        <v>20001A-SUPERTblue</v>
      </c>
      <c r="B157" s="83" t="str">
        <f t="shared" si="15"/>
        <v>06-136-06</v>
      </c>
      <c r="C157" s="106" t="s">
        <v>1373</v>
      </c>
      <c r="D157" s="106" t="s">
        <v>1374</v>
      </c>
      <c r="E157" s="106" t="s">
        <v>788</v>
      </c>
      <c r="F157" s="107">
        <v>0</v>
      </c>
      <c r="G157" s="106" t="s">
        <v>1375</v>
      </c>
      <c r="H157" s="106" t="s">
        <v>71</v>
      </c>
      <c r="I157" s="106" t="s">
        <v>786</v>
      </c>
      <c r="J157" s="106" t="s">
        <v>327</v>
      </c>
      <c r="K157" s="106" t="s">
        <v>382</v>
      </c>
      <c r="L157" s="106" t="s">
        <v>1358</v>
      </c>
      <c r="M157" s="106" t="s">
        <v>388</v>
      </c>
      <c r="N157" s="106" t="s">
        <v>43</v>
      </c>
      <c r="O157" s="106" t="s">
        <v>541</v>
      </c>
      <c r="P157" s="106" t="s">
        <v>866</v>
      </c>
      <c r="Q157" s="106" t="s">
        <v>823</v>
      </c>
      <c r="R157" s="106" t="s">
        <v>71</v>
      </c>
      <c r="S157" s="83" t="str">
        <f t="shared" si="16"/>
        <v>20001A-SUPERT</v>
      </c>
      <c r="T157" s="83" t="str">
        <f t="shared" si="17"/>
        <v>The Super Track</v>
      </c>
      <c r="Y157" s="60">
        <f t="shared" si="18"/>
        <v>6</v>
      </c>
      <c r="Z157" s="49">
        <f t="shared" si="19"/>
        <v>136</v>
      </c>
      <c r="AA157" s="60">
        <f t="shared" si="20"/>
        <v>6136</v>
      </c>
    </row>
    <row r="158" spans="1:27">
      <c r="A158" s="83" t="str">
        <f t="shared" si="14"/>
        <v>21001A-CAnvivr</v>
      </c>
      <c r="B158" s="83" t="str">
        <f t="shared" si="15"/>
        <v>06-137-65</v>
      </c>
      <c r="C158" s="106" t="s">
        <v>1376</v>
      </c>
      <c r="D158" s="106" t="s">
        <v>1377</v>
      </c>
      <c r="E158" s="106" t="s">
        <v>788</v>
      </c>
      <c r="F158" s="107">
        <v>0</v>
      </c>
      <c r="G158" s="106" t="s">
        <v>1378</v>
      </c>
      <c r="H158" s="106" t="s">
        <v>679</v>
      </c>
      <c r="I158" s="106" t="s">
        <v>1034</v>
      </c>
      <c r="J158" s="106" t="s">
        <v>356</v>
      </c>
      <c r="K158" s="106" t="s">
        <v>382</v>
      </c>
      <c r="L158" s="106" t="s">
        <v>880</v>
      </c>
      <c r="M158" s="106" t="s">
        <v>388</v>
      </c>
      <c r="N158" s="106" t="s">
        <v>43</v>
      </c>
      <c r="O158" s="106" t="s">
        <v>386</v>
      </c>
      <c r="P158" s="106" t="s">
        <v>866</v>
      </c>
      <c r="Q158" s="106" t="s">
        <v>1379</v>
      </c>
      <c r="R158" s="106" t="s">
        <v>71</v>
      </c>
      <c r="S158" s="83" t="str">
        <f t="shared" si="16"/>
        <v>21001A-CA</v>
      </c>
      <c r="T158" s="83" t="str">
        <f t="shared" si="17"/>
        <v>California Sinclair</v>
      </c>
      <c r="Y158" s="60">
        <f t="shared" si="18"/>
        <v>6</v>
      </c>
      <c r="Z158" s="49">
        <f t="shared" si="19"/>
        <v>137</v>
      </c>
      <c r="AA158" s="60">
        <f t="shared" si="20"/>
        <v>6137</v>
      </c>
    </row>
    <row r="159" spans="1:27">
      <c r="A159" s="83" t="str">
        <f t="shared" si="14"/>
        <v>21002A-CALIdk cedar</v>
      </c>
      <c r="B159" s="83" t="str">
        <f t="shared" si="15"/>
        <v>06-138-07</v>
      </c>
      <c r="C159" s="106" t="s">
        <v>1380</v>
      </c>
      <c r="D159" s="106" t="s">
        <v>1381</v>
      </c>
      <c r="E159" s="106" t="s">
        <v>788</v>
      </c>
      <c r="F159" s="107">
        <v>0</v>
      </c>
      <c r="G159" s="106" t="s">
        <v>1382</v>
      </c>
      <c r="H159" s="106" t="s">
        <v>269</v>
      </c>
      <c r="I159" s="106" t="s">
        <v>1383</v>
      </c>
      <c r="J159" s="106" t="s">
        <v>327</v>
      </c>
      <c r="K159" s="106" t="s">
        <v>382</v>
      </c>
      <c r="L159" s="106" t="s">
        <v>880</v>
      </c>
      <c r="M159" s="106" t="s">
        <v>388</v>
      </c>
      <c r="O159" s="106" t="s">
        <v>386</v>
      </c>
      <c r="P159" s="106" t="s">
        <v>866</v>
      </c>
      <c r="Q159" s="106" t="s">
        <v>1384</v>
      </c>
      <c r="R159" s="106" t="s">
        <v>60</v>
      </c>
      <c r="S159" s="83" t="str">
        <f t="shared" si="16"/>
        <v>21002A-CALI</v>
      </c>
      <c r="T159" s="83" t="str">
        <f t="shared" si="17"/>
        <v>California Pacific Coast</v>
      </c>
      <c r="Y159" s="60">
        <f t="shared" si="18"/>
        <v>6</v>
      </c>
      <c r="Z159" s="49">
        <f t="shared" si="19"/>
        <v>138</v>
      </c>
      <c r="AA159" s="60">
        <f t="shared" si="20"/>
        <v>6138</v>
      </c>
    </row>
    <row r="160" spans="1:27">
      <c r="A160" s="83" t="str">
        <f t="shared" si="14"/>
        <v>21002A-NASASky Blue</v>
      </c>
      <c r="B160" s="83" t="str">
        <f t="shared" si="15"/>
        <v>06-139-19</v>
      </c>
      <c r="C160" s="106" t="s">
        <v>1385</v>
      </c>
      <c r="D160" s="106" t="s">
        <v>1386</v>
      </c>
      <c r="E160" s="106" t="s">
        <v>788</v>
      </c>
      <c r="F160" s="107">
        <v>0</v>
      </c>
      <c r="G160" s="106" t="s">
        <v>1387</v>
      </c>
      <c r="H160" s="106" t="s">
        <v>91</v>
      </c>
      <c r="I160" s="106" t="s">
        <v>1383</v>
      </c>
      <c r="J160" s="106" t="s">
        <v>327</v>
      </c>
      <c r="K160" s="106" t="s">
        <v>382</v>
      </c>
      <c r="L160" s="106" t="s">
        <v>873</v>
      </c>
      <c r="M160" s="106" t="s">
        <v>388</v>
      </c>
      <c r="O160" s="106" t="s">
        <v>386</v>
      </c>
      <c r="P160" s="106" t="s">
        <v>866</v>
      </c>
      <c r="Q160" s="106" t="s">
        <v>841</v>
      </c>
      <c r="R160" s="106" t="s">
        <v>91</v>
      </c>
      <c r="S160" s="83" t="str">
        <f t="shared" si="16"/>
        <v>21002A-NASA</v>
      </c>
      <c r="T160" s="83" t="str">
        <f t="shared" si="17"/>
        <v>Space with NASA Pacific Coast</v>
      </c>
      <c r="Y160" s="60">
        <f t="shared" si="18"/>
        <v>6</v>
      </c>
      <c r="Z160" s="49">
        <f t="shared" si="19"/>
        <v>139</v>
      </c>
      <c r="AA160" s="60">
        <f t="shared" si="20"/>
        <v>6139</v>
      </c>
    </row>
    <row r="161" spans="1:27">
      <c r="A161" s="83" t="str">
        <f t="shared" si="14"/>
        <v>21005A-BATblack</v>
      </c>
      <c r="B161" s="83" t="str">
        <f t="shared" si="15"/>
        <v>06-140-09</v>
      </c>
      <c r="C161" s="106" t="s">
        <v>1388</v>
      </c>
      <c r="D161" s="106" t="s">
        <v>1389</v>
      </c>
      <c r="E161" s="106" t="s">
        <v>788</v>
      </c>
      <c r="F161" s="107">
        <v>0</v>
      </c>
      <c r="G161" s="106" t="s">
        <v>1390</v>
      </c>
      <c r="H161" s="106" t="s">
        <v>53</v>
      </c>
      <c r="I161" s="106" t="s">
        <v>848</v>
      </c>
      <c r="J161" s="106" t="s">
        <v>327</v>
      </c>
      <c r="K161" s="106" t="s">
        <v>382</v>
      </c>
      <c r="L161" s="106" t="s">
        <v>884</v>
      </c>
      <c r="M161" s="106" t="s">
        <v>388</v>
      </c>
      <c r="N161" s="106" t="s">
        <v>44</v>
      </c>
      <c r="O161" s="106" t="s">
        <v>386</v>
      </c>
      <c r="P161" s="106" t="s">
        <v>866</v>
      </c>
      <c r="Q161" s="106" t="s">
        <v>819</v>
      </c>
      <c r="R161" s="106" t="s">
        <v>53</v>
      </c>
      <c r="S161" s="83" t="str">
        <f t="shared" si="16"/>
        <v>21005A-BAT</v>
      </c>
      <c r="T161" s="83" t="str">
        <f t="shared" si="17"/>
        <v>Baltimore Terrapins Archive MILB</v>
      </c>
      <c r="Y161" s="60">
        <f t="shared" si="18"/>
        <v>6</v>
      </c>
      <c r="Z161" s="49">
        <f t="shared" si="19"/>
        <v>140</v>
      </c>
      <c r="AA161" s="60">
        <f t="shared" si="20"/>
        <v>6140</v>
      </c>
    </row>
    <row r="162" spans="1:27">
      <c r="A162" s="83" t="str">
        <f t="shared" si="14"/>
        <v>21005A-BBBblack</v>
      </c>
      <c r="B162" s="83" t="str">
        <f t="shared" si="15"/>
        <v>06-141-09</v>
      </c>
      <c r="C162" s="106" t="s">
        <v>1391</v>
      </c>
      <c r="D162" s="106" t="s">
        <v>1392</v>
      </c>
      <c r="E162" s="106" t="s">
        <v>788</v>
      </c>
      <c r="F162" s="107">
        <v>0</v>
      </c>
      <c r="G162" s="106" t="s">
        <v>1393</v>
      </c>
      <c r="H162" s="106" t="s">
        <v>53</v>
      </c>
      <c r="I162" s="106" t="s">
        <v>848</v>
      </c>
      <c r="J162" s="106" t="s">
        <v>327</v>
      </c>
      <c r="K162" s="106" t="s">
        <v>382</v>
      </c>
      <c r="L162" s="106" t="s">
        <v>884</v>
      </c>
      <c r="M162" s="106" t="s">
        <v>388</v>
      </c>
      <c r="N162" s="106" t="s">
        <v>44</v>
      </c>
      <c r="O162" s="106" t="s">
        <v>386</v>
      </c>
      <c r="P162" s="106" t="s">
        <v>866</v>
      </c>
      <c r="Q162" s="106" t="s">
        <v>819</v>
      </c>
      <c r="R162" s="106" t="s">
        <v>53</v>
      </c>
      <c r="S162" s="83" t="str">
        <f t="shared" si="16"/>
        <v>21005A-BBB</v>
      </c>
      <c r="T162" s="83" t="str">
        <f t="shared" si="17"/>
        <v>Birmingham Black Barons Archive NL</v>
      </c>
      <c r="Y162" s="60">
        <f t="shared" si="18"/>
        <v>6</v>
      </c>
      <c r="Z162" s="49">
        <f t="shared" si="19"/>
        <v>141</v>
      </c>
      <c r="AA162" s="60">
        <f t="shared" si="20"/>
        <v>6141</v>
      </c>
    </row>
    <row r="163" spans="1:27">
      <c r="A163" s="83" t="str">
        <f t="shared" si="14"/>
        <v>21005A-BRBnvor</v>
      </c>
      <c r="B163" s="83" t="str">
        <f t="shared" si="15"/>
        <v>06-142-45</v>
      </c>
      <c r="C163" s="106" t="s">
        <v>1394</v>
      </c>
      <c r="D163" s="106" t="s">
        <v>1395</v>
      </c>
      <c r="E163" s="106" t="s">
        <v>788</v>
      </c>
      <c r="F163" s="107">
        <v>0</v>
      </c>
      <c r="G163" s="106" t="s">
        <v>1396</v>
      </c>
      <c r="H163" s="106" t="s">
        <v>282</v>
      </c>
      <c r="I163" s="106" t="s">
        <v>848</v>
      </c>
      <c r="J163" s="106" t="s">
        <v>327</v>
      </c>
      <c r="K163" s="106" t="s">
        <v>382</v>
      </c>
      <c r="L163" s="106" t="s">
        <v>884</v>
      </c>
      <c r="M163" s="106" t="s">
        <v>388</v>
      </c>
      <c r="N163" s="106" t="s">
        <v>44</v>
      </c>
      <c r="O163" s="106" t="s">
        <v>386</v>
      </c>
      <c r="P163" s="106" t="s">
        <v>866</v>
      </c>
      <c r="Q163" s="106" t="s">
        <v>1100</v>
      </c>
      <c r="R163" s="106" t="s">
        <v>71</v>
      </c>
      <c r="S163" s="83" t="str">
        <f t="shared" si="16"/>
        <v>21005A-BRB</v>
      </c>
      <c r="T163" s="83" t="str">
        <f t="shared" si="17"/>
        <v>Brooklyn Bushwicks Archive MILB</v>
      </c>
      <c r="Y163" s="60">
        <f t="shared" si="18"/>
        <v>6</v>
      </c>
      <c r="Z163" s="49">
        <f t="shared" si="19"/>
        <v>142</v>
      </c>
      <c r="AA163" s="60">
        <f t="shared" si="20"/>
        <v>6142</v>
      </c>
    </row>
    <row r="164" spans="1:27">
      <c r="A164" s="83" t="str">
        <f t="shared" si="14"/>
        <v>21005A-BTTivrl</v>
      </c>
      <c r="B164" s="83" t="str">
        <f t="shared" si="15"/>
        <v>06-143-38</v>
      </c>
      <c r="C164" s="106" t="s">
        <v>1397</v>
      </c>
      <c r="D164" s="106" t="s">
        <v>1398</v>
      </c>
      <c r="E164" s="106" t="s">
        <v>788</v>
      </c>
      <c r="F164" s="107">
        <v>0</v>
      </c>
      <c r="G164" s="106" t="s">
        <v>1399</v>
      </c>
      <c r="H164" s="106" t="s">
        <v>116</v>
      </c>
      <c r="I164" s="106" t="s">
        <v>848</v>
      </c>
      <c r="J164" s="106" t="s">
        <v>327</v>
      </c>
      <c r="K164" s="106" t="s">
        <v>382</v>
      </c>
      <c r="L164" s="106" t="s">
        <v>884</v>
      </c>
      <c r="M164" s="106" t="s">
        <v>388</v>
      </c>
      <c r="N164" s="106" t="s">
        <v>44</v>
      </c>
      <c r="O164" s="106" t="s">
        <v>386</v>
      </c>
      <c r="P164" s="106" t="s">
        <v>866</v>
      </c>
      <c r="Q164" s="106" t="s">
        <v>1400</v>
      </c>
      <c r="R164" s="106" t="s">
        <v>57</v>
      </c>
      <c r="S164" s="83" t="str">
        <f t="shared" si="16"/>
        <v>21005A-BTT</v>
      </c>
      <c r="T164" s="83" t="str">
        <f t="shared" si="17"/>
        <v>Brooklyn Tip-Tops Archive MILB</v>
      </c>
      <c r="Y164" s="60">
        <f t="shared" si="18"/>
        <v>6</v>
      </c>
      <c r="Z164" s="49">
        <f t="shared" si="19"/>
        <v>143</v>
      </c>
      <c r="AA164" s="60">
        <f t="shared" si="20"/>
        <v>6143</v>
      </c>
    </row>
    <row r="165" spans="1:27">
      <c r="A165" s="83" t="str">
        <f t="shared" si="14"/>
        <v>21005A-CAGblack</v>
      </c>
      <c r="B165" s="83" t="str">
        <f t="shared" si="15"/>
        <v>06-144-09</v>
      </c>
      <c r="C165" s="106" t="s">
        <v>1401</v>
      </c>
      <c r="D165" s="106" t="s">
        <v>1402</v>
      </c>
      <c r="E165" s="106" t="s">
        <v>788</v>
      </c>
      <c r="F165" s="107">
        <v>0</v>
      </c>
      <c r="G165" s="106" t="s">
        <v>1403</v>
      </c>
      <c r="H165" s="106" t="s">
        <v>53</v>
      </c>
      <c r="I165" s="106" t="s">
        <v>848</v>
      </c>
      <c r="J165" s="106" t="s">
        <v>327</v>
      </c>
      <c r="K165" s="106" t="s">
        <v>382</v>
      </c>
      <c r="L165" s="106" t="s">
        <v>884</v>
      </c>
      <c r="M165" s="106" t="s">
        <v>388</v>
      </c>
      <c r="N165" s="106" t="s">
        <v>44</v>
      </c>
      <c r="O165" s="106" t="s">
        <v>386</v>
      </c>
      <c r="P165" s="106" t="s">
        <v>866</v>
      </c>
      <c r="Q165" s="106" t="s">
        <v>819</v>
      </c>
      <c r="R165" s="106" t="s">
        <v>53</v>
      </c>
      <c r="S165" s="83" t="str">
        <f t="shared" si="16"/>
        <v>21005A-CAG</v>
      </c>
      <c r="T165" s="83" t="str">
        <f t="shared" si="17"/>
        <v>Chicago American Giants Archive NL</v>
      </c>
      <c r="Y165" s="60">
        <f t="shared" si="18"/>
        <v>6</v>
      </c>
      <c r="Z165" s="49">
        <f t="shared" si="19"/>
        <v>144</v>
      </c>
      <c r="AA165" s="60">
        <f t="shared" si="20"/>
        <v>6144</v>
      </c>
    </row>
    <row r="166" spans="1:27">
      <c r="A166" s="83" t="str">
        <f t="shared" si="14"/>
        <v>21005A-CBSroyal-ivory</v>
      </c>
      <c r="B166" s="83" t="str">
        <f t="shared" si="15"/>
        <v>06-145-95</v>
      </c>
      <c r="C166" s="106" t="s">
        <v>1404</v>
      </c>
      <c r="D166" s="106" t="s">
        <v>1405</v>
      </c>
      <c r="E166" s="106" t="s">
        <v>788</v>
      </c>
      <c r="F166" s="107">
        <v>0</v>
      </c>
      <c r="G166" s="106" t="s">
        <v>1406</v>
      </c>
      <c r="H166" s="106" t="s">
        <v>248</v>
      </c>
      <c r="I166" s="106" t="s">
        <v>848</v>
      </c>
      <c r="J166" s="106" t="s">
        <v>327</v>
      </c>
      <c r="K166" s="106" t="s">
        <v>382</v>
      </c>
      <c r="L166" s="106" t="s">
        <v>884</v>
      </c>
      <c r="M166" s="106" t="s">
        <v>388</v>
      </c>
      <c r="N166" s="106" t="s">
        <v>44</v>
      </c>
      <c r="O166" s="106" t="s">
        <v>386</v>
      </c>
      <c r="P166" s="106" t="s">
        <v>866</v>
      </c>
      <c r="Q166" s="106" t="s">
        <v>1407</v>
      </c>
      <c r="R166" s="106" t="s">
        <v>71</v>
      </c>
      <c r="S166" s="83" t="str">
        <f t="shared" si="16"/>
        <v>21005A-CBS</v>
      </c>
      <c r="T166" s="83" t="str">
        <f t="shared" si="17"/>
        <v>Chicago Blue Stockings Archive MILB</v>
      </c>
      <c r="Y166" s="60">
        <f t="shared" si="18"/>
        <v>6</v>
      </c>
      <c r="Z166" s="49">
        <f t="shared" si="19"/>
        <v>145</v>
      </c>
      <c r="AA166" s="60">
        <f t="shared" si="20"/>
        <v>6145</v>
      </c>
    </row>
    <row r="167" spans="1:27">
      <c r="A167" s="83" t="str">
        <f t="shared" si="14"/>
        <v>21005A-CHOivory-navy</v>
      </c>
      <c r="B167" s="83" t="str">
        <f t="shared" si="15"/>
        <v>06-146-70</v>
      </c>
      <c r="C167" s="106" t="s">
        <v>1408</v>
      </c>
      <c r="D167" s="106" t="s">
        <v>1409</v>
      </c>
      <c r="E167" s="106" t="s">
        <v>788</v>
      </c>
      <c r="F167" s="107">
        <v>0</v>
      </c>
      <c r="G167" s="106" t="s">
        <v>1410</v>
      </c>
      <c r="H167" s="106" t="s">
        <v>117</v>
      </c>
      <c r="I167" s="106" t="s">
        <v>848</v>
      </c>
      <c r="J167" s="106" t="s">
        <v>327</v>
      </c>
      <c r="K167" s="106" t="s">
        <v>382</v>
      </c>
      <c r="L167" s="106" t="s">
        <v>884</v>
      </c>
      <c r="M167" s="106" t="s">
        <v>388</v>
      </c>
      <c r="N167" s="106" t="s">
        <v>44</v>
      </c>
      <c r="O167" s="106" t="s">
        <v>386</v>
      </c>
      <c r="P167" s="106" t="s">
        <v>866</v>
      </c>
      <c r="Q167" s="106" t="s">
        <v>1411</v>
      </c>
      <c r="R167" s="106" t="s">
        <v>57</v>
      </c>
      <c r="S167" s="83" t="str">
        <f t="shared" si="16"/>
        <v>21005A-CHO</v>
      </c>
      <c r="T167" s="83" t="str">
        <f t="shared" si="17"/>
        <v>Chicago Orphans Archive MILB</v>
      </c>
      <c r="Y167" s="60">
        <f t="shared" si="18"/>
        <v>6</v>
      </c>
      <c r="Z167" s="49">
        <f t="shared" si="19"/>
        <v>146</v>
      </c>
      <c r="AA167" s="60">
        <f t="shared" si="20"/>
        <v>6146</v>
      </c>
    </row>
    <row r="168" spans="1:27">
      <c r="A168" s="83" t="str">
        <f t="shared" si="14"/>
        <v>21005A-CSPivory-red</v>
      </c>
      <c r="B168" s="83" t="str">
        <f t="shared" si="15"/>
        <v>06-147-45</v>
      </c>
      <c r="C168" s="106" t="s">
        <v>1412</v>
      </c>
      <c r="D168" s="106" t="s">
        <v>1413</v>
      </c>
      <c r="E168" s="106" t="s">
        <v>788</v>
      </c>
      <c r="F168" s="107">
        <v>0</v>
      </c>
      <c r="G168" s="106" t="s">
        <v>1414</v>
      </c>
      <c r="H168" s="106" t="s">
        <v>111</v>
      </c>
      <c r="I168" s="106" t="s">
        <v>848</v>
      </c>
      <c r="J168" s="106" t="s">
        <v>327</v>
      </c>
      <c r="K168" s="106" t="s">
        <v>382</v>
      </c>
      <c r="L168" s="106" t="s">
        <v>884</v>
      </c>
      <c r="M168" s="106" t="s">
        <v>388</v>
      </c>
      <c r="N168" s="106" t="s">
        <v>44</v>
      </c>
      <c r="O168" s="106" t="s">
        <v>386</v>
      </c>
      <c r="P168" s="106" t="s">
        <v>866</v>
      </c>
      <c r="Q168" s="106" t="s">
        <v>1415</v>
      </c>
      <c r="R168" s="106" t="s">
        <v>57</v>
      </c>
      <c r="S168" s="83" t="str">
        <f t="shared" si="16"/>
        <v>21005A-CSP</v>
      </c>
      <c r="T168" s="83" t="str">
        <f t="shared" si="17"/>
        <v>Cleveland Spiders Archive MILB</v>
      </c>
      <c r="Y168" s="60">
        <f t="shared" si="18"/>
        <v>6</v>
      </c>
      <c r="Z168" s="49">
        <f t="shared" si="19"/>
        <v>147</v>
      </c>
      <c r="AA168" s="60">
        <f t="shared" si="20"/>
        <v>6147</v>
      </c>
    </row>
    <row r="169" spans="1:27">
      <c r="A169" s="83" t="str">
        <f t="shared" si="14"/>
        <v>21005A-CUGivory-black</v>
      </c>
      <c r="B169" s="83" t="str">
        <f t="shared" si="15"/>
        <v>06-148-48</v>
      </c>
      <c r="C169" s="106" t="s">
        <v>1416</v>
      </c>
      <c r="D169" s="106" t="s">
        <v>1417</v>
      </c>
      <c r="E169" s="106" t="s">
        <v>788</v>
      </c>
      <c r="F169" s="107">
        <v>0</v>
      </c>
      <c r="G169" s="106" t="s">
        <v>1418</v>
      </c>
      <c r="H169" s="106" t="s">
        <v>119</v>
      </c>
      <c r="I169" s="106" t="s">
        <v>848</v>
      </c>
      <c r="J169" s="106" t="s">
        <v>327</v>
      </c>
      <c r="K169" s="106" t="s">
        <v>382</v>
      </c>
      <c r="L169" s="106" t="s">
        <v>884</v>
      </c>
      <c r="M169" s="106" t="s">
        <v>388</v>
      </c>
      <c r="N169" s="106" t="s">
        <v>44</v>
      </c>
      <c r="O169" s="106" t="s">
        <v>386</v>
      </c>
      <c r="P169" s="106" t="s">
        <v>866</v>
      </c>
      <c r="Q169" s="106" t="s">
        <v>1419</v>
      </c>
      <c r="R169" s="106" t="s">
        <v>57</v>
      </c>
      <c r="S169" s="83" t="str">
        <f t="shared" si="16"/>
        <v>21005A-CUG</v>
      </c>
      <c r="T169" s="83" t="str">
        <f t="shared" si="17"/>
        <v>Chicago Union Giants Archive MILB</v>
      </c>
      <c r="Y169" s="60">
        <f t="shared" si="18"/>
        <v>6</v>
      </c>
      <c r="Z169" s="49">
        <f t="shared" si="19"/>
        <v>148</v>
      </c>
      <c r="AA169" s="60">
        <f t="shared" si="20"/>
        <v>6148</v>
      </c>
    </row>
    <row r="170" spans="1:27">
      <c r="A170" s="83" t="str">
        <f t="shared" si="14"/>
        <v>21005A-DTWivory-navy</v>
      </c>
      <c r="B170" s="83" t="str">
        <f t="shared" si="15"/>
        <v>06-149-70</v>
      </c>
      <c r="C170" s="106" t="s">
        <v>1420</v>
      </c>
      <c r="D170" s="106" t="s">
        <v>1421</v>
      </c>
      <c r="E170" s="106" t="s">
        <v>788</v>
      </c>
      <c r="F170" s="107">
        <v>0</v>
      </c>
      <c r="G170" s="106" t="s">
        <v>1422</v>
      </c>
      <c r="H170" s="106" t="s">
        <v>117</v>
      </c>
      <c r="I170" s="106" t="s">
        <v>848</v>
      </c>
      <c r="J170" s="106" t="s">
        <v>327</v>
      </c>
      <c r="K170" s="106" t="s">
        <v>382</v>
      </c>
      <c r="L170" s="106" t="s">
        <v>884</v>
      </c>
      <c r="M170" s="106" t="s">
        <v>388</v>
      </c>
      <c r="N170" s="106" t="s">
        <v>44</v>
      </c>
      <c r="O170" s="106" t="s">
        <v>386</v>
      </c>
      <c r="P170" s="106" t="s">
        <v>866</v>
      </c>
      <c r="Q170" s="106" t="s">
        <v>1411</v>
      </c>
      <c r="R170" s="106" t="s">
        <v>57</v>
      </c>
      <c r="S170" s="83" t="str">
        <f t="shared" si="16"/>
        <v>21005A-DTW</v>
      </c>
      <c r="T170" s="83" t="str">
        <f t="shared" si="17"/>
        <v>Detroit Wolverines Archive MILB</v>
      </c>
      <c r="Y170" s="60">
        <f t="shared" si="18"/>
        <v>6</v>
      </c>
      <c r="Z170" s="49">
        <f t="shared" si="19"/>
        <v>149</v>
      </c>
      <c r="AA170" s="60">
        <f t="shared" si="20"/>
        <v>6149</v>
      </c>
    </row>
    <row r="171" spans="1:27">
      <c r="A171" s="83" t="str">
        <f t="shared" si="14"/>
        <v>21005A-HOGgrey</v>
      </c>
      <c r="B171" s="83" t="str">
        <f t="shared" si="15"/>
        <v>06-150-01</v>
      </c>
      <c r="C171" s="106" t="s">
        <v>1423</v>
      </c>
      <c r="D171" s="106" t="s">
        <v>1424</v>
      </c>
      <c r="E171" s="106" t="s">
        <v>788</v>
      </c>
      <c r="F171" s="107">
        <v>0</v>
      </c>
      <c r="G171" s="106" t="s">
        <v>1425</v>
      </c>
      <c r="H171" s="106" t="s">
        <v>231</v>
      </c>
      <c r="I171" s="106" t="s">
        <v>848</v>
      </c>
      <c r="J171" s="106" t="s">
        <v>327</v>
      </c>
      <c r="K171" s="106" t="s">
        <v>382</v>
      </c>
      <c r="L171" s="106" t="s">
        <v>884</v>
      </c>
      <c r="M171" s="106" t="s">
        <v>388</v>
      </c>
      <c r="N171" s="106" t="s">
        <v>44</v>
      </c>
      <c r="O171" s="106" t="s">
        <v>386</v>
      </c>
      <c r="P171" s="106" t="s">
        <v>866</v>
      </c>
      <c r="Q171" s="106" t="s">
        <v>787</v>
      </c>
      <c r="R171" s="106" t="s">
        <v>83</v>
      </c>
      <c r="S171" s="83" t="str">
        <f t="shared" si="16"/>
        <v>21005A-HOG</v>
      </c>
      <c r="T171" s="83" t="str">
        <f t="shared" si="17"/>
        <v>Homestead Grays Archive NL</v>
      </c>
      <c r="Y171" s="60">
        <f t="shared" si="18"/>
        <v>6</v>
      </c>
      <c r="Z171" s="49">
        <f t="shared" si="19"/>
        <v>150</v>
      </c>
      <c r="AA171" s="60">
        <f t="shared" si="20"/>
        <v>6150</v>
      </c>
    </row>
    <row r="172" spans="1:27">
      <c r="A172" s="83" t="str">
        <f t="shared" si="14"/>
        <v>21005A-KCMred</v>
      </c>
      <c r="B172" s="83" t="str">
        <f t="shared" si="15"/>
        <v>06-151-18</v>
      </c>
      <c r="C172" s="106" t="s">
        <v>1426</v>
      </c>
      <c r="D172" s="106" t="s">
        <v>1427</v>
      </c>
      <c r="E172" s="106" t="s">
        <v>788</v>
      </c>
      <c r="F172" s="107">
        <v>0</v>
      </c>
      <c r="G172" s="106" t="s">
        <v>1428</v>
      </c>
      <c r="H172" s="106" t="s">
        <v>78</v>
      </c>
      <c r="I172" s="106" t="s">
        <v>848</v>
      </c>
      <c r="J172" s="106" t="s">
        <v>327</v>
      </c>
      <c r="K172" s="106" t="s">
        <v>382</v>
      </c>
      <c r="L172" s="106" t="s">
        <v>884</v>
      </c>
      <c r="M172" s="106" t="s">
        <v>388</v>
      </c>
      <c r="N172" s="106" t="s">
        <v>44</v>
      </c>
      <c r="O172" s="106" t="s">
        <v>386</v>
      </c>
      <c r="P172" s="106" t="s">
        <v>866</v>
      </c>
      <c r="Q172" s="106" t="s">
        <v>822</v>
      </c>
      <c r="R172" s="106" t="s">
        <v>78</v>
      </c>
      <c r="S172" s="83" t="str">
        <f t="shared" si="16"/>
        <v>21005A-KCM</v>
      </c>
      <c r="T172" s="83" t="str">
        <f t="shared" si="17"/>
        <v>Kansas City Monarchs Archive NL</v>
      </c>
      <c r="Y172" s="60">
        <f t="shared" si="18"/>
        <v>6</v>
      </c>
      <c r="Z172" s="49">
        <f t="shared" si="19"/>
        <v>151</v>
      </c>
      <c r="AA172" s="60">
        <f t="shared" si="20"/>
        <v>6151</v>
      </c>
    </row>
    <row r="173" spans="1:27">
      <c r="A173" s="83" t="str">
        <f t="shared" si="14"/>
        <v>21005A-KCPivory-navy</v>
      </c>
      <c r="B173" s="83" t="str">
        <f t="shared" si="15"/>
        <v>06-152-70</v>
      </c>
      <c r="C173" s="106" t="s">
        <v>1429</v>
      </c>
      <c r="D173" s="106" t="s">
        <v>1430</v>
      </c>
      <c r="E173" s="106" t="s">
        <v>788</v>
      </c>
      <c r="F173" s="107">
        <v>0</v>
      </c>
      <c r="G173" s="106" t="s">
        <v>1431</v>
      </c>
      <c r="H173" s="106" t="s">
        <v>117</v>
      </c>
      <c r="I173" s="106" t="s">
        <v>848</v>
      </c>
      <c r="J173" s="106" t="s">
        <v>327</v>
      </c>
      <c r="K173" s="106" t="s">
        <v>382</v>
      </c>
      <c r="L173" s="106" t="s">
        <v>884</v>
      </c>
      <c r="M173" s="106" t="s">
        <v>388</v>
      </c>
      <c r="N173" s="106" t="s">
        <v>44</v>
      </c>
      <c r="O173" s="106" t="s">
        <v>386</v>
      </c>
      <c r="P173" s="106" t="s">
        <v>866</v>
      </c>
      <c r="Q173" s="106" t="s">
        <v>1411</v>
      </c>
      <c r="R173" s="106" t="s">
        <v>57</v>
      </c>
      <c r="S173" s="83" t="str">
        <f t="shared" si="16"/>
        <v>21005A-KCP</v>
      </c>
      <c r="T173" s="83" t="str">
        <f t="shared" si="17"/>
        <v>Kansas City Packers Archive MILB</v>
      </c>
      <c r="Y173" s="60">
        <f t="shared" si="18"/>
        <v>6</v>
      </c>
      <c r="Z173" s="49">
        <f t="shared" si="19"/>
        <v>152</v>
      </c>
      <c r="AA173" s="60">
        <f t="shared" si="20"/>
        <v>6152</v>
      </c>
    </row>
    <row r="174" spans="1:27">
      <c r="A174" s="83" t="str">
        <f t="shared" si="14"/>
        <v>21005A-LCOnavy-red</v>
      </c>
      <c r="B174" s="83" t="str">
        <f t="shared" si="15"/>
        <v>06-153-16</v>
      </c>
      <c r="C174" s="106" t="s">
        <v>1432</v>
      </c>
      <c r="D174" s="106" t="s">
        <v>1433</v>
      </c>
      <c r="E174" s="106" t="s">
        <v>788</v>
      </c>
      <c r="F174" s="107">
        <v>0</v>
      </c>
      <c r="G174" s="106" t="s">
        <v>1434</v>
      </c>
      <c r="H174" s="106" t="s">
        <v>55</v>
      </c>
      <c r="I174" s="106" t="s">
        <v>848</v>
      </c>
      <c r="J174" s="106" t="s">
        <v>327</v>
      </c>
      <c r="K174" s="106" t="s">
        <v>382</v>
      </c>
      <c r="L174" s="106" t="s">
        <v>884</v>
      </c>
      <c r="M174" s="106" t="s">
        <v>388</v>
      </c>
      <c r="N174" s="106" t="s">
        <v>44</v>
      </c>
      <c r="O174" s="106" t="s">
        <v>386</v>
      </c>
      <c r="P174" s="106" t="s">
        <v>866</v>
      </c>
      <c r="Q174" s="106" t="s">
        <v>1435</v>
      </c>
      <c r="R174" s="106" t="s">
        <v>71</v>
      </c>
      <c r="S174" s="83" t="str">
        <f t="shared" si="16"/>
        <v>21005A-LCO</v>
      </c>
      <c r="T174" s="83" t="str">
        <f t="shared" si="17"/>
        <v>Louisville Colonels Archive MILB</v>
      </c>
      <c r="Y174" s="60">
        <f t="shared" si="18"/>
        <v>6</v>
      </c>
      <c r="Z174" s="49">
        <f t="shared" si="19"/>
        <v>153</v>
      </c>
      <c r="AA174" s="60">
        <f t="shared" si="20"/>
        <v>6153</v>
      </c>
    </row>
    <row r="175" spans="1:27">
      <c r="A175" s="83" t="str">
        <f t="shared" si="14"/>
        <v>21005A-NYCnavy</v>
      </c>
      <c r="B175" s="83" t="str">
        <f t="shared" si="15"/>
        <v>06-154-16</v>
      </c>
      <c r="C175" s="106" t="s">
        <v>1436</v>
      </c>
      <c r="D175" s="106" t="s">
        <v>1437</v>
      </c>
      <c r="E175" s="106" t="s">
        <v>788</v>
      </c>
      <c r="F175" s="107">
        <v>0</v>
      </c>
      <c r="G175" s="106" t="s">
        <v>1438</v>
      </c>
      <c r="H175" s="106" t="s">
        <v>55</v>
      </c>
      <c r="I175" s="106" t="s">
        <v>848</v>
      </c>
      <c r="J175" s="106" t="s">
        <v>327</v>
      </c>
      <c r="K175" s="106" t="s">
        <v>382</v>
      </c>
      <c r="L175" s="106" t="s">
        <v>884</v>
      </c>
      <c r="M175" s="106" t="s">
        <v>388</v>
      </c>
      <c r="N175" s="106" t="s">
        <v>44</v>
      </c>
      <c r="O175" s="106" t="s">
        <v>386</v>
      </c>
      <c r="P175" s="106" t="s">
        <v>866</v>
      </c>
      <c r="Q175" s="106" t="s">
        <v>818</v>
      </c>
      <c r="R175" s="106" t="s">
        <v>71</v>
      </c>
      <c r="S175" s="83" t="str">
        <f t="shared" si="16"/>
        <v>21005A-NYC</v>
      </c>
      <c r="T175" s="83" t="str">
        <f t="shared" si="17"/>
        <v>New York Cubans Archive NL</v>
      </c>
      <c r="Y175" s="60">
        <f t="shared" si="18"/>
        <v>6</v>
      </c>
      <c r="Z175" s="49">
        <f t="shared" si="19"/>
        <v>154</v>
      </c>
      <c r="AA175" s="60">
        <f t="shared" si="20"/>
        <v>6154</v>
      </c>
    </row>
    <row r="176" spans="1:27">
      <c r="A176" s="83" t="str">
        <f t="shared" si="14"/>
        <v>21005A-NYKNblack</v>
      </c>
      <c r="B176" s="83" t="str">
        <f t="shared" si="15"/>
        <v>06-155-09</v>
      </c>
      <c r="C176" s="106" t="s">
        <v>1439</v>
      </c>
      <c r="D176" s="106" t="s">
        <v>1440</v>
      </c>
      <c r="E176" s="106" t="s">
        <v>788</v>
      </c>
      <c r="F176" s="107">
        <v>0</v>
      </c>
      <c r="G176" s="106" t="s">
        <v>1441</v>
      </c>
      <c r="H176" s="106" t="s">
        <v>53</v>
      </c>
      <c r="I176" s="106" t="s">
        <v>848</v>
      </c>
      <c r="J176" s="106" t="s">
        <v>327</v>
      </c>
      <c r="K176" s="106" t="s">
        <v>382</v>
      </c>
      <c r="L176" s="106" t="s">
        <v>884</v>
      </c>
      <c r="M176" s="106" t="s">
        <v>388</v>
      </c>
      <c r="N176" s="106" t="s">
        <v>44</v>
      </c>
      <c r="O176" s="106" t="s">
        <v>386</v>
      </c>
      <c r="P176" s="106" t="s">
        <v>866</v>
      </c>
      <c r="Q176" s="106" t="s">
        <v>819</v>
      </c>
      <c r="R176" s="106" t="s">
        <v>53</v>
      </c>
      <c r="S176" s="83" t="str">
        <f t="shared" si="16"/>
        <v>21005A-NYKN</v>
      </c>
      <c r="T176" s="83" t="str">
        <f t="shared" si="17"/>
        <v>New York Knickerbocker Archive MILB</v>
      </c>
      <c r="Y176" s="60">
        <f t="shared" si="18"/>
        <v>6</v>
      </c>
      <c r="Z176" s="49">
        <f t="shared" si="19"/>
        <v>155</v>
      </c>
      <c r="AA176" s="60">
        <f t="shared" si="20"/>
        <v>6155</v>
      </c>
    </row>
    <row r="177" spans="1:27">
      <c r="A177" s="83" t="str">
        <f t="shared" si="14"/>
        <v>21005A-SAFnavy</v>
      </c>
      <c r="B177" s="83" t="str">
        <f t="shared" si="15"/>
        <v>06-156-16</v>
      </c>
      <c r="C177" s="106" t="s">
        <v>1442</v>
      </c>
      <c r="D177" s="106" t="s">
        <v>1443</v>
      </c>
      <c r="E177" s="106" t="s">
        <v>788</v>
      </c>
      <c r="F177" s="107">
        <v>0</v>
      </c>
      <c r="G177" s="106" t="s">
        <v>1444</v>
      </c>
      <c r="H177" s="106" t="s">
        <v>55</v>
      </c>
      <c r="I177" s="106" t="s">
        <v>848</v>
      </c>
      <c r="J177" s="106" t="s">
        <v>327</v>
      </c>
      <c r="K177" s="106" t="s">
        <v>382</v>
      </c>
      <c r="L177" s="106" t="s">
        <v>884</v>
      </c>
      <c r="M177" s="106" t="s">
        <v>388</v>
      </c>
      <c r="N177" s="106" t="s">
        <v>44</v>
      </c>
      <c r="O177" s="106" t="s">
        <v>386</v>
      </c>
      <c r="P177" s="106" t="s">
        <v>866</v>
      </c>
      <c r="Q177" s="106" t="s">
        <v>818</v>
      </c>
      <c r="R177" s="106" t="s">
        <v>71</v>
      </c>
      <c r="S177" s="83" t="str">
        <f t="shared" si="16"/>
        <v>21005A-SAF</v>
      </c>
      <c r="T177" s="83" t="str">
        <f t="shared" si="17"/>
        <v>San Francisco Seals Archive MILB</v>
      </c>
      <c r="Y177" s="60">
        <f t="shared" si="18"/>
        <v>6</v>
      </c>
      <c r="Z177" s="49">
        <f t="shared" si="19"/>
        <v>156</v>
      </c>
      <c r="AA177" s="60">
        <f t="shared" si="20"/>
        <v>6156</v>
      </c>
    </row>
    <row r="178" spans="1:27">
      <c r="A178" s="83" t="str">
        <f t="shared" si="14"/>
        <v>21005A-SERnavy</v>
      </c>
      <c r="B178" s="83" t="str">
        <f t="shared" si="15"/>
        <v>06-157-16</v>
      </c>
      <c r="C178" s="106" t="s">
        <v>1445</v>
      </c>
      <c r="D178" s="106" t="s">
        <v>1446</v>
      </c>
      <c r="E178" s="106" t="s">
        <v>788</v>
      </c>
      <c r="F178" s="107">
        <v>0</v>
      </c>
      <c r="G178" s="106" t="s">
        <v>1447</v>
      </c>
      <c r="H178" s="106" t="s">
        <v>55</v>
      </c>
      <c r="I178" s="106" t="s">
        <v>848</v>
      </c>
      <c r="J178" s="106" t="s">
        <v>327</v>
      </c>
      <c r="K178" s="106" t="s">
        <v>382</v>
      </c>
      <c r="L178" s="106" t="s">
        <v>884</v>
      </c>
      <c r="M178" s="106" t="s">
        <v>388</v>
      </c>
      <c r="N178" s="106" t="s">
        <v>44</v>
      </c>
      <c r="O178" s="106" t="s">
        <v>386</v>
      </c>
      <c r="P178" s="106" t="s">
        <v>866</v>
      </c>
      <c r="Q178" s="106" t="s">
        <v>818</v>
      </c>
      <c r="R178" s="106" t="s">
        <v>71</v>
      </c>
      <c r="S178" s="83" t="str">
        <f t="shared" si="16"/>
        <v>21005A-SER</v>
      </c>
      <c r="T178" s="83" t="str">
        <f t="shared" si="17"/>
        <v>Seattle Rainers Archive MILB</v>
      </c>
      <c r="Y178" s="60">
        <f t="shared" si="18"/>
        <v>6</v>
      </c>
      <c r="Z178" s="49">
        <f t="shared" si="19"/>
        <v>157</v>
      </c>
      <c r="AA178" s="60">
        <f t="shared" si="20"/>
        <v>6157</v>
      </c>
    </row>
    <row r="179" spans="1:27">
      <c r="A179" s="83" t="str">
        <f t="shared" si="14"/>
        <v>21005A-STEnavy</v>
      </c>
      <c r="B179" s="83" t="str">
        <f t="shared" si="15"/>
        <v>06-158-16</v>
      </c>
      <c r="C179" s="106" t="s">
        <v>1448</v>
      </c>
      <c r="D179" s="106" t="s">
        <v>1449</v>
      </c>
      <c r="E179" s="106" t="s">
        <v>788</v>
      </c>
      <c r="F179" s="107">
        <v>0</v>
      </c>
      <c r="G179" s="106" t="s">
        <v>1450</v>
      </c>
      <c r="H179" s="106" t="s">
        <v>55</v>
      </c>
      <c r="I179" s="106" t="s">
        <v>848</v>
      </c>
      <c r="J179" s="106" t="s">
        <v>327</v>
      </c>
      <c r="K179" s="106" t="s">
        <v>382</v>
      </c>
      <c r="L179" s="106" t="s">
        <v>884</v>
      </c>
      <c r="M179" s="106" t="s">
        <v>388</v>
      </c>
      <c r="N179" s="106" t="s">
        <v>44</v>
      </c>
      <c r="O179" s="106" t="s">
        <v>386</v>
      </c>
      <c r="P179" s="106" t="s">
        <v>866</v>
      </c>
      <c r="Q179" s="106" t="s">
        <v>818</v>
      </c>
      <c r="R179" s="106" t="s">
        <v>71</v>
      </c>
      <c r="S179" s="83" t="str">
        <f t="shared" si="16"/>
        <v>21005A-STE</v>
      </c>
      <c r="T179" s="83" t="str">
        <f t="shared" si="17"/>
        <v>Saint Louis Terriers Archive MILB</v>
      </c>
      <c r="Y179" s="60">
        <f t="shared" si="18"/>
        <v>6</v>
      </c>
      <c r="Z179" s="49">
        <f t="shared" si="19"/>
        <v>158</v>
      </c>
      <c r="AA179" s="60">
        <f t="shared" si="20"/>
        <v>6158</v>
      </c>
    </row>
    <row r="180" spans="1:27">
      <c r="A180" s="83" t="str">
        <f t="shared" si="14"/>
        <v>21005A-WHAivory-navy</v>
      </c>
      <c r="B180" s="83" t="str">
        <f t="shared" si="15"/>
        <v>06-159-70</v>
      </c>
      <c r="C180" s="106" t="s">
        <v>1451</v>
      </c>
      <c r="D180" s="106" t="s">
        <v>1452</v>
      </c>
      <c r="E180" s="106" t="s">
        <v>788</v>
      </c>
      <c r="F180" s="107">
        <v>0</v>
      </c>
      <c r="G180" s="106" t="s">
        <v>1453</v>
      </c>
      <c r="H180" s="106" t="s">
        <v>117</v>
      </c>
      <c r="I180" s="106" t="s">
        <v>848</v>
      </c>
      <c r="J180" s="106" t="s">
        <v>327</v>
      </c>
      <c r="K180" s="106" t="s">
        <v>382</v>
      </c>
      <c r="L180" s="106" t="s">
        <v>884</v>
      </c>
      <c r="M180" s="106" t="s">
        <v>388</v>
      </c>
      <c r="N180" s="106" t="s">
        <v>44</v>
      </c>
      <c r="O180" s="106" t="s">
        <v>386</v>
      </c>
      <c r="P180" s="106" t="s">
        <v>866</v>
      </c>
      <c r="Q180" s="106" t="s">
        <v>1411</v>
      </c>
      <c r="R180" s="106" t="s">
        <v>57</v>
      </c>
      <c r="S180" s="83" t="str">
        <f t="shared" si="16"/>
        <v>21005A-WHA</v>
      </c>
      <c r="T180" s="83" t="str">
        <f t="shared" si="17"/>
        <v>Chicago Whales Archive MILB</v>
      </c>
      <c r="Y180" s="60">
        <f t="shared" si="18"/>
        <v>6</v>
      </c>
      <c r="Z180" s="49">
        <f t="shared" si="19"/>
        <v>159</v>
      </c>
      <c r="AA180" s="60">
        <f t="shared" si="20"/>
        <v>6159</v>
      </c>
    </row>
    <row r="181" spans="1:27">
      <c r="A181" s="83" t="str">
        <f t="shared" si="14"/>
        <v>21005A-YOGblack</v>
      </c>
      <c r="B181" s="83" t="str">
        <f t="shared" si="15"/>
        <v>06-160-09</v>
      </c>
      <c r="C181" s="106" t="s">
        <v>1454</v>
      </c>
      <c r="D181" s="106" t="s">
        <v>1455</v>
      </c>
      <c r="E181" s="106" t="s">
        <v>788</v>
      </c>
      <c r="F181" s="107">
        <v>0</v>
      </c>
      <c r="G181" s="106" t="s">
        <v>1456</v>
      </c>
      <c r="H181" s="106" t="s">
        <v>53</v>
      </c>
      <c r="I181" s="106" t="s">
        <v>848</v>
      </c>
      <c r="J181" s="106" t="s">
        <v>327</v>
      </c>
      <c r="K181" s="106" t="s">
        <v>382</v>
      </c>
      <c r="L181" s="106" t="s">
        <v>884</v>
      </c>
      <c r="M181" s="106" t="s">
        <v>388</v>
      </c>
      <c r="N181" s="106" t="s">
        <v>44</v>
      </c>
      <c r="O181" s="106" t="s">
        <v>386</v>
      </c>
      <c r="P181" s="106" t="s">
        <v>866</v>
      </c>
      <c r="Q181" s="106" t="s">
        <v>819</v>
      </c>
      <c r="R181" s="106" t="s">
        <v>53</v>
      </c>
      <c r="S181" s="83" t="str">
        <f t="shared" si="16"/>
        <v>21005A-YOG</v>
      </c>
      <c r="T181" s="83" t="str">
        <f t="shared" si="17"/>
        <v>Yomiuri Giants Archive NPL</v>
      </c>
      <c r="Y181" s="60">
        <f t="shared" si="18"/>
        <v>6</v>
      </c>
      <c r="Z181" s="49">
        <f t="shared" si="19"/>
        <v>160</v>
      </c>
      <c r="AA181" s="60">
        <f t="shared" si="20"/>
        <v>6160</v>
      </c>
    </row>
    <row r="182" spans="1:27">
      <c r="A182" s="83" t="str">
        <f t="shared" si="14"/>
        <v>21006A-COAmar</v>
      </c>
      <c r="B182" s="83" t="str">
        <f t="shared" si="15"/>
        <v>06-161-12</v>
      </c>
      <c r="C182" s="106" t="s">
        <v>1457</v>
      </c>
      <c r="D182" s="106" t="s">
        <v>1458</v>
      </c>
      <c r="E182" s="106" t="s">
        <v>788</v>
      </c>
      <c r="F182" s="107">
        <v>0</v>
      </c>
      <c r="G182" s="106" t="s">
        <v>1459</v>
      </c>
      <c r="H182" s="106" t="s">
        <v>121</v>
      </c>
      <c r="I182" s="106" t="s">
        <v>888</v>
      </c>
      <c r="J182" s="106" t="s">
        <v>792</v>
      </c>
      <c r="K182" s="106" t="s">
        <v>382</v>
      </c>
      <c r="L182" s="106" t="s">
        <v>884</v>
      </c>
      <c r="M182" s="106" t="s">
        <v>388</v>
      </c>
      <c r="N182" s="106" t="s">
        <v>44</v>
      </c>
      <c r="O182" s="106" t="s">
        <v>541</v>
      </c>
      <c r="P182" s="106" t="s">
        <v>866</v>
      </c>
      <c r="Q182" s="106" t="s">
        <v>846</v>
      </c>
      <c r="R182" s="106" t="s">
        <v>121</v>
      </c>
      <c r="S182" s="83" t="str">
        <f t="shared" si="16"/>
        <v>21006A-COA</v>
      </c>
      <c r="T182" s="83" t="str">
        <f t="shared" si="17"/>
        <v>Colorado Avalanche Archive 400 NHL</v>
      </c>
      <c r="Y182" s="60">
        <f t="shared" si="18"/>
        <v>6</v>
      </c>
      <c r="Z182" s="49">
        <f t="shared" si="19"/>
        <v>161</v>
      </c>
      <c r="AA182" s="60">
        <f t="shared" si="20"/>
        <v>6161</v>
      </c>
    </row>
    <row r="183" spans="1:27">
      <c r="A183" s="83" t="str">
        <f t="shared" si="14"/>
        <v>21006A-HOGgrey</v>
      </c>
      <c r="B183" s="83" t="str">
        <f t="shared" si="15"/>
        <v>06-162-01</v>
      </c>
      <c r="C183" s="106" t="s">
        <v>1460</v>
      </c>
      <c r="D183" s="106" t="s">
        <v>1461</v>
      </c>
      <c r="E183" s="106" t="s">
        <v>788</v>
      </c>
      <c r="F183" s="107">
        <v>0</v>
      </c>
      <c r="G183" s="106" t="s">
        <v>1462</v>
      </c>
      <c r="H183" s="106" t="s">
        <v>231</v>
      </c>
      <c r="I183" s="106" t="s">
        <v>1463</v>
      </c>
      <c r="J183" s="106" t="s">
        <v>792</v>
      </c>
      <c r="K183" s="106" t="s">
        <v>382</v>
      </c>
      <c r="L183" s="106" t="s">
        <v>884</v>
      </c>
      <c r="M183" s="106" t="s">
        <v>388</v>
      </c>
      <c r="N183" s="106" t="s">
        <v>44</v>
      </c>
      <c r="O183" s="106" t="s">
        <v>541</v>
      </c>
      <c r="P183" s="106" t="s">
        <v>866</v>
      </c>
      <c r="Q183" s="106" t="s">
        <v>787</v>
      </c>
      <c r="R183" s="106" t="s">
        <v>83</v>
      </c>
      <c r="S183" s="83" t="str">
        <f t="shared" si="16"/>
        <v>21006A-HOG</v>
      </c>
      <c r="T183" s="83" t="str">
        <f t="shared" si="17"/>
        <v>Homestead Grays Archive 400 NL</v>
      </c>
      <c r="Y183" s="60">
        <f t="shared" si="18"/>
        <v>6</v>
      </c>
      <c r="Z183" s="49">
        <f t="shared" si="19"/>
        <v>162</v>
      </c>
      <c r="AA183" s="60">
        <f t="shared" si="20"/>
        <v>6162</v>
      </c>
    </row>
    <row r="184" spans="1:27">
      <c r="A184" s="83" t="str">
        <f t="shared" si="14"/>
        <v>21006A-LOSnavy</v>
      </c>
      <c r="B184" s="83" t="str">
        <f t="shared" si="15"/>
        <v>06-163-16</v>
      </c>
      <c r="C184" s="106" t="s">
        <v>1464</v>
      </c>
      <c r="D184" s="106" t="s">
        <v>1465</v>
      </c>
      <c r="E184" s="106" t="s">
        <v>788</v>
      </c>
      <c r="F184" s="107">
        <v>0</v>
      </c>
      <c r="G184" s="106" t="s">
        <v>1466</v>
      </c>
      <c r="H184" s="106" t="s">
        <v>55</v>
      </c>
      <c r="I184" s="106" t="s">
        <v>888</v>
      </c>
      <c r="J184" s="106" t="s">
        <v>792</v>
      </c>
      <c r="K184" s="106" t="s">
        <v>382</v>
      </c>
      <c r="L184" s="106" t="s">
        <v>884</v>
      </c>
      <c r="M184" s="106" t="s">
        <v>388</v>
      </c>
      <c r="N184" s="106" t="s">
        <v>44</v>
      </c>
      <c r="O184" s="106" t="s">
        <v>541</v>
      </c>
      <c r="P184" s="106" t="s">
        <v>866</v>
      </c>
      <c r="Q184" s="106" t="s">
        <v>818</v>
      </c>
      <c r="R184" s="106" t="s">
        <v>71</v>
      </c>
      <c r="S184" s="83" t="str">
        <f t="shared" si="16"/>
        <v>21006A-LOS</v>
      </c>
      <c r="T184" s="83" t="str">
        <f t="shared" si="17"/>
        <v>Los Angeles Angels Archive 400 MILB</v>
      </c>
      <c r="Y184" s="60">
        <f t="shared" si="18"/>
        <v>6</v>
      </c>
      <c r="Z184" s="49">
        <f t="shared" si="19"/>
        <v>163</v>
      </c>
      <c r="AA184" s="60">
        <f t="shared" si="20"/>
        <v>6163</v>
      </c>
    </row>
    <row r="185" spans="1:27">
      <c r="A185" s="83" t="str">
        <f t="shared" si="14"/>
        <v>21006A-NBYblack</v>
      </c>
      <c r="B185" s="83" t="str">
        <f t="shared" si="15"/>
        <v>06-164-09</v>
      </c>
      <c r="C185" s="106" t="s">
        <v>1467</v>
      </c>
      <c r="D185" s="106" t="s">
        <v>1468</v>
      </c>
      <c r="E185" s="106" t="s">
        <v>788</v>
      </c>
      <c r="F185" s="107">
        <v>0</v>
      </c>
      <c r="G185" s="106" t="s">
        <v>1469</v>
      </c>
      <c r="H185" s="106" t="s">
        <v>53</v>
      </c>
      <c r="I185" s="106" t="s">
        <v>888</v>
      </c>
      <c r="J185" s="106" t="s">
        <v>792</v>
      </c>
      <c r="K185" s="106" t="s">
        <v>382</v>
      </c>
      <c r="L185" s="106" t="s">
        <v>884</v>
      </c>
      <c r="M185" s="106" t="s">
        <v>388</v>
      </c>
      <c r="N185" s="106" t="s">
        <v>44</v>
      </c>
      <c r="O185" s="106" t="s">
        <v>541</v>
      </c>
      <c r="P185" s="106" t="s">
        <v>866</v>
      </c>
      <c r="Q185" s="106" t="s">
        <v>819</v>
      </c>
      <c r="R185" s="106" t="s">
        <v>53</v>
      </c>
      <c r="S185" s="83" t="str">
        <f t="shared" si="16"/>
        <v>21006A-NBY</v>
      </c>
      <c r="T185" s="83" t="str">
        <f t="shared" si="17"/>
        <v>New York Black Yankees Archive 400 NL</v>
      </c>
      <c r="Y185" s="60">
        <f t="shared" si="18"/>
        <v>6</v>
      </c>
      <c r="Z185" s="49">
        <f t="shared" si="19"/>
        <v>164</v>
      </c>
      <c r="AA185" s="60">
        <f t="shared" si="20"/>
        <v>6164</v>
      </c>
    </row>
    <row r="186" spans="1:27">
      <c r="A186" s="83" t="str">
        <f t="shared" si="14"/>
        <v>21006A-NYCnavy</v>
      </c>
      <c r="B186" s="83" t="str">
        <f t="shared" si="15"/>
        <v>06-165-16</v>
      </c>
      <c r="C186" s="106" t="s">
        <v>1470</v>
      </c>
      <c r="D186" s="106" t="s">
        <v>1471</v>
      </c>
      <c r="E186" s="106" t="s">
        <v>788</v>
      </c>
      <c r="F186" s="107">
        <v>0</v>
      </c>
      <c r="G186" s="106" t="s">
        <v>1472</v>
      </c>
      <c r="H186" s="106" t="s">
        <v>55</v>
      </c>
      <c r="I186" s="106" t="s">
        <v>888</v>
      </c>
      <c r="J186" s="106" t="s">
        <v>792</v>
      </c>
      <c r="K186" s="106" t="s">
        <v>382</v>
      </c>
      <c r="L186" s="106" t="s">
        <v>884</v>
      </c>
      <c r="M186" s="106" t="s">
        <v>388</v>
      </c>
      <c r="N186" s="106" t="s">
        <v>44</v>
      </c>
      <c r="O186" s="106" t="s">
        <v>541</v>
      </c>
      <c r="P186" s="106" t="s">
        <v>866</v>
      </c>
      <c r="Q186" s="106" t="s">
        <v>818</v>
      </c>
      <c r="R186" s="106" t="s">
        <v>71</v>
      </c>
      <c r="S186" s="83" t="str">
        <f t="shared" si="16"/>
        <v>21006A-NYC</v>
      </c>
      <c r="T186" s="83" t="str">
        <f t="shared" si="17"/>
        <v>New York Cubans Archive 400 NL</v>
      </c>
      <c r="Y186" s="60">
        <f t="shared" si="18"/>
        <v>6</v>
      </c>
      <c r="Z186" s="49">
        <f t="shared" si="19"/>
        <v>165</v>
      </c>
      <c r="AA186" s="60">
        <f t="shared" si="20"/>
        <v>6165</v>
      </c>
    </row>
    <row r="187" spans="1:27">
      <c r="A187" s="83" t="str">
        <f t="shared" si="14"/>
        <v>21006A-SJSblte</v>
      </c>
      <c r="B187" s="83" t="str">
        <f t="shared" si="15"/>
        <v>06-166-62</v>
      </c>
      <c r="C187" s="106" t="s">
        <v>1473</v>
      </c>
      <c r="D187" s="106" t="s">
        <v>1474</v>
      </c>
      <c r="E187" s="106" t="s">
        <v>788</v>
      </c>
      <c r="F187" s="107">
        <v>0</v>
      </c>
      <c r="G187" s="106" t="s">
        <v>1475</v>
      </c>
      <c r="H187" s="106" t="s">
        <v>296</v>
      </c>
      <c r="I187" s="106" t="s">
        <v>888</v>
      </c>
      <c r="J187" s="106" t="s">
        <v>792</v>
      </c>
      <c r="K187" s="106" t="s">
        <v>382</v>
      </c>
      <c r="L187" s="106" t="s">
        <v>884</v>
      </c>
      <c r="M187" s="106" t="s">
        <v>388</v>
      </c>
      <c r="N187" s="106" t="s">
        <v>44</v>
      </c>
      <c r="O187" s="106" t="s">
        <v>541</v>
      </c>
      <c r="P187" s="106" t="s">
        <v>866</v>
      </c>
      <c r="Q187" s="106" t="s">
        <v>1476</v>
      </c>
      <c r="R187" s="106" t="s">
        <v>53</v>
      </c>
      <c r="S187" s="83" t="str">
        <f t="shared" si="16"/>
        <v>21006A-SJS</v>
      </c>
      <c r="T187" s="83" t="str">
        <f t="shared" si="17"/>
        <v>San Jose Sharks Archive 400 NHL</v>
      </c>
      <c r="Y187" s="60">
        <f t="shared" si="18"/>
        <v>6</v>
      </c>
      <c r="Z187" s="49">
        <f t="shared" si="19"/>
        <v>166</v>
      </c>
      <c r="AA187" s="60">
        <f t="shared" si="20"/>
        <v>6166</v>
      </c>
    </row>
    <row r="188" spans="1:27">
      <c r="A188" s="83" t="str">
        <f t="shared" si="14"/>
        <v>21006A-TMLroy</v>
      </c>
      <c r="B188" s="83" t="str">
        <f t="shared" si="15"/>
        <v>06-167-06</v>
      </c>
      <c r="C188" s="106" t="s">
        <v>1477</v>
      </c>
      <c r="D188" s="106" t="s">
        <v>1478</v>
      </c>
      <c r="E188" s="106" t="s">
        <v>788</v>
      </c>
      <c r="F188" s="107">
        <v>0</v>
      </c>
      <c r="G188" s="106" t="s">
        <v>1479</v>
      </c>
      <c r="H188" s="106" t="s">
        <v>71</v>
      </c>
      <c r="I188" s="106" t="s">
        <v>888</v>
      </c>
      <c r="J188" s="106" t="s">
        <v>792</v>
      </c>
      <c r="K188" s="106" t="s">
        <v>382</v>
      </c>
      <c r="L188" s="106" t="s">
        <v>884</v>
      </c>
      <c r="M188" s="106" t="s">
        <v>388</v>
      </c>
      <c r="N188" s="106" t="s">
        <v>44</v>
      </c>
      <c r="O188" s="106" t="s">
        <v>541</v>
      </c>
      <c r="P188" s="106" t="s">
        <v>866</v>
      </c>
      <c r="Q188" s="106" t="s">
        <v>917</v>
      </c>
      <c r="R188" s="106" t="s">
        <v>71</v>
      </c>
      <c r="S188" s="83" t="str">
        <f t="shared" si="16"/>
        <v>21006A-TML</v>
      </c>
      <c r="T188" s="83" t="str">
        <f t="shared" si="17"/>
        <v>Toronto Maple Leafs Archive 400 NHL</v>
      </c>
      <c r="Y188" s="60">
        <f t="shared" si="18"/>
        <v>6</v>
      </c>
      <c r="Z188" s="49">
        <f t="shared" si="19"/>
        <v>167</v>
      </c>
      <c r="AA188" s="60">
        <f t="shared" si="20"/>
        <v>6167</v>
      </c>
    </row>
    <row r="189" spans="1:27">
      <c r="A189" s="83" t="str">
        <f t="shared" si="14"/>
        <v>21006A-WPJroyal-red</v>
      </c>
      <c r="B189" s="83" t="str">
        <f t="shared" si="15"/>
        <v>06-168-21</v>
      </c>
      <c r="C189" s="106" t="s">
        <v>1480</v>
      </c>
      <c r="D189" s="106" t="s">
        <v>1481</v>
      </c>
      <c r="E189" s="106" t="s">
        <v>788</v>
      </c>
      <c r="F189" s="107">
        <v>0</v>
      </c>
      <c r="G189" s="106" t="s">
        <v>1482</v>
      </c>
      <c r="H189" s="106" t="s">
        <v>252</v>
      </c>
      <c r="I189" s="106" t="s">
        <v>888</v>
      </c>
      <c r="J189" s="106" t="s">
        <v>792</v>
      </c>
      <c r="K189" s="106" t="s">
        <v>382</v>
      </c>
      <c r="L189" s="106" t="s">
        <v>884</v>
      </c>
      <c r="M189" s="106" t="s">
        <v>388</v>
      </c>
      <c r="N189" s="106" t="s">
        <v>44</v>
      </c>
      <c r="O189" s="106" t="s">
        <v>541</v>
      </c>
      <c r="P189" s="106" t="s">
        <v>866</v>
      </c>
      <c r="Q189" s="106" t="s">
        <v>1483</v>
      </c>
      <c r="R189" s="106" t="s">
        <v>71</v>
      </c>
      <c r="S189" s="83" t="str">
        <f t="shared" si="16"/>
        <v>21006A-WPJ</v>
      </c>
      <c r="T189" s="83" t="str">
        <f t="shared" si="17"/>
        <v>Winnipeg Jets Archive 400 NHL</v>
      </c>
      <c r="Y189" s="60">
        <f t="shared" si="18"/>
        <v>6</v>
      </c>
      <c r="Z189" s="49">
        <f t="shared" si="19"/>
        <v>168</v>
      </c>
      <c r="AA189" s="60">
        <f t="shared" si="20"/>
        <v>6168</v>
      </c>
    </row>
    <row r="190" spans="1:27">
      <c r="A190" s="83" t="str">
        <f t="shared" si="14"/>
        <v>21007A-CAnavy</v>
      </c>
      <c r="B190" s="83" t="str">
        <f t="shared" si="15"/>
        <v>06-169-62</v>
      </c>
      <c r="C190" s="106" t="s">
        <v>1484</v>
      </c>
      <c r="D190" s="106" t="s">
        <v>1485</v>
      </c>
      <c r="E190" s="106" t="s">
        <v>788</v>
      </c>
      <c r="F190" s="107">
        <v>0</v>
      </c>
      <c r="G190" s="106" t="s">
        <v>1486</v>
      </c>
      <c r="H190" s="106" t="s">
        <v>681</v>
      </c>
      <c r="I190" s="106" t="s">
        <v>786</v>
      </c>
      <c r="J190" s="106" t="s">
        <v>356</v>
      </c>
      <c r="K190" s="106" t="s">
        <v>382</v>
      </c>
      <c r="L190" s="106" t="s">
        <v>880</v>
      </c>
      <c r="M190" s="106" t="s">
        <v>388</v>
      </c>
      <c r="N190" s="106" t="s">
        <v>43</v>
      </c>
      <c r="O190" s="106" t="s">
        <v>386</v>
      </c>
      <c r="P190" s="106" t="s">
        <v>866</v>
      </c>
      <c r="Q190" s="106" t="s">
        <v>818</v>
      </c>
      <c r="R190" s="106" t="s">
        <v>91</v>
      </c>
      <c r="S190" s="83" t="str">
        <f t="shared" si="16"/>
        <v>21007A-CA</v>
      </c>
      <c r="T190" s="83" t="str">
        <f t="shared" si="17"/>
        <v>California Surf Tri-Color</v>
      </c>
      <c r="Y190" s="60">
        <f t="shared" si="18"/>
        <v>6</v>
      </c>
      <c r="Z190" s="49">
        <f t="shared" si="19"/>
        <v>169</v>
      </c>
      <c r="AA190" s="60">
        <f t="shared" si="20"/>
        <v>6169</v>
      </c>
    </row>
    <row r="191" spans="1:27">
      <c r="A191" s="83" t="str">
        <f t="shared" si="14"/>
        <v>21007A-DAYTONAivory-black</v>
      </c>
      <c r="B191" s="83" t="str">
        <f t="shared" si="15"/>
        <v>06-170-53</v>
      </c>
      <c r="C191" s="106" t="s">
        <v>1487</v>
      </c>
      <c r="D191" s="106" t="s">
        <v>1488</v>
      </c>
      <c r="E191" s="106" t="s">
        <v>788</v>
      </c>
      <c r="F191" s="107">
        <v>0</v>
      </c>
      <c r="G191" s="106" t="s">
        <v>1489</v>
      </c>
      <c r="H191" s="106" t="s">
        <v>304</v>
      </c>
      <c r="I191" s="106" t="s">
        <v>786</v>
      </c>
      <c r="J191" s="106" t="s">
        <v>356</v>
      </c>
      <c r="K191" s="106" t="s">
        <v>382</v>
      </c>
      <c r="L191" s="106" t="s">
        <v>1358</v>
      </c>
      <c r="M191" s="106" t="s">
        <v>388</v>
      </c>
      <c r="N191" s="106" t="s">
        <v>43</v>
      </c>
      <c r="O191" s="106" t="s">
        <v>386</v>
      </c>
      <c r="P191" s="106" t="s">
        <v>866</v>
      </c>
      <c r="Q191" s="106" t="s">
        <v>1419</v>
      </c>
      <c r="R191" s="106" t="s">
        <v>53</v>
      </c>
      <c r="S191" s="83" t="str">
        <f t="shared" si="16"/>
        <v>21007A-DAYTONA</v>
      </c>
      <c r="T191" s="83" t="str">
        <f t="shared" si="17"/>
        <v>Daytona Tri-Color</v>
      </c>
      <c r="Y191" s="60">
        <f t="shared" si="18"/>
        <v>6</v>
      </c>
      <c r="Z191" s="49">
        <f t="shared" si="19"/>
        <v>170</v>
      </c>
      <c r="AA191" s="60">
        <f t="shared" si="20"/>
        <v>6170</v>
      </c>
    </row>
    <row r="192" spans="1:27">
      <c r="A192" s="83" t="str">
        <f t="shared" si="14"/>
        <v>21007A-NASAblue-royal</v>
      </c>
      <c r="B192" s="83" t="str">
        <f t="shared" si="15"/>
        <v>06-171-06</v>
      </c>
      <c r="C192" s="106" t="s">
        <v>1490</v>
      </c>
      <c r="D192" s="106" t="s">
        <v>1491</v>
      </c>
      <c r="E192" s="106" t="s">
        <v>788</v>
      </c>
      <c r="F192" s="107">
        <v>0</v>
      </c>
      <c r="G192" s="106" t="s">
        <v>1492</v>
      </c>
      <c r="H192" s="106" t="s">
        <v>249</v>
      </c>
      <c r="I192" s="106" t="s">
        <v>786</v>
      </c>
      <c r="J192" s="106" t="s">
        <v>356</v>
      </c>
      <c r="K192" s="106" t="s">
        <v>382</v>
      </c>
      <c r="L192" s="106" t="s">
        <v>873</v>
      </c>
      <c r="M192" s="106" t="s">
        <v>388</v>
      </c>
      <c r="N192" s="106" t="s">
        <v>43</v>
      </c>
      <c r="O192" s="106" t="s">
        <v>386</v>
      </c>
      <c r="P192" s="106" t="s">
        <v>866</v>
      </c>
      <c r="Q192" s="106" t="s">
        <v>1493</v>
      </c>
      <c r="R192" s="106" t="s">
        <v>71</v>
      </c>
      <c r="S192" s="83" t="str">
        <f t="shared" si="16"/>
        <v>21007A-NASA</v>
      </c>
      <c r="T192" s="83" t="str">
        <f t="shared" si="17"/>
        <v>Space with NASA Tri-Color</v>
      </c>
      <c r="Y192" s="60">
        <f t="shared" si="18"/>
        <v>6</v>
      </c>
      <c r="Z192" s="49">
        <f t="shared" si="19"/>
        <v>171</v>
      </c>
      <c r="AA192" s="60">
        <f t="shared" si="20"/>
        <v>6171</v>
      </c>
    </row>
    <row r="193" spans="1:27">
      <c r="A193" s="83" t="str">
        <f t="shared" si="14"/>
        <v>21010A-CORVETTEivory red</v>
      </c>
      <c r="B193" s="83" t="str">
        <f t="shared" si="15"/>
        <v>06-172-18</v>
      </c>
      <c r="C193" s="106" t="s">
        <v>1494</v>
      </c>
      <c r="D193" s="106" t="s">
        <v>1495</v>
      </c>
      <c r="E193" s="106" t="s">
        <v>788</v>
      </c>
      <c r="F193" s="107">
        <v>0</v>
      </c>
      <c r="G193" s="106" t="s">
        <v>1496</v>
      </c>
      <c r="H193" s="106" t="s">
        <v>179</v>
      </c>
      <c r="I193" s="106" t="s">
        <v>786</v>
      </c>
      <c r="J193" s="106" t="s">
        <v>356</v>
      </c>
      <c r="K193" s="106" t="s">
        <v>382</v>
      </c>
      <c r="L193" s="106" t="s">
        <v>1358</v>
      </c>
      <c r="M193" s="106" t="s">
        <v>388</v>
      </c>
      <c r="N193" s="106" t="s">
        <v>43</v>
      </c>
      <c r="O193" s="106" t="s">
        <v>386</v>
      </c>
      <c r="P193" s="106" t="s">
        <v>866</v>
      </c>
      <c r="Q193" s="106" t="s">
        <v>1497</v>
      </c>
      <c r="R193" s="106" t="s">
        <v>78</v>
      </c>
      <c r="S193" s="83" t="str">
        <f t="shared" si="16"/>
        <v>21010A-CORVETTE</v>
      </c>
      <c r="T193" s="83" t="str">
        <f t="shared" si="17"/>
        <v>Corvette VMoto Valin</v>
      </c>
      <c r="Y193" s="60">
        <f t="shared" si="18"/>
        <v>6</v>
      </c>
      <c r="Z193" s="49">
        <f t="shared" si="19"/>
        <v>172</v>
      </c>
      <c r="AA193" s="60">
        <f t="shared" si="20"/>
        <v>6172</v>
      </c>
    </row>
    <row r="194" spans="1:27">
      <c r="A194" s="83" t="str">
        <f t="shared" si="14"/>
        <v>21010A-TXWRLDcore</v>
      </c>
      <c r="B194" s="83" t="str">
        <f t="shared" si="15"/>
        <v>06-173-06</v>
      </c>
      <c r="C194" s="106" t="s">
        <v>1498</v>
      </c>
      <c r="D194" s="106" t="s">
        <v>1499</v>
      </c>
      <c r="E194" s="106" t="s">
        <v>788</v>
      </c>
      <c r="F194" s="107">
        <v>0</v>
      </c>
      <c r="G194" s="106" t="s">
        <v>1500</v>
      </c>
      <c r="H194" s="106" t="s">
        <v>71</v>
      </c>
      <c r="I194" s="106" t="s">
        <v>786</v>
      </c>
      <c r="J194" s="106" t="s">
        <v>356</v>
      </c>
      <c r="K194" s="106" t="s">
        <v>382</v>
      </c>
      <c r="L194" s="106" t="s">
        <v>880</v>
      </c>
      <c r="M194" s="106" t="s">
        <v>388</v>
      </c>
      <c r="N194" s="106" t="s">
        <v>43</v>
      </c>
      <c r="O194" s="106" t="s">
        <v>386</v>
      </c>
      <c r="P194" s="106" t="s">
        <v>866</v>
      </c>
      <c r="Q194" s="106" t="s">
        <v>1501</v>
      </c>
      <c r="R194" s="106" t="s">
        <v>71</v>
      </c>
      <c r="S194" s="83" t="str">
        <f t="shared" si="16"/>
        <v>21010A-TXWRLD</v>
      </c>
      <c r="T194" s="83" t="str">
        <f t="shared" si="17"/>
        <v>Texas World Speedway VMoto Valin</v>
      </c>
      <c r="Y194" s="60">
        <f t="shared" si="18"/>
        <v>6</v>
      </c>
      <c r="Z194" s="49">
        <f t="shared" si="19"/>
        <v>173</v>
      </c>
      <c r="AA194" s="60">
        <f t="shared" si="20"/>
        <v>6173</v>
      </c>
    </row>
    <row r="195" spans="1:27">
      <c r="A195" s="83" t="str">
        <f t="shared" ref="A195:A258" si="21">IF(G195&amp;Q195&lt;&gt;"",S195&amp;Q195,"")</f>
        <v>21012A-CAblack</v>
      </c>
      <c r="B195" s="83" t="str">
        <f t="shared" ref="B195:B258" si="22">IF(C195&lt;&gt;"",LEFT(C195,9),"")</f>
        <v>06-174-09</v>
      </c>
      <c r="C195" s="106" t="s">
        <v>1502</v>
      </c>
      <c r="D195" s="106" t="s">
        <v>1503</v>
      </c>
      <c r="E195" s="106" t="s">
        <v>791</v>
      </c>
      <c r="F195" s="107">
        <v>56</v>
      </c>
      <c r="G195" s="106" t="s">
        <v>1504</v>
      </c>
      <c r="H195" s="106" t="s">
        <v>53</v>
      </c>
      <c r="I195" s="106" t="s">
        <v>786</v>
      </c>
      <c r="J195" s="106" t="s">
        <v>325</v>
      </c>
      <c r="K195" s="106" t="s">
        <v>382</v>
      </c>
      <c r="L195" s="106" t="s">
        <v>880</v>
      </c>
      <c r="M195" s="106" t="s">
        <v>388</v>
      </c>
      <c r="N195" s="106" t="s">
        <v>43</v>
      </c>
      <c r="O195" s="106" t="s">
        <v>541</v>
      </c>
      <c r="P195" s="106" t="s">
        <v>866</v>
      </c>
      <c r="Q195" s="106" t="s">
        <v>819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21012A-CA</v>
      </c>
      <c r="T195" s="83" t="str">
        <f t="shared" ref="T195:T258" si="24">IF(A195&lt;&gt;"",IFERROR(IF(FIND(" ",G195)&gt;=1,MID(G195,FIND(" ",G195)+1,LEN(G195)),""),G195),"")</f>
        <v>California Twill Screen</v>
      </c>
      <c r="Y195" s="60">
        <f t="shared" ref="Y195:Y258" si="25">IFERROR(VALUE(MID($C195,1,2)),0)</f>
        <v>6</v>
      </c>
      <c r="Z195" s="49">
        <f t="shared" ref="Z195:Z258" si="26">IFERROR(VALUE(MID($C195,4,3)),0)</f>
        <v>174</v>
      </c>
      <c r="AA195" s="60">
        <f t="shared" ref="AA195:AA258" si="27">VALUE(RIGHT("00"&amp;Y195,2)&amp;RIGHT("000"&amp;Z195,3))</f>
        <v>6174</v>
      </c>
    </row>
    <row r="196" spans="1:27">
      <c r="A196" s="83" t="str">
        <f t="shared" si="21"/>
        <v>21012A-CAblack</v>
      </c>
      <c r="B196" s="83" t="str">
        <f t="shared" si="22"/>
        <v>06-174-09</v>
      </c>
      <c r="C196" s="106" t="s">
        <v>1505</v>
      </c>
      <c r="D196" s="106" t="s">
        <v>1503</v>
      </c>
      <c r="E196" s="106" t="s">
        <v>829</v>
      </c>
      <c r="F196" s="107">
        <v>60</v>
      </c>
      <c r="G196" s="106" t="s">
        <v>1504</v>
      </c>
      <c r="H196" s="106" t="s">
        <v>53</v>
      </c>
      <c r="I196" s="106" t="s">
        <v>786</v>
      </c>
      <c r="J196" s="106" t="s">
        <v>325</v>
      </c>
      <c r="K196" s="106" t="s">
        <v>382</v>
      </c>
      <c r="L196" s="106" t="s">
        <v>880</v>
      </c>
      <c r="M196" s="106" t="s">
        <v>388</v>
      </c>
      <c r="N196" s="106" t="s">
        <v>43</v>
      </c>
      <c r="O196" s="106" t="s">
        <v>541</v>
      </c>
      <c r="P196" s="106" t="s">
        <v>866</v>
      </c>
      <c r="Q196" s="106" t="s">
        <v>819</v>
      </c>
      <c r="R196" s="106" t="s">
        <v>53</v>
      </c>
      <c r="S196" s="83" t="str">
        <f t="shared" si="23"/>
        <v>21012A-CA</v>
      </c>
      <c r="T196" s="83" t="str">
        <f t="shared" si="24"/>
        <v>California Twill Screen</v>
      </c>
      <c r="Y196" s="60">
        <f t="shared" si="25"/>
        <v>6</v>
      </c>
      <c r="Z196" s="49">
        <f t="shared" si="26"/>
        <v>174</v>
      </c>
      <c r="AA196" s="60">
        <f t="shared" si="27"/>
        <v>6174</v>
      </c>
    </row>
    <row r="197" spans="1:27">
      <c r="A197" s="83" t="str">
        <f t="shared" si="21"/>
        <v>21012A-CALInavy</v>
      </c>
      <c r="B197" s="83" t="str">
        <f t="shared" si="22"/>
        <v>06-175-16</v>
      </c>
      <c r="C197" s="106" t="s">
        <v>1506</v>
      </c>
      <c r="D197" s="106" t="s">
        <v>1507</v>
      </c>
      <c r="E197" s="106" t="s">
        <v>791</v>
      </c>
      <c r="F197" s="107">
        <v>56</v>
      </c>
      <c r="G197" s="106" t="s">
        <v>1508</v>
      </c>
      <c r="H197" s="106" t="s">
        <v>55</v>
      </c>
      <c r="I197" s="106" t="s">
        <v>786</v>
      </c>
      <c r="J197" s="106" t="s">
        <v>325</v>
      </c>
      <c r="K197" s="106" t="s">
        <v>382</v>
      </c>
      <c r="L197" s="106" t="s">
        <v>880</v>
      </c>
      <c r="M197" s="106" t="s">
        <v>388</v>
      </c>
      <c r="N197" s="106" t="s">
        <v>43</v>
      </c>
      <c r="O197" s="106" t="s">
        <v>541</v>
      </c>
      <c r="P197" s="106" t="s">
        <v>866</v>
      </c>
      <c r="Q197" s="106" t="s">
        <v>818</v>
      </c>
      <c r="R197" s="106" t="s">
        <v>71</v>
      </c>
      <c r="S197" s="83" t="str">
        <f t="shared" si="23"/>
        <v>21012A-CALI</v>
      </c>
      <c r="T197" s="83" t="str">
        <f t="shared" si="24"/>
        <v>California Twill Screen</v>
      </c>
      <c r="Y197" s="60">
        <f t="shared" si="25"/>
        <v>6</v>
      </c>
      <c r="Z197" s="49">
        <f t="shared" si="26"/>
        <v>175</v>
      </c>
      <c r="AA197" s="60">
        <f t="shared" si="27"/>
        <v>6175</v>
      </c>
    </row>
    <row r="198" spans="1:27">
      <c r="A198" s="83" t="str">
        <f t="shared" si="21"/>
        <v>21012A-CALInavy</v>
      </c>
      <c r="B198" s="83" t="str">
        <f t="shared" si="22"/>
        <v>06-175-16</v>
      </c>
      <c r="C198" s="106" t="s">
        <v>1509</v>
      </c>
      <c r="D198" s="106" t="s">
        <v>1507</v>
      </c>
      <c r="E198" s="106" t="s">
        <v>829</v>
      </c>
      <c r="F198" s="107">
        <v>60</v>
      </c>
      <c r="G198" s="106" t="s">
        <v>1508</v>
      </c>
      <c r="H198" s="106" t="s">
        <v>55</v>
      </c>
      <c r="I198" s="106" t="s">
        <v>786</v>
      </c>
      <c r="J198" s="106" t="s">
        <v>325</v>
      </c>
      <c r="K198" s="106" t="s">
        <v>382</v>
      </c>
      <c r="L198" s="106" t="s">
        <v>880</v>
      </c>
      <c r="M198" s="106" t="s">
        <v>388</v>
      </c>
      <c r="N198" s="106" t="s">
        <v>43</v>
      </c>
      <c r="O198" s="106" t="s">
        <v>541</v>
      </c>
      <c r="P198" s="106" t="s">
        <v>866</v>
      </c>
      <c r="Q198" s="106" t="s">
        <v>818</v>
      </c>
      <c r="R198" s="106" t="s">
        <v>71</v>
      </c>
      <c r="S198" s="83" t="str">
        <f t="shared" si="23"/>
        <v>21012A-CALI</v>
      </c>
      <c r="T198" s="83" t="str">
        <f t="shared" si="24"/>
        <v>California Twill Screen</v>
      </c>
      <c r="Y198" s="60">
        <f t="shared" si="25"/>
        <v>6</v>
      </c>
      <c r="Z198" s="49">
        <f t="shared" si="26"/>
        <v>175</v>
      </c>
      <c r="AA198" s="60">
        <f t="shared" si="27"/>
        <v>6175</v>
      </c>
    </row>
    <row r="199" spans="1:27">
      <c r="A199" s="83" t="str">
        <f t="shared" si="21"/>
        <v>21012A-MONTruisseau</v>
      </c>
      <c r="B199" s="83" t="str">
        <f t="shared" si="22"/>
        <v>06-176-01</v>
      </c>
      <c r="C199" s="106" t="s">
        <v>1510</v>
      </c>
      <c r="D199" s="106" t="s">
        <v>1511</v>
      </c>
      <c r="E199" s="106" t="s">
        <v>791</v>
      </c>
      <c r="F199" s="107">
        <v>56</v>
      </c>
      <c r="G199" s="106" t="s">
        <v>1512</v>
      </c>
      <c r="H199" s="106" t="s">
        <v>231</v>
      </c>
      <c r="I199" s="106" t="s">
        <v>786</v>
      </c>
      <c r="J199" s="106" t="s">
        <v>325</v>
      </c>
      <c r="K199" s="106" t="s">
        <v>382</v>
      </c>
      <c r="L199" s="106" t="s">
        <v>880</v>
      </c>
      <c r="M199" s="106" t="s">
        <v>388</v>
      </c>
      <c r="N199" s="106" t="s">
        <v>43</v>
      </c>
      <c r="O199" s="106" t="s">
        <v>541</v>
      </c>
      <c r="P199" s="106" t="s">
        <v>866</v>
      </c>
      <c r="Q199" s="106" t="s">
        <v>1513</v>
      </c>
      <c r="R199" s="106" t="s">
        <v>83</v>
      </c>
      <c r="S199" s="83" t="str">
        <f t="shared" si="23"/>
        <v>21012A-MONT</v>
      </c>
      <c r="T199" s="83" t="str">
        <f t="shared" si="24"/>
        <v>Montauk Twill Screen</v>
      </c>
      <c r="Y199" s="60">
        <f t="shared" si="25"/>
        <v>6</v>
      </c>
      <c r="Z199" s="49">
        <f t="shared" si="26"/>
        <v>176</v>
      </c>
      <c r="AA199" s="60">
        <f t="shared" si="27"/>
        <v>6176</v>
      </c>
    </row>
    <row r="200" spans="1:27">
      <c r="A200" s="83" t="str">
        <f t="shared" si="21"/>
        <v>21012A-MONTruisseau</v>
      </c>
      <c r="B200" s="83" t="str">
        <f t="shared" si="22"/>
        <v>06-176-01</v>
      </c>
      <c r="C200" s="106" t="s">
        <v>1514</v>
      </c>
      <c r="D200" s="106" t="s">
        <v>1511</v>
      </c>
      <c r="E200" s="106" t="s">
        <v>829</v>
      </c>
      <c r="F200" s="107">
        <v>60</v>
      </c>
      <c r="G200" s="106" t="s">
        <v>1512</v>
      </c>
      <c r="H200" s="106" t="s">
        <v>231</v>
      </c>
      <c r="I200" s="106" t="s">
        <v>786</v>
      </c>
      <c r="J200" s="106" t="s">
        <v>325</v>
      </c>
      <c r="K200" s="106" t="s">
        <v>382</v>
      </c>
      <c r="L200" s="106" t="s">
        <v>880</v>
      </c>
      <c r="M200" s="106" t="s">
        <v>388</v>
      </c>
      <c r="N200" s="106" t="s">
        <v>43</v>
      </c>
      <c r="O200" s="106" t="s">
        <v>541</v>
      </c>
      <c r="P200" s="106" t="s">
        <v>866</v>
      </c>
      <c r="Q200" s="106" t="s">
        <v>1513</v>
      </c>
      <c r="R200" s="106" t="s">
        <v>83</v>
      </c>
      <c r="S200" s="83" t="str">
        <f t="shared" si="23"/>
        <v>21012A-MONT</v>
      </c>
      <c r="T200" s="83" t="str">
        <f t="shared" si="24"/>
        <v>Montauk Twill Screen</v>
      </c>
      <c r="Y200" s="60">
        <f t="shared" si="25"/>
        <v>6</v>
      </c>
      <c r="Z200" s="49">
        <f t="shared" si="26"/>
        <v>176</v>
      </c>
      <c r="AA200" s="60">
        <f t="shared" si="27"/>
        <v>6176</v>
      </c>
    </row>
    <row r="201" spans="1:27">
      <c r="A201" s="83" t="str">
        <f t="shared" si="21"/>
        <v>21012A-PINKEblack</v>
      </c>
      <c r="B201" s="83" t="str">
        <f t="shared" si="22"/>
        <v>06-177-09</v>
      </c>
      <c r="C201" s="106" t="s">
        <v>1515</v>
      </c>
      <c r="D201" s="106" t="s">
        <v>1516</v>
      </c>
      <c r="E201" s="106" t="s">
        <v>791</v>
      </c>
      <c r="F201" s="107">
        <v>56</v>
      </c>
      <c r="G201" s="106" t="s">
        <v>1517</v>
      </c>
      <c r="H201" s="106" t="s">
        <v>53</v>
      </c>
      <c r="I201" s="106" t="s">
        <v>786</v>
      </c>
      <c r="J201" s="106" t="s">
        <v>325</v>
      </c>
      <c r="K201" s="106" t="s">
        <v>382</v>
      </c>
      <c r="L201" s="106" t="s">
        <v>880</v>
      </c>
      <c r="M201" s="106" t="s">
        <v>388</v>
      </c>
      <c r="N201" s="106" t="s">
        <v>43</v>
      </c>
      <c r="O201" s="106" t="s">
        <v>541</v>
      </c>
      <c r="P201" s="106" t="s">
        <v>866</v>
      </c>
      <c r="Q201" s="106" t="s">
        <v>819</v>
      </c>
      <c r="R201" s="106" t="s">
        <v>53</v>
      </c>
      <c r="S201" s="83" t="str">
        <f t="shared" si="23"/>
        <v>21012A-PINKE</v>
      </c>
      <c r="T201" s="83" t="str">
        <f t="shared" si="24"/>
        <v>Pink Elephant Twill Screen</v>
      </c>
      <c r="Y201" s="60">
        <f t="shared" si="25"/>
        <v>6</v>
      </c>
      <c r="Z201" s="49">
        <f t="shared" si="26"/>
        <v>177</v>
      </c>
      <c r="AA201" s="60">
        <f t="shared" si="27"/>
        <v>6177</v>
      </c>
    </row>
    <row r="202" spans="1:27">
      <c r="A202" s="83" t="str">
        <f t="shared" si="21"/>
        <v>21012A-PINKEblack</v>
      </c>
      <c r="B202" s="83" t="str">
        <f t="shared" si="22"/>
        <v>06-177-09</v>
      </c>
      <c r="C202" s="106" t="s">
        <v>1518</v>
      </c>
      <c r="D202" s="106" t="s">
        <v>1516</v>
      </c>
      <c r="E202" s="106" t="s">
        <v>829</v>
      </c>
      <c r="F202" s="107">
        <v>60</v>
      </c>
      <c r="G202" s="106" t="s">
        <v>1517</v>
      </c>
      <c r="H202" s="106" t="s">
        <v>53</v>
      </c>
      <c r="I202" s="106" t="s">
        <v>786</v>
      </c>
      <c r="J202" s="106" t="s">
        <v>325</v>
      </c>
      <c r="K202" s="106" t="s">
        <v>382</v>
      </c>
      <c r="L202" s="106" t="s">
        <v>880</v>
      </c>
      <c r="M202" s="106" t="s">
        <v>388</v>
      </c>
      <c r="N202" s="106" t="s">
        <v>43</v>
      </c>
      <c r="O202" s="106" t="s">
        <v>541</v>
      </c>
      <c r="P202" s="106" t="s">
        <v>866</v>
      </c>
      <c r="Q202" s="106" t="s">
        <v>819</v>
      </c>
      <c r="R202" s="106" t="s">
        <v>53</v>
      </c>
      <c r="S202" s="83" t="str">
        <f t="shared" si="23"/>
        <v>21012A-PINKE</v>
      </c>
      <c r="T202" s="83" t="str">
        <f t="shared" si="24"/>
        <v>Pink Elephant Twill Screen</v>
      </c>
      <c r="Y202" s="60">
        <f t="shared" si="25"/>
        <v>6</v>
      </c>
      <c r="Z202" s="49">
        <f t="shared" si="26"/>
        <v>177</v>
      </c>
      <c r="AA202" s="60">
        <f t="shared" si="27"/>
        <v>6177</v>
      </c>
    </row>
    <row r="203" spans="1:27">
      <c r="A203" s="83" t="str">
        <f t="shared" si="21"/>
        <v>21012A-SURFwhite</v>
      </c>
      <c r="B203" s="83" t="str">
        <f t="shared" si="22"/>
        <v>06-178-17</v>
      </c>
      <c r="C203" s="106" t="s">
        <v>1519</v>
      </c>
      <c r="D203" s="106" t="s">
        <v>1520</v>
      </c>
      <c r="E203" s="106" t="s">
        <v>791</v>
      </c>
      <c r="F203" s="107">
        <v>56</v>
      </c>
      <c r="G203" s="106" t="s">
        <v>1521</v>
      </c>
      <c r="H203" s="106" t="s">
        <v>57</v>
      </c>
      <c r="I203" s="106" t="s">
        <v>786</v>
      </c>
      <c r="J203" s="106" t="s">
        <v>325</v>
      </c>
      <c r="K203" s="106" t="s">
        <v>382</v>
      </c>
      <c r="L203" s="106" t="s">
        <v>880</v>
      </c>
      <c r="M203" s="106" t="s">
        <v>388</v>
      </c>
      <c r="N203" s="106" t="s">
        <v>43</v>
      </c>
      <c r="O203" s="106" t="s">
        <v>541</v>
      </c>
      <c r="P203" s="106" t="s">
        <v>866</v>
      </c>
      <c r="Q203" s="106" t="s">
        <v>820</v>
      </c>
      <c r="R203" s="106" t="s">
        <v>57</v>
      </c>
      <c r="S203" s="83" t="str">
        <f t="shared" si="23"/>
        <v>21012A-SURF</v>
      </c>
      <c r="T203" s="83" t="str">
        <f t="shared" si="24"/>
        <v>Surf USA Twill Screen</v>
      </c>
      <c r="Y203" s="60">
        <f t="shared" si="25"/>
        <v>6</v>
      </c>
      <c r="Z203" s="49">
        <f t="shared" si="26"/>
        <v>178</v>
      </c>
      <c r="AA203" s="60">
        <f t="shared" si="27"/>
        <v>6178</v>
      </c>
    </row>
    <row r="204" spans="1:27">
      <c r="A204" s="83" t="str">
        <f t="shared" si="21"/>
        <v>21012A-SURFwhite</v>
      </c>
      <c r="B204" s="83" t="str">
        <f t="shared" si="22"/>
        <v>06-178-17</v>
      </c>
      <c r="C204" s="106" t="s">
        <v>1522</v>
      </c>
      <c r="D204" s="106" t="s">
        <v>1520</v>
      </c>
      <c r="E204" s="106" t="s">
        <v>829</v>
      </c>
      <c r="F204" s="107">
        <v>60</v>
      </c>
      <c r="G204" s="106" t="s">
        <v>1521</v>
      </c>
      <c r="H204" s="106" t="s">
        <v>57</v>
      </c>
      <c r="I204" s="106" t="s">
        <v>786</v>
      </c>
      <c r="J204" s="106" t="s">
        <v>325</v>
      </c>
      <c r="K204" s="106" t="s">
        <v>382</v>
      </c>
      <c r="L204" s="106" t="s">
        <v>880</v>
      </c>
      <c r="M204" s="106" t="s">
        <v>388</v>
      </c>
      <c r="N204" s="106" t="s">
        <v>43</v>
      </c>
      <c r="O204" s="106" t="s">
        <v>541</v>
      </c>
      <c r="P204" s="106" t="s">
        <v>866</v>
      </c>
      <c r="Q204" s="106" t="s">
        <v>820</v>
      </c>
      <c r="R204" s="106" t="s">
        <v>57</v>
      </c>
      <c r="S204" s="83" t="str">
        <f t="shared" si="23"/>
        <v>21012A-SURF</v>
      </c>
      <c r="T204" s="83" t="str">
        <f t="shared" si="24"/>
        <v>Surf USA Twill Screen</v>
      </c>
      <c r="Y204" s="60">
        <f t="shared" si="25"/>
        <v>6</v>
      </c>
      <c r="Z204" s="49">
        <f t="shared" si="26"/>
        <v>178</v>
      </c>
      <c r="AA204" s="60">
        <f t="shared" si="27"/>
        <v>6178</v>
      </c>
    </row>
    <row r="205" spans="1:27">
      <c r="A205" s="83" t="str">
        <f t="shared" si="21"/>
        <v>21012A-TAHOEMineral</v>
      </c>
      <c r="B205" s="83" t="str">
        <f t="shared" si="22"/>
        <v>06-179-08</v>
      </c>
      <c r="C205" s="106" t="s">
        <v>1523</v>
      </c>
      <c r="D205" s="106" t="s">
        <v>1524</v>
      </c>
      <c r="E205" s="106" t="s">
        <v>791</v>
      </c>
      <c r="F205" s="107">
        <v>56</v>
      </c>
      <c r="G205" s="106" t="s">
        <v>1525</v>
      </c>
      <c r="H205" s="106" t="s">
        <v>83</v>
      </c>
      <c r="I205" s="106" t="s">
        <v>786</v>
      </c>
      <c r="J205" s="106" t="s">
        <v>325</v>
      </c>
      <c r="K205" s="106" t="s">
        <v>382</v>
      </c>
      <c r="L205" s="106" t="s">
        <v>880</v>
      </c>
      <c r="M205" s="106" t="s">
        <v>388</v>
      </c>
      <c r="N205" s="106" t="s">
        <v>43</v>
      </c>
      <c r="O205" s="106" t="s">
        <v>541</v>
      </c>
      <c r="P205" s="106" t="s">
        <v>866</v>
      </c>
      <c r="Q205" s="106" t="s">
        <v>847</v>
      </c>
      <c r="R205" s="106" t="s">
        <v>83</v>
      </c>
      <c r="S205" s="83" t="str">
        <f t="shared" si="23"/>
        <v>21012A-TAHOE</v>
      </c>
      <c r="T205" s="83" t="str">
        <f t="shared" si="24"/>
        <v>Lake Tahoe Twill Screen</v>
      </c>
      <c r="Y205" s="60">
        <f t="shared" si="25"/>
        <v>6</v>
      </c>
      <c r="Z205" s="49">
        <f t="shared" si="26"/>
        <v>179</v>
      </c>
      <c r="AA205" s="60">
        <f t="shared" si="27"/>
        <v>6179</v>
      </c>
    </row>
    <row r="206" spans="1:27">
      <c r="A206" s="83" t="str">
        <f t="shared" si="21"/>
        <v>21012A-TAHOEMineral</v>
      </c>
      <c r="B206" s="83" t="str">
        <f t="shared" si="22"/>
        <v>06-179-08</v>
      </c>
      <c r="C206" s="106" t="s">
        <v>1526</v>
      </c>
      <c r="D206" s="106" t="s">
        <v>1524</v>
      </c>
      <c r="E206" s="106" t="s">
        <v>829</v>
      </c>
      <c r="F206" s="107">
        <v>60</v>
      </c>
      <c r="G206" s="106" t="s">
        <v>1525</v>
      </c>
      <c r="H206" s="106" t="s">
        <v>83</v>
      </c>
      <c r="I206" s="106" t="s">
        <v>786</v>
      </c>
      <c r="J206" s="106" t="s">
        <v>325</v>
      </c>
      <c r="K206" s="106" t="s">
        <v>382</v>
      </c>
      <c r="L206" s="106" t="s">
        <v>880</v>
      </c>
      <c r="M206" s="106" t="s">
        <v>388</v>
      </c>
      <c r="N206" s="106" t="s">
        <v>43</v>
      </c>
      <c r="O206" s="106" t="s">
        <v>541</v>
      </c>
      <c r="P206" s="106" t="s">
        <v>866</v>
      </c>
      <c r="Q206" s="106" t="s">
        <v>847</v>
      </c>
      <c r="R206" s="106" t="s">
        <v>83</v>
      </c>
      <c r="S206" s="83" t="str">
        <f t="shared" si="23"/>
        <v>21012A-TAHOE</v>
      </c>
      <c r="T206" s="83" t="str">
        <f t="shared" si="24"/>
        <v>Lake Tahoe Twill Screen</v>
      </c>
      <c r="Y206" s="60">
        <f t="shared" si="25"/>
        <v>6</v>
      </c>
      <c r="Z206" s="49">
        <f t="shared" si="26"/>
        <v>179</v>
      </c>
      <c r="AA206" s="60">
        <f t="shared" si="27"/>
        <v>6179</v>
      </c>
    </row>
    <row r="207" spans="1:27">
      <c r="A207" s="83" t="str">
        <f t="shared" si="21"/>
        <v>36670A-HTIblack</v>
      </c>
      <c r="B207" s="83" t="str">
        <f t="shared" si="22"/>
        <v>06-180-09</v>
      </c>
      <c r="C207" s="106" t="s">
        <v>1527</v>
      </c>
      <c r="D207" s="106" t="s">
        <v>1528</v>
      </c>
      <c r="E207" s="106" t="s">
        <v>788</v>
      </c>
      <c r="F207" s="107">
        <v>0</v>
      </c>
      <c r="G207" s="106" t="s">
        <v>1529</v>
      </c>
      <c r="H207" s="106" t="s">
        <v>53</v>
      </c>
      <c r="I207" s="106" t="s">
        <v>786</v>
      </c>
      <c r="J207" s="106" t="s">
        <v>327</v>
      </c>
      <c r="K207" s="106" t="s">
        <v>382</v>
      </c>
      <c r="L207" s="106" t="s">
        <v>884</v>
      </c>
      <c r="M207" s="106" t="s">
        <v>388</v>
      </c>
      <c r="N207" s="106" t="s">
        <v>43</v>
      </c>
      <c r="O207" s="106" t="s">
        <v>541</v>
      </c>
      <c r="P207" s="106" t="s">
        <v>866</v>
      </c>
      <c r="Q207" s="106" t="s">
        <v>819</v>
      </c>
      <c r="R207" s="106" t="s">
        <v>53</v>
      </c>
      <c r="S207" s="83" t="str">
        <f t="shared" si="23"/>
        <v>36670A-HTI</v>
      </c>
      <c r="T207" s="83" t="str">
        <f t="shared" si="24"/>
        <v>Hansin Tigers New Raglan NPL</v>
      </c>
      <c r="Y207" s="60">
        <f t="shared" si="25"/>
        <v>6</v>
      </c>
      <c r="Z207" s="49">
        <f t="shared" si="26"/>
        <v>180</v>
      </c>
      <c r="AA207" s="60">
        <f t="shared" si="27"/>
        <v>6180</v>
      </c>
    </row>
    <row r="208" spans="1:27">
      <c r="A208" s="83" t="str">
        <f t="shared" si="21"/>
        <v>36670A-SAFnavy</v>
      </c>
      <c r="B208" s="83" t="str">
        <f t="shared" si="22"/>
        <v>06-181-16</v>
      </c>
      <c r="C208" s="106" t="s">
        <v>1530</v>
      </c>
      <c r="D208" s="106" t="s">
        <v>1531</v>
      </c>
      <c r="E208" s="106" t="s">
        <v>788</v>
      </c>
      <c r="F208" s="107">
        <v>0</v>
      </c>
      <c r="G208" s="106" t="s">
        <v>1532</v>
      </c>
      <c r="H208" s="106" t="s">
        <v>55</v>
      </c>
      <c r="I208" s="106" t="s">
        <v>786</v>
      </c>
      <c r="J208" s="106" t="s">
        <v>327</v>
      </c>
      <c r="K208" s="106" t="s">
        <v>382</v>
      </c>
      <c r="L208" s="106" t="s">
        <v>884</v>
      </c>
      <c r="M208" s="106" t="s">
        <v>388</v>
      </c>
      <c r="N208" s="106" t="s">
        <v>43</v>
      </c>
      <c r="O208" s="106" t="s">
        <v>541</v>
      </c>
      <c r="P208" s="106" t="s">
        <v>866</v>
      </c>
      <c r="Q208" s="106" t="s">
        <v>818</v>
      </c>
      <c r="R208" s="106" t="s">
        <v>71</v>
      </c>
      <c r="S208" s="83" t="str">
        <f t="shared" si="23"/>
        <v>36670A-SAF</v>
      </c>
      <c r="T208" s="83" t="str">
        <f t="shared" si="24"/>
        <v>San Francisco Seals New Raglan MILB</v>
      </c>
      <c r="Y208" s="60">
        <f t="shared" si="25"/>
        <v>6</v>
      </c>
      <c r="Z208" s="49">
        <f t="shared" si="26"/>
        <v>181</v>
      </c>
      <c r="AA208" s="60">
        <f t="shared" si="27"/>
        <v>6181</v>
      </c>
    </row>
    <row r="209" spans="1:27">
      <c r="A209" s="83" t="str">
        <f t="shared" si="21"/>
        <v>36670A-SERdark red</v>
      </c>
      <c r="B209" s="83" t="str">
        <f t="shared" si="22"/>
        <v>06-182-18</v>
      </c>
      <c r="C209" s="106" t="s">
        <v>1533</v>
      </c>
      <c r="D209" s="106" t="s">
        <v>1534</v>
      </c>
      <c r="E209" s="106" t="s">
        <v>788</v>
      </c>
      <c r="F209" s="107">
        <v>0</v>
      </c>
      <c r="G209" s="106" t="s">
        <v>1535</v>
      </c>
      <c r="H209" s="106" t="s">
        <v>274</v>
      </c>
      <c r="I209" s="106" t="s">
        <v>786</v>
      </c>
      <c r="J209" s="106" t="s">
        <v>327</v>
      </c>
      <c r="K209" s="106" t="s">
        <v>382</v>
      </c>
      <c r="L209" s="106" t="s">
        <v>884</v>
      </c>
      <c r="M209" s="106" t="s">
        <v>388</v>
      </c>
      <c r="N209" s="106" t="s">
        <v>43</v>
      </c>
      <c r="O209" s="106" t="s">
        <v>541</v>
      </c>
      <c r="P209" s="106" t="s">
        <v>866</v>
      </c>
      <c r="Q209" s="106" t="s">
        <v>1536</v>
      </c>
      <c r="R209" s="106" t="s">
        <v>78</v>
      </c>
      <c r="S209" s="83" t="str">
        <f t="shared" si="23"/>
        <v>36670A-SER</v>
      </c>
      <c r="T209" s="83" t="str">
        <f t="shared" si="24"/>
        <v>Seattle Rainiers New Raglan MILB</v>
      </c>
      <c r="Y209" s="60">
        <f t="shared" si="25"/>
        <v>6</v>
      </c>
      <c r="Z209" s="49">
        <f t="shared" si="26"/>
        <v>182</v>
      </c>
      <c r="AA209" s="60">
        <f t="shared" si="27"/>
        <v>6182</v>
      </c>
    </row>
    <row r="210" spans="1:27">
      <c r="A210" s="83" t="str">
        <f t="shared" si="21"/>
        <v>36670A-YOGblack</v>
      </c>
      <c r="B210" s="83" t="str">
        <f t="shared" si="22"/>
        <v>06-183-09</v>
      </c>
      <c r="C210" s="106" t="s">
        <v>1537</v>
      </c>
      <c r="D210" s="106" t="s">
        <v>1538</v>
      </c>
      <c r="E210" s="106" t="s">
        <v>788</v>
      </c>
      <c r="F210" s="107">
        <v>0</v>
      </c>
      <c r="G210" s="106" t="s">
        <v>1539</v>
      </c>
      <c r="H210" s="106" t="s">
        <v>53</v>
      </c>
      <c r="I210" s="106" t="s">
        <v>786</v>
      </c>
      <c r="J210" s="106" t="s">
        <v>327</v>
      </c>
      <c r="K210" s="106" t="s">
        <v>382</v>
      </c>
      <c r="L210" s="106" t="s">
        <v>884</v>
      </c>
      <c r="M210" s="106" t="s">
        <v>388</v>
      </c>
      <c r="N210" s="106" t="s">
        <v>43</v>
      </c>
      <c r="O210" s="106" t="s">
        <v>541</v>
      </c>
      <c r="P210" s="106" t="s">
        <v>866</v>
      </c>
      <c r="Q210" s="106" t="s">
        <v>819</v>
      </c>
      <c r="R210" s="106" t="s">
        <v>53</v>
      </c>
      <c r="S210" s="83" t="str">
        <f t="shared" si="23"/>
        <v>36670A-YOG</v>
      </c>
      <c r="T210" s="83" t="str">
        <f t="shared" si="24"/>
        <v>Yomiuri Giants New Raglan NPL</v>
      </c>
      <c r="Y210" s="60">
        <f t="shared" si="25"/>
        <v>6</v>
      </c>
      <c r="Z210" s="49">
        <f t="shared" si="26"/>
        <v>183</v>
      </c>
      <c r="AA210" s="60">
        <f t="shared" si="27"/>
        <v>6183</v>
      </c>
    </row>
    <row r="211" spans="1:27">
      <c r="A211" s="83" t="str">
        <f t="shared" si="21"/>
        <v>36672A-BBRblack</v>
      </c>
      <c r="B211" s="83" t="str">
        <f t="shared" si="22"/>
        <v>06-184-09</v>
      </c>
      <c r="C211" s="106" t="s">
        <v>1540</v>
      </c>
      <c r="D211" s="106" t="s">
        <v>1541</v>
      </c>
      <c r="E211" s="106" t="s">
        <v>788</v>
      </c>
      <c r="F211" s="107">
        <v>0</v>
      </c>
      <c r="G211" s="106" t="s">
        <v>1542</v>
      </c>
      <c r="H211" s="106" t="s">
        <v>53</v>
      </c>
      <c r="I211" s="106" t="s">
        <v>786</v>
      </c>
      <c r="J211" s="106" t="s">
        <v>327</v>
      </c>
      <c r="K211" s="106" t="s">
        <v>382</v>
      </c>
      <c r="L211" s="106" t="s">
        <v>884</v>
      </c>
      <c r="M211" s="106" t="s">
        <v>388</v>
      </c>
      <c r="N211" s="106" t="s">
        <v>43</v>
      </c>
      <c r="O211" s="106" t="s">
        <v>541</v>
      </c>
      <c r="P211" s="106" t="s">
        <v>866</v>
      </c>
      <c r="Q211" s="106" t="s">
        <v>819</v>
      </c>
      <c r="R211" s="106" t="s">
        <v>53</v>
      </c>
      <c r="S211" s="83" t="str">
        <f t="shared" si="23"/>
        <v>36672A-BBR</v>
      </c>
      <c r="T211" s="83" t="str">
        <f t="shared" si="24"/>
        <v>Boston Bruins New Raglan NHL</v>
      </c>
      <c r="Y211" s="60">
        <f t="shared" si="25"/>
        <v>6</v>
      </c>
      <c r="Z211" s="49">
        <f t="shared" si="26"/>
        <v>184</v>
      </c>
      <c r="AA211" s="60">
        <f t="shared" si="27"/>
        <v>6184</v>
      </c>
    </row>
    <row r="212" spans="1:27">
      <c r="A212" s="83" t="str">
        <f t="shared" si="21"/>
        <v>36672A-CBHblack</v>
      </c>
      <c r="B212" s="83" t="str">
        <f t="shared" si="22"/>
        <v>06-185-09</v>
      </c>
      <c r="C212" s="106" t="s">
        <v>1543</v>
      </c>
      <c r="D212" s="106" t="s">
        <v>1544</v>
      </c>
      <c r="E212" s="106" t="s">
        <v>788</v>
      </c>
      <c r="F212" s="107">
        <v>0</v>
      </c>
      <c r="G212" s="106" t="s">
        <v>1545</v>
      </c>
      <c r="H212" s="106" t="s">
        <v>53</v>
      </c>
      <c r="I212" s="106" t="s">
        <v>786</v>
      </c>
      <c r="J212" s="106" t="s">
        <v>327</v>
      </c>
      <c r="K212" s="106" t="s">
        <v>382</v>
      </c>
      <c r="L212" s="106" t="s">
        <v>884</v>
      </c>
      <c r="M212" s="106" t="s">
        <v>388</v>
      </c>
      <c r="N212" s="106" t="s">
        <v>43</v>
      </c>
      <c r="O212" s="106" t="s">
        <v>541</v>
      </c>
      <c r="P212" s="106" t="s">
        <v>866</v>
      </c>
      <c r="Q212" s="106" t="s">
        <v>819</v>
      </c>
      <c r="R212" s="106" t="s">
        <v>53</v>
      </c>
      <c r="S212" s="83" t="str">
        <f t="shared" si="23"/>
        <v>36672A-CBH</v>
      </c>
      <c r="T212" s="83" t="str">
        <f t="shared" si="24"/>
        <v>Chicago Blackhawks New Raglan NHL</v>
      </c>
      <c r="Y212" s="60">
        <f t="shared" si="25"/>
        <v>6</v>
      </c>
      <c r="Z212" s="49">
        <f t="shared" si="26"/>
        <v>185</v>
      </c>
      <c r="AA212" s="60">
        <f t="shared" si="27"/>
        <v>6185</v>
      </c>
    </row>
    <row r="213" spans="1:27">
      <c r="A213" s="83" t="str">
        <f t="shared" si="21"/>
        <v>36672A-DRWdark red</v>
      </c>
      <c r="B213" s="83" t="str">
        <f t="shared" si="22"/>
        <v>06-186-18</v>
      </c>
      <c r="C213" s="106" t="s">
        <v>1546</v>
      </c>
      <c r="D213" s="106" t="s">
        <v>1547</v>
      </c>
      <c r="E213" s="106" t="s">
        <v>788</v>
      </c>
      <c r="F213" s="107">
        <v>0</v>
      </c>
      <c r="G213" s="106" t="s">
        <v>1548</v>
      </c>
      <c r="H213" s="106" t="s">
        <v>274</v>
      </c>
      <c r="I213" s="106" t="s">
        <v>786</v>
      </c>
      <c r="J213" s="106" t="s">
        <v>327</v>
      </c>
      <c r="K213" s="106" t="s">
        <v>382</v>
      </c>
      <c r="L213" s="106" t="s">
        <v>884</v>
      </c>
      <c r="M213" s="106" t="s">
        <v>388</v>
      </c>
      <c r="N213" s="106" t="s">
        <v>43</v>
      </c>
      <c r="O213" s="106" t="s">
        <v>541</v>
      </c>
      <c r="P213" s="106" t="s">
        <v>866</v>
      </c>
      <c r="Q213" s="106" t="s">
        <v>1536</v>
      </c>
      <c r="R213" s="106" t="s">
        <v>78</v>
      </c>
      <c r="S213" s="83" t="str">
        <f t="shared" si="23"/>
        <v>36672A-DRW</v>
      </c>
      <c r="T213" s="83" t="str">
        <f t="shared" si="24"/>
        <v>Detroit Red Wings New Raglan NHL</v>
      </c>
      <c r="Y213" s="60">
        <f t="shared" si="25"/>
        <v>6</v>
      </c>
      <c r="Z213" s="49">
        <f t="shared" si="26"/>
        <v>186</v>
      </c>
      <c r="AA213" s="60">
        <f t="shared" si="27"/>
        <v>6186</v>
      </c>
    </row>
    <row r="214" spans="1:27">
      <c r="A214" s="83" t="str">
        <f t="shared" si="21"/>
        <v>36672A-HAWnavy</v>
      </c>
      <c r="B214" s="83" t="str">
        <f t="shared" si="22"/>
        <v>06-187-16</v>
      </c>
      <c r="C214" s="106" t="s">
        <v>1549</v>
      </c>
      <c r="D214" s="106" t="s">
        <v>1550</v>
      </c>
      <c r="E214" s="106" t="s">
        <v>788</v>
      </c>
      <c r="F214" s="107">
        <v>0</v>
      </c>
      <c r="G214" s="106" t="s">
        <v>1551</v>
      </c>
      <c r="H214" s="106" t="s">
        <v>55</v>
      </c>
      <c r="I214" s="106" t="s">
        <v>786</v>
      </c>
      <c r="J214" s="106" t="s">
        <v>327</v>
      </c>
      <c r="K214" s="106" t="s">
        <v>382</v>
      </c>
      <c r="L214" s="106" t="s">
        <v>884</v>
      </c>
      <c r="M214" s="106" t="s">
        <v>388</v>
      </c>
      <c r="N214" s="106" t="s">
        <v>43</v>
      </c>
      <c r="O214" s="106" t="s">
        <v>541</v>
      </c>
      <c r="P214" s="106" t="s">
        <v>866</v>
      </c>
      <c r="Q214" s="106" t="s">
        <v>818</v>
      </c>
      <c r="R214" s="106" t="s">
        <v>71</v>
      </c>
      <c r="S214" s="83" t="str">
        <f t="shared" si="23"/>
        <v>36672A-HAW</v>
      </c>
      <c r="T214" s="83" t="str">
        <f t="shared" si="24"/>
        <v>Hartford Whalers New Raglan NHL</v>
      </c>
      <c r="Y214" s="60">
        <f t="shared" si="25"/>
        <v>6</v>
      </c>
      <c r="Z214" s="49">
        <f t="shared" si="26"/>
        <v>187</v>
      </c>
      <c r="AA214" s="60">
        <f t="shared" si="27"/>
        <v>6187</v>
      </c>
    </row>
    <row r="215" spans="1:27">
      <c r="A215" s="83" t="str">
        <f t="shared" si="21"/>
        <v>36672A-NHLblack</v>
      </c>
      <c r="B215" s="83" t="str">
        <f t="shared" si="22"/>
        <v>06-188-09</v>
      </c>
      <c r="C215" s="106" t="s">
        <v>1552</v>
      </c>
      <c r="D215" s="106" t="s">
        <v>1553</v>
      </c>
      <c r="E215" s="106" t="s">
        <v>788</v>
      </c>
      <c r="F215" s="107">
        <v>0</v>
      </c>
      <c r="G215" s="106" t="s">
        <v>1554</v>
      </c>
      <c r="H215" s="106" t="s">
        <v>53</v>
      </c>
      <c r="I215" s="106" t="s">
        <v>786</v>
      </c>
      <c r="J215" s="106" t="s">
        <v>327</v>
      </c>
      <c r="K215" s="106" t="s">
        <v>382</v>
      </c>
      <c r="L215" s="106" t="s">
        <v>884</v>
      </c>
      <c r="M215" s="106" t="s">
        <v>388</v>
      </c>
      <c r="N215" s="106" t="s">
        <v>43</v>
      </c>
      <c r="O215" s="106" t="s">
        <v>541</v>
      </c>
      <c r="P215" s="106" t="s">
        <v>866</v>
      </c>
      <c r="Q215" s="106" t="s">
        <v>819</v>
      </c>
      <c r="R215" s="106" t="s">
        <v>53</v>
      </c>
      <c r="S215" s="83" t="str">
        <f t="shared" si="23"/>
        <v>36672A-NHL</v>
      </c>
      <c r="T215" s="83" t="str">
        <f t="shared" si="24"/>
        <v>Original 6 New Raglan NHL</v>
      </c>
      <c r="Y215" s="60">
        <f t="shared" si="25"/>
        <v>6</v>
      </c>
      <c r="Z215" s="49">
        <f t="shared" si="26"/>
        <v>188</v>
      </c>
      <c r="AA215" s="60">
        <f t="shared" si="27"/>
        <v>6188</v>
      </c>
    </row>
    <row r="216" spans="1:27">
      <c r="A216" s="83" t="str">
        <f t="shared" si="21"/>
        <v>36672A-NYRblue</v>
      </c>
      <c r="B216" s="83" t="str">
        <f t="shared" si="22"/>
        <v>06-189-06</v>
      </c>
      <c r="C216" s="106" t="s">
        <v>1555</v>
      </c>
      <c r="D216" s="106" t="s">
        <v>1556</v>
      </c>
      <c r="E216" s="106" t="s">
        <v>788</v>
      </c>
      <c r="F216" s="107">
        <v>0</v>
      </c>
      <c r="G216" s="106" t="s">
        <v>1557</v>
      </c>
      <c r="H216" s="106" t="s">
        <v>71</v>
      </c>
      <c r="I216" s="106" t="s">
        <v>786</v>
      </c>
      <c r="J216" s="106" t="s">
        <v>327</v>
      </c>
      <c r="K216" s="106" t="s">
        <v>382</v>
      </c>
      <c r="L216" s="106" t="s">
        <v>884</v>
      </c>
      <c r="M216" s="106" t="s">
        <v>388</v>
      </c>
      <c r="N216" s="106" t="s">
        <v>43</v>
      </c>
      <c r="O216" s="106" t="s">
        <v>541</v>
      </c>
      <c r="P216" s="106" t="s">
        <v>866</v>
      </c>
      <c r="Q216" s="106" t="s">
        <v>823</v>
      </c>
      <c r="R216" s="106" t="s">
        <v>71</v>
      </c>
      <c r="S216" s="83" t="str">
        <f t="shared" si="23"/>
        <v>36672A-NYR</v>
      </c>
      <c r="T216" s="83" t="str">
        <f t="shared" si="24"/>
        <v>New York Rangers New Raglan NHL</v>
      </c>
      <c r="Y216" s="60">
        <f t="shared" si="25"/>
        <v>6</v>
      </c>
      <c r="Z216" s="49">
        <f t="shared" si="26"/>
        <v>189</v>
      </c>
      <c r="AA216" s="60">
        <f t="shared" si="27"/>
        <v>6189</v>
      </c>
    </row>
    <row r="217" spans="1:27">
      <c r="A217" s="83" t="str">
        <f t="shared" si="21"/>
        <v>36672A-SLBblue</v>
      </c>
      <c r="B217" s="83" t="str">
        <f t="shared" si="22"/>
        <v>06-190-06</v>
      </c>
      <c r="C217" s="106" t="s">
        <v>1558</v>
      </c>
      <c r="D217" s="106" t="s">
        <v>1559</v>
      </c>
      <c r="E217" s="106" t="s">
        <v>788</v>
      </c>
      <c r="F217" s="107">
        <v>0</v>
      </c>
      <c r="G217" s="106" t="s">
        <v>1560</v>
      </c>
      <c r="H217" s="106" t="s">
        <v>71</v>
      </c>
      <c r="I217" s="106" t="s">
        <v>786</v>
      </c>
      <c r="J217" s="106" t="s">
        <v>327</v>
      </c>
      <c r="K217" s="106" t="s">
        <v>382</v>
      </c>
      <c r="L217" s="106" t="s">
        <v>884</v>
      </c>
      <c r="M217" s="106" t="s">
        <v>388</v>
      </c>
      <c r="N217" s="106" t="s">
        <v>43</v>
      </c>
      <c r="O217" s="106" t="s">
        <v>541</v>
      </c>
      <c r="P217" s="106" t="s">
        <v>866</v>
      </c>
      <c r="Q217" s="106" t="s">
        <v>823</v>
      </c>
      <c r="R217" s="106" t="s">
        <v>71</v>
      </c>
      <c r="S217" s="83" t="str">
        <f t="shared" si="23"/>
        <v>36672A-SLB</v>
      </c>
      <c r="T217" s="83" t="str">
        <f t="shared" si="24"/>
        <v>Saint Louis Blues New Raglan NHL</v>
      </c>
      <c r="Y217" s="60">
        <f t="shared" si="25"/>
        <v>6</v>
      </c>
      <c r="Z217" s="49">
        <f t="shared" si="26"/>
        <v>190</v>
      </c>
      <c r="AA217" s="60">
        <f t="shared" si="27"/>
        <v>6190</v>
      </c>
    </row>
    <row r="218" spans="1:27">
      <c r="A218" s="83" t="str">
        <f t="shared" si="21"/>
        <v>36672A-VGKblack</v>
      </c>
      <c r="B218" s="83" t="str">
        <f>IF(C218&lt;&gt;"",LEFT(C218,9),"")</f>
        <v>06-191-09</v>
      </c>
      <c r="C218" s="106" t="s">
        <v>1561</v>
      </c>
      <c r="D218" s="106" t="s">
        <v>1562</v>
      </c>
      <c r="E218" s="106" t="s">
        <v>788</v>
      </c>
      <c r="F218" s="107">
        <v>0</v>
      </c>
      <c r="G218" s="106" t="s">
        <v>1563</v>
      </c>
      <c r="H218" s="106" t="s">
        <v>53</v>
      </c>
      <c r="I218" s="106" t="s">
        <v>786</v>
      </c>
      <c r="J218" s="106" t="s">
        <v>327</v>
      </c>
      <c r="K218" s="106" t="s">
        <v>382</v>
      </c>
      <c r="L218" s="106" t="s">
        <v>884</v>
      </c>
      <c r="M218" s="106" t="s">
        <v>388</v>
      </c>
      <c r="N218" s="106" t="s">
        <v>43</v>
      </c>
      <c r="O218" s="106" t="s">
        <v>541</v>
      </c>
      <c r="P218" s="106" t="s">
        <v>866</v>
      </c>
      <c r="Q218" s="106" t="s">
        <v>819</v>
      </c>
      <c r="R218" s="106" t="s">
        <v>53</v>
      </c>
      <c r="S218" s="83" t="str">
        <f t="shared" si="23"/>
        <v>36672A-VGK</v>
      </c>
      <c r="T218" s="83" t="str">
        <f t="shared" si="24"/>
        <v>Vegas Golden Knights New Raglan NHL</v>
      </c>
      <c r="Y218" s="60">
        <f t="shared" si="25"/>
        <v>6</v>
      </c>
      <c r="Z218" s="49">
        <f t="shared" si="26"/>
        <v>191</v>
      </c>
      <c r="AA218" s="60">
        <f t="shared" si="27"/>
        <v>6191</v>
      </c>
    </row>
    <row r="219" spans="1:27">
      <c r="A219" s="83" t="str">
        <f t="shared" si="21"/>
        <v>39712A-PHForange</v>
      </c>
      <c r="B219" s="83" t="str">
        <f t="shared" si="22"/>
        <v>06-192-13</v>
      </c>
      <c r="C219" s="106" t="s">
        <v>1564</v>
      </c>
      <c r="D219" s="106" t="s">
        <v>1565</v>
      </c>
      <c r="E219" s="106" t="s">
        <v>788</v>
      </c>
      <c r="F219" s="107">
        <v>0</v>
      </c>
      <c r="G219" s="106" t="s">
        <v>1566</v>
      </c>
      <c r="H219" s="106" t="s">
        <v>199</v>
      </c>
      <c r="I219" s="106" t="s">
        <v>790</v>
      </c>
      <c r="J219" s="106" t="s">
        <v>340</v>
      </c>
      <c r="K219" s="106" t="s">
        <v>382</v>
      </c>
      <c r="L219" s="106" t="s">
        <v>884</v>
      </c>
      <c r="M219" s="106" t="s">
        <v>389</v>
      </c>
      <c r="O219" s="106" t="s">
        <v>542</v>
      </c>
      <c r="P219" s="106" t="s">
        <v>866</v>
      </c>
      <c r="Q219" s="106" t="s">
        <v>1567</v>
      </c>
      <c r="R219" s="106" t="s">
        <v>199</v>
      </c>
      <c r="S219" s="83" t="str">
        <f t="shared" si="23"/>
        <v>39712A-PHF</v>
      </c>
      <c r="T219" s="83" t="str">
        <f t="shared" si="24"/>
        <v>Philadelphia Flyers Basic NHL</v>
      </c>
      <c r="Y219" s="60">
        <f t="shared" si="25"/>
        <v>6</v>
      </c>
      <c r="Z219" s="49">
        <f t="shared" si="26"/>
        <v>192</v>
      </c>
      <c r="AA219" s="60">
        <f t="shared" si="27"/>
        <v>6192</v>
      </c>
    </row>
    <row r="220" spans="1:27">
      <c r="A220" s="83" t="str">
        <f t="shared" si="21"/>
        <v>39712A-SEKblack</v>
      </c>
      <c r="B220" s="83" t="str">
        <f t="shared" si="22"/>
        <v>06-193-09</v>
      </c>
      <c r="C220" s="106" t="s">
        <v>1568</v>
      </c>
      <c r="D220" s="106" t="s">
        <v>1569</v>
      </c>
      <c r="E220" s="106" t="s">
        <v>788</v>
      </c>
      <c r="F220" s="107">
        <v>0</v>
      </c>
      <c r="G220" s="106" t="s">
        <v>1570</v>
      </c>
      <c r="H220" s="106" t="s">
        <v>53</v>
      </c>
      <c r="I220" s="106" t="s">
        <v>790</v>
      </c>
      <c r="J220" s="106" t="s">
        <v>340</v>
      </c>
      <c r="K220" s="106" t="s">
        <v>382</v>
      </c>
      <c r="L220" s="106" t="s">
        <v>884</v>
      </c>
      <c r="M220" s="106" t="s">
        <v>389</v>
      </c>
      <c r="O220" s="106" t="s">
        <v>542</v>
      </c>
      <c r="P220" s="106" t="s">
        <v>866</v>
      </c>
      <c r="Q220" s="106" t="s">
        <v>819</v>
      </c>
      <c r="R220" s="106" t="s">
        <v>53</v>
      </c>
      <c r="S220" s="83" t="str">
        <f t="shared" si="23"/>
        <v>39712A-SEK</v>
      </c>
      <c r="T220" s="83" t="str">
        <f t="shared" si="24"/>
        <v>Seattle Kraken Basic NHL</v>
      </c>
      <c r="Y220" s="60">
        <f t="shared" si="25"/>
        <v>6</v>
      </c>
      <c r="Z220" s="49">
        <f t="shared" si="26"/>
        <v>193</v>
      </c>
      <c r="AA220" s="60">
        <f t="shared" si="27"/>
        <v>6193</v>
      </c>
    </row>
    <row r="221" spans="1:27">
      <c r="A221" s="83" t="str">
        <f t="shared" si="21"/>
        <v>39712A-SEKnavy</v>
      </c>
      <c r="B221" s="83" t="str">
        <f t="shared" si="22"/>
        <v>06-193-16</v>
      </c>
      <c r="C221" s="106" t="s">
        <v>1571</v>
      </c>
      <c r="D221" s="106" t="s">
        <v>1572</v>
      </c>
      <c r="E221" s="106" t="s">
        <v>788</v>
      </c>
      <c r="F221" s="107">
        <v>0</v>
      </c>
      <c r="G221" s="106" t="s">
        <v>1570</v>
      </c>
      <c r="H221" s="106" t="s">
        <v>55</v>
      </c>
      <c r="I221" s="106" t="s">
        <v>790</v>
      </c>
      <c r="J221" s="106" t="s">
        <v>340</v>
      </c>
      <c r="K221" s="106" t="s">
        <v>382</v>
      </c>
      <c r="L221" s="106" t="s">
        <v>884</v>
      </c>
      <c r="M221" s="106" t="s">
        <v>389</v>
      </c>
      <c r="O221" s="106" t="s">
        <v>542</v>
      </c>
      <c r="P221" s="106" t="s">
        <v>866</v>
      </c>
      <c r="Q221" s="106" t="s">
        <v>818</v>
      </c>
      <c r="R221" s="106" t="s">
        <v>71</v>
      </c>
      <c r="S221" s="83" t="str">
        <f t="shared" si="23"/>
        <v>39712A-SEK</v>
      </c>
      <c r="T221" s="83" t="str">
        <f t="shared" si="24"/>
        <v>Seattle Kraken Basic NHL</v>
      </c>
      <c r="Y221" s="60">
        <f t="shared" si="25"/>
        <v>6</v>
      </c>
      <c r="Z221" s="49">
        <f t="shared" si="26"/>
        <v>193</v>
      </c>
      <c r="AA221" s="60">
        <f t="shared" si="27"/>
        <v>6193</v>
      </c>
    </row>
    <row r="222" spans="1:27">
      <c r="A222" s="83" t="str">
        <f t="shared" si="21"/>
        <v>39712A-TMLroyal</v>
      </c>
      <c r="B222" s="83" t="str">
        <f t="shared" si="22"/>
        <v>06-194-06</v>
      </c>
      <c r="C222" s="106" t="s">
        <v>1573</v>
      </c>
      <c r="D222" s="106" t="s">
        <v>1574</v>
      </c>
      <c r="E222" s="106" t="s">
        <v>788</v>
      </c>
      <c r="F222" s="107">
        <v>0</v>
      </c>
      <c r="G222" s="106" t="s">
        <v>1575</v>
      </c>
      <c r="H222" s="106" t="s">
        <v>71</v>
      </c>
      <c r="I222" s="106" t="s">
        <v>790</v>
      </c>
      <c r="J222" s="106" t="s">
        <v>340</v>
      </c>
      <c r="K222" s="106" t="s">
        <v>382</v>
      </c>
      <c r="L222" s="106" t="s">
        <v>884</v>
      </c>
      <c r="M222" s="106" t="s">
        <v>389</v>
      </c>
      <c r="O222" s="106" t="s">
        <v>542</v>
      </c>
      <c r="P222" s="106" t="s">
        <v>866</v>
      </c>
      <c r="Q222" s="106" t="s">
        <v>1576</v>
      </c>
      <c r="R222" s="106" t="s">
        <v>71</v>
      </c>
      <c r="S222" s="83" t="str">
        <f t="shared" si="23"/>
        <v>39712A-TML</v>
      </c>
      <c r="T222" s="83" t="str">
        <f t="shared" si="24"/>
        <v>Toronto Maple Leafs Basic NHL</v>
      </c>
      <c r="Y222" s="60">
        <f t="shared" si="25"/>
        <v>6</v>
      </c>
      <c r="Z222" s="49">
        <f t="shared" si="26"/>
        <v>194</v>
      </c>
      <c r="AA222" s="60">
        <f t="shared" si="27"/>
        <v>6194</v>
      </c>
    </row>
    <row r="223" spans="1:27">
      <c r="A223" s="83" t="str">
        <f t="shared" si="21"/>
        <v>40742A-BBRblack</v>
      </c>
      <c r="B223" s="83" t="str">
        <f t="shared" si="22"/>
        <v>06-195-09</v>
      </c>
      <c r="C223" s="106" t="s">
        <v>1577</v>
      </c>
      <c r="D223" s="106" t="s">
        <v>1578</v>
      </c>
      <c r="E223" s="106" t="s">
        <v>788</v>
      </c>
      <c r="F223" s="107">
        <v>0</v>
      </c>
      <c r="G223" s="106" t="s">
        <v>1579</v>
      </c>
      <c r="H223" s="106" t="s">
        <v>53</v>
      </c>
      <c r="I223" s="106" t="s">
        <v>786</v>
      </c>
      <c r="J223" s="106" t="s">
        <v>327</v>
      </c>
      <c r="K223" s="106" t="s">
        <v>382</v>
      </c>
      <c r="L223" s="106" t="s">
        <v>884</v>
      </c>
      <c r="M223" s="106" t="s">
        <v>388</v>
      </c>
      <c r="N223" s="106" t="s">
        <v>43</v>
      </c>
      <c r="O223" s="106" t="s">
        <v>541</v>
      </c>
      <c r="P223" s="106" t="s">
        <v>866</v>
      </c>
      <c r="Q223" s="106" t="s">
        <v>819</v>
      </c>
      <c r="R223" s="106" t="s">
        <v>53</v>
      </c>
      <c r="S223" s="83" t="str">
        <f t="shared" si="23"/>
        <v>40742A-BBR</v>
      </c>
      <c r="T223" s="83" t="str">
        <f t="shared" si="24"/>
        <v>Boston Bruins Blue Line NHL</v>
      </c>
      <c r="Y223" s="60">
        <f t="shared" si="25"/>
        <v>6</v>
      </c>
      <c r="Z223" s="49">
        <f t="shared" si="26"/>
        <v>195</v>
      </c>
      <c r="AA223" s="60">
        <f t="shared" si="27"/>
        <v>6195</v>
      </c>
    </row>
    <row r="224" spans="1:27">
      <c r="A224" s="83" t="str">
        <f t="shared" si="21"/>
        <v>40742A-CBHblack</v>
      </c>
      <c r="B224" s="83" t="str">
        <f t="shared" si="22"/>
        <v>06-196-09</v>
      </c>
      <c r="C224" s="106" t="s">
        <v>1580</v>
      </c>
      <c r="D224" s="106" t="s">
        <v>1581</v>
      </c>
      <c r="E224" s="106" t="s">
        <v>788</v>
      </c>
      <c r="F224" s="107">
        <v>0</v>
      </c>
      <c r="G224" s="106" t="s">
        <v>1582</v>
      </c>
      <c r="H224" s="106" t="s">
        <v>53</v>
      </c>
      <c r="I224" s="106" t="s">
        <v>786</v>
      </c>
      <c r="J224" s="106" t="s">
        <v>327</v>
      </c>
      <c r="K224" s="106" t="s">
        <v>382</v>
      </c>
      <c r="L224" s="106" t="s">
        <v>884</v>
      </c>
      <c r="M224" s="106" t="s">
        <v>388</v>
      </c>
      <c r="N224" s="106" t="s">
        <v>43</v>
      </c>
      <c r="O224" s="106" t="s">
        <v>541</v>
      </c>
      <c r="P224" s="106" t="s">
        <v>866</v>
      </c>
      <c r="Q224" s="106" t="s">
        <v>819</v>
      </c>
      <c r="R224" s="106" t="s">
        <v>53</v>
      </c>
      <c r="S224" s="83" t="str">
        <f t="shared" si="23"/>
        <v>40742A-CBH</v>
      </c>
      <c r="T224" s="83" t="str">
        <f t="shared" si="24"/>
        <v>Chicago Blackhawks Blue Line NHL</v>
      </c>
      <c r="Y224" s="60">
        <f t="shared" si="25"/>
        <v>6</v>
      </c>
      <c r="Z224" s="49">
        <f t="shared" si="26"/>
        <v>196</v>
      </c>
      <c r="AA224" s="60">
        <f t="shared" si="27"/>
        <v>6196</v>
      </c>
    </row>
    <row r="225" spans="1:27">
      <c r="A225" s="83" t="str">
        <f t="shared" si="21"/>
        <v>40742A-CFLred</v>
      </c>
      <c r="B225" s="83" t="str">
        <f t="shared" si="22"/>
        <v>06-197-18</v>
      </c>
      <c r="C225" s="106" t="s">
        <v>1583</v>
      </c>
      <c r="D225" s="106" t="s">
        <v>1584</v>
      </c>
      <c r="E225" s="106" t="s">
        <v>788</v>
      </c>
      <c r="F225" s="107">
        <v>0</v>
      </c>
      <c r="G225" s="106" t="s">
        <v>1585</v>
      </c>
      <c r="H225" s="106" t="s">
        <v>78</v>
      </c>
      <c r="I225" s="106" t="s">
        <v>786</v>
      </c>
      <c r="J225" s="106" t="s">
        <v>327</v>
      </c>
      <c r="K225" s="106" t="s">
        <v>382</v>
      </c>
      <c r="L225" s="106" t="s">
        <v>884</v>
      </c>
      <c r="M225" s="106" t="s">
        <v>388</v>
      </c>
      <c r="N225" s="106" t="s">
        <v>43</v>
      </c>
      <c r="O225" s="106" t="s">
        <v>541</v>
      </c>
      <c r="P225" s="106" t="s">
        <v>866</v>
      </c>
      <c r="Q225" s="106" t="s">
        <v>822</v>
      </c>
      <c r="R225" s="106" t="s">
        <v>78</v>
      </c>
      <c r="S225" s="83" t="str">
        <f t="shared" si="23"/>
        <v>40742A-CFL</v>
      </c>
      <c r="T225" s="83" t="str">
        <f t="shared" si="24"/>
        <v>Calgary Flames Blue Line NHL</v>
      </c>
      <c r="Y225" s="60">
        <f t="shared" si="25"/>
        <v>6</v>
      </c>
      <c r="Z225" s="49">
        <f t="shared" si="26"/>
        <v>197</v>
      </c>
      <c r="AA225" s="60">
        <f t="shared" si="27"/>
        <v>6197</v>
      </c>
    </row>
    <row r="226" spans="1:27">
      <c r="A226" s="83" t="str">
        <f t="shared" si="21"/>
        <v>40742A-COAmaroon</v>
      </c>
      <c r="B226" s="83" t="str">
        <f t="shared" si="22"/>
        <v>06-198-12</v>
      </c>
      <c r="C226" s="106" t="s">
        <v>1586</v>
      </c>
      <c r="D226" s="106" t="s">
        <v>1587</v>
      </c>
      <c r="E226" s="106" t="s">
        <v>788</v>
      </c>
      <c r="F226" s="107">
        <v>0</v>
      </c>
      <c r="G226" s="106" t="s">
        <v>1588</v>
      </c>
      <c r="H226" s="106" t="s">
        <v>121</v>
      </c>
      <c r="I226" s="106" t="s">
        <v>786</v>
      </c>
      <c r="J226" s="106" t="s">
        <v>327</v>
      </c>
      <c r="K226" s="106" t="s">
        <v>382</v>
      </c>
      <c r="L226" s="106" t="s">
        <v>884</v>
      </c>
      <c r="M226" s="106" t="s">
        <v>388</v>
      </c>
      <c r="N226" s="106" t="s">
        <v>43</v>
      </c>
      <c r="O226" s="106" t="s">
        <v>541</v>
      </c>
      <c r="P226" s="106" t="s">
        <v>866</v>
      </c>
      <c r="Q226" s="106" t="s">
        <v>1589</v>
      </c>
      <c r="R226" s="106" t="s">
        <v>121</v>
      </c>
      <c r="S226" s="83" t="str">
        <f t="shared" si="23"/>
        <v>40742A-COA</v>
      </c>
      <c r="T226" s="83" t="str">
        <f t="shared" si="24"/>
        <v>Colorado Avalanche Blue Line NHL</v>
      </c>
      <c r="Y226" s="60">
        <f t="shared" si="25"/>
        <v>6</v>
      </c>
      <c r="Z226" s="49">
        <f t="shared" si="26"/>
        <v>198</v>
      </c>
      <c r="AA226" s="60">
        <f t="shared" si="27"/>
        <v>6198</v>
      </c>
    </row>
    <row r="227" spans="1:27">
      <c r="A227" s="83" t="str">
        <f t="shared" si="21"/>
        <v>40742A-EDOroyal</v>
      </c>
      <c r="B227" s="83" t="str">
        <f t="shared" si="22"/>
        <v>06-199-06</v>
      </c>
      <c r="C227" s="106" t="s">
        <v>1590</v>
      </c>
      <c r="D227" s="106" t="s">
        <v>1591</v>
      </c>
      <c r="E227" s="106" t="s">
        <v>788</v>
      </c>
      <c r="F227" s="107">
        <v>0</v>
      </c>
      <c r="G227" s="106" t="s">
        <v>1592</v>
      </c>
      <c r="H227" s="106" t="s">
        <v>71</v>
      </c>
      <c r="I227" s="106" t="s">
        <v>786</v>
      </c>
      <c r="J227" s="106" t="s">
        <v>327</v>
      </c>
      <c r="K227" s="106" t="s">
        <v>382</v>
      </c>
      <c r="L227" s="106" t="s">
        <v>884</v>
      </c>
      <c r="M227" s="106" t="s">
        <v>388</v>
      </c>
      <c r="N227" s="106" t="s">
        <v>43</v>
      </c>
      <c r="O227" s="106" t="s">
        <v>541</v>
      </c>
      <c r="P227" s="106" t="s">
        <v>866</v>
      </c>
      <c r="Q227" s="106" t="s">
        <v>1576</v>
      </c>
      <c r="R227" s="106" t="s">
        <v>71</v>
      </c>
      <c r="S227" s="83" t="str">
        <f t="shared" si="23"/>
        <v>40742A-EDO</v>
      </c>
      <c r="T227" s="83" t="str">
        <f t="shared" si="24"/>
        <v>Edmonton Oilers Blue Line NHL</v>
      </c>
      <c r="Y227" s="60">
        <f t="shared" si="25"/>
        <v>6</v>
      </c>
      <c r="Z227" s="49">
        <f t="shared" si="26"/>
        <v>199</v>
      </c>
      <c r="AA227" s="60">
        <f t="shared" si="27"/>
        <v>6199</v>
      </c>
    </row>
    <row r="228" spans="1:27">
      <c r="A228" s="83" t="str">
        <f t="shared" si="21"/>
        <v>40742A-SLBroyal</v>
      </c>
      <c r="B228" s="83" t="str">
        <f t="shared" si="22"/>
        <v>06-200-06</v>
      </c>
      <c r="C228" s="106" t="s">
        <v>1593</v>
      </c>
      <c r="D228" s="106" t="s">
        <v>1594</v>
      </c>
      <c r="E228" s="106" t="s">
        <v>788</v>
      </c>
      <c r="F228" s="107">
        <v>0</v>
      </c>
      <c r="G228" s="106" t="s">
        <v>1595</v>
      </c>
      <c r="H228" s="106" t="s">
        <v>71</v>
      </c>
      <c r="I228" s="106" t="s">
        <v>786</v>
      </c>
      <c r="J228" s="106" t="s">
        <v>327</v>
      </c>
      <c r="K228" s="106" t="s">
        <v>382</v>
      </c>
      <c r="L228" s="106" t="s">
        <v>884</v>
      </c>
      <c r="M228" s="106" t="s">
        <v>388</v>
      </c>
      <c r="N228" s="106" t="s">
        <v>43</v>
      </c>
      <c r="O228" s="106" t="s">
        <v>541</v>
      </c>
      <c r="P228" s="106" t="s">
        <v>866</v>
      </c>
      <c r="Q228" s="106" t="s">
        <v>1576</v>
      </c>
      <c r="R228" s="106" t="s">
        <v>71</v>
      </c>
      <c r="S228" s="83" t="str">
        <f t="shared" si="23"/>
        <v>40742A-SLB</v>
      </c>
      <c r="T228" s="83" t="str">
        <f t="shared" si="24"/>
        <v>Saint Louis Blues Blue Line NHL</v>
      </c>
      <c r="Y228" s="60">
        <f t="shared" si="25"/>
        <v>6</v>
      </c>
      <c r="Z228" s="49">
        <f t="shared" si="26"/>
        <v>200</v>
      </c>
      <c r="AA228" s="60">
        <f t="shared" si="27"/>
        <v>6200</v>
      </c>
    </row>
    <row r="229" spans="1:27">
      <c r="A229" s="83" t="str">
        <f t="shared" si="21"/>
        <v>40742A-TBLroyal</v>
      </c>
      <c r="B229" s="83" t="str">
        <f t="shared" si="22"/>
        <v>06-201-06</v>
      </c>
      <c r="C229" s="106" t="s">
        <v>1596</v>
      </c>
      <c r="D229" s="106" t="s">
        <v>1597</v>
      </c>
      <c r="E229" s="106" t="s">
        <v>788</v>
      </c>
      <c r="F229" s="107">
        <v>0</v>
      </c>
      <c r="G229" s="106" t="s">
        <v>1598</v>
      </c>
      <c r="H229" s="106" t="s">
        <v>71</v>
      </c>
      <c r="I229" s="106" t="s">
        <v>786</v>
      </c>
      <c r="J229" s="106" t="s">
        <v>327</v>
      </c>
      <c r="K229" s="106" t="s">
        <v>382</v>
      </c>
      <c r="L229" s="106" t="s">
        <v>884</v>
      </c>
      <c r="M229" s="106" t="s">
        <v>388</v>
      </c>
      <c r="N229" s="106" t="s">
        <v>43</v>
      </c>
      <c r="O229" s="106" t="s">
        <v>541</v>
      </c>
      <c r="P229" s="106" t="s">
        <v>866</v>
      </c>
      <c r="Q229" s="106" t="s">
        <v>1576</v>
      </c>
      <c r="R229" s="106" t="s">
        <v>71</v>
      </c>
      <c r="S229" s="83" t="str">
        <f t="shared" si="23"/>
        <v>40742A-TBL</v>
      </c>
      <c r="T229" s="83" t="str">
        <f t="shared" si="24"/>
        <v>Tampa Bay Lightning Blue Line NHL</v>
      </c>
      <c r="Y229" s="60">
        <f t="shared" si="25"/>
        <v>6</v>
      </c>
      <c r="Z229" s="49">
        <f t="shared" si="26"/>
        <v>201</v>
      </c>
      <c r="AA229" s="60">
        <f t="shared" si="27"/>
        <v>6201</v>
      </c>
    </row>
    <row r="230" spans="1:27">
      <c r="A230" s="83" t="str">
        <f t="shared" si="21"/>
        <v>40742B-BUSroyal</v>
      </c>
      <c r="B230" s="83" t="str">
        <f t="shared" si="22"/>
        <v>06-202-06</v>
      </c>
      <c r="C230" s="106" t="s">
        <v>1599</v>
      </c>
      <c r="D230" s="106" t="s">
        <v>1600</v>
      </c>
      <c r="E230" s="106" t="s">
        <v>788</v>
      </c>
      <c r="F230" s="107">
        <v>0</v>
      </c>
      <c r="G230" s="106" t="s">
        <v>1601</v>
      </c>
      <c r="H230" s="106" t="s">
        <v>71</v>
      </c>
      <c r="I230" s="106" t="s">
        <v>786</v>
      </c>
      <c r="J230" s="106" t="s">
        <v>327</v>
      </c>
      <c r="K230" s="106" t="s">
        <v>382</v>
      </c>
      <c r="L230" s="106" t="s">
        <v>884</v>
      </c>
      <c r="M230" s="106" t="s">
        <v>388</v>
      </c>
      <c r="N230" s="106" t="s">
        <v>43</v>
      </c>
      <c r="O230" s="106" t="s">
        <v>541</v>
      </c>
      <c r="P230" s="106" t="s">
        <v>866</v>
      </c>
      <c r="Q230" s="106" t="s">
        <v>1576</v>
      </c>
      <c r="R230" s="106" t="s">
        <v>71</v>
      </c>
      <c r="S230" s="83" t="str">
        <f t="shared" si="23"/>
        <v>40742B-BUS</v>
      </c>
      <c r="T230" s="83" t="str">
        <f t="shared" si="24"/>
        <v>Buffalo Sabres Blue Line NHL</v>
      </c>
      <c r="Y230" s="60">
        <f t="shared" si="25"/>
        <v>6</v>
      </c>
      <c r="Z230" s="49">
        <f t="shared" si="26"/>
        <v>202</v>
      </c>
      <c r="AA230" s="60">
        <f t="shared" si="27"/>
        <v>6202</v>
      </c>
    </row>
    <row r="231" spans="1:27">
      <c r="A231" s="83" t="str">
        <f t="shared" si="21"/>
        <v>40742B-HAWnavy</v>
      </c>
      <c r="B231" s="83" t="str">
        <f t="shared" si="22"/>
        <v>06-203-16</v>
      </c>
      <c r="C231" s="106" t="s">
        <v>1602</v>
      </c>
      <c r="D231" s="106" t="s">
        <v>1603</v>
      </c>
      <c r="E231" s="106" t="s">
        <v>788</v>
      </c>
      <c r="F231" s="107">
        <v>0</v>
      </c>
      <c r="G231" s="106" t="s">
        <v>1604</v>
      </c>
      <c r="H231" s="106" t="s">
        <v>55</v>
      </c>
      <c r="I231" s="106" t="s">
        <v>786</v>
      </c>
      <c r="J231" s="106" t="s">
        <v>327</v>
      </c>
      <c r="K231" s="106" t="s">
        <v>382</v>
      </c>
      <c r="L231" s="106" t="s">
        <v>884</v>
      </c>
      <c r="M231" s="106" t="s">
        <v>388</v>
      </c>
      <c r="N231" s="106" t="s">
        <v>43</v>
      </c>
      <c r="O231" s="106" t="s">
        <v>541</v>
      </c>
      <c r="P231" s="106" t="s">
        <v>866</v>
      </c>
      <c r="Q231" s="106" t="s">
        <v>818</v>
      </c>
      <c r="R231" s="106" t="s">
        <v>71</v>
      </c>
      <c r="S231" s="83" t="str">
        <f t="shared" si="23"/>
        <v>40742B-HAW</v>
      </c>
      <c r="T231" s="83" t="str">
        <f t="shared" si="24"/>
        <v>Hartford Whalers Blue Line NHL</v>
      </c>
      <c r="Y231" s="60">
        <f t="shared" si="25"/>
        <v>6</v>
      </c>
      <c r="Z231" s="49">
        <f t="shared" si="26"/>
        <v>203</v>
      </c>
      <c r="AA231" s="60">
        <f t="shared" si="27"/>
        <v>6203</v>
      </c>
    </row>
    <row r="232" spans="1:27">
      <c r="A232" s="83" t="str">
        <f t="shared" si="21"/>
        <v>40742B-LAKblack</v>
      </c>
      <c r="B232" s="83" t="str">
        <f t="shared" si="22"/>
        <v>06-204-09</v>
      </c>
      <c r="C232" s="106" t="s">
        <v>1605</v>
      </c>
      <c r="D232" s="106" t="s">
        <v>1606</v>
      </c>
      <c r="E232" s="106" t="s">
        <v>788</v>
      </c>
      <c r="F232" s="107">
        <v>0</v>
      </c>
      <c r="G232" s="106" t="s">
        <v>1607</v>
      </c>
      <c r="H232" s="106" t="s">
        <v>53</v>
      </c>
      <c r="I232" s="106" t="s">
        <v>786</v>
      </c>
      <c r="J232" s="106" t="s">
        <v>327</v>
      </c>
      <c r="K232" s="106" t="s">
        <v>382</v>
      </c>
      <c r="L232" s="106" t="s">
        <v>884</v>
      </c>
      <c r="M232" s="106" t="s">
        <v>388</v>
      </c>
      <c r="N232" s="106" t="s">
        <v>43</v>
      </c>
      <c r="O232" s="106" t="s">
        <v>541</v>
      </c>
      <c r="P232" s="106" t="s">
        <v>866</v>
      </c>
      <c r="Q232" s="106" t="s">
        <v>819</v>
      </c>
      <c r="R232" s="106" t="s">
        <v>53</v>
      </c>
      <c r="S232" s="83" t="str">
        <f t="shared" si="23"/>
        <v>40742B-LAK</v>
      </c>
      <c r="T232" s="83" t="str">
        <f t="shared" si="24"/>
        <v>Los Angeles Kings Blue Line NHL</v>
      </c>
      <c r="Y232" s="60">
        <f t="shared" si="25"/>
        <v>6</v>
      </c>
      <c r="Z232" s="49">
        <f t="shared" si="26"/>
        <v>204</v>
      </c>
      <c r="AA232" s="60">
        <f t="shared" si="27"/>
        <v>6204</v>
      </c>
    </row>
    <row r="233" spans="1:27">
      <c r="A233" s="83" t="str">
        <f t="shared" si="21"/>
        <v>40742B-MNWblack</v>
      </c>
      <c r="B233" s="83" t="str">
        <f t="shared" si="22"/>
        <v>06-205-09</v>
      </c>
      <c r="C233" s="106" t="s">
        <v>1608</v>
      </c>
      <c r="D233" s="106" t="s">
        <v>1609</v>
      </c>
      <c r="E233" s="106" t="s">
        <v>788</v>
      </c>
      <c r="F233" s="107">
        <v>0</v>
      </c>
      <c r="G233" s="106" t="s">
        <v>1610</v>
      </c>
      <c r="H233" s="106" t="s">
        <v>53</v>
      </c>
      <c r="I233" s="106" t="s">
        <v>786</v>
      </c>
      <c r="J233" s="106" t="s">
        <v>327</v>
      </c>
      <c r="K233" s="106" t="s">
        <v>382</v>
      </c>
      <c r="L233" s="106" t="s">
        <v>884</v>
      </c>
      <c r="M233" s="106" t="s">
        <v>388</v>
      </c>
      <c r="N233" s="106" t="s">
        <v>43</v>
      </c>
      <c r="O233" s="106" t="s">
        <v>541</v>
      </c>
      <c r="P233" s="106" t="s">
        <v>866</v>
      </c>
      <c r="Q233" s="106" t="s">
        <v>819</v>
      </c>
      <c r="R233" s="106" t="s">
        <v>53</v>
      </c>
      <c r="S233" s="83" t="str">
        <f t="shared" si="23"/>
        <v>40742B-MNW</v>
      </c>
      <c r="T233" s="83" t="str">
        <f t="shared" si="24"/>
        <v>Minnesota Wild Blue Line NHL</v>
      </c>
      <c r="Y233" s="60">
        <f t="shared" si="25"/>
        <v>6</v>
      </c>
      <c r="Z233" s="49">
        <f t="shared" si="26"/>
        <v>205</v>
      </c>
      <c r="AA233" s="60">
        <f t="shared" si="27"/>
        <v>6205</v>
      </c>
    </row>
    <row r="234" spans="1:27">
      <c r="A234" s="83" t="str">
        <f t="shared" si="21"/>
        <v>41152A-BBRblack</v>
      </c>
      <c r="B234" s="83" t="str">
        <f t="shared" si="22"/>
        <v>06-206-09</v>
      </c>
      <c r="C234" s="106" t="s">
        <v>1611</v>
      </c>
      <c r="D234" s="106" t="s">
        <v>1612</v>
      </c>
      <c r="E234" s="106" t="s">
        <v>788</v>
      </c>
      <c r="F234" s="107">
        <v>0</v>
      </c>
      <c r="G234" s="106" t="s">
        <v>1613</v>
      </c>
      <c r="H234" s="106" t="s">
        <v>53</v>
      </c>
      <c r="I234" s="106" t="s">
        <v>1034</v>
      </c>
      <c r="J234" s="106" t="s">
        <v>356</v>
      </c>
      <c r="K234" s="106" t="s">
        <v>382</v>
      </c>
      <c r="L234" s="106" t="s">
        <v>884</v>
      </c>
      <c r="M234" s="106" t="s">
        <v>388</v>
      </c>
      <c r="N234" s="106" t="s">
        <v>43</v>
      </c>
      <c r="O234" s="106" t="s">
        <v>541</v>
      </c>
      <c r="P234" s="106" t="s">
        <v>866</v>
      </c>
      <c r="Q234" s="106" t="s">
        <v>819</v>
      </c>
      <c r="R234" s="106" t="s">
        <v>53</v>
      </c>
      <c r="S234" s="83" t="str">
        <f t="shared" si="23"/>
        <v>41152A-BBR</v>
      </c>
      <c r="T234" s="83" t="str">
        <f t="shared" si="24"/>
        <v>Boston Bruins Raglan Bones NHL</v>
      </c>
      <c r="Y234" s="60">
        <f t="shared" si="25"/>
        <v>6</v>
      </c>
      <c r="Z234" s="49">
        <f t="shared" si="26"/>
        <v>206</v>
      </c>
      <c r="AA234" s="60">
        <f t="shared" si="27"/>
        <v>6206</v>
      </c>
    </row>
    <row r="235" spans="1:27">
      <c r="A235" s="83" t="str">
        <f t="shared" si="21"/>
        <v>41152A-CAHred</v>
      </c>
      <c r="B235" s="83" t="str">
        <f t="shared" si="22"/>
        <v>06-207-18</v>
      </c>
      <c r="C235" s="106" t="s">
        <v>1614</v>
      </c>
      <c r="D235" s="106" t="s">
        <v>1615</v>
      </c>
      <c r="E235" s="106" t="s">
        <v>788</v>
      </c>
      <c r="F235" s="107">
        <v>0</v>
      </c>
      <c r="G235" s="106" t="s">
        <v>1616</v>
      </c>
      <c r="H235" s="106" t="s">
        <v>78</v>
      </c>
      <c r="I235" s="106" t="s">
        <v>1034</v>
      </c>
      <c r="J235" s="106" t="s">
        <v>356</v>
      </c>
      <c r="K235" s="106" t="s">
        <v>382</v>
      </c>
      <c r="L235" s="106" t="s">
        <v>884</v>
      </c>
      <c r="M235" s="106" t="s">
        <v>388</v>
      </c>
      <c r="N235" s="106" t="s">
        <v>43</v>
      </c>
      <c r="O235" s="106" t="s">
        <v>541</v>
      </c>
      <c r="P235" s="106" t="s">
        <v>866</v>
      </c>
      <c r="Q235" s="106" t="s">
        <v>822</v>
      </c>
      <c r="R235" s="106" t="s">
        <v>78</v>
      </c>
      <c r="S235" s="83" t="str">
        <f t="shared" si="23"/>
        <v>41152A-CAH</v>
      </c>
      <c r="T235" s="83" t="str">
        <f t="shared" si="24"/>
        <v>Carolina Hurricanes Raglan Bones NHL</v>
      </c>
      <c r="Y235" s="60">
        <f t="shared" si="25"/>
        <v>6</v>
      </c>
      <c r="Z235" s="49">
        <f t="shared" si="26"/>
        <v>207</v>
      </c>
      <c r="AA235" s="60">
        <f t="shared" si="27"/>
        <v>6207</v>
      </c>
    </row>
    <row r="236" spans="1:27">
      <c r="A236" s="83" t="str">
        <f t="shared" si="21"/>
        <v>41152A-CBHblack</v>
      </c>
      <c r="B236" s="83" t="str">
        <f t="shared" si="22"/>
        <v>06-208-09</v>
      </c>
      <c r="C236" s="106" t="s">
        <v>1617</v>
      </c>
      <c r="D236" s="106" t="s">
        <v>1618</v>
      </c>
      <c r="E236" s="106" t="s">
        <v>788</v>
      </c>
      <c r="F236" s="107">
        <v>0</v>
      </c>
      <c r="G236" s="106" t="s">
        <v>1619</v>
      </c>
      <c r="H236" s="106" t="s">
        <v>53</v>
      </c>
      <c r="I236" s="106" t="s">
        <v>1034</v>
      </c>
      <c r="J236" s="106" t="s">
        <v>356</v>
      </c>
      <c r="K236" s="106" t="s">
        <v>382</v>
      </c>
      <c r="L236" s="106" t="s">
        <v>884</v>
      </c>
      <c r="M236" s="106" t="s">
        <v>388</v>
      </c>
      <c r="N236" s="106" t="s">
        <v>43</v>
      </c>
      <c r="O236" s="106" t="s">
        <v>541</v>
      </c>
      <c r="P236" s="106" t="s">
        <v>866</v>
      </c>
      <c r="Q236" s="106" t="s">
        <v>819</v>
      </c>
      <c r="R236" s="106" t="s">
        <v>53</v>
      </c>
      <c r="S236" s="83" t="str">
        <f t="shared" si="23"/>
        <v>41152A-CBH</v>
      </c>
      <c r="T236" s="83" t="str">
        <f t="shared" si="24"/>
        <v>Chicago Blackhawks Raglan Bones NHL</v>
      </c>
      <c r="Y236" s="60">
        <f t="shared" si="25"/>
        <v>6</v>
      </c>
      <c r="Z236" s="49">
        <f t="shared" si="26"/>
        <v>208</v>
      </c>
      <c r="AA236" s="60">
        <f t="shared" si="27"/>
        <v>6208</v>
      </c>
    </row>
    <row r="237" spans="1:27">
      <c r="A237" s="83" t="str">
        <f t="shared" si="21"/>
        <v>41152A-DRWblack</v>
      </c>
      <c r="B237" s="83" t="str">
        <f t="shared" si="22"/>
        <v>06-209-09</v>
      </c>
      <c r="C237" s="106" t="s">
        <v>1620</v>
      </c>
      <c r="D237" s="106" t="s">
        <v>1621</v>
      </c>
      <c r="E237" s="106" t="s">
        <v>788</v>
      </c>
      <c r="F237" s="107">
        <v>0</v>
      </c>
      <c r="G237" s="106" t="s">
        <v>1622</v>
      </c>
      <c r="H237" s="106" t="s">
        <v>53</v>
      </c>
      <c r="I237" s="106" t="s">
        <v>1034</v>
      </c>
      <c r="J237" s="106" t="s">
        <v>356</v>
      </c>
      <c r="K237" s="106" t="s">
        <v>382</v>
      </c>
      <c r="L237" s="106" t="s">
        <v>884</v>
      </c>
      <c r="M237" s="106" t="s">
        <v>388</v>
      </c>
      <c r="N237" s="106" t="s">
        <v>43</v>
      </c>
      <c r="O237" s="106" t="s">
        <v>541</v>
      </c>
      <c r="P237" s="106" t="s">
        <v>866</v>
      </c>
      <c r="Q237" s="106" t="s">
        <v>819</v>
      </c>
      <c r="R237" s="106" t="s">
        <v>53</v>
      </c>
      <c r="S237" s="83" t="str">
        <f t="shared" si="23"/>
        <v>41152A-DRW</v>
      </c>
      <c r="T237" s="83" t="str">
        <f t="shared" si="24"/>
        <v>Detroit Red Wings Raglan Bones NHL</v>
      </c>
      <c r="Y237" s="60">
        <f t="shared" si="25"/>
        <v>6</v>
      </c>
      <c r="Z237" s="49">
        <f t="shared" si="26"/>
        <v>209</v>
      </c>
      <c r="AA237" s="60">
        <f t="shared" si="27"/>
        <v>6209</v>
      </c>
    </row>
    <row r="238" spans="1:27">
      <c r="A238" s="83" t="str">
        <f t="shared" si="21"/>
        <v>41152A-PHFblack</v>
      </c>
      <c r="B238" s="83" t="str">
        <f t="shared" si="22"/>
        <v>06-210-09</v>
      </c>
      <c r="C238" s="106" t="s">
        <v>1623</v>
      </c>
      <c r="D238" s="106" t="s">
        <v>1624</v>
      </c>
      <c r="E238" s="106" t="s">
        <v>788</v>
      </c>
      <c r="F238" s="107">
        <v>0</v>
      </c>
      <c r="G238" s="106" t="s">
        <v>1625</v>
      </c>
      <c r="H238" s="106" t="s">
        <v>53</v>
      </c>
      <c r="I238" s="106" t="s">
        <v>1034</v>
      </c>
      <c r="J238" s="106" t="s">
        <v>356</v>
      </c>
      <c r="K238" s="106" t="s">
        <v>382</v>
      </c>
      <c r="L238" s="106" t="s">
        <v>884</v>
      </c>
      <c r="M238" s="106" t="s">
        <v>388</v>
      </c>
      <c r="N238" s="106" t="s">
        <v>43</v>
      </c>
      <c r="O238" s="106" t="s">
        <v>541</v>
      </c>
      <c r="P238" s="106" t="s">
        <v>866</v>
      </c>
      <c r="Q238" s="106" t="s">
        <v>819</v>
      </c>
      <c r="R238" s="106" t="s">
        <v>53</v>
      </c>
      <c r="S238" s="83" t="str">
        <f t="shared" si="23"/>
        <v>41152A-PHF</v>
      </c>
      <c r="T238" s="83" t="str">
        <f t="shared" si="24"/>
        <v>Philadelphia Flyers Raglan Bones NHL</v>
      </c>
      <c r="Y238" s="60">
        <f t="shared" si="25"/>
        <v>6</v>
      </c>
      <c r="Z238" s="49">
        <f t="shared" si="26"/>
        <v>210</v>
      </c>
      <c r="AA238" s="60">
        <f t="shared" si="27"/>
        <v>6210</v>
      </c>
    </row>
    <row r="239" spans="1:27">
      <c r="A239" s="83" t="str">
        <f t="shared" si="21"/>
        <v>41152A-PPNblack</v>
      </c>
      <c r="B239" s="83" t="str">
        <f t="shared" si="22"/>
        <v>06-211-09</v>
      </c>
      <c r="C239" s="106" t="s">
        <v>1626</v>
      </c>
      <c r="D239" s="106" t="s">
        <v>1627</v>
      </c>
      <c r="E239" s="106" t="s">
        <v>788</v>
      </c>
      <c r="F239" s="107">
        <v>0</v>
      </c>
      <c r="G239" s="106" t="s">
        <v>1628</v>
      </c>
      <c r="H239" s="106" t="s">
        <v>53</v>
      </c>
      <c r="I239" s="106" t="s">
        <v>1034</v>
      </c>
      <c r="J239" s="106" t="s">
        <v>356</v>
      </c>
      <c r="K239" s="106" t="s">
        <v>382</v>
      </c>
      <c r="L239" s="106" t="s">
        <v>884</v>
      </c>
      <c r="M239" s="106" t="s">
        <v>388</v>
      </c>
      <c r="N239" s="106" t="s">
        <v>43</v>
      </c>
      <c r="O239" s="106" t="s">
        <v>541</v>
      </c>
      <c r="P239" s="106" t="s">
        <v>866</v>
      </c>
      <c r="Q239" s="106" t="s">
        <v>819</v>
      </c>
      <c r="R239" s="106" t="s">
        <v>53</v>
      </c>
      <c r="S239" s="83" t="str">
        <f t="shared" si="23"/>
        <v>41152A-PPN</v>
      </c>
      <c r="T239" s="83" t="str">
        <f t="shared" si="24"/>
        <v>Pittsburgh Penguins Raglan Bones NHL</v>
      </c>
      <c r="Y239" s="60">
        <f t="shared" si="25"/>
        <v>6</v>
      </c>
      <c r="Z239" s="49">
        <f t="shared" si="26"/>
        <v>211</v>
      </c>
      <c r="AA239" s="60">
        <f t="shared" si="27"/>
        <v>6211</v>
      </c>
    </row>
    <row r="240" spans="1:27">
      <c r="A240" s="83" t="str">
        <f t="shared" si="21"/>
        <v>41152A-SLBroyal</v>
      </c>
      <c r="B240" s="83" t="str">
        <f t="shared" si="22"/>
        <v>06-212-06</v>
      </c>
      <c r="C240" s="106" t="s">
        <v>1629</v>
      </c>
      <c r="D240" s="106" t="s">
        <v>1630</v>
      </c>
      <c r="E240" s="106" t="s">
        <v>788</v>
      </c>
      <c r="F240" s="107">
        <v>0</v>
      </c>
      <c r="G240" s="106" t="s">
        <v>1631</v>
      </c>
      <c r="H240" s="106" t="s">
        <v>71</v>
      </c>
      <c r="I240" s="106" t="s">
        <v>1034</v>
      </c>
      <c r="J240" s="106" t="s">
        <v>356</v>
      </c>
      <c r="K240" s="106" t="s">
        <v>382</v>
      </c>
      <c r="L240" s="106" t="s">
        <v>884</v>
      </c>
      <c r="M240" s="106" t="s">
        <v>388</v>
      </c>
      <c r="N240" s="106" t="s">
        <v>43</v>
      </c>
      <c r="O240" s="106" t="s">
        <v>541</v>
      </c>
      <c r="P240" s="106" t="s">
        <v>866</v>
      </c>
      <c r="Q240" s="106" t="s">
        <v>1576</v>
      </c>
      <c r="R240" s="106" t="s">
        <v>71</v>
      </c>
      <c r="S240" s="83" t="str">
        <f t="shared" si="23"/>
        <v>41152A-SLB</v>
      </c>
      <c r="T240" s="83" t="str">
        <f t="shared" si="24"/>
        <v>Saint Louis Blues Raglan Bones NHL</v>
      </c>
      <c r="Y240" s="60">
        <f t="shared" si="25"/>
        <v>6</v>
      </c>
      <c r="Z240" s="49">
        <f t="shared" si="26"/>
        <v>212</v>
      </c>
      <c r="AA240" s="60">
        <f t="shared" si="27"/>
        <v>6212</v>
      </c>
    </row>
    <row r="241" spans="1:27">
      <c r="A241" s="83" t="str">
        <f t="shared" si="21"/>
        <v>41152A-WACnavy</v>
      </c>
      <c r="B241" s="83" t="str">
        <f t="shared" si="22"/>
        <v>06-213-16</v>
      </c>
      <c r="C241" s="106" t="s">
        <v>1632</v>
      </c>
      <c r="D241" s="106" t="s">
        <v>1633</v>
      </c>
      <c r="E241" s="106" t="s">
        <v>788</v>
      </c>
      <c r="F241" s="107">
        <v>0</v>
      </c>
      <c r="G241" s="106" t="s">
        <v>1634</v>
      </c>
      <c r="H241" s="106" t="s">
        <v>55</v>
      </c>
      <c r="I241" s="106" t="s">
        <v>1034</v>
      </c>
      <c r="J241" s="106" t="s">
        <v>356</v>
      </c>
      <c r="K241" s="106" t="s">
        <v>382</v>
      </c>
      <c r="L241" s="106" t="s">
        <v>884</v>
      </c>
      <c r="M241" s="106" t="s">
        <v>388</v>
      </c>
      <c r="N241" s="106" t="s">
        <v>43</v>
      </c>
      <c r="O241" s="106" t="s">
        <v>541</v>
      </c>
      <c r="P241" s="106" t="s">
        <v>866</v>
      </c>
      <c r="Q241" s="106" t="s">
        <v>818</v>
      </c>
      <c r="R241" s="106" t="s">
        <v>71</v>
      </c>
      <c r="S241" s="83" t="str">
        <f t="shared" si="23"/>
        <v>41152A-WAC</v>
      </c>
      <c r="T241" s="83" t="str">
        <f t="shared" si="24"/>
        <v>Washington Capitals Raglan Bones NHL</v>
      </c>
      <c r="Y241" s="60">
        <f t="shared" si="25"/>
        <v>6</v>
      </c>
      <c r="Z241" s="49">
        <f t="shared" si="26"/>
        <v>213</v>
      </c>
      <c r="AA241" s="60">
        <f t="shared" si="27"/>
        <v>6213</v>
      </c>
    </row>
    <row r="242" spans="1:27">
      <c r="A242" s="83" t="str">
        <f t="shared" si="21"/>
        <v>41722A-CAHblack-red</v>
      </c>
      <c r="B242" s="83" t="str">
        <f t="shared" si="22"/>
        <v>06-214-72</v>
      </c>
      <c r="C242" s="106" t="s">
        <v>1635</v>
      </c>
      <c r="D242" s="106" t="s">
        <v>1636</v>
      </c>
      <c r="E242" s="106" t="s">
        <v>788</v>
      </c>
      <c r="F242" s="107">
        <v>0</v>
      </c>
      <c r="G242" s="106" t="s">
        <v>1637</v>
      </c>
      <c r="H242" s="106" t="s">
        <v>302</v>
      </c>
      <c r="I242" s="106" t="s">
        <v>786</v>
      </c>
      <c r="J242" s="106" t="s">
        <v>792</v>
      </c>
      <c r="K242" s="106" t="s">
        <v>382</v>
      </c>
      <c r="L242" s="106" t="s">
        <v>884</v>
      </c>
      <c r="M242" s="106" t="s">
        <v>388</v>
      </c>
      <c r="N242" s="106" t="s">
        <v>43</v>
      </c>
      <c r="O242" s="106" t="s">
        <v>541</v>
      </c>
      <c r="P242" s="106" t="s">
        <v>866</v>
      </c>
      <c r="Q242" s="106" t="s">
        <v>1638</v>
      </c>
      <c r="R242" s="106" t="s">
        <v>53</v>
      </c>
      <c r="S242" s="83" t="str">
        <f t="shared" si="23"/>
        <v>41722A-CAH</v>
      </c>
      <c r="T242" s="83" t="str">
        <f t="shared" si="24"/>
        <v>Carolina Hurricanes Outfield NHL</v>
      </c>
      <c r="Y242" s="60">
        <f t="shared" si="25"/>
        <v>6</v>
      </c>
      <c r="Z242" s="49">
        <f t="shared" si="26"/>
        <v>214</v>
      </c>
      <c r="AA242" s="60">
        <f t="shared" si="27"/>
        <v>6214</v>
      </c>
    </row>
    <row r="243" spans="1:27">
      <c r="A243" s="83" t="str">
        <f t="shared" si="21"/>
        <v>41722A-DASdkgrbk</v>
      </c>
      <c r="B243" s="83" t="str">
        <f t="shared" si="22"/>
        <v>06-215-51</v>
      </c>
      <c r="C243" s="106" t="s">
        <v>1639</v>
      </c>
      <c r="D243" s="106" t="s">
        <v>1640</v>
      </c>
      <c r="E243" s="106" t="s">
        <v>788</v>
      </c>
      <c r="F243" s="107">
        <v>0</v>
      </c>
      <c r="G243" s="106" t="s">
        <v>1641</v>
      </c>
      <c r="H243" s="106" t="s">
        <v>682</v>
      </c>
      <c r="I243" s="106" t="s">
        <v>786</v>
      </c>
      <c r="J243" s="106" t="s">
        <v>792</v>
      </c>
      <c r="K243" s="106" t="s">
        <v>382</v>
      </c>
      <c r="L243" s="106" t="s">
        <v>884</v>
      </c>
      <c r="M243" s="106" t="s">
        <v>388</v>
      </c>
      <c r="N243" s="106" t="s">
        <v>43</v>
      </c>
      <c r="O243" s="106" t="s">
        <v>541</v>
      </c>
      <c r="P243" s="106" t="s">
        <v>866</v>
      </c>
      <c r="Q243" s="106" t="s">
        <v>1642</v>
      </c>
      <c r="R243" s="106" t="s">
        <v>60</v>
      </c>
      <c r="S243" s="83" t="str">
        <f t="shared" si="23"/>
        <v>41722A-DAS</v>
      </c>
      <c r="T243" s="83" t="str">
        <f t="shared" si="24"/>
        <v>Dallas Stars Outfield NHL</v>
      </c>
      <c r="Y243" s="60">
        <f t="shared" si="25"/>
        <v>6</v>
      </c>
      <c r="Z243" s="49">
        <f t="shared" si="26"/>
        <v>215</v>
      </c>
      <c r="AA243" s="60">
        <f t="shared" si="27"/>
        <v>6215</v>
      </c>
    </row>
    <row r="244" spans="1:27">
      <c r="A244" s="83" t="str">
        <f t="shared" si="21"/>
        <v>41722A-DRWred-black</v>
      </c>
      <c r="B244" s="83" t="str">
        <f t="shared" si="22"/>
        <v>06-216-72</v>
      </c>
      <c r="C244" s="106" t="s">
        <v>1643</v>
      </c>
      <c r="D244" s="106" t="s">
        <v>1644</v>
      </c>
      <c r="E244" s="106" t="s">
        <v>788</v>
      </c>
      <c r="F244" s="107">
        <v>0</v>
      </c>
      <c r="G244" s="106" t="s">
        <v>1645</v>
      </c>
      <c r="H244" s="106" t="s">
        <v>186</v>
      </c>
      <c r="I244" s="106" t="s">
        <v>786</v>
      </c>
      <c r="J244" s="106" t="s">
        <v>792</v>
      </c>
      <c r="K244" s="106" t="s">
        <v>382</v>
      </c>
      <c r="L244" s="106" t="s">
        <v>884</v>
      </c>
      <c r="M244" s="106" t="s">
        <v>388</v>
      </c>
      <c r="N244" s="106" t="s">
        <v>43</v>
      </c>
      <c r="O244" s="106" t="s">
        <v>541</v>
      </c>
      <c r="P244" s="106" t="s">
        <v>866</v>
      </c>
      <c r="Q244" s="106" t="s">
        <v>1646</v>
      </c>
      <c r="R244" s="106" t="s">
        <v>78</v>
      </c>
      <c r="S244" s="83" t="str">
        <f t="shared" si="23"/>
        <v>41722A-DRW</v>
      </c>
      <c r="T244" s="83" t="str">
        <f t="shared" si="24"/>
        <v>Detroit Red Wings Outfield NHL</v>
      </c>
      <c r="Y244" s="60">
        <f t="shared" si="25"/>
        <v>6</v>
      </c>
      <c r="Z244" s="49">
        <f t="shared" si="26"/>
        <v>216</v>
      </c>
      <c r="AA244" s="60">
        <f t="shared" si="27"/>
        <v>6216</v>
      </c>
    </row>
    <row r="245" spans="1:27">
      <c r="A245" s="83" t="str">
        <f t="shared" si="21"/>
        <v>41722A-NYRroyal-red</v>
      </c>
      <c r="B245" s="83" t="str">
        <f t="shared" si="22"/>
        <v>06-217-21</v>
      </c>
      <c r="C245" s="106" t="s">
        <v>1647</v>
      </c>
      <c r="D245" s="106" t="s">
        <v>1648</v>
      </c>
      <c r="E245" s="106" t="s">
        <v>788</v>
      </c>
      <c r="F245" s="107">
        <v>0</v>
      </c>
      <c r="G245" s="106" t="s">
        <v>1649</v>
      </c>
      <c r="H245" s="106" t="s">
        <v>252</v>
      </c>
      <c r="I245" s="106" t="s">
        <v>786</v>
      </c>
      <c r="J245" s="106" t="s">
        <v>792</v>
      </c>
      <c r="K245" s="106" t="s">
        <v>382</v>
      </c>
      <c r="L245" s="106" t="s">
        <v>884</v>
      </c>
      <c r="M245" s="106" t="s">
        <v>388</v>
      </c>
      <c r="N245" s="106" t="s">
        <v>43</v>
      </c>
      <c r="O245" s="106" t="s">
        <v>541</v>
      </c>
      <c r="P245" s="106" t="s">
        <v>866</v>
      </c>
      <c r="Q245" s="106" t="s">
        <v>1483</v>
      </c>
      <c r="R245" s="106" t="s">
        <v>71</v>
      </c>
      <c r="S245" s="83" t="str">
        <f t="shared" si="23"/>
        <v>41722A-NYR</v>
      </c>
      <c r="T245" s="83" t="str">
        <f t="shared" si="24"/>
        <v>New York Rangers Outfield NHL</v>
      </c>
      <c r="Y245" s="60">
        <f t="shared" si="25"/>
        <v>6</v>
      </c>
      <c r="Z245" s="49">
        <f t="shared" si="26"/>
        <v>217</v>
      </c>
      <c r="AA245" s="60">
        <f t="shared" si="27"/>
        <v>6217</v>
      </c>
    </row>
    <row r="246" spans="1:27">
      <c r="A246" s="83" t="str">
        <f t="shared" si="21"/>
        <v>41722A-VGKbkgld</v>
      </c>
      <c r="B246" s="83" t="str">
        <f t="shared" si="22"/>
        <v>06-218-70</v>
      </c>
      <c r="C246" s="106" t="s">
        <v>1650</v>
      </c>
      <c r="D246" s="106" t="s">
        <v>1651</v>
      </c>
      <c r="E246" s="106" t="s">
        <v>788</v>
      </c>
      <c r="F246" s="107">
        <v>0</v>
      </c>
      <c r="G246" s="106" t="s">
        <v>1652</v>
      </c>
      <c r="H246" s="106" t="s">
        <v>300</v>
      </c>
      <c r="I246" s="106" t="s">
        <v>786</v>
      </c>
      <c r="J246" s="106" t="s">
        <v>792</v>
      </c>
      <c r="K246" s="106" t="s">
        <v>382</v>
      </c>
      <c r="L246" s="106" t="s">
        <v>884</v>
      </c>
      <c r="M246" s="106" t="s">
        <v>388</v>
      </c>
      <c r="N246" s="106" t="s">
        <v>43</v>
      </c>
      <c r="O246" s="106" t="s">
        <v>541</v>
      </c>
      <c r="P246" s="106" t="s">
        <v>866</v>
      </c>
      <c r="Q246" s="106" t="s">
        <v>1653</v>
      </c>
      <c r="R246" s="106" t="s">
        <v>53</v>
      </c>
      <c r="S246" s="83" t="str">
        <f t="shared" si="23"/>
        <v>41722A-VGK</v>
      </c>
      <c r="T246" s="83" t="str">
        <f t="shared" si="24"/>
        <v>Vegas Golden Knights Outfield NHL</v>
      </c>
      <c r="Y246" s="60">
        <f t="shared" si="25"/>
        <v>6</v>
      </c>
      <c r="Z246" s="49">
        <f t="shared" si="26"/>
        <v>218</v>
      </c>
      <c r="AA246" s="60">
        <f t="shared" si="27"/>
        <v>6218</v>
      </c>
    </row>
    <row r="247" spans="1:27">
      <c r="A247" s="83" t="str">
        <f t="shared" si="21"/>
        <v>42050A-JTNPolgd</v>
      </c>
      <c r="B247" s="83" t="str">
        <f t="shared" si="22"/>
        <v>06-219-44</v>
      </c>
      <c r="C247" s="106" t="s">
        <v>1654</v>
      </c>
      <c r="D247" s="106" t="s">
        <v>1655</v>
      </c>
      <c r="E247" s="106" t="s">
        <v>788</v>
      </c>
      <c r="F247" s="107">
        <v>0</v>
      </c>
      <c r="G247" s="106" t="s">
        <v>1656</v>
      </c>
      <c r="H247" s="106" t="s">
        <v>753</v>
      </c>
      <c r="I247" s="106" t="s">
        <v>790</v>
      </c>
      <c r="J247" s="106" t="s">
        <v>342</v>
      </c>
      <c r="K247" s="106" t="s">
        <v>382</v>
      </c>
      <c r="L247" s="106" t="s">
        <v>880</v>
      </c>
      <c r="M247" s="106" t="s">
        <v>389</v>
      </c>
      <c r="O247" s="106" t="s">
        <v>542</v>
      </c>
      <c r="P247" s="106" t="s">
        <v>866</v>
      </c>
      <c r="Q247" s="106" t="s">
        <v>1657</v>
      </c>
      <c r="R247" s="106" t="s">
        <v>195</v>
      </c>
      <c r="S247" s="83" t="str">
        <f t="shared" si="23"/>
        <v>42050A-JTNP</v>
      </c>
      <c r="T247" s="83" t="str">
        <f t="shared" si="24"/>
        <v>Joshua Tree National Park Pillow</v>
      </c>
      <c r="Y247" s="60">
        <f t="shared" si="25"/>
        <v>6</v>
      </c>
      <c r="Z247" s="49">
        <f t="shared" si="26"/>
        <v>219</v>
      </c>
      <c r="AA247" s="60">
        <f t="shared" si="27"/>
        <v>6219</v>
      </c>
    </row>
    <row r="248" spans="1:27">
      <c r="A248" s="83" t="str">
        <f t="shared" si="21"/>
        <v>42652A-NYRroyal-red</v>
      </c>
      <c r="B248" s="83" t="str">
        <f t="shared" si="22"/>
        <v>06-220-21</v>
      </c>
      <c r="C248" s="106" t="s">
        <v>1658</v>
      </c>
      <c r="D248" s="106" t="s">
        <v>1659</v>
      </c>
      <c r="E248" s="106" t="s">
        <v>788</v>
      </c>
      <c r="F248" s="107">
        <v>0</v>
      </c>
      <c r="G248" s="106" t="s">
        <v>1660</v>
      </c>
      <c r="H248" s="106" t="s">
        <v>252</v>
      </c>
      <c r="I248" s="106" t="s">
        <v>888</v>
      </c>
      <c r="J248" s="106" t="s">
        <v>792</v>
      </c>
      <c r="K248" s="106" t="s">
        <v>382</v>
      </c>
      <c r="L248" s="106" t="s">
        <v>884</v>
      </c>
      <c r="M248" s="106" t="s">
        <v>388</v>
      </c>
      <c r="N248" s="106" t="s">
        <v>44</v>
      </c>
      <c r="O248" s="106" t="s">
        <v>541</v>
      </c>
      <c r="P248" s="106" t="s">
        <v>866</v>
      </c>
      <c r="Q248" s="106" t="s">
        <v>1483</v>
      </c>
      <c r="R248" s="106" t="s">
        <v>71</v>
      </c>
      <c r="S248" s="83" t="str">
        <f t="shared" si="23"/>
        <v>42652A-NYR</v>
      </c>
      <c r="T248" s="83" t="str">
        <f t="shared" si="24"/>
        <v>New York Rangers Chipper NHL</v>
      </c>
      <c r="Y248" s="60">
        <f t="shared" si="25"/>
        <v>6</v>
      </c>
      <c r="Z248" s="49">
        <f t="shared" si="26"/>
        <v>220</v>
      </c>
      <c r="AA248" s="60">
        <f t="shared" si="27"/>
        <v>6220</v>
      </c>
    </row>
    <row r="249" spans="1:27">
      <c r="A249" s="83" t="str">
        <f t="shared" si="21"/>
        <v>42692A-CBHred-black</v>
      </c>
      <c r="B249" s="83" t="str">
        <f t="shared" si="22"/>
        <v>06-221-72</v>
      </c>
      <c r="C249" s="106" t="s">
        <v>1661</v>
      </c>
      <c r="D249" s="106" t="s">
        <v>1662</v>
      </c>
      <c r="E249" s="106" t="s">
        <v>788</v>
      </c>
      <c r="F249" s="107">
        <v>0</v>
      </c>
      <c r="G249" s="106" t="s">
        <v>1663</v>
      </c>
      <c r="H249" s="106" t="s">
        <v>186</v>
      </c>
      <c r="I249" s="106" t="s">
        <v>785</v>
      </c>
      <c r="J249" s="106" t="s">
        <v>327</v>
      </c>
      <c r="K249" s="106" t="s">
        <v>382</v>
      </c>
      <c r="L249" s="106" t="s">
        <v>884</v>
      </c>
      <c r="M249" s="106" t="s">
        <v>388</v>
      </c>
      <c r="N249" s="106" t="s">
        <v>44</v>
      </c>
      <c r="O249" s="106" t="s">
        <v>541</v>
      </c>
      <c r="P249" s="106" t="s">
        <v>866</v>
      </c>
      <c r="Q249" s="106" t="s">
        <v>1646</v>
      </c>
      <c r="R249" s="106" t="s">
        <v>78</v>
      </c>
      <c r="S249" s="83" t="str">
        <f t="shared" si="23"/>
        <v>42692A-CBH</v>
      </c>
      <c r="T249" s="83" t="str">
        <f t="shared" si="24"/>
        <v>Chicago Blackhawks Tradition NHL</v>
      </c>
      <c r="Y249" s="60">
        <f t="shared" si="25"/>
        <v>6</v>
      </c>
      <c r="Z249" s="49">
        <f t="shared" si="26"/>
        <v>221</v>
      </c>
      <c r="AA249" s="60">
        <f t="shared" si="27"/>
        <v>6221</v>
      </c>
    </row>
    <row r="250" spans="1:27">
      <c r="A250" s="83" t="str">
        <f t="shared" si="21"/>
        <v>42692A-DRWwtrd</v>
      </c>
      <c r="B250" s="83" t="str">
        <f t="shared" si="22"/>
        <v>06-222-45</v>
      </c>
      <c r="C250" s="106" t="s">
        <v>1664</v>
      </c>
      <c r="D250" s="106" t="s">
        <v>1665</v>
      </c>
      <c r="E250" s="106" t="s">
        <v>788</v>
      </c>
      <c r="F250" s="107">
        <v>0</v>
      </c>
      <c r="G250" s="106" t="s">
        <v>1666</v>
      </c>
      <c r="H250" s="106" t="s">
        <v>683</v>
      </c>
      <c r="I250" s="106" t="s">
        <v>785</v>
      </c>
      <c r="J250" s="106" t="s">
        <v>327</v>
      </c>
      <c r="K250" s="106" t="s">
        <v>382</v>
      </c>
      <c r="L250" s="106" t="s">
        <v>884</v>
      </c>
      <c r="M250" s="106" t="s">
        <v>388</v>
      </c>
      <c r="N250" s="106" t="s">
        <v>44</v>
      </c>
      <c r="O250" s="106" t="s">
        <v>541</v>
      </c>
      <c r="P250" s="106" t="s">
        <v>866</v>
      </c>
      <c r="Q250" s="106" t="s">
        <v>1667</v>
      </c>
      <c r="R250" s="106" t="s">
        <v>63</v>
      </c>
      <c r="S250" s="83" t="str">
        <f t="shared" si="23"/>
        <v>42692A-DRW</v>
      </c>
      <c r="T250" s="83" t="str">
        <f t="shared" si="24"/>
        <v>Detroit Red Wings Tradition NHL</v>
      </c>
      <c r="Y250" s="60">
        <f t="shared" si="25"/>
        <v>6</v>
      </c>
      <c r="Z250" s="49">
        <f t="shared" si="26"/>
        <v>222</v>
      </c>
      <c r="AA250" s="60">
        <f t="shared" si="27"/>
        <v>6222</v>
      </c>
    </row>
    <row r="251" spans="1:27">
      <c r="A251" s="83" t="str">
        <f t="shared" si="21"/>
        <v>42692A-LAKbkgr</v>
      </c>
      <c r="B251" s="83" t="str">
        <f t="shared" si="22"/>
        <v>06-223-10</v>
      </c>
      <c r="C251" s="106" t="s">
        <v>1668</v>
      </c>
      <c r="D251" s="106" t="s">
        <v>1669</v>
      </c>
      <c r="E251" s="106" t="s">
        <v>788</v>
      </c>
      <c r="F251" s="107">
        <v>0</v>
      </c>
      <c r="G251" s="106" t="s">
        <v>1670</v>
      </c>
      <c r="H251" s="106" t="s">
        <v>308</v>
      </c>
      <c r="I251" s="106" t="s">
        <v>785</v>
      </c>
      <c r="J251" s="106" t="s">
        <v>327</v>
      </c>
      <c r="K251" s="106" t="s">
        <v>382</v>
      </c>
      <c r="L251" s="106" t="s">
        <v>884</v>
      </c>
      <c r="M251" s="106" t="s">
        <v>388</v>
      </c>
      <c r="N251" s="106" t="s">
        <v>44</v>
      </c>
      <c r="O251" s="106" t="s">
        <v>541</v>
      </c>
      <c r="P251" s="106" t="s">
        <v>866</v>
      </c>
      <c r="Q251" s="106" t="s">
        <v>1671</v>
      </c>
      <c r="R251" s="106" t="s">
        <v>53</v>
      </c>
      <c r="S251" s="83" t="str">
        <f t="shared" si="23"/>
        <v>42692A-LAK</v>
      </c>
      <c r="T251" s="83" t="str">
        <f t="shared" si="24"/>
        <v>Los Angeles Kings Tradition NHL</v>
      </c>
      <c r="Y251" s="60">
        <f t="shared" si="25"/>
        <v>6</v>
      </c>
      <c r="Z251" s="49">
        <f t="shared" si="26"/>
        <v>223</v>
      </c>
      <c r="AA251" s="60">
        <f t="shared" si="27"/>
        <v>6223</v>
      </c>
    </row>
    <row r="252" spans="1:27">
      <c r="A252" s="83" t="str">
        <f t="shared" si="21"/>
        <v>42692A-NYRindrd</v>
      </c>
      <c r="B252" s="83" t="str">
        <f t="shared" si="22"/>
        <v>06-224-71</v>
      </c>
      <c r="C252" s="106" t="s">
        <v>1672</v>
      </c>
      <c r="D252" s="106" t="s">
        <v>1673</v>
      </c>
      <c r="E252" s="106" t="s">
        <v>788</v>
      </c>
      <c r="F252" s="107">
        <v>0</v>
      </c>
      <c r="G252" s="106" t="s">
        <v>1674</v>
      </c>
      <c r="H252" s="106" t="s">
        <v>593</v>
      </c>
      <c r="I252" s="106" t="s">
        <v>785</v>
      </c>
      <c r="J252" s="106" t="s">
        <v>327</v>
      </c>
      <c r="K252" s="106" t="s">
        <v>382</v>
      </c>
      <c r="L252" s="106" t="s">
        <v>884</v>
      </c>
      <c r="M252" s="106" t="s">
        <v>388</v>
      </c>
      <c r="N252" s="106" t="s">
        <v>44</v>
      </c>
      <c r="O252" s="106" t="s">
        <v>541</v>
      </c>
      <c r="P252" s="106" t="s">
        <v>866</v>
      </c>
      <c r="Q252" s="106" t="s">
        <v>1675</v>
      </c>
      <c r="R252" s="106" t="s">
        <v>71</v>
      </c>
      <c r="S252" s="83" t="str">
        <f t="shared" si="23"/>
        <v>42692A-NYR</v>
      </c>
      <c r="T252" s="83" t="str">
        <f t="shared" si="24"/>
        <v>New York Rangers Tradition NHL</v>
      </c>
      <c r="Y252" s="60">
        <f t="shared" si="25"/>
        <v>6</v>
      </c>
      <c r="Z252" s="49">
        <f t="shared" si="26"/>
        <v>224</v>
      </c>
      <c r="AA252" s="60">
        <f t="shared" si="27"/>
        <v>6224</v>
      </c>
    </row>
    <row r="253" spans="1:27">
      <c r="A253" s="83" t="str">
        <f t="shared" si="21"/>
        <v>42792A-DRWred-black</v>
      </c>
      <c r="B253" s="83" t="str">
        <f t="shared" si="22"/>
        <v>06-225-18</v>
      </c>
      <c r="C253" s="106" t="s">
        <v>1676</v>
      </c>
      <c r="D253" s="106" t="s">
        <v>1677</v>
      </c>
      <c r="E253" s="106" t="s">
        <v>788</v>
      </c>
      <c r="F253" s="107">
        <v>0</v>
      </c>
      <c r="G253" s="106" t="s">
        <v>1678</v>
      </c>
      <c r="H253" s="106" t="s">
        <v>179</v>
      </c>
      <c r="I253" s="106" t="s">
        <v>790</v>
      </c>
      <c r="J253" s="106" t="s">
        <v>342</v>
      </c>
      <c r="K253" s="106" t="s">
        <v>382</v>
      </c>
      <c r="L253" s="106" t="s">
        <v>884</v>
      </c>
      <c r="M253" s="106" t="s">
        <v>389</v>
      </c>
      <c r="O253" s="106" t="s">
        <v>542</v>
      </c>
      <c r="P253" s="106" t="s">
        <v>866</v>
      </c>
      <c r="Q253" s="106" t="s">
        <v>1646</v>
      </c>
      <c r="R253" s="106" t="s">
        <v>78</v>
      </c>
      <c r="S253" s="83" t="str">
        <f t="shared" si="23"/>
        <v>42792A-DRW</v>
      </c>
      <c r="T253" s="83" t="str">
        <f t="shared" si="24"/>
        <v>Detroit Red Wings Breezy NHL</v>
      </c>
      <c r="Y253" s="60">
        <f t="shared" si="25"/>
        <v>6</v>
      </c>
      <c r="Z253" s="49">
        <f t="shared" si="26"/>
        <v>225</v>
      </c>
      <c r="AA253" s="60">
        <f t="shared" si="27"/>
        <v>6225</v>
      </c>
    </row>
    <row r="254" spans="1:27">
      <c r="A254" s="83" t="str">
        <f t="shared" si="21"/>
        <v>42802A-DRWred-black</v>
      </c>
      <c r="B254" s="83" t="str">
        <f t="shared" si="22"/>
        <v>06-226-72</v>
      </c>
      <c r="C254" s="106" t="s">
        <v>1679</v>
      </c>
      <c r="D254" s="106" t="s">
        <v>1680</v>
      </c>
      <c r="E254" s="106" t="s">
        <v>788</v>
      </c>
      <c r="F254" s="107">
        <v>0</v>
      </c>
      <c r="G254" s="106" t="s">
        <v>1681</v>
      </c>
      <c r="H254" s="106" t="s">
        <v>186</v>
      </c>
      <c r="I254" s="106" t="s">
        <v>790</v>
      </c>
      <c r="J254" s="106" t="s">
        <v>342</v>
      </c>
      <c r="K254" s="106" t="s">
        <v>382</v>
      </c>
      <c r="L254" s="106" t="s">
        <v>884</v>
      </c>
      <c r="M254" s="106" t="s">
        <v>389</v>
      </c>
      <c r="O254" s="106" t="s">
        <v>542</v>
      </c>
      <c r="P254" s="106" t="s">
        <v>866</v>
      </c>
      <c r="Q254" s="106" t="s">
        <v>1646</v>
      </c>
      <c r="R254" s="106" t="s">
        <v>78</v>
      </c>
      <c r="S254" s="83" t="str">
        <f t="shared" si="23"/>
        <v>42802A-DRW</v>
      </c>
      <c r="T254" s="83" t="str">
        <f t="shared" si="24"/>
        <v>Detroit Red Wings Gusto NHL</v>
      </c>
      <c r="Y254" s="60">
        <f t="shared" si="25"/>
        <v>6</v>
      </c>
      <c r="Z254" s="49">
        <f t="shared" si="26"/>
        <v>226</v>
      </c>
      <c r="AA254" s="60">
        <f t="shared" si="27"/>
        <v>6226</v>
      </c>
    </row>
    <row r="255" spans="1:27">
      <c r="A255" s="83" t="str">
        <f t="shared" si="21"/>
        <v>42810A-NASAnavy-red</v>
      </c>
      <c r="B255" s="83" t="str">
        <f t="shared" si="22"/>
        <v>06-227-71</v>
      </c>
      <c r="C255" s="106" t="s">
        <v>1682</v>
      </c>
      <c r="D255" s="106" t="s">
        <v>1683</v>
      </c>
      <c r="E255" s="106" t="s">
        <v>788</v>
      </c>
      <c r="F255" s="107">
        <v>0</v>
      </c>
      <c r="G255" s="106" t="s">
        <v>1684</v>
      </c>
      <c r="H255" s="106" t="s">
        <v>593</v>
      </c>
      <c r="I255" s="106" t="s">
        <v>790</v>
      </c>
      <c r="J255" s="106" t="s">
        <v>342</v>
      </c>
      <c r="K255" s="106" t="s">
        <v>382</v>
      </c>
      <c r="L255" s="106" t="s">
        <v>873</v>
      </c>
      <c r="M255" s="106" t="s">
        <v>389</v>
      </c>
      <c r="O255" s="106" t="s">
        <v>542</v>
      </c>
      <c r="P255" s="106" t="s">
        <v>866</v>
      </c>
      <c r="Q255" s="106" t="s">
        <v>1435</v>
      </c>
      <c r="R255" s="106" t="s">
        <v>71</v>
      </c>
      <c r="S255" s="83" t="str">
        <f t="shared" si="23"/>
        <v>42810A-NASA</v>
      </c>
      <c r="T255" s="83" t="str">
        <f t="shared" si="24"/>
        <v>Space with NASA Pillow</v>
      </c>
      <c r="Y255" s="60">
        <f t="shared" si="25"/>
        <v>6</v>
      </c>
      <c r="Z255" s="49">
        <f t="shared" si="26"/>
        <v>227</v>
      </c>
      <c r="AA255" s="60">
        <f t="shared" si="27"/>
        <v>6227</v>
      </c>
    </row>
    <row r="256" spans="1:27">
      <c r="A256" s="83" t="str">
        <f t="shared" si="21"/>
        <v>42812A-SEKnvbl</v>
      </c>
      <c r="B256" s="83" t="str">
        <f t="shared" si="22"/>
        <v>06-228-70</v>
      </c>
      <c r="C256" s="106" t="s">
        <v>1685</v>
      </c>
      <c r="D256" s="106" t="s">
        <v>1686</v>
      </c>
      <c r="E256" s="106" t="s">
        <v>788</v>
      </c>
      <c r="F256" s="107">
        <v>0</v>
      </c>
      <c r="G256" s="106" t="s">
        <v>1687</v>
      </c>
      <c r="H256" s="106" t="s">
        <v>700</v>
      </c>
      <c r="I256" s="106" t="s">
        <v>790</v>
      </c>
      <c r="J256" s="106" t="s">
        <v>342</v>
      </c>
      <c r="K256" s="106" t="s">
        <v>382</v>
      </c>
      <c r="L256" s="106" t="s">
        <v>884</v>
      </c>
      <c r="M256" s="106" t="s">
        <v>389</v>
      </c>
      <c r="O256" s="106" t="s">
        <v>542</v>
      </c>
      <c r="P256" s="106" t="s">
        <v>866</v>
      </c>
      <c r="Q256" s="106" t="s">
        <v>1688</v>
      </c>
      <c r="R256" s="106" t="s">
        <v>71</v>
      </c>
      <c r="S256" s="83" t="str">
        <f t="shared" si="23"/>
        <v>42812A-SEK</v>
      </c>
      <c r="T256" s="83" t="str">
        <f t="shared" si="24"/>
        <v>Seattle Kraken Pillow NHL</v>
      </c>
      <c r="Y256" s="60">
        <f t="shared" si="25"/>
        <v>6</v>
      </c>
      <c r="Z256" s="49">
        <f t="shared" si="26"/>
        <v>228</v>
      </c>
      <c r="AA256" s="60">
        <f t="shared" si="27"/>
        <v>6228</v>
      </c>
    </row>
    <row r="257" spans="1:27">
      <c r="A257" s="83" t="str">
        <f t="shared" si="21"/>
        <v>42822A-CBHblack</v>
      </c>
      <c r="B257" s="83" t="str">
        <f t="shared" si="22"/>
        <v>06-229-09</v>
      </c>
      <c r="C257" s="106" t="s">
        <v>1689</v>
      </c>
      <c r="D257" s="106" t="s">
        <v>1690</v>
      </c>
      <c r="E257" s="106" t="s">
        <v>788</v>
      </c>
      <c r="F257" s="107">
        <v>0</v>
      </c>
      <c r="G257" s="106" t="s">
        <v>1691</v>
      </c>
      <c r="H257" s="106" t="s">
        <v>53</v>
      </c>
      <c r="I257" s="106" t="s">
        <v>790</v>
      </c>
      <c r="J257" s="106" t="s">
        <v>340</v>
      </c>
      <c r="K257" s="106" t="s">
        <v>382</v>
      </c>
      <c r="L257" s="106" t="s">
        <v>884</v>
      </c>
      <c r="M257" s="106" t="s">
        <v>389</v>
      </c>
      <c r="O257" s="106" t="s">
        <v>542</v>
      </c>
      <c r="P257" s="106" t="s">
        <v>866</v>
      </c>
      <c r="Q257" s="106" t="s">
        <v>819</v>
      </c>
      <c r="R257" s="106" t="s">
        <v>53</v>
      </c>
      <c r="S257" s="83" t="str">
        <f t="shared" si="23"/>
        <v>42822A-CBH</v>
      </c>
      <c r="T257" s="83" t="str">
        <f t="shared" si="24"/>
        <v>Chicago Blackhawks Cuffless</v>
      </c>
      <c r="Y257" s="60">
        <f t="shared" si="25"/>
        <v>6</v>
      </c>
      <c r="Z257" s="49">
        <f t="shared" si="26"/>
        <v>229</v>
      </c>
      <c r="AA257" s="60">
        <f t="shared" si="27"/>
        <v>6229</v>
      </c>
    </row>
    <row r="258" spans="1:27">
      <c r="A258" s="83" t="str">
        <f t="shared" si="21"/>
        <v>42822A-NYIroyal</v>
      </c>
      <c r="B258" s="83" t="str">
        <f t="shared" si="22"/>
        <v>06-230-06</v>
      </c>
      <c r="C258" s="106" t="s">
        <v>1692</v>
      </c>
      <c r="D258" s="106" t="s">
        <v>1693</v>
      </c>
      <c r="E258" s="106" t="s">
        <v>788</v>
      </c>
      <c r="F258" s="107">
        <v>0</v>
      </c>
      <c r="G258" s="106" t="s">
        <v>1694</v>
      </c>
      <c r="H258" s="106" t="s">
        <v>71</v>
      </c>
      <c r="I258" s="106" t="s">
        <v>790</v>
      </c>
      <c r="J258" s="106" t="s">
        <v>340</v>
      </c>
      <c r="K258" s="106" t="s">
        <v>382</v>
      </c>
      <c r="L258" s="106" t="s">
        <v>884</v>
      </c>
      <c r="M258" s="106" t="s">
        <v>389</v>
      </c>
      <c r="O258" s="106" t="s">
        <v>542</v>
      </c>
      <c r="P258" s="106" t="s">
        <v>866</v>
      </c>
      <c r="Q258" s="106" t="s">
        <v>1576</v>
      </c>
      <c r="R258" s="106" t="s">
        <v>71</v>
      </c>
      <c r="S258" s="83" t="str">
        <f t="shared" si="23"/>
        <v>42822A-NYI</v>
      </c>
      <c r="T258" s="83" t="str">
        <f t="shared" si="24"/>
        <v>New York Islanders Cuffless</v>
      </c>
      <c r="Y258" s="60">
        <f t="shared" si="25"/>
        <v>6</v>
      </c>
      <c r="Z258" s="49">
        <f t="shared" si="26"/>
        <v>230</v>
      </c>
      <c r="AA258" s="60">
        <f t="shared" si="27"/>
        <v>6230</v>
      </c>
    </row>
    <row r="259" spans="1:27">
      <c r="A259" s="83" t="str">
        <f t="shared" ref="A259:A322" si="28">IF(G259&amp;Q259&lt;&gt;"",S259&amp;Q259,"")</f>
        <v>42832A-NYRnavy</v>
      </c>
      <c r="B259" s="83" t="str">
        <f t="shared" ref="B259:B322" si="29">IF(C259&lt;&gt;"",LEFT(C259,9),"")</f>
        <v>06-231-16</v>
      </c>
      <c r="C259" s="106" t="s">
        <v>1695</v>
      </c>
      <c r="D259" s="106" t="s">
        <v>1696</v>
      </c>
      <c r="E259" s="106" t="s">
        <v>788</v>
      </c>
      <c r="F259" s="107">
        <v>0</v>
      </c>
      <c r="G259" s="106" t="s">
        <v>1697</v>
      </c>
      <c r="H259" s="106" t="s">
        <v>55</v>
      </c>
      <c r="I259" s="106" t="s">
        <v>786</v>
      </c>
      <c r="J259" s="106" t="s">
        <v>792</v>
      </c>
      <c r="K259" s="106" t="s">
        <v>382</v>
      </c>
      <c r="L259" s="106" t="s">
        <v>884</v>
      </c>
      <c r="M259" s="106" t="s">
        <v>388</v>
      </c>
      <c r="N259" s="106" t="s">
        <v>43</v>
      </c>
      <c r="O259" s="106" t="s">
        <v>541</v>
      </c>
      <c r="P259" s="106" t="s">
        <v>866</v>
      </c>
      <c r="Q259" s="106" t="s">
        <v>818</v>
      </c>
      <c r="R259" s="106" t="s">
        <v>71</v>
      </c>
      <c r="S259" s="83" t="str">
        <f t="shared" ref="S259:S322" si="30">IF(G259&lt;&gt;"",IF(StyleSpaceSplit,IFERROR(IF(FIND(" ",G259)&gt;=1,MID(G259,1,FIND(" ",G259)-1),G259),G259),G259),"")</f>
        <v>42832A-NYR</v>
      </c>
      <c r="T259" s="83" t="str">
        <f t="shared" ref="T259:T322" si="31">IF(A259&lt;&gt;"",IFERROR(IF(FIND(" ",G259)&gt;=1,MID(G259,FIND(" ",G259)+1,LEN(G259)),""),G259),"")</f>
        <v>New York Rangers Fleck NHL</v>
      </c>
      <c r="Y259" s="60">
        <f t="shared" ref="Y259:Y322" si="32">IFERROR(VALUE(MID($C259,1,2)),0)</f>
        <v>6</v>
      </c>
      <c r="Z259" s="49">
        <f t="shared" ref="Z259:Z322" si="33">IFERROR(VALUE(MID($C259,4,3)),0)</f>
        <v>231</v>
      </c>
      <c r="AA259" s="60">
        <f t="shared" ref="AA259:AA322" si="34">VALUE(RIGHT("00"&amp;Y259,2)&amp;RIGHT("000"&amp;Z259,3))</f>
        <v>6231</v>
      </c>
    </row>
    <row r="260" spans="1:27">
      <c r="A260" s="83" t="str">
        <f t="shared" si="28"/>
        <v>42862A-DRWred</v>
      </c>
      <c r="B260" s="83" t="str">
        <f t="shared" si="29"/>
        <v>06-232-18</v>
      </c>
      <c r="C260" s="106" t="s">
        <v>1698</v>
      </c>
      <c r="D260" s="106" t="s">
        <v>1699</v>
      </c>
      <c r="E260" s="106" t="s">
        <v>788</v>
      </c>
      <c r="F260" s="107">
        <v>0</v>
      </c>
      <c r="G260" s="106" t="s">
        <v>1700</v>
      </c>
      <c r="H260" s="106" t="s">
        <v>78</v>
      </c>
      <c r="I260" s="106" t="s">
        <v>786</v>
      </c>
      <c r="J260" s="106" t="s">
        <v>327</v>
      </c>
      <c r="K260" s="106" t="s">
        <v>382</v>
      </c>
      <c r="L260" s="106" t="s">
        <v>884</v>
      </c>
      <c r="M260" s="106" t="s">
        <v>388</v>
      </c>
      <c r="N260" s="106" t="s">
        <v>43</v>
      </c>
      <c r="O260" s="106" t="s">
        <v>541</v>
      </c>
      <c r="P260" s="106" t="s">
        <v>866</v>
      </c>
      <c r="Q260" s="106" t="s">
        <v>822</v>
      </c>
      <c r="R260" s="106" t="s">
        <v>78</v>
      </c>
      <c r="S260" s="83" t="str">
        <f t="shared" si="30"/>
        <v>42862A-DRW</v>
      </c>
      <c r="T260" s="83" t="str">
        <f t="shared" si="31"/>
        <v>Detroit Red Wings Conway NHL</v>
      </c>
      <c r="Y260" s="60">
        <f t="shared" si="32"/>
        <v>6</v>
      </c>
      <c r="Z260" s="49">
        <f t="shared" si="33"/>
        <v>232</v>
      </c>
      <c r="AA260" s="60">
        <f t="shared" si="34"/>
        <v>6232</v>
      </c>
    </row>
    <row r="261" spans="1:27">
      <c r="A261" s="83" t="str">
        <f t="shared" si="28"/>
        <v>42862A-NYRroyal</v>
      </c>
      <c r="B261" s="83" t="str">
        <f t="shared" si="29"/>
        <v>06-233-06</v>
      </c>
      <c r="C261" s="106" t="s">
        <v>1701</v>
      </c>
      <c r="D261" s="106" t="s">
        <v>1702</v>
      </c>
      <c r="E261" s="106" t="s">
        <v>788</v>
      </c>
      <c r="F261" s="107">
        <v>0</v>
      </c>
      <c r="G261" s="106" t="s">
        <v>1703</v>
      </c>
      <c r="H261" s="106" t="s">
        <v>71</v>
      </c>
      <c r="I261" s="106" t="s">
        <v>786</v>
      </c>
      <c r="J261" s="106" t="s">
        <v>327</v>
      </c>
      <c r="K261" s="106" t="s">
        <v>382</v>
      </c>
      <c r="L261" s="106" t="s">
        <v>884</v>
      </c>
      <c r="M261" s="106" t="s">
        <v>388</v>
      </c>
      <c r="N261" s="106" t="s">
        <v>43</v>
      </c>
      <c r="O261" s="106" t="s">
        <v>541</v>
      </c>
      <c r="P261" s="106" t="s">
        <v>866</v>
      </c>
      <c r="Q261" s="106" t="s">
        <v>1576</v>
      </c>
      <c r="R261" s="106" t="s">
        <v>71</v>
      </c>
      <c r="S261" s="83" t="str">
        <f t="shared" si="30"/>
        <v>42862A-NYR</v>
      </c>
      <c r="T261" s="83" t="str">
        <f t="shared" si="31"/>
        <v>New York Rangers Conway NHL</v>
      </c>
      <c r="Y261" s="60">
        <f t="shared" si="32"/>
        <v>6</v>
      </c>
      <c r="Z261" s="49">
        <f t="shared" si="33"/>
        <v>233</v>
      </c>
      <c r="AA261" s="60">
        <f t="shared" si="34"/>
        <v>6233</v>
      </c>
    </row>
    <row r="262" spans="1:27">
      <c r="A262" s="83" t="str">
        <f t="shared" si="28"/>
        <v>42932A-LAKivory-blk</v>
      </c>
      <c r="B262" s="83" t="str">
        <f t="shared" si="29"/>
        <v>06-234-48</v>
      </c>
      <c r="C262" s="106" t="s">
        <v>1704</v>
      </c>
      <c r="D262" s="106" t="s">
        <v>1705</v>
      </c>
      <c r="E262" s="106" t="s">
        <v>788</v>
      </c>
      <c r="F262" s="107">
        <v>0</v>
      </c>
      <c r="G262" s="106" t="s">
        <v>1706</v>
      </c>
      <c r="H262" s="106" t="s">
        <v>119</v>
      </c>
      <c r="I262" s="106" t="s">
        <v>888</v>
      </c>
      <c r="J262" s="106" t="s">
        <v>792</v>
      </c>
      <c r="K262" s="106" t="s">
        <v>382</v>
      </c>
      <c r="L262" s="106" t="s">
        <v>884</v>
      </c>
      <c r="M262" s="106" t="s">
        <v>388</v>
      </c>
      <c r="N262" s="106" t="s">
        <v>44</v>
      </c>
      <c r="O262" s="106" t="s">
        <v>541</v>
      </c>
      <c r="P262" s="106" t="s">
        <v>866</v>
      </c>
      <c r="Q262" s="106" t="s">
        <v>1707</v>
      </c>
      <c r="R262" s="106" t="s">
        <v>57</v>
      </c>
      <c r="S262" s="83" t="str">
        <f t="shared" si="30"/>
        <v>42932A-LAK</v>
      </c>
      <c r="T262" s="83" t="str">
        <f t="shared" si="31"/>
        <v>Los Angeles Kings United NHL</v>
      </c>
      <c r="Y262" s="60">
        <f t="shared" si="32"/>
        <v>6</v>
      </c>
      <c r="Z262" s="49">
        <f t="shared" si="33"/>
        <v>234</v>
      </c>
      <c r="AA262" s="60">
        <f t="shared" si="34"/>
        <v>6234</v>
      </c>
    </row>
    <row r="263" spans="1:27">
      <c r="A263" s="83" t="str">
        <f t="shared" si="28"/>
        <v>42932A-NYRivory-royal</v>
      </c>
      <c r="B263" s="83" t="str">
        <f t="shared" si="29"/>
        <v>06-235-38</v>
      </c>
      <c r="C263" s="106" t="s">
        <v>1708</v>
      </c>
      <c r="D263" s="106" t="s">
        <v>1709</v>
      </c>
      <c r="E263" s="106" t="s">
        <v>788</v>
      </c>
      <c r="F263" s="107">
        <v>0</v>
      </c>
      <c r="G263" s="106" t="s">
        <v>1710</v>
      </c>
      <c r="H263" s="106" t="s">
        <v>116</v>
      </c>
      <c r="I263" s="106" t="s">
        <v>888</v>
      </c>
      <c r="J263" s="106" t="s">
        <v>792</v>
      </c>
      <c r="K263" s="106" t="s">
        <v>382</v>
      </c>
      <c r="L263" s="106" t="s">
        <v>884</v>
      </c>
      <c r="M263" s="106" t="s">
        <v>388</v>
      </c>
      <c r="N263" s="106" t="s">
        <v>44</v>
      </c>
      <c r="O263" s="106" t="s">
        <v>541</v>
      </c>
      <c r="P263" s="106" t="s">
        <v>866</v>
      </c>
      <c r="Q263" s="106" t="s">
        <v>1711</v>
      </c>
      <c r="R263" s="106" t="s">
        <v>57</v>
      </c>
      <c r="S263" s="83" t="str">
        <f t="shared" si="30"/>
        <v>42932A-NYR</v>
      </c>
      <c r="T263" s="83" t="str">
        <f t="shared" si="31"/>
        <v>New York Rangers United NHL</v>
      </c>
      <c r="Y263" s="60">
        <f t="shared" si="32"/>
        <v>6</v>
      </c>
      <c r="Z263" s="49">
        <f t="shared" si="33"/>
        <v>235</v>
      </c>
      <c r="AA263" s="60">
        <f t="shared" si="34"/>
        <v>6235</v>
      </c>
    </row>
    <row r="264" spans="1:27">
      <c r="A264" s="83" t="str">
        <f t="shared" si="28"/>
        <v>42932A-PPNivory-blk</v>
      </c>
      <c r="B264" s="83" t="str">
        <f t="shared" si="29"/>
        <v>06-236-48</v>
      </c>
      <c r="C264" s="106" t="s">
        <v>1712</v>
      </c>
      <c r="D264" s="106" t="s">
        <v>1713</v>
      </c>
      <c r="E264" s="106" t="s">
        <v>788</v>
      </c>
      <c r="F264" s="107">
        <v>0</v>
      </c>
      <c r="G264" s="106" t="s">
        <v>1714</v>
      </c>
      <c r="H264" s="106" t="s">
        <v>119</v>
      </c>
      <c r="I264" s="106" t="s">
        <v>888</v>
      </c>
      <c r="J264" s="106" t="s">
        <v>792</v>
      </c>
      <c r="K264" s="106" t="s">
        <v>382</v>
      </c>
      <c r="L264" s="106" t="s">
        <v>884</v>
      </c>
      <c r="M264" s="106" t="s">
        <v>388</v>
      </c>
      <c r="N264" s="106" t="s">
        <v>44</v>
      </c>
      <c r="O264" s="106" t="s">
        <v>541</v>
      </c>
      <c r="P264" s="106" t="s">
        <v>866</v>
      </c>
      <c r="Q264" s="106" t="s">
        <v>1707</v>
      </c>
      <c r="R264" s="106" t="s">
        <v>57</v>
      </c>
      <c r="S264" s="83" t="str">
        <f t="shared" si="30"/>
        <v>42932A-PPN</v>
      </c>
      <c r="T264" s="83" t="str">
        <f t="shared" si="31"/>
        <v>Pittsburgh Penguins United NHL</v>
      </c>
      <c r="Y264" s="60">
        <f t="shared" si="32"/>
        <v>6</v>
      </c>
      <c r="Z264" s="49">
        <f t="shared" si="33"/>
        <v>236</v>
      </c>
      <c r="AA264" s="60">
        <f t="shared" si="34"/>
        <v>6236</v>
      </c>
    </row>
    <row r="265" spans="1:27">
      <c r="A265" s="83" t="str">
        <f t="shared" si="28"/>
        <v>42992A-CBHgrey-black</v>
      </c>
      <c r="B265" s="83" t="str">
        <f t="shared" si="29"/>
        <v>06-237-10</v>
      </c>
      <c r="C265" s="106" t="s">
        <v>1715</v>
      </c>
      <c r="D265" s="106" t="s">
        <v>1716</v>
      </c>
      <c r="E265" s="106" t="s">
        <v>788</v>
      </c>
      <c r="F265" s="107">
        <v>0</v>
      </c>
      <c r="G265" s="106" t="s">
        <v>1717</v>
      </c>
      <c r="H265" s="106" t="s">
        <v>246</v>
      </c>
      <c r="I265" s="106" t="s">
        <v>1718</v>
      </c>
      <c r="J265" s="106" t="s">
        <v>792</v>
      </c>
      <c r="K265" s="106" t="s">
        <v>382</v>
      </c>
      <c r="L265" s="106" t="s">
        <v>884</v>
      </c>
      <c r="M265" s="106" t="s">
        <v>388</v>
      </c>
      <c r="O265" s="106" t="s">
        <v>541</v>
      </c>
      <c r="P265" s="106" t="s">
        <v>866</v>
      </c>
      <c r="Q265" s="106" t="s">
        <v>1719</v>
      </c>
      <c r="R265" s="106" t="s">
        <v>83</v>
      </c>
      <c r="S265" s="83" t="str">
        <f t="shared" si="30"/>
        <v>42992A-CBH</v>
      </c>
      <c r="T265" s="83" t="str">
        <f t="shared" si="31"/>
        <v>Chicago Blackhawks Stanton NHL</v>
      </c>
      <c r="Y265" s="60">
        <f t="shared" si="32"/>
        <v>6</v>
      </c>
      <c r="Z265" s="49">
        <f t="shared" si="33"/>
        <v>237</v>
      </c>
      <c r="AA265" s="60">
        <f t="shared" si="34"/>
        <v>6237</v>
      </c>
    </row>
    <row r="266" spans="1:27">
      <c r="A266" s="83" t="str">
        <f t="shared" si="28"/>
        <v>42992A-DRWgrey-red</v>
      </c>
      <c r="B266" s="83" t="str">
        <f t="shared" si="29"/>
        <v>06-238-75</v>
      </c>
      <c r="C266" s="106" t="s">
        <v>1720</v>
      </c>
      <c r="D266" s="106" t="s">
        <v>1721</v>
      </c>
      <c r="E266" s="106" t="s">
        <v>788</v>
      </c>
      <c r="F266" s="107">
        <v>0</v>
      </c>
      <c r="G266" s="106" t="s">
        <v>1722</v>
      </c>
      <c r="H266" s="106" t="s">
        <v>241</v>
      </c>
      <c r="I266" s="106" t="s">
        <v>1718</v>
      </c>
      <c r="J266" s="106" t="s">
        <v>792</v>
      </c>
      <c r="K266" s="106" t="s">
        <v>382</v>
      </c>
      <c r="L266" s="106" t="s">
        <v>884</v>
      </c>
      <c r="M266" s="106" t="s">
        <v>388</v>
      </c>
      <c r="O266" s="106" t="s">
        <v>541</v>
      </c>
      <c r="P266" s="106" t="s">
        <v>866</v>
      </c>
      <c r="Q266" s="106" t="s">
        <v>1723</v>
      </c>
      <c r="R266" s="106" t="s">
        <v>83</v>
      </c>
      <c r="S266" s="83" t="str">
        <f t="shared" si="30"/>
        <v>42992A-DRW</v>
      </c>
      <c r="T266" s="83" t="str">
        <f t="shared" si="31"/>
        <v>Detroit Red Wings Stanton NHL</v>
      </c>
      <c r="Y266" s="60">
        <f t="shared" si="32"/>
        <v>6</v>
      </c>
      <c r="Z266" s="49">
        <f t="shared" si="33"/>
        <v>238</v>
      </c>
      <c r="AA266" s="60">
        <f t="shared" si="34"/>
        <v>6238</v>
      </c>
    </row>
    <row r="267" spans="1:27">
      <c r="A267" s="83" t="str">
        <f t="shared" si="28"/>
        <v>42992A-NYRgrey-royal</v>
      </c>
      <c r="B267" s="83" t="str">
        <f t="shared" si="29"/>
        <v>06-239-26</v>
      </c>
      <c r="C267" s="106" t="s">
        <v>1724</v>
      </c>
      <c r="D267" s="106" t="s">
        <v>1725</v>
      </c>
      <c r="E267" s="106" t="s">
        <v>788</v>
      </c>
      <c r="F267" s="107">
        <v>0</v>
      </c>
      <c r="G267" s="106" t="s">
        <v>1726</v>
      </c>
      <c r="H267" s="106" t="s">
        <v>245</v>
      </c>
      <c r="I267" s="106" t="s">
        <v>1718</v>
      </c>
      <c r="J267" s="106" t="s">
        <v>792</v>
      </c>
      <c r="K267" s="106" t="s">
        <v>382</v>
      </c>
      <c r="L267" s="106" t="s">
        <v>884</v>
      </c>
      <c r="M267" s="106" t="s">
        <v>388</v>
      </c>
      <c r="O267" s="106" t="s">
        <v>541</v>
      </c>
      <c r="P267" s="106" t="s">
        <v>866</v>
      </c>
      <c r="Q267" s="106" t="s">
        <v>1727</v>
      </c>
      <c r="R267" s="106" t="s">
        <v>83</v>
      </c>
      <c r="S267" s="83" t="str">
        <f t="shared" si="30"/>
        <v>42992A-NYR</v>
      </c>
      <c r="T267" s="83" t="str">
        <f t="shared" si="31"/>
        <v>New York Rangers Stanton NHL</v>
      </c>
      <c r="Y267" s="60">
        <f t="shared" si="32"/>
        <v>6</v>
      </c>
      <c r="Z267" s="49">
        <f t="shared" si="33"/>
        <v>239</v>
      </c>
      <c r="AA267" s="60">
        <f t="shared" si="34"/>
        <v>6239</v>
      </c>
    </row>
    <row r="268" spans="1:27">
      <c r="A268" s="83" t="str">
        <f t="shared" si="28"/>
        <v>43020A-CAbrick red</v>
      </c>
      <c r="B268" s="83" t="str">
        <f t="shared" si="29"/>
        <v>06-240-13</v>
      </c>
      <c r="C268" s="106" t="s">
        <v>1728</v>
      </c>
      <c r="D268" s="106" t="s">
        <v>1729</v>
      </c>
      <c r="E268" s="106" t="s">
        <v>788</v>
      </c>
      <c r="F268" s="107">
        <v>0</v>
      </c>
      <c r="G268" s="106" t="s">
        <v>1730</v>
      </c>
      <c r="H268" s="106" t="s">
        <v>160</v>
      </c>
      <c r="I268" s="106" t="s">
        <v>786</v>
      </c>
      <c r="J268" s="106" t="s">
        <v>327</v>
      </c>
      <c r="K268" s="106" t="s">
        <v>382</v>
      </c>
      <c r="L268" s="106" t="s">
        <v>880</v>
      </c>
      <c r="M268" s="106" t="s">
        <v>388</v>
      </c>
      <c r="N268" s="106" t="s">
        <v>43</v>
      </c>
      <c r="O268" s="106" t="s">
        <v>541</v>
      </c>
      <c r="P268" s="106" t="s">
        <v>866</v>
      </c>
      <c r="Q268" s="106" t="s">
        <v>1731</v>
      </c>
      <c r="R268" s="106" t="s">
        <v>86</v>
      </c>
      <c r="S268" s="83" t="str">
        <f t="shared" si="30"/>
        <v>43020A-CA</v>
      </c>
      <c r="T268" s="83" t="str">
        <f t="shared" si="31"/>
        <v>California Ballpark</v>
      </c>
      <c r="Y268" s="60">
        <f t="shared" si="32"/>
        <v>6</v>
      </c>
      <c r="Z268" s="49">
        <f t="shared" si="33"/>
        <v>240</v>
      </c>
      <c r="AA268" s="60">
        <f t="shared" si="34"/>
        <v>6240</v>
      </c>
    </row>
    <row r="269" spans="1:27">
      <c r="A269" s="83" t="str">
        <f t="shared" si="28"/>
        <v>43020A-MALIred</v>
      </c>
      <c r="B269" s="83" t="str">
        <f t="shared" si="29"/>
        <v>06-241-18</v>
      </c>
      <c r="C269" s="106" t="s">
        <v>1732</v>
      </c>
      <c r="D269" s="106" t="s">
        <v>1733</v>
      </c>
      <c r="E269" s="106" t="s">
        <v>788</v>
      </c>
      <c r="F269" s="107">
        <v>0</v>
      </c>
      <c r="G269" s="106" t="s">
        <v>1734</v>
      </c>
      <c r="H269" s="106" t="s">
        <v>78</v>
      </c>
      <c r="I269" s="106" t="s">
        <v>786</v>
      </c>
      <c r="J269" s="106" t="s">
        <v>327</v>
      </c>
      <c r="K269" s="106" t="s">
        <v>382</v>
      </c>
      <c r="L269" s="106" t="s">
        <v>880</v>
      </c>
      <c r="M269" s="106" t="s">
        <v>388</v>
      </c>
      <c r="N269" s="106" t="s">
        <v>43</v>
      </c>
      <c r="O269" s="106" t="s">
        <v>541</v>
      </c>
      <c r="P269" s="106" t="s">
        <v>866</v>
      </c>
      <c r="Q269" s="106" t="s">
        <v>822</v>
      </c>
      <c r="R269" s="106" t="s">
        <v>78</v>
      </c>
      <c r="S269" s="83" t="str">
        <f t="shared" si="30"/>
        <v>43020A-MALI</v>
      </c>
      <c r="T269" s="83" t="str">
        <f t="shared" si="31"/>
        <v>Malibu Ballpark</v>
      </c>
      <c r="Y269" s="60">
        <f t="shared" si="32"/>
        <v>6</v>
      </c>
      <c r="Z269" s="49">
        <f t="shared" si="33"/>
        <v>241</v>
      </c>
      <c r="AA269" s="60">
        <f t="shared" si="34"/>
        <v>6241</v>
      </c>
    </row>
    <row r="270" spans="1:27">
      <c r="A270" s="83" t="str">
        <f t="shared" si="28"/>
        <v>43020A-WINDmint</v>
      </c>
      <c r="B270" s="83" t="str">
        <f t="shared" si="29"/>
        <v>06-242-11</v>
      </c>
      <c r="C270" s="106" t="s">
        <v>1735</v>
      </c>
      <c r="D270" s="106" t="s">
        <v>1736</v>
      </c>
      <c r="E270" s="106" t="s">
        <v>788</v>
      </c>
      <c r="F270" s="107">
        <v>0</v>
      </c>
      <c r="G270" s="106" t="s">
        <v>1737</v>
      </c>
      <c r="H270" s="106" t="s">
        <v>60</v>
      </c>
      <c r="I270" s="106" t="s">
        <v>786</v>
      </c>
      <c r="J270" s="106" t="s">
        <v>327</v>
      </c>
      <c r="K270" s="106" t="s">
        <v>382</v>
      </c>
      <c r="L270" s="106" t="s">
        <v>880</v>
      </c>
      <c r="M270" s="106" t="s">
        <v>388</v>
      </c>
      <c r="N270" s="106" t="s">
        <v>43</v>
      </c>
      <c r="O270" s="106" t="s">
        <v>541</v>
      </c>
      <c r="P270" s="106" t="s">
        <v>866</v>
      </c>
      <c r="Q270" s="106" t="s">
        <v>824</v>
      </c>
      <c r="R270" s="106" t="s">
        <v>60</v>
      </c>
      <c r="S270" s="83" t="str">
        <f t="shared" si="30"/>
        <v>43020A-WIND</v>
      </c>
      <c r="T270" s="83" t="str">
        <f t="shared" si="31"/>
        <v>Wind &amp; Sea Ballpark</v>
      </c>
      <c r="Y270" s="60">
        <f t="shared" si="32"/>
        <v>6</v>
      </c>
      <c r="Z270" s="49">
        <f t="shared" si="33"/>
        <v>242</v>
      </c>
      <c r="AA270" s="60">
        <f t="shared" si="34"/>
        <v>6242</v>
      </c>
    </row>
    <row r="271" spans="1:27">
      <c r="A271" s="83" t="str">
        <f t="shared" si="28"/>
        <v>43020B-CAruisseau</v>
      </c>
      <c r="B271" s="83" t="str">
        <f t="shared" si="29"/>
        <v>06-243-08</v>
      </c>
      <c r="C271" s="106" t="s">
        <v>1738</v>
      </c>
      <c r="D271" s="106" t="s">
        <v>1739</v>
      </c>
      <c r="E271" s="106" t="s">
        <v>788</v>
      </c>
      <c r="F271" s="107">
        <v>0</v>
      </c>
      <c r="G271" s="106" t="s">
        <v>1740</v>
      </c>
      <c r="H271" s="106" t="s">
        <v>83</v>
      </c>
      <c r="I271" s="106" t="s">
        <v>786</v>
      </c>
      <c r="J271" s="106" t="s">
        <v>327</v>
      </c>
      <c r="K271" s="106" t="s">
        <v>382</v>
      </c>
      <c r="L271" s="106" t="s">
        <v>880</v>
      </c>
      <c r="M271" s="106" t="s">
        <v>388</v>
      </c>
      <c r="N271" s="106" t="s">
        <v>43</v>
      </c>
      <c r="O271" s="106" t="s">
        <v>541</v>
      </c>
      <c r="P271" s="106" t="s">
        <v>866</v>
      </c>
      <c r="Q271" s="106" t="s">
        <v>1513</v>
      </c>
      <c r="R271" s="106" t="s">
        <v>83</v>
      </c>
      <c r="S271" s="83" t="str">
        <f t="shared" si="30"/>
        <v>43020B-CA</v>
      </c>
      <c r="T271" s="83" t="str">
        <f t="shared" si="31"/>
        <v>California Ballpark</v>
      </c>
      <c r="Y271" s="60">
        <f t="shared" si="32"/>
        <v>6</v>
      </c>
      <c r="Z271" s="49">
        <f t="shared" si="33"/>
        <v>243</v>
      </c>
      <c r="AA271" s="60">
        <f t="shared" si="34"/>
        <v>6243</v>
      </c>
    </row>
    <row r="272" spans="1:27">
      <c r="A272" s="83" t="str">
        <f t="shared" si="28"/>
        <v>43020C-CAnavy</v>
      </c>
      <c r="B272" s="83" t="str">
        <f t="shared" si="29"/>
        <v>06-244-16</v>
      </c>
      <c r="C272" s="106" t="s">
        <v>1741</v>
      </c>
      <c r="D272" s="106" t="s">
        <v>1742</v>
      </c>
      <c r="E272" s="106" t="s">
        <v>788</v>
      </c>
      <c r="F272" s="107">
        <v>0</v>
      </c>
      <c r="G272" s="106" t="s">
        <v>1743</v>
      </c>
      <c r="H272" s="106" t="s">
        <v>55</v>
      </c>
      <c r="I272" s="106" t="s">
        <v>786</v>
      </c>
      <c r="J272" s="106" t="s">
        <v>327</v>
      </c>
      <c r="K272" s="106" t="s">
        <v>382</v>
      </c>
      <c r="L272" s="106" t="s">
        <v>880</v>
      </c>
      <c r="M272" s="106" t="s">
        <v>388</v>
      </c>
      <c r="N272" s="106" t="s">
        <v>43</v>
      </c>
      <c r="O272" s="106" t="s">
        <v>541</v>
      </c>
      <c r="P272" s="106" t="s">
        <v>866</v>
      </c>
      <c r="Q272" s="106" t="s">
        <v>818</v>
      </c>
      <c r="R272" s="106" t="s">
        <v>71</v>
      </c>
      <c r="S272" s="83" t="str">
        <f t="shared" si="30"/>
        <v>43020C-CA</v>
      </c>
      <c r="T272" s="83" t="str">
        <f t="shared" si="31"/>
        <v>California Ballpark</v>
      </c>
      <c r="Y272" s="60">
        <f t="shared" si="32"/>
        <v>6</v>
      </c>
      <c r="Z272" s="49">
        <f t="shared" si="33"/>
        <v>244</v>
      </c>
      <c r="AA272" s="60">
        <f t="shared" si="34"/>
        <v>6244</v>
      </c>
    </row>
    <row r="273" spans="1:27">
      <c r="A273" s="83" t="str">
        <f t="shared" si="28"/>
        <v>43027A-BBBblack-red</v>
      </c>
      <c r="B273" s="83" t="str">
        <f t="shared" si="29"/>
        <v>06-245-72</v>
      </c>
      <c r="C273" s="106" t="s">
        <v>1744</v>
      </c>
      <c r="D273" s="106" t="s">
        <v>1745</v>
      </c>
      <c r="E273" s="106" t="s">
        <v>788</v>
      </c>
      <c r="F273" s="107">
        <v>0</v>
      </c>
      <c r="G273" s="106" t="s">
        <v>1746</v>
      </c>
      <c r="H273" s="106" t="s">
        <v>302</v>
      </c>
      <c r="I273" s="106" t="s">
        <v>786</v>
      </c>
      <c r="J273" s="106" t="s">
        <v>327</v>
      </c>
      <c r="K273" s="106" t="s">
        <v>382</v>
      </c>
      <c r="L273" s="106" t="s">
        <v>884</v>
      </c>
      <c r="M273" s="106" t="s">
        <v>388</v>
      </c>
      <c r="N273" s="106" t="s">
        <v>43</v>
      </c>
      <c r="O273" s="106" t="s">
        <v>541</v>
      </c>
      <c r="P273" s="106" t="s">
        <v>866</v>
      </c>
      <c r="Q273" s="106" t="s">
        <v>1638</v>
      </c>
      <c r="R273" s="106" t="s">
        <v>53</v>
      </c>
      <c r="S273" s="83" t="str">
        <f t="shared" si="30"/>
        <v>43027A-BBB</v>
      </c>
      <c r="T273" s="83" t="str">
        <f t="shared" si="31"/>
        <v>Birmingham Black Barons Ballpark NL</v>
      </c>
      <c r="Y273" s="60">
        <f t="shared" si="32"/>
        <v>6</v>
      </c>
      <c r="Z273" s="49">
        <f t="shared" si="33"/>
        <v>245</v>
      </c>
      <c r="AA273" s="60">
        <f t="shared" si="34"/>
        <v>6245</v>
      </c>
    </row>
    <row r="274" spans="1:27">
      <c r="A274" s="83" t="str">
        <f t="shared" si="28"/>
        <v>43027A-CAGnavy</v>
      </c>
      <c r="B274" s="83" t="str">
        <f t="shared" si="29"/>
        <v>06-246-16</v>
      </c>
      <c r="C274" s="106" t="s">
        <v>1747</v>
      </c>
      <c r="D274" s="106" t="s">
        <v>1748</v>
      </c>
      <c r="E274" s="106" t="s">
        <v>788</v>
      </c>
      <c r="F274" s="107">
        <v>0</v>
      </c>
      <c r="G274" s="106" t="s">
        <v>1749</v>
      </c>
      <c r="H274" s="106" t="s">
        <v>55</v>
      </c>
      <c r="I274" s="106" t="s">
        <v>786</v>
      </c>
      <c r="J274" s="106" t="s">
        <v>327</v>
      </c>
      <c r="K274" s="106" t="s">
        <v>382</v>
      </c>
      <c r="L274" s="106" t="s">
        <v>884</v>
      </c>
      <c r="M274" s="106" t="s">
        <v>388</v>
      </c>
      <c r="N274" s="106" t="s">
        <v>43</v>
      </c>
      <c r="O274" s="106" t="s">
        <v>541</v>
      </c>
      <c r="P274" s="106" t="s">
        <v>866</v>
      </c>
      <c r="Q274" s="106" t="s">
        <v>818</v>
      </c>
      <c r="R274" s="106" t="s">
        <v>71</v>
      </c>
      <c r="S274" s="83" t="str">
        <f t="shared" si="30"/>
        <v>43027A-CAG</v>
      </c>
      <c r="T274" s="83" t="str">
        <f t="shared" si="31"/>
        <v>Chicago American Giants Ballpark NL</v>
      </c>
      <c r="Y274" s="60">
        <f t="shared" si="32"/>
        <v>6</v>
      </c>
      <c r="Z274" s="49">
        <f t="shared" si="33"/>
        <v>246</v>
      </c>
      <c r="AA274" s="60">
        <f t="shared" si="34"/>
        <v>6246</v>
      </c>
    </row>
    <row r="275" spans="1:27">
      <c r="A275" s="83" t="str">
        <f t="shared" si="28"/>
        <v>43027A-HOGgrey</v>
      </c>
      <c r="B275" s="83" t="str">
        <f t="shared" si="29"/>
        <v>06-247-08</v>
      </c>
      <c r="C275" s="106" t="s">
        <v>1750</v>
      </c>
      <c r="D275" s="106" t="s">
        <v>1751</v>
      </c>
      <c r="E275" s="106" t="s">
        <v>788</v>
      </c>
      <c r="F275" s="107">
        <v>0</v>
      </c>
      <c r="G275" s="106" t="s">
        <v>1752</v>
      </c>
      <c r="H275" s="106" t="s">
        <v>83</v>
      </c>
      <c r="I275" s="106" t="s">
        <v>786</v>
      </c>
      <c r="J275" s="106" t="s">
        <v>327</v>
      </c>
      <c r="K275" s="106" t="s">
        <v>382</v>
      </c>
      <c r="L275" s="106" t="s">
        <v>884</v>
      </c>
      <c r="M275" s="106" t="s">
        <v>388</v>
      </c>
      <c r="N275" s="106" t="s">
        <v>43</v>
      </c>
      <c r="O275" s="106" t="s">
        <v>541</v>
      </c>
      <c r="P275" s="106" t="s">
        <v>866</v>
      </c>
      <c r="Q275" s="106" t="s">
        <v>787</v>
      </c>
      <c r="R275" s="106" t="s">
        <v>83</v>
      </c>
      <c r="S275" s="83" t="str">
        <f t="shared" si="30"/>
        <v>43027A-HOG</v>
      </c>
      <c r="T275" s="83" t="str">
        <f t="shared" si="31"/>
        <v>Homestead Grays Ballpark NL</v>
      </c>
      <c r="Y275" s="60">
        <f t="shared" si="32"/>
        <v>6</v>
      </c>
      <c r="Z275" s="49">
        <f t="shared" si="33"/>
        <v>247</v>
      </c>
      <c r="AA275" s="60">
        <f t="shared" si="34"/>
        <v>6247</v>
      </c>
    </row>
    <row r="276" spans="1:27">
      <c r="A276" s="83" t="str">
        <f t="shared" si="28"/>
        <v>43027A-KCMred</v>
      </c>
      <c r="B276" s="83" t="str">
        <f t="shared" si="29"/>
        <v>06-248-18</v>
      </c>
      <c r="C276" s="106" t="s">
        <v>1753</v>
      </c>
      <c r="D276" s="106" t="s">
        <v>1754</v>
      </c>
      <c r="E276" s="106" t="s">
        <v>788</v>
      </c>
      <c r="F276" s="107">
        <v>0</v>
      </c>
      <c r="G276" s="106" t="s">
        <v>1755</v>
      </c>
      <c r="H276" s="106" t="s">
        <v>78</v>
      </c>
      <c r="I276" s="106" t="s">
        <v>786</v>
      </c>
      <c r="J276" s="106" t="s">
        <v>327</v>
      </c>
      <c r="K276" s="106" t="s">
        <v>382</v>
      </c>
      <c r="L276" s="106" t="s">
        <v>884</v>
      </c>
      <c r="M276" s="106" t="s">
        <v>388</v>
      </c>
      <c r="N276" s="106" t="s">
        <v>43</v>
      </c>
      <c r="O276" s="106" t="s">
        <v>541</v>
      </c>
      <c r="P276" s="106" t="s">
        <v>866</v>
      </c>
      <c r="Q276" s="106" t="s">
        <v>822</v>
      </c>
      <c r="R276" s="106" t="s">
        <v>78</v>
      </c>
      <c r="S276" s="83" t="str">
        <f t="shared" si="30"/>
        <v>43027A-KCM</v>
      </c>
      <c r="T276" s="83" t="str">
        <f t="shared" si="31"/>
        <v>Kansas City Monarchs Ballpark NL</v>
      </c>
      <c r="Y276" s="60">
        <f t="shared" si="32"/>
        <v>6</v>
      </c>
      <c r="Z276" s="49">
        <f t="shared" si="33"/>
        <v>248</v>
      </c>
      <c r="AA276" s="60">
        <f t="shared" si="34"/>
        <v>6248</v>
      </c>
    </row>
    <row r="277" spans="1:27">
      <c r="A277" s="83" t="str">
        <f t="shared" si="28"/>
        <v>43062A-DRWblack</v>
      </c>
      <c r="B277" s="83" t="str">
        <f t="shared" si="29"/>
        <v>06-249-09</v>
      </c>
      <c r="C277" s="106" t="s">
        <v>1756</v>
      </c>
      <c r="D277" s="106" t="s">
        <v>1757</v>
      </c>
      <c r="E277" s="106" t="s">
        <v>788</v>
      </c>
      <c r="F277" s="107">
        <v>0</v>
      </c>
      <c r="G277" s="106" t="s">
        <v>1758</v>
      </c>
      <c r="H277" s="106" t="s">
        <v>53</v>
      </c>
      <c r="I277" s="106" t="s">
        <v>786</v>
      </c>
      <c r="J277" s="106" t="s">
        <v>327</v>
      </c>
      <c r="K277" s="106" t="s">
        <v>382</v>
      </c>
      <c r="L277" s="106" t="s">
        <v>884</v>
      </c>
      <c r="M277" s="106" t="s">
        <v>388</v>
      </c>
      <c r="N277" s="106" t="s">
        <v>43</v>
      </c>
      <c r="O277" s="106" t="s">
        <v>386</v>
      </c>
      <c r="P277" s="106" t="s">
        <v>866</v>
      </c>
      <c r="Q277" s="106" t="s">
        <v>819</v>
      </c>
      <c r="R277" s="106" t="s">
        <v>53</v>
      </c>
      <c r="S277" s="83" t="str">
        <f t="shared" si="30"/>
        <v>43062A-DRW</v>
      </c>
      <c r="T277" s="83" t="str">
        <f t="shared" si="31"/>
        <v>Detroit Red Wings U2 Original 6 NHL</v>
      </c>
      <c r="Y277" s="60">
        <f t="shared" si="32"/>
        <v>6</v>
      </c>
      <c r="Z277" s="49">
        <f t="shared" si="33"/>
        <v>249</v>
      </c>
      <c r="AA277" s="60">
        <f t="shared" si="34"/>
        <v>6249</v>
      </c>
    </row>
    <row r="278" spans="1:27">
      <c r="A278" s="83" t="str">
        <f t="shared" si="28"/>
        <v>43062A-NYRblack</v>
      </c>
      <c r="B278" s="83" t="str">
        <f t="shared" si="29"/>
        <v>06-250-09</v>
      </c>
      <c r="C278" s="106" t="s">
        <v>1759</v>
      </c>
      <c r="D278" s="106" t="s">
        <v>1760</v>
      </c>
      <c r="E278" s="106" t="s">
        <v>788</v>
      </c>
      <c r="F278" s="107">
        <v>0</v>
      </c>
      <c r="G278" s="106" t="s">
        <v>1761</v>
      </c>
      <c r="H278" s="106" t="s">
        <v>53</v>
      </c>
      <c r="I278" s="106" t="s">
        <v>786</v>
      </c>
      <c r="J278" s="106" t="s">
        <v>327</v>
      </c>
      <c r="K278" s="106" t="s">
        <v>382</v>
      </c>
      <c r="L278" s="106" t="s">
        <v>884</v>
      </c>
      <c r="M278" s="106" t="s">
        <v>388</v>
      </c>
      <c r="N278" s="106" t="s">
        <v>43</v>
      </c>
      <c r="O278" s="106" t="s">
        <v>386</v>
      </c>
      <c r="P278" s="106" t="s">
        <v>866</v>
      </c>
      <c r="Q278" s="106" t="s">
        <v>819</v>
      </c>
      <c r="R278" s="106" t="s">
        <v>53</v>
      </c>
      <c r="S278" s="83" t="str">
        <f t="shared" si="30"/>
        <v>43062A-NYR</v>
      </c>
      <c r="T278" s="83" t="str">
        <f t="shared" si="31"/>
        <v>New York Rangers U2 Original 6 NHL</v>
      </c>
      <c r="Y278" s="60">
        <f t="shared" si="32"/>
        <v>6</v>
      </c>
      <c r="Z278" s="49">
        <f t="shared" si="33"/>
        <v>250</v>
      </c>
      <c r="AA278" s="60">
        <f t="shared" si="34"/>
        <v>6250</v>
      </c>
    </row>
    <row r="279" spans="1:27">
      <c r="A279" s="83" t="str">
        <f t="shared" si="28"/>
        <v>43082A-DRWred-black</v>
      </c>
      <c r="B279" s="83" t="str">
        <f t="shared" si="29"/>
        <v>06-251-72</v>
      </c>
      <c r="C279" s="106" t="s">
        <v>1762</v>
      </c>
      <c r="D279" s="106" t="s">
        <v>1763</v>
      </c>
      <c r="E279" s="106" t="s">
        <v>788</v>
      </c>
      <c r="F279" s="107">
        <v>0</v>
      </c>
      <c r="G279" s="106" t="s">
        <v>1764</v>
      </c>
      <c r="H279" s="106" t="s">
        <v>186</v>
      </c>
      <c r="I279" s="106" t="s">
        <v>786</v>
      </c>
      <c r="J279" s="106" t="s">
        <v>327</v>
      </c>
      <c r="K279" s="106" t="s">
        <v>382</v>
      </c>
      <c r="L279" s="106" t="s">
        <v>884</v>
      </c>
      <c r="M279" s="106" t="s">
        <v>388</v>
      </c>
      <c r="N279" s="106" t="s">
        <v>43</v>
      </c>
      <c r="O279" s="106" t="s">
        <v>541</v>
      </c>
      <c r="P279" s="106" t="s">
        <v>866</v>
      </c>
      <c r="Q279" s="106" t="s">
        <v>1646</v>
      </c>
      <c r="R279" s="106" t="s">
        <v>78</v>
      </c>
      <c r="S279" s="83" t="str">
        <f t="shared" si="30"/>
        <v>43082A-DRW</v>
      </c>
      <c r="T279" s="83" t="str">
        <f t="shared" si="31"/>
        <v>Detroit Red Wings Dyer NHL</v>
      </c>
      <c r="Y279" s="60">
        <f t="shared" si="32"/>
        <v>6</v>
      </c>
      <c r="Z279" s="49">
        <f t="shared" si="33"/>
        <v>251</v>
      </c>
      <c r="AA279" s="60">
        <f t="shared" si="34"/>
        <v>6251</v>
      </c>
    </row>
    <row r="280" spans="1:27">
      <c r="A280" s="83" t="str">
        <f t="shared" si="28"/>
        <v>43082A-LAKblack-chr</v>
      </c>
      <c r="B280" s="83" t="str">
        <f t="shared" si="29"/>
        <v>06-252-10</v>
      </c>
      <c r="C280" s="106" t="s">
        <v>1765</v>
      </c>
      <c r="D280" s="106" t="s">
        <v>1766</v>
      </c>
      <c r="E280" s="106" t="s">
        <v>788</v>
      </c>
      <c r="F280" s="107">
        <v>0</v>
      </c>
      <c r="G280" s="106" t="s">
        <v>1767</v>
      </c>
      <c r="H280" s="106" t="s">
        <v>308</v>
      </c>
      <c r="I280" s="106" t="s">
        <v>786</v>
      </c>
      <c r="J280" s="106" t="s">
        <v>327</v>
      </c>
      <c r="K280" s="106" t="s">
        <v>382</v>
      </c>
      <c r="L280" s="106" t="s">
        <v>884</v>
      </c>
      <c r="M280" s="106" t="s">
        <v>388</v>
      </c>
      <c r="N280" s="106" t="s">
        <v>43</v>
      </c>
      <c r="O280" s="106" t="s">
        <v>541</v>
      </c>
      <c r="P280" s="106" t="s">
        <v>866</v>
      </c>
      <c r="Q280" s="106" t="s">
        <v>1768</v>
      </c>
      <c r="R280" s="106" t="s">
        <v>53</v>
      </c>
      <c r="S280" s="83" t="str">
        <f t="shared" si="30"/>
        <v>43082A-LAK</v>
      </c>
      <c r="T280" s="83" t="str">
        <f t="shared" si="31"/>
        <v>Los Angeles Kings Dyer NHL</v>
      </c>
      <c r="Y280" s="60">
        <f t="shared" si="32"/>
        <v>6</v>
      </c>
      <c r="Z280" s="49">
        <f t="shared" si="33"/>
        <v>252</v>
      </c>
      <c r="AA280" s="60">
        <f t="shared" si="34"/>
        <v>6252</v>
      </c>
    </row>
    <row r="281" spans="1:27">
      <c r="A281" s="83" t="str">
        <f t="shared" si="28"/>
        <v>43082A-NYIblorng</v>
      </c>
      <c r="B281" s="83" t="str">
        <f t="shared" si="29"/>
        <v>06-253-45</v>
      </c>
      <c r="C281" s="106" t="s">
        <v>1769</v>
      </c>
      <c r="D281" s="106" t="s">
        <v>1770</v>
      </c>
      <c r="E281" s="106" t="s">
        <v>788</v>
      </c>
      <c r="F281" s="107">
        <v>0</v>
      </c>
      <c r="G281" s="106" t="s">
        <v>1771</v>
      </c>
      <c r="H281" s="106" t="s">
        <v>254</v>
      </c>
      <c r="I281" s="106" t="s">
        <v>786</v>
      </c>
      <c r="J281" s="106" t="s">
        <v>327</v>
      </c>
      <c r="K281" s="106" t="s">
        <v>382</v>
      </c>
      <c r="L281" s="106" t="s">
        <v>884</v>
      </c>
      <c r="M281" s="106" t="s">
        <v>388</v>
      </c>
      <c r="N281" s="106" t="s">
        <v>43</v>
      </c>
      <c r="O281" s="106" t="s">
        <v>541</v>
      </c>
      <c r="P281" s="106" t="s">
        <v>866</v>
      </c>
      <c r="Q281" s="106" t="s">
        <v>1772</v>
      </c>
      <c r="R281" s="106" t="s">
        <v>71</v>
      </c>
      <c r="S281" s="83" t="str">
        <f t="shared" si="30"/>
        <v>43082A-NYI</v>
      </c>
      <c r="T281" s="83" t="str">
        <f t="shared" si="31"/>
        <v>New York Islanders Dyer NHL</v>
      </c>
      <c r="Y281" s="60">
        <f t="shared" si="32"/>
        <v>6</v>
      </c>
      <c r="Z281" s="49">
        <f t="shared" si="33"/>
        <v>253</v>
      </c>
      <c r="AA281" s="60">
        <f t="shared" si="34"/>
        <v>6253</v>
      </c>
    </row>
    <row r="282" spans="1:27">
      <c r="A282" s="83" t="str">
        <f t="shared" si="28"/>
        <v>43300A-MALIblue</v>
      </c>
      <c r="B282" s="83" t="str">
        <f t="shared" si="29"/>
        <v>06-254-19</v>
      </c>
      <c r="C282" s="106" t="s">
        <v>1773</v>
      </c>
      <c r="D282" s="106" t="s">
        <v>1774</v>
      </c>
      <c r="E282" s="106" t="s">
        <v>788</v>
      </c>
      <c r="F282" s="107">
        <v>0</v>
      </c>
      <c r="G282" s="106" t="s">
        <v>1775</v>
      </c>
      <c r="H282" s="106" t="s">
        <v>91</v>
      </c>
      <c r="I282" s="106" t="s">
        <v>786</v>
      </c>
      <c r="J282" s="106" t="s">
        <v>327</v>
      </c>
      <c r="K282" s="106" t="s">
        <v>382</v>
      </c>
      <c r="L282" s="106" t="s">
        <v>880</v>
      </c>
      <c r="M282" s="106" t="s">
        <v>388</v>
      </c>
      <c r="N282" s="106" t="s">
        <v>43</v>
      </c>
      <c r="O282" s="106" t="s">
        <v>541</v>
      </c>
      <c r="P282" s="106" t="s">
        <v>866</v>
      </c>
      <c r="Q282" s="106" t="s">
        <v>823</v>
      </c>
      <c r="R282" s="106" t="s">
        <v>91</v>
      </c>
      <c r="S282" s="83" t="str">
        <f t="shared" si="30"/>
        <v>43300A-MALI</v>
      </c>
      <c r="T282" s="83" t="str">
        <f t="shared" si="31"/>
        <v>Malibu Board Shorts</v>
      </c>
      <c r="Y282" s="60">
        <f t="shared" si="32"/>
        <v>6</v>
      </c>
      <c r="Z282" s="49">
        <f t="shared" si="33"/>
        <v>254</v>
      </c>
      <c r="AA282" s="60">
        <f t="shared" si="34"/>
        <v>6254</v>
      </c>
    </row>
    <row r="283" spans="1:27">
      <c r="A283" s="83" t="str">
        <f t="shared" si="28"/>
        <v>43300C-LOSAblack</v>
      </c>
      <c r="B283" s="83" t="str">
        <f t="shared" si="29"/>
        <v>06-255-09</v>
      </c>
      <c r="C283" s="106" t="s">
        <v>1776</v>
      </c>
      <c r="D283" s="106" t="s">
        <v>1777</v>
      </c>
      <c r="E283" s="106" t="s">
        <v>788</v>
      </c>
      <c r="F283" s="107">
        <v>0</v>
      </c>
      <c r="G283" s="106" t="s">
        <v>1778</v>
      </c>
      <c r="H283" s="106" t="s">
        <v>53</v>
      </c>
      <c r="I283" s="106" t="s">
        <v>786</v>
      </c>
      <c r="J283" s="106" t="s">
        <v>327</v>
      </c>
      <c r="K283" s="106" t="s">
        <v>382</v>
      </c>
      <c r="L283" s="106" t="s">
        <v>880</v>
      </c>
      <c r="M283" s="106" t="s">
        <v>388</v>
      </c>
      <c r="N283" s="106" t="s">
        <v>43</v>
      </c>
      <c r="O283" s="106" t="s">
        <v>541</v>
      </c>
      <c r="P283" s="106" t="s">
        <v>866</v>
      </c>
      <c r="Q283" s="106" t="s">
        <v>819</v>
      </c>
      <c r="R283" s="106" t="s">
        <v>53</v>
      </c>
      <c r="S283" s="83" t="str">
        <f t="shared" si="30"/>
        <v>43300C-LOSA</v>
      </c>
      <c r="T283" s="83" t="str">
        <f t="shared" si="31"/>
        <v>Los Angeles Board Shorts</v>
      </c>
      <c r="Y283" s="60">
        <f t="shared" si="32"/>
        <v>6</v>
      </c>
      <c r="Z283" s="49">
        <f t="shared" si="33"/>
        <v>255</v>
      </c>
      <c r="AA283" s="60">
        <f t="shared" si="34"/>
        <v>6255</v>
      </c>
    </row>
    <row r="284" spans="1:27">
      <c r="A284" s="83" t="str">
        <f t="shared" si="28"/>
        <v>43352A-BBRblk-gold</v>
      </c>
      <c r="B284" s="83" t="str">
        <f t="shared" si="29"/>
        <v>06-256-69</v>
      </c>
      <c r="C284" s="106" t="s">
        <v>1779</v>
      </c>
      <c r="D284" s="106" t="s">
        <v>1780</v>
      </c>
      <c r="E284" s="106" t="s">
        <v>788</v>
      </c>
      <c r="F284" s="107">
        <v>0</v>
      </c>
      <c r="G284" s="106" t="s">
        <v>1781</v>
      </c>
      <c r="H284" s="106" t="s">
        <v>686</v>
      </c>
      <c r="I284" s="106" t="s">
        <v>786</v>
      </c>
      <c r="J284" s="106" t="s">
        <v>356</v>
      </c>
      <c r="K284" s="106" t="s">
        <v>382</v>
      </c>
      <c r="L284" s="106" t="s">
        <v>884</v>
      </c>
      <c r="M284" s="106" t="s">
        <v>388</v>
      </c>
      <c r="N284" s="106" t="s">
        <v>43</v>
      </c>
      <c r="O284" s="106" t="s">
        <v>386</v>
      </c>
      <c r="P284" s="106" t="s">
        <v>866</v>
      </c>
      <c r="Q284" s="106" t="s">
        <v>1782</v>
      </c>
      <c r="R284" s="106" t="s">
        <v>83</v>
      </c>
      <c r="S284" s="83" t="str">
        <f t="shared" si="30"/>
        <v>43352A-BBR</v>
      </c>
      <c r="T284" s="83" t="str">
        <f t="shared" si="31"/>
        <v>Boston Bruins Hanover NHL</v>
      </c>
      <c r="Y284" s="60">
        <f t="shared" si="32"/>
        <v>6</v>
      </c>
      <c r="Z284" s="49">
        <f t="shared" si="33"/>
        <v>256</v>
      </c>
      <c r="AA284" s="60">
        <f t="shared" si="34"/>
        <v>6256</v>
      </c>
    </row>
    <row r="285" spans="1:27">
      <c r="A285" s="83" t="str">
        <f t="shared" si="28"/>
        <v>43352A-LAKblk-grey</v>
      </c>
      <c r="B285" s="83" t="str">
        <f t="shared" si="29"/>
        <v>06-257-89</v>
      </c>
      <c r="C285" s="106" t="s">
        <v>1783</v>
      </c>
      <c r="D285" s="106" t="s">
        <v>1784</v>
      </c>
      <c r="E285" s="106" t="s">
        <v>788</v>
      </c>
      <c r="F285" s="107">
        <v>0</v>
      </c>
      <c r="G285" s="106" t="s">
        <v>1785</v>
      </c>
      <c r="H285" s="106" t="s">
        <v>688</v>
      </c>
      <c r="I285" s="106" t="s">
        <v>786</v>
      </c>
      <c r="J285" s="106" t="s">
        <v>356</v>
      </c>
      <c r="K285" s="106" t="s">
        <v>382</v>
      </c>
      <c r="L285" s="106" t="s">
        <v>884</v>
      </c>
      <c r="M285" s="106" t="s">
        <v>388</v>
      </c>
      <c r="N285" s="106" t="s">
        <v>43</v>
      </c>
      <c r="O285" s="106" t="s">
        <v>386</v>
      </c>
      <c r="P285" s="106" t="s">
        <v>866</v>
      </c>
      <c r="Q285" s="106" t="s">
        <v>1786</v>
      </c>
      <c r="R285" s="106" t="s">
        <v>83</v>
      </c>
      <c r="S285" s="83" t="str">
        <f t="shared" si="30"/>
        <v>43352A-LAK</v>
      </c>
      <c r="T285" s="83" t="str">
        <f t="shared" si="31"/>
        <v>Los Angeles Kings Hanover NHL</v>
      </c>
      <c r="Y285" s="60">
        <f t="shared" si="32"/>
        <v>6</v>
      </c>
      <c r="Z285" s="49">
        <f t="shared" si="33"/>
        <v>257</v>
      </c>
      <c r="AA285" s="60">
        <f t="shared" si="34"/>
        <v>6257</v>
      </c>
    </row>
    <row r="286" spans="1:27">
      <c r="A286" s="83" t="str">
        <f t="shared" si="28"/>
        <v>43352A-NAPnavy-gold</v>
      </c>
      <c r="B286" s="83" t="str">
        <f t="shared" si="29"/>
        <v>06-258-32</v>
      </c>
      <c r="C286" s="106" t="s">
        <v>1787</v>
      </c>
      <c r="D286" s="106" t="s">
        <v>1788</v>
      </c>
      <c r="E286" s="106" t="s">
        <v>788</v>
      </c>
      <c r="F286" s="107">
        <v>0</v>
      </c>
      <c r="G286" s="106" t="s">
        <v>1789</v>
      </c>
      <c r="H286" s="106" t="s">
        <v>280</v>
      </c>
      <c r="I286" s="106" t="s">
        <v>786</v>
      </c>
      <c r="J286" s="106" t="s">
        <v>356</v>
      </c>
      <c r="K286" s="106" t="s">
        <v>382</v>
      </c>
      <c r="L286" s="106" t="s">
        <v>884</v>
      </c>
      <c r="M286" s="106" t="s">
        <v>388</v>
      </c>
      <c r="N286" s="106" t="s">
        <v>43</v>
      </c>
      <c r="O286" s="106" t="s">
        <v>386</v>
      </c>
      <c r="P286" s="106" t="s">
        <v>866</v>
      </c>
      <c r="Q286" s="106" t="s">
        <v>1790</v>
      </c>
      <c r="R286" s="106" t="s">
        <v>71</v>
      </c>
      <c r="S286" s="83" t="str">
        <f t="shared" si="30"/>
        <v>43352A-NAP</v>
      </c>
      <c r="T286" s="83" t="str">
        <f t="shared" si="31"/>
        <v>Nashville Predators Hanover NHL</v>
      </c>
      <c r="Y286" s="60">
        <f t="shared" si="32"/>
        <v>6</v>
      </c>
      <c r="Z286" s="49">
        <f t="shared" si="33"/>
        <v>258</v>
      </c>
      <c r="AA286" s="60">
        <f t="shared" si="34"/>
        <v>6258</v>
      </c>
    </row>
    <row r="287" spans="1:27">
      <c r="A287" s="83" t="str">
        <f t="shared" si="28"/>
        <v>43422A-LAKivch</v>
      </c>
      <c r="B287" s="83" t="str">
        <f t="shared" si="29"/>
        <v>06-259-05</v>
      </c>
      <c r="C287" s="106" t="s">
        <v>1791</v>
      </c>
      <c r="D287" s="106" t="s">
        <v>1792</v>
      </c>
      <c r="E287" s="106" t="s">
        <v>788</v>
      </c>
      <c r="F287" s="107">
        <v>0</v>
      </c>
      <c r="G287" s="106" t="s">
        <v>1793</v>
      </c>
      <c r="H287" s="106" t="s">
        <v>277</v>
      </c>
      <c r="I287" s="106" t="s">
        <v>1034</v>
      </c>
      <c r="J287" s="106" t="s">
        <v>356</v>
      </c>
      <c r="K287" s="106" t="s">
        <v>382</v>
      </c>
      <c r="L287" s="106" t="s">
        <v>884</v>
      </c>
      <c r="M287" s="106" t="s">
        <v>388</v>
      </c>
      <c r="N287" s="106" t="s">
        <v>43</v>
      </c>
      <c r="O287" s="106" t="s">
        <v>386</v>
      </c>
      <c r="P287" s="106" t="s">
        <v>866</v>
      </c>
      <c r="Q287" s="106" t="s">
        <v>1794</v>
      </c>
      <c r="R287" s="106" t="s">
        <v>83</v>
      </c>
      <c r="S287" s="83" t="str">
        <f t="shared" si="30"/>
        <v>43422A-LAK</v>
      </c>
      <c r="T287" s="83" t="str">
        <f t="shared" si="31"/>
        <v>Los Angeles Kings Ravenswood NHL</v>
      </c>
      <c r="Y287" s="60">
        <f t="shared" si="32"/>
        <v>6</v>
      </c>
      <c r="Z287" s="49">
        <f t="shared" si="33"/>
        <v>259</v>
      </c>
      <c r="AA287" s="60">
        <f t="shared" si="34"/>
        <v>6259</v>
      </c>
    </row>
    <row r="288" spans="1:27">
      <c r="A288" s="83" t="str">
        <f t="shared" si="28"/>
        <v>43572A-LAKivbk</v>
      </c>
      <c r="B288" s="83" t="str">
        <f t="shared" si="29"/>
        <v>06-260-80</v>
      </c>
      <c r="C288" s="106" t="s">
        <v>1795</v>
      </c>
      <c r="D288" s="106" t="s">
        <v>1796</v>
      </c>
      <c r="E288" s="106" t="s">
        <v>788</v>
      </c>
      <c r="F288" s="107">
        <v>0</v>
      </c>
      <c r="G288" s="106" t="s">
        <v>1797</v>
      </c>
      <c r="H288" s="106" t="s">
        <v>51</v>
      </c>
      <c r="I288" s="106" t="s">
        <v>786</v>
      </c>
      <c r="J288" s="106" t="s">
        <v>327</v>
      </c>
      <c r="K288" s="106" t="s">
        <v>382</v>
      </c>
      <c r="L288" s="106" t="s">
        <v>884</v>
      </c>
      <c r="M288" s="106" t="s">
        <v>388</v>
      </c>
      <c r="N288" s="106" t="s">
        <v>43</v>
      </c>
      <c r="O288" s="106" t="s">
        <v>541</v>
      </c>
      <c r="P288" s="106" t="s">
        <v>866</v>
      </c>
      <c r="Q288" s="106" t="s">
        <v>1122</v>
      </c>
      <c r="R288" s="106" t="s">
        <v>63</v>
      </c>
      <c r="S288" s="83" t="str">
        <f t="shared" si="30"/>
        <v>43572A-LAK</v>
      </c>
      <c r="T288" s="83" t="str">
        <f t="shared" si="31"/>
        <v>Los Angeles Kings United NHL</v>
      </c>
      <c r="Y288" s="60">
        <f t="shared" si="32"/>
        <v>6</v>
      </c>
      <c r="Z288" s="49">
        <f t="shared" si="33"/>
        <v>260</v>
      </c>
      <c r="AA288" s="60">
        <f t="shared" si="34"/>
        <v>6260</v>
      </c>
    </row>
    <row r="289" spans="1:27">
      <c r="A289" s="83" t="str">
        <f t="shared" si="28"/>
        <v>43572A-MNWivbk</v>
      </c>
      <c r="B289" s="83" t="str">
        <f t="shared" si="29"/>
        <v>06-261-80</v>
      </c>
      <c r="C289" s="106" t="s">
        <v>1798</v>
      </c>
      <c r="D289" s="106" t="s">
        <v>1799</v>
      </c>
      <c r="E289" s="106" t="s">
        <v>788</v>
      </c>
      <c r="F289" s="107">
        <v>0</v>
      </c>
      <c r="G289" s="106" t="s">
        <v>1800</v>
      </c>
      <c r="H289" s="106" t="s">
        <v>51</v>
      </c>
      <c r="I289" s="106" t="s">
        <v>786</v>
      </c>
      <c r="J289" s="106" t="s">
        <v>327</v>
      </c>
      <c r="K289" s="106" t="s">
        <v>382</v>
      </c>
      <c r="L289" s="106" t="s">
        <v>884</v>
      </c>
      <c r="M289" s="106" t="s">
        <v>388</v>
      </c>
      <c r="N289" s="106" t="s">
        <v>43</v>
      </c>
      <c r="O289" s="106" t="s">
        <v>541</v>
      </c>
      <c r="P289" s="106" t="s">
        <v>866</v>
      </c>
      <c r="Q289" s="106" t="s">
        <v>1122</v>
      </c>
      <c r="R289" s="106" t="s">
        <v>63</v>
      </c>
      <c r="S289" s="83" t="str">
        <f t="shared" si="30"/>
        <v>43572A-MNW</v>
      </c>
      <c r="T289" s="83" t="str">
        <f t="shared" si="31"/>
        <v>Minnesota Wild United NHL</v>
      </c>
      <c r="Y289" s="60">
        <f t="shared" si="32"/>
        <v>6</v>
      </c>
      <c r="Z289" s="49">
        <f t="shared" si="33"/>
        <v>261</v>
      </c>
      <c r="AA289" s="60">
        <f t="shared" si="34"/>
        <v>6261</v>
      </c>
    </row>
    <row r="290" spans="1:27">
      <c r="A290" s="83" t="str">
        <f t="shared" si="28"/>
        <v>43572A-NYRivrl</v>
      </c>
      <c r="B290" s="83" t="str">
        <f t="shared" si="29"/>
        <v>06-262-38</v>
      </c>
      <c r="C290" s="106" t="s">
        <v>1801</v>
      </c>
      <c r="D290" s="106" t="s">
        <v>1802</v>
      </c>
      <c r="E290" s="106" t="s">
        <v>788</v>
      </c>
      <c r="F290" s="107">
        <v>0</v>
      </c>
      <c r="G290" s="106" t="s">
        <v>1803</v>
      </c>
      <c r="H290" s="106" t="s">
        <v>97</v>
      </c>
      <c r="I290" s="106" t="s">
        <v>786</v>
      </c>
      <c r="J290" s="106" t="s">
        <v>327</v>
      </c>
      <c r="K290" s="106" t="s">
        <v>382</v>
      </c>
      <c r="L290" s="106" t="s">
        <v>884</v>
      </c>
      <c r="M290" s="106" t="s">
        <v>388</v>
      </c>
      <c r="N290" s="106" t="s">
        <v>43</v>
      </c>
      <c r="O290" s="106" t="s">
        <v>541</v>
      </c>
      <c r="P290" s="106" t="s">
        <v>866</v>
      </c>
      <c r="Q290" s="106" t="s">
        <v>1400</v>
      </c>
      <c r="R290" s="106" t="s">
        <v>63</v>
      </c>
      <c r="S290" s="83" t="str">
        <f t="shared" si="30"/>
        <v>43572A-NYR</v>
      </c>
      <c r="T290" s="83" t="str">
        <f t="shared" si="31"/>
        <v>New York Rangers United NHL</v>
      </c>
      <c r="Y290" s="60">
        <f t="shared" si="32"/>
        <v>6</v>
      </c>
      <c r="Z290" s="49">
        <f t="shared" si="33"/>
        <v>262</v>
      </c>
      <c r="AA290" s="60">
        <f t="shared" si="34"/>
        <v>6262</v>
      </c>
    </row>
    <row r="291" spans="1:27">
      <c r="A291" s="83" t="str">
        <f t="shared" si="28"/>
        <v>43592A-DRWblack-red</v>
      </c>
      <c r="B291" s="83" t="str">
        <f t="shared" si="29"/>
        <v>06-263-72</v>
      </c>
      <c r="C291" s="106" t="s">
        <v>1804</v>
      </c>
      <c r="D291" s="106" t="s">
        <v>1805</v>
      </c>
      <c r="E291" s="106" t="s">
        <v>788</v>
      </c>
      <c r="F291" s="107">
        <v>0</v>
      </c>
      <c r="G291" s="106" t="s">
        <v>1806</v>
      </c>
      <c r="H291" s="106" t="s">
        <v>302</v>
      </c>
      <c r="I291" s="106" t="s">
        <v>786</v>
      </c>
      <c r="J291" s="106" t="s">
        <v>327</v>
      </c>
      <c r="K291" s="106" t="s">
        <v>382</v>
      </c>
      <c r="L291" s="106" t="s">
        <v>884</v>
      </c>
      <c r="M291" s="106" t="s">
        <v>388</v>
      </c>
      <c r="N291" s="106" t="s">
        <v>43</v>
      </c>
      <c r="O291" s="106" t="s">
        <v>386</v>
      </c>
      <c r="P291" s="106" t="s">
        <v>866</v>
      </c>
      <c r="Q291" s="106" t="s">
        <v>1638</v>
      </c>
      <c r="R291" s="106" t="s">
        <v>53</v>
      </c>
      <c r="S291" s="83" t="str">
        <f t="shared" si="30"/>
        <v>43592A-DRW</v>
      </c>
      <c r="T291" s="83" t="str">
        <f t="shared" si="31"/>
        <v>Detroit Red Wings Gunner NHL</v>
      </c>
      <c r="Y291" s="60">
        <f t="shared" si="32"/>
        <v>6</v>
      </c>
      <c r="Z291" s="49">
        <f t="shared" si="33"/>
        <v>263</v>
      </c>
      <c r="AA291" s="60">
        <f t="shared" si="34"/>
        <v>6263</v>
      </c>
    </row>
    <row r="292" spans="1:27">
      <c r="A292" s="83" t="str">
        <f t="shared" si="28"/>
        <v>43592A-LAKblack-grey</v>
      </c>
      <c r="B292" s="83" t="str">
        <f t="shared" si="29"/>
        <v>06-264-89</v>
      </c>
      <c r="C292" s="106" t="s">
        <v>1807</v>
      </c>
      <c r="D292" s="106" t="s">
        <v>1808</v>
      </c>
      <c r="E292" s="106" t="s">
        <v>788</v>
      </c>
      <c r="F292" s="107">
        <v>0</v>
      </c>
      <c r="G292" s="106" t="s">
        <v>1809</v>
      </c>
      <c r="H292" s="106" t="s">
        <v>688</v>
      </c>
      <c r="I292" s="106" t="s">
        <v>786</v>
      </c>
      <c r="J292" s="106" t="s">
        <v>327</v>
      </c>
      <c r="K292" s="106" t="s">
        <v>382</v>
      </c>
      <c r="L292" s="106" t="s">
        <v>884</v>
      </c>
      <c r="M292" s="106" t="s">
        <v>388</v>
      </c>
      <c r="N292" s="106" t="s">
        <v>43</v>
      </c>
      <c r="O292" s="106" t="s">
        <v>386</v>
      </c>
      <c r="P292" s="106" t="s">
        <v>866</v>
      </c>
      <c r="Q292" s="106" t="s">
        <v>1810</v>
      </c>
      <c r="R292" s="106" t="s">
        <v>83</v>
      </c>
      <c r="S292" s="83" t="str">
        <f t="shared" si="30"/>
        <v>43592A-LAK</v>
      </c>
      <c r="T292" s="83" t="str">
        <f t="shared" si="31"/>
        <v>Los Angeles Kings Gunner NHL</v>
      </c>
      <c r="Y292" s="60">
        <f t="shared" si="32"/>
        <v>6</v>
      </c>
      <c r="Z292" s="49">
        <f t="shared" si="33"/>
        <v>264</v>
      </c>
      <c r="AA292" s="60">
        <f t="shared" si="34"/>
        <v>6264</v>
      </c>
    </row>
    <row r="293" spans="1:27">
      <c r="A293" s="83" t="str">
        <f t="shared" si="28"/>
        <v>43592A-NYRred-royal</v>
      </c>
      <c r="B293" s="83" t="str">
        <f t="shared" si="29"/>
        <v>06-265-72</v>
      </c>
      <c r="C293" s="106" t="s">
        <v>1811</v>
      </c>
      <c r="D293" s="106" t="s">
        <v>1812</v>
      </c>
      <c r="E293" s="106" t="s">
        <v>788</v>
      </c>
      <c r="F293" s="107">
        <v>0</v>
      </c>
      <c r="G293" s="106" t="s">
        <v>1813</v>
      </c>
      <c r="H293" s="106" t="s">
        <v>185</v>
      </c>
      <c r="I293" s="106" t="s">
        <v>786</v>
      </c>
      <c r="J293" s="106" t="s">
        <v>327</v>
      </c>
      <c r="K293" s="106" t="s">
        <v>382</v>
      </c>
      <c r="L293" s="106" t="s">
        <v>884</v>
      </c>
      <c r="M293" s="106" t="s">
        <v>388</v>
      </c>
      <c r="N293" s="106" t="s">
        <v>43</v>
      </c>
      <c r="O293" s="106" t="s">
        <v>386</v>
      </c>
      <c r="P293" s="106" t="s">
        <v>866</v>
      </c>
      <c r="Q293" s="106" t="s">
        <v>1814</v>
      </c>
      <c r="R293" s="106" t="s">
        <v>78</v>
      </c>
      <c r="S293" s="83" t="str">
        <f t="shared" si="30"/>
        <v>43592A-NYR</v>
      </c>
      <c r="T293" s="83" t="str">
        <f t="shared" si="31"/>
        <v>New York Rangers Gunner NHL</v>
      </c>
      <c r="Y293" s="60">
        <f t="shared" si="32"/>
        <v>6</v>
      </c>
      <c r="Z293" s="49">
        <f t="shared" si="33"/>
        <v>265</v>
      </c>
      <c r="AA293" s="60">
        <f t="shared" si="34"/>
        <v>6265</v>
      </c>
    </row>
    <row r="294" spans="1:27">
      <c r="A294" s="83" t="str">
        <f t="shared" si="28"/>
        <v>43642A-DRWwhite-red</v>
      </c>
      <c r="B294" s="83" t="str">
        <f t="shared" si="29"/>
        <v>06-266-94</v>
      </c>
      <c r="C294" s="106" t="s">
        <v>1815</v>
      </c>
      <c r="D294" s="106" t="s">
        <v>1816</v>
      </c>
      <c r="E294" s="106" t="s">
        <v>788</v>
      </c>
      <c r="F294" s="107">
        <v>0</v>
      </c>
      <c r="G294" s="106" t="s">
        <v>1817</v>
      </c>
      <c r="H294" s="106" t="s">
        <v>111</v>
      </c>
      <c r="I294" s="106" t="s">
        <v>790</v>
      </c>
      <c r="J294" s="106" t="s">
        <v>792</v>
      </c>
      <c r="K294" s="106" t="s">
        <v>382</v>
      </c>
      <c r="L294" s="106" t="s">
        <v>884</v>
      </c>
      <c r="M294" s="106" t="s">
        <v>388</v>
      </c>
      <c r="N294" s="106" t="s">
        <v>44</v>
      </c>
      <c r="O294" s="106" t="s">
        <v>541</v>
      </c>
      <c r="P294" s="106" t="s">
        <v>866</v>
      </c>
      <c r="Q294" s="106" t="s">
        <v>1818</v>
      </c>
      <c r="R294" s="106" t="s">
        <v>57</v>
      </c>
      <c r="S294" s="83" t="str">
        <f t="shared" si="30"/>
        <v>43642A-DRW</v>
      </c>
      <c r="T294" s="83" t="str">
        <f t="shared" si="31"/>
        <v>Detroit Red Wings White Out NHL</v>
      </c>
      <c r="Y294" s="60">
        <f t="shared" si="32"/>
        <v>6</v>
      </c>
      <c r="Z294" s="49">
        <f t="shared" si="33"/>
        <v>266</v>
      </c>
      <c r="AA294" s="60">
        <f t="shared" si="34"/>
        <v>6266</v>
      </c>
    </row>
    <row r="295" spans="1:27">
      <c r="A295" s="83" t="str">
        <f t="shared" si="28"/>
        <v>43642A-NYRwhite-royal</v>
      </c>
      <c r="B295" s="83" t="str">
        <f t="shared" si="29"/>
        <v>06-267-38</v>
      </c>
      <c r="C295" s="106" t="s">
        <v>1819</v>
      </c>
      <c r="D295" s="106" t="s">
        <v>1820</v>
      </c>
      <c r="E295" s="106" t="s">
        <v>788</v>
      </c>
      <c r="F295" s="107">
        <v>0</v>
      </c>
      <c r="G295" s="106" t="s">
        <v>1821</v>
      </c>
      <c r="H295" s="106" t="s">
        <v>116</v>
      </c>
      <c r="I295" s="106" t="s">
        <v>790</v>
      </c>
      <c r="J295" s="106" t="s">
        <v>792</v>
      </c>
      <c r="K295" s="106" t="s">
        <v>382</v>
      </c>
      <c r="L295" s="106" t="s">
        <v>884</v>
      </c>
      <c r="M295" s="106" t="s">
        <v>388</v>
      </c>
      <c r="N295" s="106" t="s">
        <v>44</v>
      </c>
      <c r="O295" s="106" t="s">
        <v>541</v>
      </c>
      <c r="P295" s="106" t="s">
        <v>866</v>
      </c>
      <c r="Q295" s="106" t="s">
        <v>1822</v>
      </c>
      <c r="R295" s="106" t="s">
        <v>57</v>
      </c>
      <c r="S295" s="83" t="str">
        <f t="shared" si="30"/>
        <v>43642A-NYR</v>
      </c>
      <c r="T295" s="83" t="str">
        <f t="shared" si="31"/>
        <v>New York Rangers White Out NHL</v>
      </c>
      <c r="Y295" s="60">
        <f t="shared" si="32"/>
        <v>6</v>
      </c>
      <c r="Z295" s="49">
        <f t="shared" si="33"/>
        <v>267</v>
      </c>
      <c r="AA295" s="60">
        <f t="shared" si="34"/>
        <v>6267</v>
      </c>
    </row>
    <row r="296" spans="1:27">
      <c r="A296" s="83" t="str">
        <f t="shared" si="28"/>
        <v>43672A-CBHred</v>
      </c>
      <c r="B296" s="83" t="str">
        <f t="shared" si="29"/>
        <v>06-268-18</v>
      </c>
      <c r="C296" s="106" t="s">
        <v>1823</v>
      </c>
      <c r="D296" s="106" t="s">
        <v>1824</v>
      </c>
      <c r="E296" s="106" t="s">
        <v>788</v>
      </c>
      <c r="F296" s="107">
        <v>0</v>
      </c>
      <c r="G296" s="106" t="s">
        <v>1825</v>
      </c>
      <c r="H296" s="106" t="s">
        <v>78</v>
      </c>
      <c r="I296" s="106" t="s">
        <v>888</v>
      </c>
      <c r="J296" s="106" t="s">
        <v>792</v>
      </c>
      <c r="K296" s="106" t="s">
        <v>382</v>
      </c>
      <c r="L296" s="106" t="s">
        <v>884</v>
      </c>
      <c r="M296" s="106" t="s">
        <v>388</v>
      </c>
      <c r="N296" s="106" t="s">
        <v>44</v>
      </c>
      <c r="O296" s="106" t="s">
        <v>541</v>
      </c>
      <c r="P296" s="106" t="s">
        <v>866</v>
      </c>
      <c r="Q296" s="106" t="s">
        <v>822</v>
      </c>
      <c r="R296" s="106" t="s">
        <v>78</v>
      </c>
      <c r="S296" s="83" t="str">
        <f t="shared" si="30"/>
        <v>43672A-CBH</v>
      </c>
      <c r="T296" s="83" t="str">
        <f t="shared" si="31"/>
        <v>Chicago Blackhawks Stafford NHL</v>
      </c>
      <c r="Y296" s="60">
        <f t="shared" si="32"/>
        <v>6</v>
      </c>
      <c r="Z296" s="49">
        <f t="shared" si="33"/>
        <v>268</v>
      </c>
      <c r="AA296" s="60">
        <f t="shared" si="34"/>
        <v>6268</v>
      </c>
    </row>
    <row r="297" spans="1:27">
      <c r="A297" s="83" t="str">
        <f t="shared" si="28"/>
        <v>43672A-DRWred</v>
      </c>
      <c r="B297" s="83" t="str">
        <f t="shared" si="29"/>
        <v>06-269-18</v>
      </c>
      <c r="C297" s="106" t="s">
        <v>1826</v>
      </c>
      <c r="D297" s="106" t="s">
        <v>1827</v>
      </c>
      <c r="E297" s="106" t="s">
        <v>788</v>
      </c>
      <c r="F297" s="107">
        <v>0</v>
      </c>
      <c r="G297" s="106" t="s">
        <v>1828</v>
      </c>
      <c r="H297" s="106" t="s">
        <v>78</v>
      </c>
      <c r="I297" s="106" t="s">
        <v>888</v>
      </c>
      <c r="J297" s="106" t="s">
        <v>792</v>
      </c>
      <c r="K297" s="106" t="s">
        <v>382</v>
      </c>
      <c r="L297" s="106" t="s">
        <v>884</v>
      </c>
      <c r="M297" s="106" t="s">
        <v>388</v>
      </c>
      <c r="N297" s="106" t="s">
        <v>44</v>
      </c>
      <c r="O297" s="106" t="s">
        <v>541</v>
      </c>
      <c r="P297" s="106" t="s">
        <v>866</v>
      </c>
      <c r="Q297" s="106" t="s">
        <v>822</v>
      </c>
      <c r="R297" s="106" t="s">
        <v>78</v>
      </c>
      <c r="S297" s="83" t="str">
        <f t="shared" si="30"/>
        <v>43672A-DRW</v>
      </c>
      <c r="T297" s="83" t="str">
        <f t="shared" si="31"/>
        <v>Detroit Red Wings Stafford NHL</v>
      </c>
      <c r="Y297" s="60">
        <f t="shared" si="32"/>
        <v>6</v>
      </c>
      <c r="Z297" s="49">
        <f t="shared" si="33"/>
        <v>269</v>
      </c>
      <c r="AA297" s="60">
        <f t="shared" si="34"/>
        <v>6269</v>
      </c>
    </row>
    <row r="298" spans="1:27">
      <c r="A298" s="83" t="str">
        <f t="shared" si="28"/>
        <v>43672A-NAPnavy</v>
      </c>
      <c r="B298" s="83" t="str">
        <f t="shared" si="29"/>
        <v>06-270-16</v>
      </c>
      <c r="C298" s="106" t="s">
        <v>1829</v>
      </c>
      <c r="D298" s="106" t="s">
        <v>1830</v>
      </c>
      <c r="E298" s="106" t="s">
        <v>788</v>
      </c>
      <c r="F298" s="107">
        <v>0</v>
      </c>
      <c r="G298" s="106" t="s">
        <v>1831</v>
      </c>
      <c r="H298" s="106" t="s">
        <v>55</v>
      </c>
      <c r="I298" s="106" t="s">
        <v>888</v>
      </c>
      <c r="J298" s="106" t="s">
        <v>792</v>
      </c>
      <c r="K298" s="106" t="s">
        <v>382</v>
      </c>
      <c r="L298" s="106" t="s">
        <v>884</v>
      </c>
      <c r="M298" s="106" t="s">
        <v>388</v>
      </c>
      <c r="N298" s="106" t="s">
        <v>44</v>
      </c>
      <c r="O298" s="106" t="s">
        <v>541</v>
      </c>
      <c r="P298" s="106" t="s">
        <v>866</v>
      </c>
      <c r="Q298" s="106" t="s">
        <v>818</v>
      </c>
      <c r="R298" s="106" t="s">
        <v>71</v>
      </c>
      <c r="S298" s="83" t="str">
        <f t="shared" si="30"/>
        <v>43672A-NAP</v>
      </c>
      <c r="T298" s="83" t="str">
        <f t="shared" si="31"/>
        <v>Nashville Predators Stafford NHL</v>
      </c>
      <c r="Y298" s="60">
        <f t="shared" si="32"/>
        <v>6</v>
      </c>
      <c r="Z298" s="49">
        <f t="shared" si="33"/>
        <v>270</v>
      </c>
      <c r="AA298" s="60">
        <f t="shared" si="34"/>
        <v>6270</v>
      </c>
    </row>
    <row r="299" spans="1:27">
      <c r="A299" s="83" t="str">
        <f t="shared" si="28"/>
        <v>43672A-NYRroyal</v>
      </c>
      <c r="B299" s="83" t="str">
        <f t="shared" si="29"/>
        <v>06-271-06</v>
      </c>
      <c r="C299" s="106" t="s">
        <v>1832</v>
      </c>
      <c r="D299" s="106" t="s">
        <v>1833</v>
      </c>
      <c r="E299" s="106" t="s">
        <v>788</v>
      </c>
      <c r="F299" s="107">
        <v>0</v>
      </c>
      <c r="G299" s="106" t="s">
        <v>1834</v>
      </c>
      <c r="H299" s="106" t="s">
        <v>71</v>
      </c>
      <c r="I299" s="106" t="s">
        <v>888</v>
      </c>
      <c r="J299" s="106" t="s">
        <v>792</v>
      </c>
      <c r="K299" s="106" t="s">
        <v>382</v>
      </c>
      <c r="L299" s="106" t="s">
        <v>884</v>
      </c>
      <c r="M299" s="106" t="s">
        <v>388</v>
      </c>
      <c r="N299" s="106" t="s">
        <v>44</v>
      </c>
      <c r="O299" s="106" t="s">
        <v>541</v>
      </c>
      <c r="P299" s="106" t="s">
        <v>866</v>
      </c>
      <c r="Q299" s="106" t="s">
        <v>1576</v>
      </c>
      <c r="R299" s="106" t="s">
        <v>71</v>
      </c>
      <c r="S299" s="83" t="str">
        <f t="shared" si="30"/>
        <v>43672A-NYR</v>
      </c>
      <c r="T299" s="83" t="str">
        <f t="shared" si="31"/>
        <v>New York Rangers Stafford NHL</v>
      </c>
      <c r="Y299" s="60">
        <f t="shared" si="32"/>
        <v>6</v>
      </c>
      <c r="Z299" s="49">
        <f t="shared" si="33"/>
        <v>271</v>
      </c>
      <c r="AA299" s="60">
        <f t="shared" si="34"/>
        <v>6271</v>
      </c>
    </row>
    <row r="300" spans="1:27">
      <c r="A300" s="83" t="str">
        <f t="shared" si="28"/>
        <v>43682A-CBHred</v>
      </c>
      <c r="B300" s="83" t="str">
        <f t="shared" si="29"/>
        <v>06-272-95</v>
      </c>
      <c r="C300" s="106" t="s">
        <v>1835</v>
      </c>
      <c r="D300" s="106" t="s">
        <v>1836</v>
      </c>
      <c r="E300" s="106" t="s">
        <v>788</v>
      </c>
      <c r="F300" s="107">
        <v>0</v>
      </c>
      <c r="G300" s="106" t="s">
        <v>1837</v>
      </c>
      <c r="H300" s="106" t="s">
        <v>184</v>
      </c>
      <c r="I300" s="106" t="s">
        <v>888</v>
      </c>
      <c r="J300" s="106" t="s">
        <v>792</v>
      </c>
      <c r="K300" s="106" t="s">
        <v>382</v>
      </c>
      <c r="L300" s="106" t="s">
        <v>884</v>
      </c>
      <c r="M300" s="106" t="s">
        <v>388</v>
      </c>
      <c r="N300" s="106" t="s">
        <v>44</v>
      </c>
      <c r="O300" s="106" t="s">
        <v>541</v>
      </c>
      <c r="P300" s="106" t="s">
        <v>866</v>
      </c>
      <c r="Q300" s="106" t="s">
        <v>822</v>
      </c>
      <c r="R300" s="106" t="s">
        <v>78</v>
      </c>
      <c r="S300" s="83" t="str">
        <f t="shared" si="30"/>
        <v>43682A-CBH</v>
      </c>
      <c r="T300" s="83" t="str">
        <f t="shared" si="31"/>
        <v>Chicago Blackhawks Chromel NHL</v>
      </c>
      <c r="Y300" s="60">
        <f t="shared" si="32"/>
        <v>6</v>
      </c>
      <c r="Z300" s="49">
        <f t="shared" si="33"/>
        <v>272</v>
      </c>
      <c r="AA300" s="60">
        <f t="shared" si="34"/>
        <v>6272</v>
      </c>
    </row>
    <row r="301" spans="1:27">
      <c r="A301" s="83" t="str">
        <f t="shared" si="28"/>
        <v>43682A-DRWred</v>
      </c>
      <c r="B301" s="83" t="str">
        <f t="shared" si="29"/>
        <v>06-273-95</v>
      </c>
      <c r="C301" s="106" t="s">
        <v>1838</v>
      </c>
      <c r="D301" s="106" t="s">
        <v>1839</v>
      </c>
      <c r="E301" s="106" t="s">
        <v>788</v>
      </c>
      <c r="F301" s="107">
        <v>0</v>
      </c>
      <c r="G301" s="106" t="s">
        <v>1840</v>
      </c>
      <c r="H301" s="106" t="s">
        <v>184</v>
      </c>
      <c r="I301" s="106" t="s">
        <v>888</v>
      </c>
      <c r="J301" s="106" t="s">
        <v>792</v>
      </c>
      <c r="K301" s="106" t="s">
        <v>382</v>
      </c>
      <c r="L301" s="106" t="s">
        <v>884</v>
      </c>
      <c r="M301" s="106" t="s">
        <v>388</v>
      </c>
      <c r="N301" s="106" t="s">
        <v>44</v>
      </c>
      <c r="O301" s="106" t="s">
        <v>541</v>
      </c>
      <c r="P301" s="106" t="s">
        <v>866</v>
      </c>
      <c r="Q301" s="106" t="s">
        <v>822</v>
      </c>
      <c r="R301" s="106" t="s">
        <v>78</v>
      </c>
      <c r="S301" s="83" t="str">
        <f t="shared" si="30"/>
        <v>43682A-DRW</v>
      </c>
      <c r="T301" s="83" t="str">
        <f t="shared" si="31"/>
        <v>Detroit Red Wings Chromel NHL</v>
      </c>
      <c r="Y301" s="60">
        <f t="shared" si="32"/>
        <v>6</v>
      </c>
      <c r="Z301" s="49">
        <f t="shared" si="33"/>
        <v>273</v>
      </c>
      <c r="AA301" s="60">
        <f t="shared" si="34"/>
        <v>6273</v>
      </c>
    </row>
    <row r="302" spans="1:27">
      <c r="A302" s="83" t="str">
        <f t="shared" si="28"/>
        <v>43682A-LAKblack</v>
      </c>
      <c r="B302" s="83" t="str">
        <f t="shared" si="29"/>
        <v>06-274-10</v>
      </c>
      <c r="C302" s="106" t="s">
        <v>1841</v>
      </c>
      <c r="D302" s="106" t="s">
        <v>1842</v>
      </c>
      <c r="E302" s="106" t="s">
        <v>788</v>
      </c>
      <c r="F302" s="107">
        <v>0</v>
      </c>
      <c r="G302" s="106" t="s">
        <v>1843</v>
      </c>
      <c r="H302" s="106" t="s">
        <v>308</v>
      </c>
      <c r="I302" s="106" t="s">
        <v>888</v>
      </c>
      <c r="J302" s="106" t="s">
        <v>792</v>
      </c>
      <c r="K302" s="106" t="s">
        <v>382</v>
      </c>
      <c r="L302" s="106" t="s">
        <v>884</v>
      </c>
      <c r="M302" s="106" t="s">
        <v>388</v>
      </c>
      <c r="N302" s="106" t="s">
        <v>44</v>
      </c>
      <c r="O302" s="106" t="s">
        <v>541</v>
      </c>
      <c r="P302" s="106" t="s">
        <v>866</v>
      </c>
      <c r="Q302" s="106" t="s">
        <v>819</v>
      </c>
      <c r="R302" s="106" t="s">
        <v>53</v>
      </c>
      <c r="S302" s="83" t="str">
        <f t="shared" si="30"/>
        <v>43682A-LAK</v>
      </c>
      <c r="T302" s="83" t="str">
        <f t="shared" si="31"/>
        <v>Los Angeles Kings Chromel NHL</v>
      </c>
      <c r="Y302" s="60">
        <f t="shared" si="32"/>
        <v>6</v>
      </c>
      <c r="Z302" s="49">
        <f t="shared" si="33"/>
        <v>274</v>
      </c>
      <c r="AA302" s="60">
        <f t="shared" si="34"/>
        <v>6274</v>
      </c>
    </row>
    <row r="303" spans="1:27">
      <c r="A303" s="83" t="str">
        <f t="shared" si="28"/>
        <v>43682A-NYRroyal</v>
      </c>
      <c r="B303" s="83" t="str">
        <f t="shared" si="29"/>
        <v>06-275-45</v>
      </c>
      <c r="C303" s="106" t="s">
        <v>1844</v>
      </c>
      <c r="D303" s="106" t="s">
        <v>1845</v>
      </c>
      <c r="E303" s="106" t="s">
        <v>788</v>
      </c>
      <c r="F303" s="107">
        <v>0</v>
      </c>
      <c r="G303" s="106" t="s">
        <v>1846</v>
      </c>
      <c r="H303" s="106" t="s">
        <v>256</v>
      </c>
      <c r="I303" s="106" t="s">
        <v>888</v>
      </c>
      <c r="J303" s="106" t="s">
        <v>792</v>
      </c>
      <c r="K303" s="106" t="s">
        <v>382</v>
      </c>
      <c r="L303" s="106" t="s">
        <v>884</v>
      </c>
      <c r="M303" s="106" t="s">
        <v>388</v>
      </c>
      <c r="N303" s="106" t="s">
        <v>44</v>
      </c>
      <c r="O303" s="106" t="s">
        <v>541</v>
      </c>
      <c r="P303" s="106" t="s">
        <v>866</v>
      </c>
      <c r="Q303" s="106" t="s">
        <v>1576</v>
      </c>
      <c r="R303" s="106" t="s">
        <v>71</v>
      </c>
      <c r="S303" s="83" t="str">
        <f t="shared" si="30"/>
        <v>43682A-NYR</v>
      </c>
      <c r="T303" s="83" t="str">
        <f t="shared" si="31"/>
        <v>New York Rangers Chromel NHL</v>
      </c>
      <c r="Y303" s="60">
        <f t="shared" si="32"/>
        <v>6</v>
      </c>
      <c r="Z303" s="49">
        <f t="shared" si="33"/>
        <v>275</v>
      </c>
      <c r="AA303" s="60">
        <f t="shared" si="34"/>
        <v>6275</v>
      </c>
    </row>
    <row r="304" spans="1:27">
      <c r="A304" s="83" t="str">
        <f t="shared" si="28"/>
        <v>43682A-PHForange</v>
      </c>
      <c r="B304" s="83" t="str">
        <f t="shared" si="29"/>
        <v>06-276-68</v>
      </c>
      <c r="C304" s="106" t="s">
        <v>1847</v>
      </c>
      <c r="D304" s="106" t="s">
        <v>1848</v>
      </c>
      <c r="E304" s="106" t="s">
        <v>788</v>
      </c>
      <c r="F304" s="107">
        <v>0</v>
      </c>
      <c r="G304" s="106" t="s">
        <v>1849</v>
      </c>
      <c r="H304" s="106" t="s">
        <v>202</v>
      </c>
      <c r="I304" s="106" t="s">
        <v>888</v>
      </c>
      <c r="J304" s="106" t="s">
        <v>792</v>
      </c>
      <c r="K304" s="106" t="s">
        <v>382</v>
      </c>
      <c r="L304" s="106" t="s">
        <v>884</v>
      </c>
      <c r="M304" s="106" t="s">
        <v>388</v>
      </c>
      <c r="N304" s="106" t="s">
        <v>44</v>
      </c>
      <c r="O304" s="106" t="s">
        <v>541</v>
      </c>
      <c r="P304" s="106" t="s">
        <v>866</v>
      </c>
      <c r="Q304" s="106" t="s">
        <v>1567</v>
      </c>
      <c r="R304" s="106" t="s">
        <v>199</v>
      </c>
      <c r="S304" s="83" t="str">
        <f t="shared" si="30"/>
        <v>43682A-PHF</v>
      </c>
      <c r="T304" s="83" t="str">
        <f t="shared" si="31"/>
        <v>Philadelphia Flyers Chromel NHL</v>
      </c>
      <c r="Y304" s="60">
        <f t="shared" si="32"/>
        <v>6</v>
      </c>
      <c r="Z304" s="49">
        <f t="shared" si="33"/>
        <v>276</v>
      </c>
      <c r="AA304" s="60">
        <f t="shared" si="34"/>
        <v>6276</v>
      </c>
    </row>
    <row r="305" spans="1:27">
      <c r="A305" s="83" t="str">
        <f t="shared" si="28"/>
        <v>43692A-NHLblack-camo</v>
      </c>
      <c r="B305" s="83" t="str">
        <f t="shared" si="29"/>
        <v>06-277-75</v>
      </c>
      <c r="C305" s="106" t="s">
        <v>1850</v>
      </c>
      <c r="D305" s="106" t="s">
        <v>1851</v>
      </c>
      <c r="E305" s="106" t="s">
        <v>788</v>
      </c>
      <c r="F305" s="107">
        <v>0</v>
      </c>
      <c r="G305" s="106" t="s">
        <v>1852</v>
      </c>
      <c r="H305" s="106" t="s">
        <v>691</v>
      </c>
      <c r="I305" s="106" t="s">
        <v>888</v>
      </c>
      <c r="J305" s="106" t="s">
        <v>792</v>
      </c>
      <c r="K305" s="106" t="s">
        <v>382</v>
      </c>
      <c r="L305" s="106" t="s">
        <v>884</v>
      </c>
      <c r="M305" s="106" t="s">
        <v>388</v>
      </c>
      <c r="N305" s="106" t="s">
        <v>44</v>
      </c>
      <c r="O305" s="106" t="s">
        <v>541</v>
      </c>
      <c r="P305" s="106" t="s">
        <v>866</v>
      </c>
      <c r="Q305" s="106" t="s">
        <v>1853</v>
      </c>
      <c r="R305" s="106" t="s">
        <v>53</v>
      </c>
      <c r="S305" s="83" t="str">
        <f t="shared" si="30"/>
        <v>43692A-NHL</v>
      </c>
      <c r="T305" s="83" t="str">
        <f t="shared" si="31"/>
        <v>Original 6 Sundown NHL</v>
      </c>
      <c r="Y305" s="60">
        <f t="shared" si="32"/>
        <v>6</v>
      </c>
      <c r="Z305" s="49">
        <f t="shared" si="33"/>
        <v>277</v>
      </c>
      <c r="AA305" s="60">
        <f t="shared" si="34"/>
        <v>6277</v>
      </c>
    </row>
    <row r="306" spans="1:27">
      <c r="A306" s="83" t="str">
        <f t="shared" si="28"/>
        <v>43732A-CAHblack-red</v>
      </c>
      <c r="B306" s="83" t="str">
        <f t="shared" si="29"/>
        <v>06-278-72</v>
      </c>
      <c r="C306" s="106" t="s">
        <v>1854</v>
      </c>
      <c r="D306" s="106" t="s">
        <v>1855</v>
      </c>
      <c r="E306" s="106" t="s">
        <v>788</v>
      </c>
      <c r="F306" s="107">
        <v>0</v>
      </c>
      <c r="G306" s="106" t="s">
        <v>1856</v>
      </c>
      <c r="H306" s="106" t="s">
        <v>302</v>
      </c>
      <c r="I306" s="106" t="s">
        <v>888</v>
      </c>
      <c r="J306" s="106" t="s">
        <v>792</v>
      </c>
      <c r="K306" s="106" t="s">
        <v>382</v>
      </c>
      <c r="L306" s="106" t="s">
        <v>884</v>
      </c>
      <c r="M306" s="106" t="s">
        <v>388</v>
      </c>
      <c r="N306" s="106" t="s">
        <v>44</v>
      </c>
      <c r="O306" s="106" t="s">
        <v>541</v>
      </c>
      <c r="P306" s="106" t="s">
        <v>866</v>
      </c>
      <c r="Q306" s="106" t="s">
        <v>1638</v>
      </c>
      <c r="R306" s="106" t="s">
        <v>53</v>
      </c>
      <c r="S306" s="83" t="str">
        <f t="shared" si="30"/>
        <v>43732A-CAH</v>
      </c>
      <c r="T306" s="83" t="str">
        <f t="shared" si="31"/>
        <v>Carolina Hurricanes Blockhead NHL</v>
      </c>
      <c r="Y306" s="60">
        <f t="shared" si="32"/>
        <v>6</v>
      </c>
      <c r="Z306" s="49">
        <f t="shared" si="33"/>
        <v>278</v>
      </c>
      <c r="AA306" s="60">
        <f t="shared" si="34"/>
        <v>6278</v>
      </c>
    </row>
    <row r="307" spans="1:27">
      <c r="A307" s="83" t="str">
        <f t="shared" si="28"/>
        <v>43732A-MNWblack-green</v>
      </c>
      <c r="B307" s="83" t="str">
        <f t="shared" si="29"/>
        <v>06-279-33</v>
      </c>
      <c r="C307" s="106" t="s">
        <v>1857</v>
      </c>
      <c r="D307" s="106" t="s">
        <v>1858</v>
      </c>
      <c r="E307" s="106" t="s">
        <v>788</v>
      </c>
      <c r="F307" s="107">
        <v>0</v>
      </c>
      <c r="G307" s="106" t="s">
        <v>1859</v>
      </c>
      <c r="H307" s="106" t="s">
        <v>299</v>
      </c>
      <c r="I307" s="106" t="s">
        <v>888</v>
      </c>
      <c r="J307" s="106" t="s">
        <v>792</v>
      </c>
      <c r="K307" s="106" t="s">
        <v>382</v>
      </c>
      <c r="L307" s="106" t="s">
        <v>884</v>
      </c>
      <c r="M307" s="106" t="s">
        <v>388</v>
      </c>
      <c r="N307" s="106" t="s">
        <v>44</v>
      </c>
      <c r="O307" s="106" t="s">
        <v>541</v>
      </c>
      <c r="P307" s="106" t="s">
        <v>866</v>
      </c>
      <c r="Q307" s="106" t="s">
        <v>1860</v>
      </c>
      <c r="R307" s="106" t="s">
        <v>53</v>
      </c>
      <c r="S307" s="83" t="str">
        <f t="shared" si="30"/>
        <v>43732A-MNW</v>
      </c>
      <c r="T307" s="83" t="str">
        <f t="shared" si="31"/>
        <v>Minnesota Wild Blockhead NHL</v>
      </c>
      <c r="Y307" s="60">
        <f t="shared" si="32"/>
        <v>6</v>
      </c>
      <c r="Z307" s="49">
        <f t="shared" si="33"/>
        <v>279</v>
      </c>
      <c r="AA307" s="60">
        <f t="shared" si="34"/>
        <v>6279</v>
      </c>
    </row>
    <row r="308" spans="1:27">
      <c r="A308" s="83" t="str">
        <f t="shared" si="28"/>
        <v>43870A-HTCred</v>
      </c>
      <c r="B308" s="83" t="str">
        <f t="shared" si="29"/>
        <v>06-280-18</v>
      </c>
      <c r="C308" s="106" t="s">
        <v>1861</v>
      </c>
      <c r="D308" s="106" t="s">
        <v>1862</v>
      </c>
      <c r="E308" s="106" t="s">
        <v>788</v>
      </c>
      <c r="F308" s="107">
        <v>0</v>
      </c>
      <c r="G308" s="106" t="s">
        <v>1863</v>
      </c>
      <c r="H308" s="106" t="s">
        <v>78</v>
      </c>
      <c r="I308" s="106" t="s">
        <v>786</v>
      </c>
      <c r="J308" s="106" t="s">
        <v>327</v>
      </c>
      <c r="K308" s="106" t="s">
        <v>382</v>
      </c>
      <c r="L308" s="106" t="s">
        <v>884</v>
      </c>
      <c r="M308" s="106" t="s">
        <v>388</v>
      </c>
      <c r="N308" s="106" t="s">
        <v>43</v>
      </c>
      <c r="O308" s="106" t="s">
        <v>386</v>
      </c>
      <c r="P308" s="106" t="s">
        <v>866</v>
      </c>
      <c r="Q308" s="106" t="s">
        <v>822</v>
      </c>
      <c r="R308" s="106" t="s">
        <v>78</v>
      </c>
      <c r="S308" s="83" t="str">
        <f t="shared" si="30"/>
        <v>43870A-HTC</v>
      </c>
      <c r="T308" s="83" t="str">
        <f t="shared" si="31"/>
        <v>Hiroshima Carp Hepcat NLP</v>
      </c>
      <c r="Y308" s="60">
        <f t="shared" si="32"/>
        <v>6</v>
      </c>
      <c r="Z308" s="49">
        <f t="shared" si="33"/>
        <v>280</v>
      </c>
      <c r="AA308" s="60">
        <f t="shared" si="34"/>
        <v>6280</v>
      </c>
    </row>
    <row r="309" spans="1:27">
      <c r="A309" s="83" t="str">
        <f t="shared" si="28"/>
        <v>43870A-KCKnavy</v>
      </c>
      <c r="B309" s="83" t="str">
        <f t="shared" si="29"/>
        <v>06-281-16</v>
      </c>
      <c r="C309" s="106" t="s">
        <v>1864</v>
      </c>
      <c r="D309" s="106" t="s">
        <v>1865</v>
      </c>
      <c r="E309" s="106" t="s">
        <v>788</v>
      </c>
      <c r="F309" s="107">
        <v>0</v>
      </c>
      <c r="G309" s="106" t="s">
        <v>1866</v>
      </c>
      <c r="H309" s="106" t="s">
        <v>55</v>
      </c>
      <c r="I309" s="106" t="s">
        <v>786</v>
      </c>
      <c r="J309" s="106" t="s">
        <v>327</v>
      </c>
      <c r="K309" s="106" t="s">
        <v>382</v>
      </c>
      <c r="L309" s="106" t="s">
        <v>884</v>
      </c>
      <c r="M309" s="106" t="s">
        <v>388</v>
      </c>
      <c r="N309" s="106" t="s">
        <v>43</v>
      </c>
      <c r="O309" s="106" t="s">
        <v>386</v>
      </c>
      <c r="P309" s="106" t="s">
        <v>866</v>
      </c>
      <c r="Q309" s="106" t="s">
        <v>818</v>
      </c>
      <c r="R309" s="106" t="s">
        <v>71</v>
      </c>
      <c r="S309" s="83" t="str">
        <f t="shared" si="30"/>
        <v>43870A-KCK</v>
      </c>
      <c r="T309" s="83" t="str">
        <f t="shared" si="31"/>
        <v>Kansas City Katz Hepcat MILB</v>
      </c>
      <c r="Y309" s="60">
        <f t="shared" si="32"/>
        <v>6</v>
      </c>
      <c r="Z309" s="49">
        <f t="shared" si="33"/>
        <v>281</v>
      </c>
      <c r="AA309" s="60">
        <f t="shared" si="34"/>
        <v>6281</v>
      </c>
    </row>
    <row r="310" spans="1:27">
      <c r="A310" s="83" t="str">
        <f t="shared" si="28"/>
        <v>43870A-WHAnavy</v>
      </c>
      <c r="B310" s="83" t="str">
        <f t="shared" si="29"/>
        <v>06-282-16</v>
      </c>
      <c r="C310" s="106" t="s">
        <v>1867</v>
      </c>
      <c r="D310" s="106" t="s">
        <v>1868</v>
      </c>
      <c r="E310" s="106" t="s">
        <v>788</v>
      </c>
      <c r="F310" s="107">
        <v>0</v>
      </c>
      <c r="G310" s="106" t="s">
        <v>1869</v>
      </c>
      <c r="H310" s="106" t="s">
        <v>55</v>
      </c>
      <c r="I310" s="106" t="s">
        <v>786</v>
      </c>
      <c r="J310" s="106" t="s">
        <v>327</v>
      </c>
      <c r="K310" s="106" t="s">
        <v>382</v>
      </c>
      <c r="L310" s="106" t="s">
        <v>884</v>
      </c>
      <c r="M310" s="106" t="s">
        <v>388</v>
      </c>
      <c r="N310" s="106" t="s">
        <v>43</v>
      </c>
      <c r="O310" s="106" t="s">
        <v>386</v>
      </c>
      <c r="P310" s="106" t="s">
        <v>866</v>
      </c>
      <c r="Q310" s="106" t="s">
        <v>818</v>
      </c>
      <c r="R310" s="106" t="s">
        <v>71</v>
      </c>
      <c r="S310" s="83" t="str">
        <f t="shared" si="30"/>
        <v>43870A-WHA</v>
      </c>
      <c r="T310" s="83" t="str">
        <f t="shared" si="31"/>
        <v>Chicago Whales Hepcat MILB</v>
      </c>
      <c r="Y310" s="60">
        <f t="shared" si="32"/>
        <v>6</v>
      </c>
      <c r="Z310" s="49">
        <f t="shared" si="33"/>
        <v>282</v>
      </c>
      <c r="AA310" s="60">
        <f t="shared" si="34"/>
        <v>6282</v>
      </c>
    </row>
    <row r="311" spans="1:27">
      <c r="A311" s="83" t="str">
        <f t="shared" si="28"/>
        <v>43870A-YOWnavy</v>
      </c>
      <c r="B311" s="83" t="str">
        <f t="shared" si="29"/>
        <v>06-283-16</v>
      </c>
      <c r="C311" s="106" t="s">
        <v>1870</v>
      </c>
      <c r="D311" s="106" t="s">
        <v>1871</v>
      </c>
      <c r="E311" s="106" t="s">
        <v>788</v>
      </c>
      <c r="F311" s="107">
        <v>0</v>
      </c>
      <c r="G311" s="106" t="s">
        <v>1872</v>
      </c>
      <c r="H311" s="106" t="s">
        <v>55</v>
      </c>
      <c r="I311" s="106" t="s">
        <v>786</v>
      </c>
      <c r="J311" s="106" t="s">
        <v>327</v>
      </c>
      <c r="K311" s="106" t="s">
        <v>382</v>
      </c>
      <c r="L311" s="106" t="s">
        <v>884</v>
      </c>
      <c r="M311" s="106" t="s">
        <v>388</v>
      </c>
      <c r="N311" s="106" t="s">
        <v>43</v>
      </c>
      <c r="O311" s="106" t="s">
        <v>386</v>
      </c>
      <c r="P311" s="106" t="s">
        <v>866</v>
      </c>
      <c r="Q311" s="106" t="s">
        <v>818</v>
      </c>
      <c r="R311" s="106" t="s">
        <v>71</v>
      </c>
      <c r="S311" s="83" t="str">
        <f t="shared" si="30"/>
        <v>43870A-YOW</v>
      </c>
      <c r="T311" s="83" t="str">
        <f t="shared" si="31"/>
        <v>Yokohama Whales Hepcat NLP</v>
      </c>
      <c r="Y311" s="60">
        <f t="shared" si="32"/>
        <v>6</v>
      </c>
      <c r="Z311" s="49">
        <f t="shared" si="33"/>
        <v>283</v>
      </c>
      <c r="AA311" s="60">
        <f t="shared" si="34"/>
        <v>6283</v>
      </c>
    </row>
    <row r="312" spans="1:27">
      <c r="A312" s="83" t="str">
        <f t="shared" si="28"/>
        <v>43877A-ASEnavy</v>
      </c>
      <c r="B312" s="83" t="str">
        <f t="shared" si="29"/>
        <v>06-284-16</v>
      </c>
      <c r="C312" s="106" t="s">
        <v>1873</v>
      </c>
      <c r="D312" s="106" t="s">
        <v>1874</v>
      </c>
      <c r="E312" s="106" t="s">
        <v>788</v>
      </c>
      <c r="F312" s="107">
        <v>0</v>
      </c>
      <c r="G312" s="106" t="s">
        <v>1875</v>
      </c>
      <c r="H312" s="106" t="s">
        <v>55</v>
      </c>
      <c r="I312" s="106" t="s">
        <v>786</v>
      </c>
      <c r="J312" s="106" t="s">
        <v>327</v>
      </c>
      <c r="K312" s="106" t="s">
        <v>382</v>
      </c>
      <c r="L312" s="106" t="s">
        <v>884</v>
      </c>
      <c r="M312" s="106" t="s">
        <v>388</v>
      </c>
      <c r="N312" s="106" t="s">
        <v>43</v>
      </c>
      <c r="O312" s="106" t="s">
        <v>386</v>
      </c>
      <c r="P312" s="106" t="s">
        <v>866</v>
      </c>
      <c r="Q312" s="106" t="s">
        <v>818</v>
      </c>
      <c r="R312" s="106" t="s">
        <v>71</v>
      </c>
      <c r="S312" s="83" t="str">
        <f t="shared" si="30"/>
        <v>43877A-ASE</v>
      </c>
      <c r="T312" s="83" t="str">
        <f t="shared" si="31"/>
        <v>Austin Senators Hepcat MILB</v>
      </c>
      <c r="Y312" s="60">
        <f t="shared" si="32"/>
        <v>6</v>
      </c>
      <c r="Z312" s="49">
        <f t="shared" si="33"/>
        <v>284</v>
      </c>
      <c r="AA312" s="60">
        <f t="shared" si="34"/>
        <v>6284</v>
      </c>
    </row>
    <row r="313" spans="1:27">
      <c r="A313" s="83" t="str">
        <f t="shared" si="28"/>
        <v>43877A-SERnavy</v>
      </c>
      <c r="B313" s="83" t="str">
        <f t="shared" si="29"/>
        <v>06-285-16</v>
      </c>
      <c r="C313" s="106" t="s">
        <v>1876</v>
      </c>
      <c r="D313" s="106" t="s">
        <v>1877</v>
      </c>
      <c r="E313" s="106" t="s">
        <v>788</v>
      </c>
      <c r="F313" s="107">
        <v>0</v>
      </c>
      <c r="G313" s="106" t="s">
        <v>1878</v>
      </c>
      <c r="H313" s="106" t="s">
        <v>55</v>
      </c>
      <c r="I313" s="106" t="s">
        <v>786</v>
      </c>
      <c r="J313" s="106" t="s">
        <v>327</v>
      </c>
      <c r="K313" s="106" t="s">
        <v>382</v>
      </c>
      <c r="L313" s="106" t="s">
        <v>884</v>
      </c>
      <c r="M313" s="106" t="s">
        <v>388</v>
      </c>
      <c r="N313" s="106" t="s">
        <v>43</v>
      </c>
      <c r="O313" s="106" t="s">
        <v>386</v>
      </c>
      <c r="P313" s="106" t="s">
        <v>866</v>
      </c>
      <c r="Q313" s="106" t="s">
        <v>818</v>
      </c>
      <c r="R313" s="106" t="s">
        <v>71</v>
      </c>
      <c r="S313" s="83" t="str">
        <f t="shared" si="30"/>
        <v>43877A-SER</v>
      </c>
      <c r="T313" s="83" t="str">
        <f t="shared" si="31"/>
        <v>Seattle Rainiers Hepcat MILB</v>
      </c>
      <c r="Y313" s="60">
        <f t="shared" si="32"/>
        <v>6</v>
      </c>
      <c r="Z313" s="49">
        <f t="shared" si="33"/>
        <v>285</v>
      </c>
      <c r="AA313" s="60">
        <f t="shared" si="34"/>
        <v>6285</v>
      </c>
    </row>
    <row r="314" spans="1:27">
      <c r="A314" s="83" t="str">
        <f t="shared" si="28"/>
        <v>43910A-CHGOnavy</v>
      </c>
      <c r="B314" s="83" t="str">
        <f t="shared" si="29"/>
        <v>06-286-16</v>
      </c>
      <c r="C314" s="106" t="s">
        <v>1879</v>
      </c>
      <c r="D314" s="106" t="s">
        <v>1880</v>
      </c>
      <c r="E314" s="106" t="s">
        <v>788</v>
      </c>
      <c r="F314" s="107">
        <v>0</v>
      </c>
      <c r="G314" s="106" t="s">
        <v>1881</v>
      </c>
      <c r="H314" s="106" t="s">
        <v>55</v>
      </c>
      <c r="I314" s="106" t="s">
        <v>786</v>
      </c>
      <c r="J314" s="106" t="s">
        <v>327</v>
      </c>
      <c r="K314" s="106" t="s">
        <v>382</v>
      </c>
      <c r="L314" s="106" t="s">
        <v>880</v>
      </c>
      <c r="M314" s="106" t="s">
        <v>388</v>
      </c>
      <c r="N314" s="106" t="s">
        <v>43</v>
      </c>
      <c r="O314" s="106" t="s">
        <v>386</v>
      </c>
      <c r="P314" s="106" t="s">
        <v>866</v>
      </c>
      <c r="Q314" s="106" t="s">
        <v>818</v>
      </c>
      <c r="R314" s="106" t="s">
        <v>71</v>
      </c>
      <c r="S314" s="83" t="str">
        <f t="shared" si="30"/>
        <v>43910A-CHGO</v>
      </c>
      <c r="T314" s="83" t="str">
        <f t="shared" si="31"/>
        <v>City of Chicago Iconic</v>
      </c>
      <c r="Y314" s="60">
        <f t="shared" si="32"/>
        <v>6</v>
      </c>
      <c r="Z314" s="49">
        <f t="shared" si="33"/>
        <v>286</v>
      </c>
      <c r="AA314" s="60">
        <f t="shared" si="34"/>
        <v>6286</v>
      </c>
    </row>
    <row r="315" spans="1:27">
      <c r="A315" s="83" t="str">
        <f t="shared" si="28"/>
        <v>43910A-CHGOwhite</v>
      </c>
      <c r="B315" s="83" t="str">
        <f t="shared" si="29"/>
        <v>06-286-17</v>
      </c>
      <c r="C315" s="106" t="s">
        <v>1882</v>
      </c>
      <c r="D315" s="106" t="s">
        <v>1883</v>
      </c>
      <c r="E315" s="106" t="s">
        <v>788</v>
      </c>
      <c r="F315" s="107">
        <v>0</v>
      </c>
      <c r="G315" s="106" t="s">
        <v>1881</v>
      </c>
      <c r="H315" s="106" t="s">
        <v>57</v>
      </c>
      <c r="I315" s="106" t="s">
        <v>786</v>
      </c>
      <c r="J315" s="106" t="s">
        <v>327</v>
      </c>
      <c r="K315" s="106" t="s">
        <v>382</v>
      </c>
      <c r="L315" s="106" t="s">
        <v>880</v>
      </c>
      <c r="M315" s="106" t="s">
        <v>388</v>
      </c>
      <c r="N315" s="106" t="s">
        <v>43</v>
      </c>
      <c r="O315" s="106" t="s">
        <v>386</v>
      </c>
      <c r="P315" s="106" t="s">
        <v>866</v>
      </c>
      <c r="Q315" s="106" t="s">
        <v>820</v>
      </c>
      <c r="R315" s="106" t="s">
        <v>57</v>
      </c>
      <c r="S315" s="83" t="str">
        <f t="shared" si="30"/>
        <v>43910A-CHGO</v>
      </c>
      <c r="T315" s="83" t="str">
        <f t="shared" si="31"/>
        <v>City of Chicago Iconic</v>
      </c>
      <c r="Y315" s="60">
        <f t="shared" si="32"/>
        <v>6</v>
      </c>
      <c r="Z315" s="49">
        <f t="shared" si="33"/>
        <v>286</v>
      </c>
      <c r="AA315" s="60">
        <f t="shared" si="34"/>
        <v>6286</v>
      </c>
    </row>
    <row r="316" spans="1:27">
      <c r="A316" s="83" t="str">
        <f t="shared" si="28"/>
        <v>43910A-GNPseafoam</v>
      </c>
      <c r="B316" s="83" t="str">
        <f t="shared" si="29"/>
        <v>06-287-19</v>
      </c>
      <c r="C316" s="106" t="s">
        <v>1884</v>
      </c>
      <c r="D316" s="106" t="s">
        <v>1885</v>
      </c>
      <c r="E316" s="106" t="s">
        <v>788</v>
      </c>
      <c r="F316" s="107">
        <v>0</v>
      </c>
      <c r="G316" s="106" t="s">
        <v>1886</v>
      </c>
      <c r="H316" s="106" t="s">
        <v>91</v>
      </c>
      <c r="I316" s="106" t="s">
        <v>786</v>
      </c>
      <c r="J316" s="106" t="s">
        <v>327</v>
      </c>
      <c r="K316" s="106" t="s">
        <v>382</v>
      </c>
      <c r="L316" s="106" t="s">
        <v>880</v>
      </c>
      <c r="M316" s="106" t="s">
        <v>388</v>
      </c>
      <c r="N316" s="106" t="s">
        <v>43</v>
      </c>
      <c r="O316" s="106" t="s">
        <v>386</v>
      </c>
      <c r="P316" s="106" t="s">
        <v>866</v>
      </c>
      <c r="Q316" s="106" t="s">
        <v>1372</v>
      </c>
      <c r="R316" s="106" t="s">
        <v>91</v>
      </c>
      <c r="S316" s="83" t="str">
        <f t="shared" si="30"/>
        <v>43910A-GNP</v>
      </c>
      <c r="T316" s="83" t="str">
        <f t="shared" si="31"/>
        <v>Glacier National Park Iconic</v>
      </c>
      <c r="Y316" s="60">
        <f t="shared" si="32"/>
        <v>6</v>
      </c>
      <c r="Z316" s="49">
        <f t="shared" si="33"/>
        <v>287</v>
      </c>
      <c r="AA316" s="60">
        <f t="shared" si="34"/>
        <v>6287</v>
      </c>
    </row>
    <row r="317" spans="1:27">
      <c r="A317" s="83" t="str">
        <f t="shared" si="28"/>
        <v>43910A-YONPgreen</v>
      </c>
      <c r="B317" s="83" t="str">
        <f t="shared" si="29"/>
        <v>06-288-07</v>
      </c>
      <c r="C317" s="106" t="s">
        <v>1887</v>
      </c>
      <c r="D317" s="106" t="s">
        <v>1888</v>
      </c>
      <c r="E317" s="106" t="s">
        <v>788</v>
      </c>
      <c r="F317" s="107">
        <v>0</v>
      </c>
      <c r="G317" s="106" t="s">
        <v>1889</v>
      </c>
      <c r="H317" s="106" t="s">
        <v>269</v>
      </c>
      <c r="I317" s="106" t="s">
        <v>786</v>
      </c>
      <c r="J317" s="106" t="s">
        <v>327</v>
      </c>
      <c r="K317" s="106" t="s">
        <v>382</v>
      </c>
      <c r="L317" s="106" t="s">
        <v>880</v>
      </c>
      <c r="M317" s="106" t="s">
        <v>388</v>
      </c>
      <c r="N317" s="106" t="s">
        <v>43</v>
      </c>
      <c r="O317" s="106" t="s">
        <v>386</v>
      </c>
      <c r="P317" s="106" t="s">
        <v>866</v>
      </c>
      <c r="Q317" s="106" t="s">
        <v>825</v>
      </c>
      <c r="R317" s="106" t="s">
        <v>60</v>
      </c>
      <c r="S317" s="83" t="str">
        <f t="shared" si="30"/>
        <v>43910A-YONP</v>
      </c>
      <c r="T317" s="83" t="str">
        <f t="shared" si="31"/>
        <v>Yosemite National Park Iconic</v>
      </c>
      <c r="Y317" s="60">
        <f t="shared" si="32"/>
        <v>6</v>
      </c>
      <c r="Z317" s="49">
        <f t="shared" si="33"/>
        <v>288</v>
      </c>
      <c r="AA317" s="60">
        <f t="shared" si="34"/>
        <v>6288</v>
      </c>
    </row>
    <row r="318" spans="1:27">
      <c r="A318" s="83" t="str">
        <f t="shared" si="28"/>
        <v>43912A-DRWred</v>
      </c>
      <c r="B318" s="83" t="str">
        <f t="shared" si="29"/>
        <v>06-289-18</v>
      </c>
      <c r="C318" s="106" t="s">
        <v>1890</v>
      </c>
      <c r="D318" s="106" t="s">
        <v>1891</v>
      </c>
      <c r="E318" s="106" t="s">
        <v>788</v>
      </c>
      <c r="F318" s="107">
        <v>0</v>
      </c>
      <c r="G318" s="106" t="s">
        <v>1892</v>
      </c>
      <c r="H318" s="106" t="s">
        <v>78</v>
      </c>
      <c r="I318" s="106" t="s">
        <v>786</v>
      </c>
      <c r="J318" s="106" t="s">
        <v>327</v>
      </c>
      <c r="K318" s="106" t="s">
        <v>382</v>
      </c>
      <c r="L318" s="106" t="s">
        <v>884</v>
      </c>
      <c r="M318" s="106" t="s">
        <v>388</v>
      </c>
      <c r="N318" s="106" t="s">
        <v>43</v>
      </c>
      <c r="O318" s="106" t="s">
        <v>386</v>
      </c>
      <c r="P318" s="106" t="s">
        <v>866</v>
      </c>
      <c r="Q318" s="106" t="s">
        <v>822</v>
      </c>
      <c r="R318" s="106" t="s">
        <v>78</v>
      </c>
      <c r="S318" s="83" t="str">
        <f t="shared" si="30"/>
        <v>43912A-DRW</v>
      </c>
      <c r="T318" s="83" t="str">
        <f t="shared" si="31"/>
        <v>Detroit Red Wings Iconic NHL</v>
      </c>
      <c r="Y318" s="60">
        <f t="shared" si="32"/>
        <v>6</v>
      </c>
      <c r="Z318" s="49">
        <f t="shared" si="33"/>
        <v>289</v>
      </c>
      <c r="AA318" s="60">
        <f t="shared" si="34"/>
        <v>6289</v>
      </c>
    </row>
    <row r="319" spans="1:27">
      <c r="A319" s="83" t="str">
        <f t="shared" si="28"/>
        <v>43912A-LAKblack</v>
      </c>
      <c r="B319" s="83" t="str">
        <f t="shared" si="29"/>
        <v>06-290-09</v>
      </c>
      <c r="C319" s="106" t="s">
        <v>1893</v>
      </c>
      <c r="D319" s="106" t="s">
        <v>1894</v>
      </c>
      <c r="E319" s="106" t="s">
        <v>788</v>
      </c>
      <c r="F319" s="107">
        <v>0</v>
      </c>
      <c r="G319" s="106" t="s">
        <v>1895</v>
      </c>
      <c r="H319" s="106" t="s">
        <v>53</v>
      </c>
      <c r="I319" s="106" t="s">
        <v>786</v>
      </c>
      <c r="J319" s="106" t="s">
        <v>327</v>
      </c>
      <c r="K319" s="106" t="s">
        <v>382</v>
      </c>
      <c r="L319" s="106" t="s">
        <v>884</v>
      </c>
      <c r="M319" s="106" t="s">
        <v>388</v>
      </c>
      <c r="N319" s="106" t="s">
        <v>43</v>
      </c>
      <c r="O319" s="106" t="s">
        <v>386</v>
      </c>
      <c r="P319" s="106" t="s">
        <v>866</v>
      </c>
      <c r="Q319" s="106" t="s">
        <v>819</v>
      </c>
      <c r="R319" s="106" t="s">
        <v>53</v>
      </c>
      <c r="S319" s="83" t="str">
        <f t="shared" si="30"/>
        <v>43912A-LAK</v>
      </c>
      <c r="T319" s="83" t="str">
        <f t="shared" si="31"/>
        <v>Los Angeles Kings Iconic NHL</v>
      </c>
      <c r="Y319" s="60">
        <f t="shared" si="32"/>
        <v>6</v>
      </c>
      <c r="Z319" s="49">
        <f t="shared" si="33"/>
        <v>290</v>
      </c>
      <c r="AA319" s="60">
        <f t="shared" si="34"/>
        <v>6290</v>
      </c>
    </row>
    <row r="320" spans="1:27">
      <c r="A320" s="83" t="str">
        <f t="shared" si="28"/>
        <v>43912A-NYRroyal</v>
      </c>
      <c r="B320" s="83" t="str">
        <f t="shared" si="29"/>
        <v>06-291-06</v>
      </c>
      <c r="C320" s="106" t="s">
        <v>1896</v>
      </c>
      <c r="D320" s="106" t="s">
        <v>1897</v>
      </c>
      <c r="E320" s="106" t="s">
        <v>788</v>
      </c>
      <c r="F320" s="107">
        <v>0</v>
      </c>
      <c r="G320" s="106" t="s">
        <v>1898</v>
      </c>
      <c r="H320" s="106" t="s">
        <v>71</v>
      </c>
      <c r="I320" s="106" t="s">
        <v>786</v>
      </c>
      <c r="J320" s="106" t="s">
        <v>327</v>
      </c>
      <c r="K320" s="106" t="s">
        <v>382</v>
      </c>
      <c r="L320" s="106" t="s">
        <v>884</v>
      </c>
      <c r="M320" s="106" t="s">
        <v>388</v>
      </c>
      <c r="N320" s="106" t="s">
        <v>43</v>
      </c>
      <c r="O320" s="106" t="s">
        <v>386</v>
      </c>
      <c r="P320" s="106" t="s">
        <v>866</v>
      </c>
      <c r="Q320" s="106" t="s">
        <v>1576</v>
      </c>
      <c r="R320" s="106" t="s">
        <v>71</v>
      </c>
      <c r="S320" s="83" t="str">
        <f t="shared" si="30"/>
        <v>43912A-NYR</v>
      </c>
      <c r="T320" s="83" t="str">
        <f t="shared" si="31"/>
        <v>New York Rangers Iconic NHL</v>
      </c>
      <c r="Y320" s="60">
        <f t="shared" si="32"/>
        <v>6</v>
      </c>
      <c r="Z320" s="49">
        <f t="shared" si="33"/>
        <v>291</v>
      </c>
      <c r="AA320" s="60">
        <f t="shared" si="34"/>
        <v>6291</v>
      </c>
    </row>
    <row r="321" spans="1:27">
      <c r="A321" s="83" t="str">
        <f t="shared" si="28"/>
        <v>43912A-VGKblack</v>
      </c>
      <c r="B321" s="83" t="str">
        <f t="shared" si="29"/>
        <v>06-292-09</v>
      </c>
      <c r="C321" s="106" t="s">
        <v>1899</v>
      </c>
      <c r="D321" s="106" t="s">
        <v>1900</v>
      </c>
      <c r="E321" s="106" t="s">
        <v>788</v>
      </c>
      <c r="F321" s="107">
        <v>0</v>
      </c>
      <c r="G321" s="106" t="s">
        <v>1901</v>
      </c>
      <c r="H321" s="106" t="s">
        <v>53</v>
      </c>
      <c r="I321" s="106" t="s">
        <v>786</v>
      </c>
      <c r="J321" s="106" t="s">
        <v>327</v>
      </c>
      <c r="K321" s="106" t="s">
        <v>382</v>
      </c>
      <c r="L321" s="106" t="s">
        <v>884</v>
      </c>
      <c r="M321" s="106" t="s">
        <v>388</v>
      </c>
      <c r="N321" s="106" t="s">
        <v>43</v>
      </c>
      <c r="O321" s="106" t="s">
        <v>386</v>
      </c>
      <c r="P321" s="106" t="s">
        <v>866</v>
      </c>
      <c r="Q321" s="106" t="s">
        <v>819</v>
      </c>
      <c r="R321" s="106" t="s">
        <v>53</v>
      </c>
      <c r="S321" s="83" t="str">
        <f t="shared" si="30"/>
        <v>43912A-VGK</v>
      </c>
      <c r="T321" s="83" t="str">
        <f t="shared" si="31"/>
        <v>Vegas Golden Knights Iconic NHL</v>
      </c>
      <c r="Y321" s="60">
        <f t="shared" si="32"/>
        <v>6</v>
      </c>
      <c r="Z321" s="49">
        <f t="shared" si="33"/>
        <v>292</v>
      </c>
      <c r="AA321" s="60">
        <f t="shared" si="34"/>
        <v>6292</v>
      </c>
    </row>
    <row r="322" spans="1:27">
      <c r="A322" s="83" t="str">
        <f t="shared" si="28"/>
        <v>43942A-LAKblack</v>
      </c>
      <c r="B322" s="83" t="str">
        <f t="shared" si="29"/>
        <v>06-293-09</v>
      </c>
      <c r="C322" s="106" t="s">
        <v>1902</v>
      </c>
      <c r="D322" s="106" t="s">
        <v>1903</v>
      </c>
      <c r="E322" s="106" t="s">
        <v>788</v>
      </c>
      <c r="F322" s="107">
        <v>0</v>
      </c>
      <c r="G322" s="106" t="s">
        <v>1904</v>
      </c>
      <c r="H322" s="106" t="s">
        <v>53</v>
      </c>
      <c r="I322" s="106" t="s">
        <v>786</v>
      </c>
      <c r="J322" s="106" t="s">
        <v>327</v>
      </c>
      <c r="K322" s="106" t="s">
        <v>382</v>
      </c>
      <c r="L322" s="106" t="s">
        <v>884</v>
      </c>
      <c r="M322" s="106" t="s">
        <v>388</v>
      </c>
      <c r="N322" s="106" t="s">
        <v>43</v>
      </c>
      <c r="O322" s="106" t="s">
        <v>386</v>
      </c>
      <c r="P322" s="106" t="s">
        <v>866</v>
      </c>
      <c r="Q322" s="106" t="s">
        <v>819</v>
      </c>
      <c r="R322" s="106" t="s">
        <v>53</v>
      </c>
      <c r="S322" s="83" t="str">
        <f t="shared" si="30"/>
        <v>43942A-LAK</v>
      </c>
      <c r="T322" s="83" t="str">
        <f t="shared" si="31"/>
        <v>Los Angeles Kings Elston NHL</v>
      </c>
      <c r="Y322" s="60">
        <f t="shared" si="32"/>
        <v>6</v>
      </c>
      <c r="Z322" s="49">
        <f t="shared" si="33"/>
        <v>293</v>
      </c>
      <c r="AA322" s="60">
        <f t="shared" si="34"/>
        <v>6293</v>
      </c>
    </row>
    <row r="323" spans="1:27">
      <c r="A323" s="83" t="str">
        <f t="shared" ref="A323:A386" si="35">IF(G323&amp;Q323&lt;&gt;"",S323&amp;Q323,"")</f>
        <v>43942A-NYRroyal</v>
      </c>
      <c r="B323" s="83" t="str">
        <f t="shared" ref="B323:B386" si="36">IF(C323&lt;&gt;"",LEFT(C323,9),"")</f>
        <v>06-294-06</v>
      </c>
      <c r="C323" s="106" t="s">
        <v>1905</v>
      </c>
      <c r="D323" s="106" t="s">
        <v>1906</v>
      </c>
      <c r="E323" s="106" t="s">
        <v>788</v>
      </c>
      <c r="F323" s="107">
        <v>0</v>
      </c>
      <c r="G323" s="106" t="s">
        <v>1907</v>
      </c>
      <c r="H323" s="106" t="s">
        <v>71</v>
      </c>
      <c r="I323" s="106" t="s">
        <v>786</v>
      </c>
      <c r="J323" s="106" t="s">
        <v>327</v>
      </c>
      <c r="K323" s="106" t="s">
        <v>382</v>
      </c>
      <c r="L323" s="106" t="s">
        <v>884</v>
      </c>
      <c r="M323" s="106" t="s">
        <v>388</v>
      </c>
      <c r="N323" s="106" t="s">
        <v>43</v>
      </c>
      <c r="O323" s="106" t="s">
        <v>386</v>
      </c>
      <c r="P323" s="106" t="s">
        <v>866</v>
      </c>
      <c r="Q323" s="106" t="s">
        <v>1576</v>
      </c>
      <c r="R323" s="106" t="s">
        <v>71</v>
      </c>
      <c r="S323" s="83" t="str">
        <f t="shared" ref="S323:S386" si="37">IF(G323&lt;&gt;"",IF(StyleSpaceSplit,IFERROR(IF(FIND(" ",G323)&gt;=1,MID(G323,1,FIND(" ",G323)-1),G323),G323),G323),"")</f>
        <v>43942A-NYR</v>
      </c>
      <c r="T323" s="83" t="str">
        <f t="shared" ref="T323:T386" si="38">IF(A323&lt;&gt;"",IFERROR(IF(FIND(" ",G323)&gt;=1,MID(G323,FIND(" ",G323)+1,LEN(G323)),""),G323),"")</f>
        <v>New York Rangers Elston NHL</v>
      </c>
      <c r="Y323" s="60">
        <f t="shared" ref="Y323:Y386" si="39">IFERROR(VALUE(MID($C323,1,2)),0)</f>
        <v>6</v>
      </c>
      <c r="Z323" s="49">
        <f t="shared" ref="Z323:Z386" si="40">IFERROR(VALUE(MID($C323,4,3)),0)</f>
        <v>294</v>
      </c>
      <c r="AA323" s="60">
        <f t="shared" ref="AA323:AA386" si="41">VALUE(RIGHT("00"&amp;Y323,2)&amp;RIGHT("000"&amp;Z323,3))</f>
        <v>6294</v>
      </c>
    </row>
    <row r="324" spans="1:27">
      <c r="A324" s="83" t="str">
        <f t="shared" si="35"/>
        <v>44612A-CBHblack-red</v>
      </c>
      <c r="B324" s="83" t="str">
        <f t="shared" si="36"/>
        <v>06-295-72</v>
      </c>
      <c r="C324" s="106" t="s">
        <v>1908</v>
      </c>
      <c r="D324" s="106" t="s">
        <v>1909</v>
      </c>
      <c r="E324" s="106" t="s">
        <v>788</v>
      </c>
      <c r="F324" s="107">
        <v>0</v>
      </c>
      <c r="G324" s="106" t="s">
        <v>1910</v>
      </c>
      <c r="H324" s="106" t="s">
        <v>302</v>
      </c>
      <c r="I324" s="106" t="s">
        <v>786</v>
      </c>
      <c r="J324" s="106" t="s">
        <v>356</v>
      </c>
      <c r="K324" s="106" t="s">
        <v>382</v>
      </c>
      <c r="L324" s="106" t="s">
        <v>884</v>
      </c>
      <c r="M324" s="106" t="s">
        <v>388</v>
      </c>
      <c r="N324" s="106" t="s">
        <v>43</v>
      </c>
      <c r="O324" s="106" t="s">
        <v>386</v>
      </c>
      <c r="P324" s="106" t="s">
        <v>866</v>
      </c>
      <c r="Q324" s="106" t="s">
        <v>1638</v>
      </c>
      <c r="R324" s="106" t="s">
        <v>53</v>
      </c>
      <c r="S324" s="83" t="str">
        <f t="shared" si="37"/>
        <v>44612A-CBH</v>
      </c>
      <c r="T324" s="83" t="str">
        <f t="shared" si="38"/>
        <v>Chicago Blackhawks Cross Fade NHL</v>
      </c>
      <c r="Y324" s="60">
        <f t="shared" si="39"/>
        <v>6</v>
      </c>
      <c r="Z324" s="49">
        <f t="shared" si="40"/>
        <v>295</v>
      </c>
      <c r="AA324" s="60">
        <f t="shared" si="41"/>
        <v>6295</v>
      </c>
    </row>
    <row r="325" spans="1:27">
      <c r="A325" s="83" t="str">
        <f t="shared" si="35"/>
        <v>44612A-NYRroyal-red</v>
      </c>
      <c r="B325" s="83" t="str">
        <f t="shared" si="36"/>
        <v>06-296-21</v>
      </c>
      <c r="C325" s="106" t="s">
        <v>1911</v>
      </c>
      <c r="D325" s="106" t="s">
        <v>1912</v>
      </c>
      <c r="E325" s="106" t="s">
        <v>788</v>
      </c>
      <c r="F325" s="107">
        <v>0</v>
      </c>
      <c r="G325" s="106" t="s">
        <v>1913</v>
      </c>
      <c r="H325" s="106" t="s">
        <v>252</v>
      </c>
      <c r="I325" s="106" t="s">
        <v>786</v>
      </c>
      <c r="J325" s="106" t="s">
        <v>356</v>
      </c>
      <c r="K325" s="106" t="s">
        <v>382</v>
      </c>
      <c r="L325" s="106" t="s">
        <v>884</v>
      </c>
      <c r="M325" s="106" t="s">
        <v>388</v>
      </c>
      <c r="N325" s="106" t="s">
        <v>43</v>
      </c>
      <c r="O325" s="106" t="s">
        <v>386</v>
      </c>
      <c r="P325" s="106" t="s">
        <v>866</v>
      </c>
      <c r="Q325" s="106" t="s">
        <v>1483</v>
      </c>
      <c r="R325" s="106" t="s">
        <v>71</v>
      </c>
      <c r="S325" s="83" t="str">
        <f t="shared" si="37"/>
        <v>44612A-NYR</v>
      </c>
      <c r="T325" s="83" t="str">
        <f t="shared" si="38"/>
        <v>New York Rangers Cross Fade NHL</v>
      </c>
      <c r="Y325" s="60">
        <f t="shared" si="39"/>
        <v>6</v>
      </c>
      <c r="Z325" s="49">
        <f t="shared" si="40"/>
        <v>296</v>
      </c>
      <c r="AA325" s="60">
        <f t="shared" si="41"/>
        <v>6296</v>
      </c>
    </row>
    <row r="326" spans="1:27">
      <c r="A326" s="83" t="str">
        <f t="shared" si="35"/>
        <v>44700A-TXivnv</v>
      </c>
      <c r="B326" s="83" t="str">
        <f t="shared" si="36"/>
        <v>06-297-60</v>
      </c>
      <c r="C326" s="106" t="s">
        <v>1914</v>
      </c>
      <c r="D326" s="106" t="s">
        <v>1915</v>
      </c>
      <c r="E326" s="106" t="s">
        <v>788</v>
      </c>
      <c r="F326" s="107">
        <v>0</v>
      </c>
      <c r="G326" s="106" t="s">
        <v>1916</v>
      </c>
      <c r="H326" s="106" t="s">
        <v>695</v>
      </c>
      <c r="I326" s="106" t="s">
        <v>786</v>
      </c>
      <c r="J326" s="106" t="s">
        <v>327</v>
      </c>
      <c r="K326" s="106" t="s">
        <v>382</v>
      </c>
      <c r="L326" s="106" t="s">
        <v>880</v>
      </c>
      <c r="M326" s="106" t="s">
        <v>388</v>
      </c>
      <c r="N326" s="106" t="s">
        <v>43</v>
      </c>
      <c r="O326" s="106" t="s">
        <v>541</v>
      </c>
      <c r="P326" s="106" t="s">
        <v>866</v>
      </c>
      <c r="Q326" s="106" t="s">
        <v>1917</v>
      </c>
      <c r="R326" s="106" t="s">
        <v>63</v>
      </c>
      <c r="S326" s="83" t="str">
        <f t="shared" si="37"/>
        <v>44700A-TX</v>
      </c>
      <c r="T326" s="83" t="str">
        <f t="shared" si="38"/>
        <v>Texas Micro Icon</v>
      </c>
      <c r="Y326" s="60">
        <f t="shared" si="39"/>
        <v>6</v>
      </c>
      <c r="Z326" s="49">
        <f t="shared" si="40"/>
        <v>297</v>
      </c>
      <c r="AA326" s="60">
        <f t="shared" si="41"/>
        <v>6297</v>
      </c>
    </row>
    <row r="327" spans="1:27">
      <c r="A327" s="83" t="str">
        <f t="shared" si="35"/>
        <v>44732A-VGKbkgld</v>
      </c>
      <c r="B327" s="83" t="str">
        <f t="shared" si="36"/>
        <v>06-298-70</v>
      </c>
      <c r="C327" s="106" t="s">
        <v>1918</v>
      </c>
      <c r="D327" s="106" t="s">
        <v>1919</v>
      </c>
      <c r="E327" s="106" t="s">
        <v>788</v>
      </c>
      <c r="F327" s="107">
        <v>0</v>
      </c>
      <c r="G327" s="106" t="s">
        <v>1920</v>
      </c>
      <c r="H327" s="106" t="s">
        <v>300</v>
      </c>
      <c r="I327" s="106" t="s">
        <v>1034</v>
      </c>
      <c r="J327" s="106" t="s">
        <v>356</v>
      </c>
      <c r="K327" s="106" t="s">
        <v>382</v>
      </c>
      <c r="L327" s="106" t="s">
        <v>884</v>
      </c>
      <c r="M327" s="106" t="s">
        <v>388</v>
      </c>
      <c r="N327" s="106" t="s">
        <v>43</v>
      </c>
      <c r="O327" s="106" t="s">
        <v>386</v>
      </c>
      <c r="P327" s="106" t="s">
        <v>866</v>
      </c>
      <c r="Q327" s="106" t="s">
        <v>1653</v>
      </c>
      <c r="R327" s="106" t="s">
        <v>53</v>
      </c>
      <c r="S327" s="83" t="str">
        <f t="shared" si="37"/>
        <v>44732A-VGK</v>
      </c>
      <c r="T327" s="83" t="str">
        <f t="shared" si="38"/>
        <v>Vegas Golden Knights Roughage NHL</v>
      </c>
      <c r="Y327" s="60">
        <f t="shared" si="39"/>
        <v>6</v>
      </c>
      <c r="Z327" s="49">
        <f t="shared" si="40"/>
        <v>298</v>
      </c>
      <c r="AA327" s="60">
        <f t="shared" si="41"/>
        <v>6298</v>
      </c>
    </row>
    <row r="328" spans="1:27">
      <c r="A328" s="83" t="str">
        <f t="shared" si="35"/>
        <v>44740A-CPLnavy</v>
      </c>
      <c r="B328" s="83" t="str">
        <f t="shared" si="36"/>
        <v>06-299-16</v>
      </c>
      <c r="C328" s="106" t="s">
        <v>1921</v>
      </c>
      <c r="D328" s="106" t="s">
        <v>1922</v>
      </c>
      <c r="E328" s="106" t="s">
        <v>788</v>
      </c>
      <c r="F328" s="107">
        <v>0</v>
      </c>
      <c r="G328" s="106" t="s">
        <v>1923</v>
      </c>
      <c r="H328" s="106" t="s">
        <v>55</v>
      </c>
      <c r="I328" s="106" t="s">
        <v>786</v>
      </c>
      <c r="J328" s="106" t="s">
        <v>327</v>
      </c>
      <c r="K328" s="106" t="s">
        <v>382</v>
      </c>
      <c r="L328" s="106" t="s">
        <v>884</v>
      </c>
      <c r="M328" s="106" t="s">
        <v>388</v>
      </c>
      <c r="N328" s="106" t="s">
        <v>43</v>
      </c>
      <c r="O328" s="106" t="s">
        <v>541</v>
      </c>
      <c r="P328" s="106" t="s">
        <v>866</v>
      </c>
      <c r="Q328" s="106" t="s">
        <v>818</v>
      </c>
      <c r="R328" s="106" t="s">
        <v>71</v>
      </c>
      <c r="S328" s="83" t="str">
        <f t="shared" si="37"/>
        <v>44740A-CPL</v>
      </c>
      <c r="T328" s="83" t="str">
        <f t="shared" si="38"/>
        <v>Cerveceria Polar Archive CABL</v>
      </c>
      <c r="Y328" s="60">
        <f t="shared" si="39"/>
        <v>6</v>
      </c>
      <c r="Z328" s="49">
        <f t="shared" si="40"/>
        <v>299</v>
      </c>
      <c r="AA328" s="60">
        <f t="shared" si="41"/>
        <v>6299</v>
      </c>
    </row>
    <row r="329" spans="1:27">
      <c r="A329" s="83" t="str">
        <f t="shared" si="35"/>
        <v>44740A-DUEivnv</v>
      </c>
      <c r="B329" s="83" t="str">
        <f t="shared" si="36"/>
        <v>06-300-70</v>
      </c>
      <c r="C329" s="106" t="s">
        <v>1924</v>
      </c>
      <c r="D329" s="106" t="s">
        <v>1925</v>
      </c>
      <c r="E329" s="106" t="s">
        <v>788</v>
      </c>
      <c r="F329" s="107">
        <v>0</v>
      </c>
      <c r="G329" s="106" t="s">
        <v>1926</v>
      </c>
      <c r="H329" s="106" t="s">
        <v>117</v>
      </c>
      <c r="I329" s="106" t="s">
        <v>786</v>
      </c>
      <c r="J329" s="106" t="s">
        <v>327</v>
      </c>
      <c r="K329" s="106" t="s">
        <v>382</v>
      </c>
      <c r="L329" s="106" t="s">
        <v>884</v>
      </c>
      <c r="M329" s="106" t="s">
        <v>388</v>
      </c>
      <c r="N329" s="106" t="s">
        <v>43</v>
      </c>
      <c r="O329" s="106" t="s">
        <v>541</v>
      </c>
      <c r="P329" s="106" t="s">
        <v>866</v>
      </c>
      <c r="Q329" s="106" t="s">
        <v>1917</v>
      </c>
      <c r="R329" s="106" t="s">
        <v>57</v>
      </c>
      <c r="S329" s="83" t="str">
        <f t="shared" si="37"/>
        <v>44740A-DUE</v>
      </c>
      <c r="T329" s="83" t="str">
        <f t="shared" si="38"/>
        <v>Duluth Eskimos Archive NFL</v>
      </c>
      <c r="Y329" s="60">
        <f t="shared" si="39"/>
        <v>6</v>
      </c>
      <c r="Z329" s="49">
        <f t="shared" si="40"/>
        <v>300</v>
      </c>
      <c r="AA329" s="60">
        <f t="shared" si="41"/>
        <v>6300</v>
      </c>
    </row>
    <row r="330" spans="1:27">
      <c r="A330" s="83" t="str">
        <f t="shared" si="35"/>
        <v>44740A-HTIblack</v>
      </c>
      <c r="B330" s="83" t="str">
        <f t="shared" si="36"/>
        <v>06-301-09</v>
      </c>
      <c r="C330" s="106" t="s">
        <v>1927</v>
      </c>
      <c r="D330" s="106" t="s">
        <v>1928</v>
      </c>
      <c r="E330" s="106" t="s">
        <v>788</v>
      </c>
      <c r="F330" s="107">
        <v>0</v>
      </c>
      <c r="G330" s="106" t="s">
        <v>1929</v>
      </c>
      <c r="H330" s="106" t="s">
        <v>53</v>
      </c>
      <c r="I330" s="106" t="s">
        <v>786</v>
      </c>
      <c r="J330" s="106" t="s">
        <v>327</v>
      </c>
      <c r="K330" s="106" t="s">
        <v>382</v>
      </c>
      <c r="L330" s="106" t="s">
        <v>884</v>
      </c>
      <c r="M330" s="106" t="s">
        <v>388</v>
      </c>
      <c r="N330" s="106" t="s">
        <v>43</v>
      </c>
      <c r="O330" s="106" t="s">
        <v>541</v>
      </c>
      <c r="P330" s="106" t="s">
        <v>866</v>
      </c>
      <c r="Q330" s="106" t="s">
        <v>819</v>
      </c>
      <c r="R330" s="106" t="s">
        <v>53</v>
      </c>
      <c r="S330" s="83" t="str">
        <f t="shared" si="37"/>
        <v>44740A-HTI</v>
      </c>
      <c r="T330" s="83" t="str">
        <f t="shared" si="38"/>
        <v>Hanshin Tigers Archive NPL</v>
      </c>
      <c r="Y330" s="60">
        <f t="shared" si="39"/>
        <v>6</v>
      </c>
      <c r="Z330" s="49">
        <f t="shared" si="40"/>
        <v>301</v>
      </c>
      <c r="AA330" s="60">
        <f t="shared" si="41"/>
        <v>6301</v>
      </c>
    </row>
    <row r="331" spans="1:27">
      <c r="A331" s="83" t="str">
        <f t="shared" si="35"/>
        <v>44740A-LABLblack</v>
      </c>
      <c r="B331" s="83" t="str">
        <f t="shared" si="36"/>
        <v>06-302-09</v>
      </c>
      <c r="C331" s="106" t="s">
        <v>1930</v>
      </c>
      <c r="D331" s="106" t="s">
        <v>1931</v>
      </c>
      <c r="E331" s="106" t="s">
        <v>788</v>
      </c>
      <c r="F331" s="107">
        <v>0</v>
      </c>
      <c r="G331" s="106" t="s">
        <v>1932</v>
      </c>
      <c r="H331" s="106" t="s">
        <v>53</v>
      </c>
      <c r="I331" s="106" t="s">
        <v>786</v>
      </c>
      <c r="J331" s="106" t="s">
        <v>327</v>
      </c>
      <c r="K331" s="106" t="s">
        <v>382</v>
      </c>
      <c r="L331" s="106" t="s">
        <v>884</v>
      </c>
      <c r="M331" s="106" t="s">
        <v>388</v>
      </c>
      <c r="N331" s="106" t="s">
        <v>43</v>
      </c>
      <c r="O331" s="106" t="s">
        <v>541</v>
      </c>
      <c r="P331" s="106" t="s">
        <v>866</v>
      </c>
      <c r="Q331" s="106" t="s">
        <v>819</v>
      </c>
      <c r="R331" s="106" t="s">
        <v>53</v>
      </c>
      <c r="S331" s="83" t="str">
        <f t="shared" si="37"/>
        <v>44740A-LABL</v>
      </c>
      <c r="T331" s="83" t="str">
        <f t="shared" si="38"/>
        <v>Los Angeles Blades Archive NHL</v>
      </c>
      <c r="Y331" s="60">
        <f t="shared" si="39"/>
        <v>6</v>
      </c>
      <c r="Z331" s="49">
        <f t="shared" si="40"/>
        <v>302</v>
      </c>
      <c r="AA331" s="60">
        <f t="shared" si="41"/>
        <v>6302</v>
      </c>
    </row>
    <row r="332" spans="1:27">
      <c r="A332" s="83" t="str">
        <f t="shared" si="35"/>
        <v>44740A-LOSnavy</v>
      </c>
      <c r="B332" s="83" t="str">
        <f t="shared" si="36"/>
        <v>06-303-16</v>
      </c>
      <c r="C332" s="106" t="s">
        <v>1933</v>
      </c>
      <c r="D332" s="106" t="s">
        <v>1934</v>
      </c>
      <c r="E332" s="106" t="s">
        <v>788</v>
      </c>
      <c r="F332" s="107">
        <v>0</v>
      </c>
      <c r="G332" s="106" t="s">
        <v>1935</v>
      </c>
      <c r="H332" s="106" t="s">
        <v>55</v>
      </c>
      <c r="I332" s="106" t="s">
        <v>786</v>
      </c>
      <c r="J332" s="106" t="s">
        <v>327</v>
      </c>
      <c r="K332" s="106" t="s">
        <v>382</v>
      </c>
      <c r="L332" s="106" t="s">
        <v>884</v>
      </c>
      <c r="M332" s="106" t="s">
        <v>388</v>
      </c>
      <c r="N332" s="106" t="s">
        <v>43</v>
      </c>
      <c r="O332" s="106" t="s">
        <v>541</v>
      </c>
      <c r="P332" s="106" t="s">
        <v>866</v>
      </c>
      <c r="Q332" s="106" t="s">
        <v>818</v>
      </c>
      <c r="R332" s="106" t="s">
        <v>71</v>
      </c>
      <c r="S332" s="83" t="str">
        <f t="shared" si="37"/>
        <v>44740A-LOS</v>
      </c>
      <c r="T332" s="83" t="str">
        <f t="shared" si="38"/>
        <v>Los Angeles Angels Archive MILB</v>
      </c>
      <c r="Y332" s="60">
        <f t="shared" si="39"/>
        <v>6</v>
      </c>
      <c r="Z332" s="49">
        <f t="shared" si="40"/>
        <v>303</v>
      </c>
      <c r="AA332" s="60">
        <f t="shared" si="41"/>
        <v>6303</v>
      </c>
    </row>
    <row r="333" spans="1:27">
      <c r="A333" s="83" t="str">
        <f t="shared" si="35"/>
        <v>44740A-STEstnv</v>
      </c>
      <c r="B333" s="83" t="str">
        <f t="shared" si="36"/>
        <v>06-304-39</v>
      </c>
      <c r="C333" s="106" t="s">
        <v>1936</v>
      </c>
      <c r="D333" s="106" t="s">
        <v>1937</v>
      </c>
      <c r="E333" s="106" t="s">
        <v>788</v>
      </c>
      <c r="F333" s="107">
        <v>0</v>
      </c>
      <c r="G333" s="106" t="s">
        <v>1938</v>
      </c>
      <c r="H333" s="106" t="s">
        <v>695</v>
      </c>
      <c r="I333" s="106" t="s">
        <v>786</v>
      </c>
      <c r="J333" s="106" t="s">
        <v>327</v>
      </c>
      <c r="K333" s="106" t="s">
        <v>382</v>
      </c>
      <c r="L333" s="106" t="s">
        <v>884</v>
      </c>
      <c r="M333" s="106" t="s">
        <v>388</v>
      </c>
      <c r="N333" s="106" t="s">
        <v>43</v>
      </c>
      <c r="O333" s="106" t="s">
        <v>541</v>
      </c>
      <c r="P333" s="106" t="s">
        <v>866</v>
      </c>
      <c r="Q333" s="106" t="s">
        <v>1108</v>
      </c>
      <c r="R333" s="106" t="s">
        <v>63</v>
      </c>
      <c r="S333" s="83" t="str">
        <f t="shared" si="37"/>
        <v>44740A-STE</v>
      </c>
      <c r="T333" s="83" t="str">
        <f t="shared" si="38"/>
        <v>Saint Louis Terriers Archive MILB</v>
      </c>
      <c r="Y333" s="60">
        <f t="shared" si="39"/>
        <v>6</v>
      </c>
      <c r="Z333" s="49">
        <f t="shared" si="40"/>
        <v>304</v>
      </c>
      <c r="AA333" s="60">
        <f t="shared" si="41"/>
        <v>6304</v>
      </c>
    </row>
    <row r="334" spans="1:27">
      <c r="A334" s="83" t="str">
        <f t="shared" si="35"/>
        <v>44740A-YOGblack</v>
      </c>
      <c r="B334" s="83" t="str">
        <f t="shared" si="36"/>
        <v>06-305-09</v>
      </c>
      <c r="C334" s="106" t="s">
        <v>1939</v>
      </c>
      <c r="D334" s="106" t="s">
        <v>1940</v>
      </c>
      <c r="E334" s="106" t="s">
        <v>788</v>
      </c>
      <c r="F334" s="107">
        <v>0</v>
      </c>
      <c r="G334" s="106" t="s">
        <v>1941</v>
      </c>
      <c r="H334" s="106" t="s">
        <v>53</v>
      </c>
      <c r="I334" s="106" t="s">
        <v>786</v>
      </c>
      <c r="J334" s="106" t="s">
        <v>327</v>
      </c>
      <c r="K334" s="106" t="s">
        <v>382</v>
      </c>
      <c r="L334" s="106" t="s">
        <v>884</v>
      </c>
      <c r="M334" s="106" t="s">
        <v>388</v>
      </c>
      <c r="N334" s="106" t="s">
        <v>43</v>
      </c>
      <c r="O334" s="106" t="s">
        <v>541</v>
      </c>
      <c r="P334" s="106" t="s">
        <v>866</v>
      </c>
      <c r="Q334" s="106" t="s">
        <v>819</v>
      </c>
      <c r="R334" s="106" t="s">
        <v>53</v>
      </c>
      <c r="S334" s="83" t="str">
        <f t="shared" si="37"/>
        <v>44740A-YOG</v>
      </c>
      <c r="T334" s="83" t="str">
        <f t="shared" si="38"/>
        <v>Yomiuri Giants Archive NPL</v>
      </c>
      <c r="Y334" s="60">
        <f t="shared" si="39"/>
        <v>6</v>
      </c>
      <c r="Z334" s="49">
        <f t="shared" si="40"/>
        <v>305</v>
      </c>
      <c r="AA334" s="60">
        <f t="shared" si="41"/>
        <v>6305</v>
      </c>
    </row>
    <row r="335" spans="1:27">
      <c r="A335" s="83" t="str">
        <f t="shared" si="35"/>
        <v>44747A-BBBbkrd</v>
      </c>
      <c r="B335" s="83" t="str">
        <f t="shared" si="36"/>
        <v>06-306-72</v>
      </c>
      <c r="C335" s="106" t="s">
        <v>1942</v>
      </c>
      <c r="D335" s="106" t="s">
        <v>1943</v>
      </c>
      <c r="E335" s="106" t="s">
        <v>788</v>
      </c>
      <c r="F335" s="107">
        <v>0</v>
      </c>
      <c r="G335" s="106" t="s">
        <v>1944</v>
      </c>
      <c r="H335" s="106" t="s">
        <v>302</v>
      </c>
      <c r="I335" s="106" t="s">
        <v>786</v>
      </c>
      <c r="J335" s="106" t="s">
        <v>327</v>
      </c>
      <c r="K335" s="106" t="s">
        <v>382</v>
      </c>
      <c r="L335" s="106" t="s">
        <v>884</v>
      </c>
      <c r="M335" s="106" t="s">
        <v>388</v>
      </c>
      <c r="N335" s="106" t="s">
        <v>43</v>
      </c>
      <c r="O335" s="106" t="s">
        <v>541</v>
      </c>
      <c r="P335" s="106" t="s">
        <v>866</v>
      </c>
      <c r="Q335" s="106" t="s">
        <v>1945</v>
      </c>
      <c r="R335" s="106" t="s">
        <v>53</v>
      </c>
      <c r="S335" s="83" t="str">
        <f t="shared" si="37"/>
        <v>44747A-BBB</v>
      </c>
      <c r="T335" s="83" t="str">
        <f t="shared" si="38"/>
        <v>Birmingham Black Barons Archive NL</v>
      </c>
      <c r="Y335" s="60">
        <f t="shared" si="39"/>
        <v>6</v>
      </c>
      <c r="Z335" s="49">
        <f t="shared" si="40"/>
        <v>306</v>
      </c>
      <c r="AA335" s="60">
        <f t="shared" si="41"/>
        <v>6306</v>
      </c>
    </row>
    <row r="336" spans="1:27">
      <c r="A336" s="83" t="str">
        <f t="shared" si="35"/>
        <v>44747A-DECgrbk</v>
      </c>
      <c r="B336" s="83" t="str">
        <f t="shared" si="36"/>
        <v>06-307-10</v>
      </c>
      <c r="C336" s="106" t="s">
        <v>1946</v>
      </c>
      <c r="D336" s="106" t="s">
        <v>1947</v>
      </c>
      <c r="E336" s="106" t="s">
        <v>788</v>
      </c>
      <c r="F336" s="107">
        <v>0</v>
      </c>
      <c r="G336" s="106" t="s">
        <v>1948</v>
      </c>
      <c r="H336" s="106" t="s">
        <v>246</v>
      </c>
      <c r="I336" s="106" t="s">
        <v>786</v>
      </c>
      <c r="J336" s="106" t="s">
        <v>327</v>
      </c>
      <c r="K336" s="106" t="s">
        <v>382</v>
      </c>
      <c r="L336" s="106" t="s">
        <v>884</v>
      </c>
      <c r="M336" s="106" t="s">
        <v>388</v>
      </c>
      <c r="N336" s="106" t="s">
        <v>43</v>
      </c>
      <c r="O336" s="106" t="s">
        <v>541</v>
      </c>
      <c r="P336" s="106" t="s">
        <v>866</v>
      </c>
      <c r="Q336" s="106" t="s">
        <v>1949</v>
      </c>
      <c r="R336" s="106" t="s">
        <v>83</v>
      </c>
      <c r="S336" s="83" t="str">
        <f t="shared" si="37"/>
        <v>44747A-DEC</v>
      </c>
      <c r="T336" s="83" t="str">
        <f t="shared" si="38"/>
        <v>Detroit Cubs Archive NL</v>
      </c>
      <c r="Y336" s="60">
        <f t="shared" si="39"/>
        <v>6</v>
      </c>
      <c r="Z336" s="49">
        <f t="shared" si="40"/>
        <v>307</v>
      </c>
      <c r="AA336" s="60">
        <f t="shared" si="41"/>
        <v>6307</v>
      </c>
    </row>
    <row r="337" spans="1:27">
      <c r="A337" s="83" t="str">
        <f t="shared" si="35"/>
        <v>44747A-DUBroyal</v>
      </c>
      <c r="B337" s="83" t="str">
        <f t="shared" si="36"/>
        <v>06-308-06</v>
      </c>
      <c r="C337" s="106" t="s">
        <v>1950</v>
      </c>
      <c r="D337" s="106" t="s">
        <v>1951</v>
      </c>
      <c r="E337" s="106" t="s">
        <v>788</v>
      </c>
      <c r="F337" s="107">
        <v>0</v>
      </c>
      <c r="G337" s="106" t="s">
        <v>1952</v>
      </c>
      <c r="H337" s="106" t="s">
        <v>71</v>
      </c>
      <c r="I337" s="106" t="s">
        <v>786</v>
      </c>
      <c r="J337" s="106" t="s">
        <v>327</v>
      </c>
      <c r="K337" s="106" t="s">
        <v>382</v>
      </c>
      <c r="L337" s="106" t="s">
        <v>884</v>
      </c>
      <c r="M337" s="106" t="s">
        <v>388</v>
      </c>
      <c r="N337" s="106" t="s">
        <v>43</v>
      </c>
      <c r="O337" s="106" t="s">
        <v>541</v>
      </c>
      <c r="P337" s="106" t="s">
        <v>866</v>
      </c>
      <c r="Q337" s="106" t="s">
        <v>1576</v>
      </c>
      <c r="R337" s="106" t="s">
        <v>71</v>
      </c>
      <c r="S337" s="83" t="str">
        <f t="shared" si="37"/>
        <v>44747A-DUB</v>
      </c>
      <c r="T337" s="83" t="str">
        <f t="shared" si="38"/>
        <v>Durham Bulls Archive MILB</v>
      </c>
      <c r="Y337" s="60">
        <f t="shared" si="39"/>
        <v>6</v>
      </c>
      <c r="Z337" s="49">
        <f t="shared" si="40"/>
        <v>308</v>
      </c>
      <c r="AA337" s="60">
        <f t="shared" si="41"/>
        <v>6308</v>
      </c>
    </row>
    <row r="338" spans="1:27">
      <c r="A338" s="83" t="str">
        <f t="shared" si="35"/>
        <v>44747A-HOSgrey-navy</v>
      </c>
      <c r="B338" s="83" t="str">
        <f t="shared" si="36"/>
        <v>06-309-55</v>
      </c>
      <c r="C338" s="106" t="s">
        <v>1953</v>
      </c>
      <c r="D338" s="106" t="s">
        <v>1954</v>
      </c>
      <c r="E338" s="106" t="s">
        <v>788</v>
      </c>
      <c r="F338" s="107">
        <v>0</v>
      </c>
      <c r="G338" s="106" t="s">
        <v>1955</v>
      </c>
      <c r="H338" s="106" t="s">
        <v>696</v>
      </c>
      <c r="I338" s="106" t="s">
        <v>786</v>
      </c>
      <c r="J338" s="106" t="s">
        <v>327</v>
      </c>
      <c r="K338" s="106" t="s">
        <v>382</v>
      </c>
      <c r="L338" s="106" t="s">
        <v>884</v>
      </c>
      <c r="M338" s="106" t="s">
        <v>388</v>
      </c>
      <c r="N338" s="106" t="s">
        <v>43</v>
      </c>
      <c r="O338" s="106" t="s">
        <v>541</v>
      </c>
      <c r="P338" s="106" t="s">
        <v>866</v>
      </c>
      <c r="Q338" s="106" t="s">
        <v>1956</v>
      </c>
      <c r="R338" s="106" t="s">
        <v>83</v>
      </c>
      <c r="S338" s="83" t="str">
        <f t="shared" si="37"/>
        <v>44747A-HOS</v>
      </c>
      <c r="T338" s="83" t="str">
        <f t="shared" si="38"/>
        <v>Hollywood Stars Archive MILB</v>
      </c>
      <c r="Y338" s="60">
        <f t="shared" si="39"/>
        <v>6</v>
      </c>
      <c r="Z338" s="49">
        <f t="shared" si="40"/>
        <v>309</v>
      </c>
      <c r="AA338" s="60">
        <f t="shared" si="41"/>
        <v>6309</v>
      </c>
    </row>
    <row r="339" spans="1:27">
      <c r="A339" s="83" t="str">
        <f t="shared" si="35"/>
        <v>44747A-KCANdark red</v>
      </c>
      <c r="B339" s="83" t="str">
        <f t="shared" si="36"/>
        <v>06-310-18</v>
      </c>
      <c r="C339" s="106" t="s">
        <v>1957</v>
      </c>
      <c r="D339" s="106" t="s">
        <v>1958</v>
      </c>
      <c r="E339" s="106" t="s">
        <v>788</v>
      </c>
      <c r="F339" s="107">
        <v>0</v>
      </c>
      <c r="G339" s="106" t="s">
        <v>1959</v>
      </c>
      <c r="H339" s="106" t="s">
        <v>274</v>
      </c>
      <c r="I339" s="106" t="s">
        <v>786</v>
      </c>
      <c r="J339" s="106" t="s">
        <v>327</v>
      </c>
      <c r="K339" s="106" t="s">
        <v>382</v>
      </c>
      <c r="L339" s="106" t="s">
        <v>884</v>
      </c>
      <c r="M339" s="106" t="s">
        <v>388</v>
      </c>
      <c r="N339" s="106" t="s">
        <v>43</v>
      </c>
      <c r="O339" s="106" t="s">
        <v>541</v>
      </c>
      <c r="P339" s="106" t="s">
        <v>866</v>
      </c>
      <c r="Q339" s="106" t="s">
        <v>1536</v>
      </c>
      <c r="R339" s="106" t="s">
        <v>78</v>
      </c>
      <c r="S339" s="83" t="str">
        <f t="shared" si="37"/>
        <v>44747A-KCAN</v>
      </c>
      <c r="T339" s="83" t="str">
        <f t="shared" si="38"/>
        <v>Kansas City All Nations Archive IBL</v>
      </c>
      <c r="Y339" s="60">
        <f t="shared" si="39"/>
        <v>6</v>
      </c>
      <c r="Z339" s="49">
        <f t="shared" si="40"/>
        <v>310</v>
      </c>
      <c r="AA339" s="60">
        <f t="shared" si="41"/>
        <v>6310</v>
      </c>
    </row>
    <row r="340" spans="1:27">
      <c r="A340" s="83" t="str">
        <f t="shared" si="35"/>
        <v>44747A-MILBnavy</v>
      </c>
      <c r="B340" s="83" t="str">
        <f t="shared" si="36"/>
        <v>06-311-16</v>
      </c>
      <c r="C340" s="106" t="s">
        <v>1960</v>
      </c>
      <c r="D340" s="106" t="s">
        <v>1961</v>
      </c>
      <c r="E340" s="106" t="s">
        <v>788</v>
      </c>
      <c r="F340" s="107">
        <v>0</v>
      </c>
      <c r="G340" s="106" t="s">
        <v>1962</v>
      </c>
      <c r="H340" s="106" t="s">
        <v>55</v>
      </c>
      <c r="I340" s="106" t="s">
        <v>786</v>
      </c>
      <c r="J340" s="106" t="s">
        <v>327</v>
      </c>
      <c r="K340" s="106" t="s">
        <v>382</v>
      </c>
      <c r="L340" s="106" t="s">
        <v>884</v>
      </c>
      <c r="M340" s="106" t="s">
        <v>388</v>
      </c>
      <c r="N340" s="106" t="s">
        <v>43</v>
      </c>
      <c r="O340" s="106" t="s">
        <v>541</v>
      </c>
      <c r="P340" s="106" t="s">
        <v>866</v>
      </c>
      <c r="Q340" s="106" t="s">
        <v>818</v>
      </c>
      <c r="R340" s="106" t="s">
        <v>71</v>
      </c>
      <c r="S340" s="83" t="str">
        <f t="shared" si="37"/>
        <v>44747A-MILB</v>
      </c>
      <c r="T340" s="83" t="str">
        <f t="shared" si="38"/>
        <v>Minor League Baseball Archive MILB</v>
      </c>
      <c r="Y340" s="60">
        <f t="shared" si="39"/>
        <v>6</v>
      </c>
      <c r="Z340" s="49">
        <f t="shared" si="40"/>
        <v>311</v>
      </c>
      <c r="AA340" s="60">
        <f t="shared" si="41"/>
        <v>6311</v>
      </c>
    </row>
    <row r="341" spans="1:27">
      <c r="A341" s="83" t="str">
        <f t="shared" si="35"/>
        <v>44747A-MOUnvor</v>
      </c>
      <c r="B341" s="83" t="str">
        <f t="shared" si="36"/>
        <v>06-312-91</v>
      </c>
      <c r="C341" s="106" t="s">
        <v>1963</v>
      </c>
      <c r="D341" s="106" t="s">
        <v>1964</v>
      </c>
      <c r="E341" s="106" t="s">
        <v>788</v>
      </c>
      <c r="F341" s="107">
        <v>0</v>
      </c>
      <c r="G341" s="106" t="s">
        <v>1965</v>
      </c>
      <c r="H341" s="106" t="s">
        <v>282</v>
      </c>
      <c r="I341" s="106" t="s">
        <v>786</v>
      </c>
      <c r="J341" s="106" t="s">
        <v>327</v>
      </c>
      <c r="K341" s="106" t="s">
        <v>382</v>
      </c>
      <c r="L341" s="106" t="s">
        <v>884</v>
      </c>
      <c r="M341" s="106" t="s">
        <v>388</v>
      </c>
      <c r="N341" s="106" t="s">
        <v>43</v>
      </c>
      <c r="O341" s="106" t="s">
        <v>541</v>
      </c>
      <c r="P341" s="106" t="s">
        <v>866</v>
      </c>
      <c r="Q341" s="106" t="s">
        <v>1100</v>
      </c>
      <c r="R341" s="106" t="s">
        <v>71</v>
      </c>
      <c r="S341" s="83" t="str">
        <f t="shared" si="37"/>
        <v>44747A-MOU</v>
      </c>
      <c r="T341" s="83" t="str">
        <f t="shared" si="38"/>
        <v>Moultrie Colt .22s Archive MILB</v>
      </c>
      <c r="Y341" s="60">
        <f t="shared" si="39"/>
        <v>6</v>
      </c>
      <c r="Z341" s="49">
        <f t="shared" si="40"/>
        <v>312</v>
      </c>
      <c r="AA341" s="60">
        <f t="shared" si="41"/>
        <v>6312</v>
      </c>
    </row>
    <row r="342" spans="1:27">
      <c r="A342" s="83" t="str">
        <f t="shared" si="35"/>
        <v>44747A-NBHOFblack</v>
      </c>
      <c r="B342" s="83" t="str">
        <f t="shared" si="36"/>
        <v>06-313-09</v>
      </c>
      <c r="C342" s="106" t="s">
        <v>1966</v>
      </c>
      <c r="D342" s="106" t="s">
        <v>1967</v>
      </c>
      <c r="E342" s="106" t="s">
        <v>788</v>
      </c>
      <c r="F342" s="107">
        <v>0</v>
      </c>
      <c r="G342" s="106" t="s">
        <v>1968</v>
      </c>
      <c r="H342" s="106" t="s">
        <v>53</v>
      </c>
      <c r="I342" s="106" t="s">
        <v>786</v>
      </c>
      <c r="J342" s="106" t="s">
        <v>327</v>
      </c>
      <c r="K342" s="106" t="s">
        <v>382</v>
      </c>
      <c r="L342" s="106" t="s">
        <v>884</v>
      </c>
      <c r="M342" s="106" t="s">
        <v>388</v>
      </c>
      <c r="N342" s="106" t="s">
        <v>43</v>
      </c>
      <c r="O342" s="106" t="s">
        <v>541</v>
      </c>
      <c r="P342" s="106" t="s">
        <v>866</v>
      </c>
      <c r="Q342" s="106" t="s">
        <v>819</v>
      </c>
      <c r="R342" s="106" t="s">
        <v>53</v>
      </c>
      <c r="S342" s="83" t="str">
        <f t="shared" si="37"/>
        <v>44747A-NBHOF</v>
      </c>
      <c r="T342" s="83" t="str">
        <f t="shared" si="38"/>
        <v>National Baseball Hall of Fame MILB</v>
      </c>
      <c r="Y342" s="60">
        <f t="shared" si="39"/>
        <v>6</v>
      </c>
      <c r="Z342" s="49">
        <f t="shared" si="40"/>
        <v>313</v>
      </c>
      <c r="AA342" s="60">
        <f t="shared" si="41"/>
        <v>6313</v>
      </c>
    </row>
    <row r="343" spans="1:27">
      <c r="A343" s="83" t="str">
        <f t="shared" si="35"/>
        <v>44747A-SAFnavy</v>
      </c>
      <c r="B343" s="83" t="str">
        <f t="shared" si="36"/>
        <v>06-314-16</v>
      </c>
      <c r="C343" s="106" t="s">
        <v>1969</v>
      </c>
      <c r="D343" s="106" t="s">
        <v>1970</v>
      </c>
      <c r="E343" s="106" t="s">
        <v>788</v>
      </c>
      <c r="F343" s="107">
        <v>0</v>
      </c>
      <c r="G343" s="106" t="s">
        <v>1971</v>
      </c>
      <c r="H343" s="106" t="s">
        <v>55</v>
      </c>
      <c r="I343" s="106" t="s">
        <v>786</v>
      </c>
      <c r="J343" s="106" t="s">
        <v>327</v>
      </c>
      <c r="K343" s="106" t="s">
        <v>382</v>
      </c>
      <c r="L343" s="106" t="s">
        <v>884</v>
      </c>
      <c r="M343" s="106" t="s">
        <v>388</v>
      </c>
      <c r="N343" s="106" t="s">
        <v>43</v>
      </c>
      <c r="O343" s="106" t="s">
        <v>541</v>
      </c>
      <c r="P343" s="106" t="s">
        <v>866</v>
      </c>
      <c r="Q343" s="106" t="s">
        <v>818</v>
      </c>
      <c r="R343" s="106" t="s">
        <v>71</v>
      </c>
      <c r="S343" s="83" t="str">
        <f t="shared" si="37"/>
        <v>44747A-SAF</v>
      </c>
      <c r="T343" s="83" t="str">
        <f t="shared" si="38"/>
        <v>San Francisco Seals Archive MILB</v>
      </c>
      <c r="Y343" s="60">
        <f t="shared" si="39"/>
        <v>6</v>
      </c>
      <c r="Z343" s="49">
        <f t="shared" si="40"/>
        <v>314</v>
      </c>
      <c r="AA343" s="60">
        <f t="shared" si="41"/>
        <v>6314</v>
      </c>
    </row>
    <row r="344" spans="1:27">
      <c r="A344" s="83" t="str">
        <f t="shared" si="35"/>
        <v>44747A-SERnavy</v>
      </c>
      <c r="B344" s="83" t="str">
        <f t="shared" si="36"/>
        <v>06-315-16</v>
      </c>
      <c r="C344" s="106" t="s">
        <v>1972</v>
      </c>
      <c r="D344" s="106" t="s">
        <v>1973</v>
      </c>
      <c r="E344" s="106" t="s">
        <v>788</v>
      </c>
      <c r="F344" s="107">
        <v>0</v>
      </c>
      <c r="G344" s="106" t="s">
        <v>1974</v>
      </c>
      <c r="H344" s="106" t="s">
        <v>55</v>
      </c>
      <c r="I344" s="106" t="s">
        <v>786</v>
      </c>
      <c r="J344" s="106" t="s">
        <v>327</v>
      </c>
      <c r="K344" s="106" t="s">
        <v>382</v>
      </c>
      <c r="L344" s="106" t="s">
        <v>884</v>
      </c>
      <c r="M344" s="106" t="s">
        <v>388</v>
      </c>
      <c r="N344" s="106" t="s">
        <v>43</v>
      </c>
      <c r="O344" s="106" t="s">
        <v>541</v>
      </c>
      <c r="P344" s="106" t="s">
        <v>866</v>
      </c>
      <c r="Q344" s="106" t="s">
        <v>818</v>
      </c>
      <c r="R344" s="106" t="s">
        <v>71</v>
      </c>
      <c r="S344" s="83" t="str">
        <f t="shared" si="37"/>
        <v>44747A-SER</v>
      </c>
      <c r="T344" s="83" t="str">
        <f t="shared" si="38"/>
        <v>Seattle Rainiers Archive MILB</v>
      </c>
      <c r="Y344" s="60">
        <f t="shared" si="39"/>
        <v>6</v>
      </c>
      <c r="Z344" s="49">
        <f t="shared" si="40"/>
        <v>315</v>
      </c>
      <c r="AA344" s="60">
        <f t="shared" si="41"/>
        <v>6315</v>
      </c>
    </row>
    <row r="345" spans="1:27">
      <c r="A345" s="83" t="str">
        <f t="shared" si="35"/>
        <v>44747A-SLSroyal</v>
      </c>
      <c r="B345" s="83" t="str">
        <f t="shared" si="36"/>
        <v>06-316-06</v>
      </c>
      <c r="C345" s="106" t="s">
        <v>1975</v>
      </c>
      <c r="D345" s="106" t="s">
        <v>1976</v>
      </c>
      <c r="E345" s="106" t="s">
        <v>788</v>
      </c>
      <c r="F345" s="107">
        <v>0</v>
      </c>
      <c r="G345" s="106" t="s">
        <v>1977</v>
      </c>
      <c r="H345" s="106" t="s">
        <v>71</v>
      </c>
      <c r="I345" s="106" t="s">
        <v>786</v>
      </c>
      <c r="J345" s="106" t="s">
        <v>327</v>
      </c>
      <c r="K345" s="106" t="s">
        <v>382</v>
      </c>
      <c r="L345" s="106" t="s">
        <v>884</v>
      </c>
      <c r="M345" s="106" t="s">
        <v>388</v>
      </c>
      <c r="N345" s="106" t="s">
        <v>43</v>
      </c>
      <c r="O345" s="106" t="s">
        <v>541</v>
      </c>
      <c r="P345" s="106" t="s">
        <v>866</v>
      </c>
      <c r="Q345" s="106" t="s">
        <v>1576</v>
      </c>
      <c r="R345" s="106" t="s">
        <v>71</v>
      </c>
      <c r="S345" s="83" t="str">
        <f t="shared" si="37"/>
        <v>44747A-SLS</v>
      </c>
      <c r="T345" s="83" t="str">
        <f t="shared" si="38"/>
        <v>Saint Louis Stars Archive NL</v>
      </c>
      <c r="Y345" s="60">
        <f t="shared" si="39"/>
        <v>6</v>
      </c>
      <c r="Z345" s="49">
        <f t="shared" si="40"/>
        <v>316</v>
      </c>
      <c r="AA345" s="60">
        <f t="shared" si="41"/>
        <v>6316</v>
      </c>
    </row>
    <row r="346" spans="1:27">
      <c r="A346" s="83" t="str">
        <f t="shared" si="35"/>
        <v>44747A-SPSroyal</v>
      </c>
      <c r="B346" s="83" t="str">
        <f t="shared" si="36"/>
        <v>06-317-06</v>
      </c>
      <c r="C346" s="106" t="s">
        <v>1978</v>
      </c>
      <c r="D346" s="106" t="s">
        <v>1979</v>
      </c>
      <c r="E346" s="106" t="s">
        <v>788</v>
      </c>
      <c r="F346" s="107">
        <v>0</v>
      </c>
      <c r="G346" s="106" t="s">
        <v>1980</v>
      </c>
      <c r="H346" s="106" t="s">
        <v>71</v>
      </c>
      <c r="I346" s="106" t="s">
        <v>786</v>
      </c>
      <c r="J346" s="106" t="s">
        <v>327</v>
      </c>
      <c r="K346" s="106" t="s">
        <v>382</v>
      </c>
      <c r="L346" s="106" t="s">
        <v>884</v>
      </c>
      <c r="M346" s="106" t="s">
        <v>388</v>
      </c>
      <c r="N346" s="106" t="s">
        <v>43</v>
      </c>
      <c r="O346" s="106" t="s">
        <v>541</v>
      </c>
      <c r="P346" s="106" t="s">
        <v>866</v>
      </c>
      <c r="Q346" s="106" t="s">
        <v>1576</v>
      </c>
      <c r="R346" s="106" t="s">
        <v>71</v>
      </c>
      <c r="S346" s="83" t="str">
        <f t="shared" si="37"/>
        <v>44747A-SPS</v>
      </c>
      <c r="T346" s="83" t="str">
        <f t="shared" si="38"/>
        <v>Saint Paul Saints Archive MILB</v>
      </c>
      <c r="Y346" s="60">
        <f t="shared" si="39"/>
        <v>6</v>
      </c>
      <c r="Z346" s="49">
        <f t="shared" si="40"/>
        <v>317</v>
      </c>
      <c r="AA346" s="60">
        <f t="shared" si="41"/>
        <v>6317</v>
      </c>
    </row>
    <row r="347" spans="1:27">
      <c r="A347" s="83" t="str">
        <f t="shared" si="35"/>
        <v>44890E-CALIrlwtrd</v>
      </c>
      <c r="B347" s="83" t="str">
        <f t="shared" si="36"/>
        <v>06-318-79</v>
      </c>
      <c r="C347" s="106" t="s">
        <v>1981</v>
      </c>
      <c r="D347" s="106" t="s">
        <v>1982</v>
      </c>
      <c r="E347" s="106" t="s">
        <v>788</v>
      </c>
      <c r="F347" s="107">
        <v>0</v>
      </c>
      <c r="G347" s="106" t="s">
        <v>1983</v>
      </c>
      <c r="H347" s="106" t="s">
        <v>697</v>
      </c>
      <c r="I347" s="106" t="s">
        <v>1984</v>
      </c>
      <c r="J347" s="106" t="s">
        <v>327</v>
      </c>
      <c r="K347" s="106" t="s">
        <v>382</v>
      </c>
      <c r="L347" s="106" t="s">
        <v>880</v>
      </c>
      <c r="M347" s="106" t="s">
        <v>388</v>
      </c>
      <c r="O347" s="106" t="s">
        <v>386</v>
      </c>
      <c r="P347" s="106" t="s">
        <v>866</v>
      </c>
      <c r="Q347" s="106" t="s">
        <v>1985</v>
      </c>
      <c r="R347" s="106" t="s">
        <v>71</v>
      </c>
      <c r="S347" s="83" t="str">
        <f t="shared" si="37"/>
        <v>44890E-CALI</v>
      </c>
      <c r="T347" s="83" t="str">
        <f t="shared" si="38"/>
        <v>California Valin</v>
      </c>
      <c r="Y347" s="60">
        <f t="shared" si="39"/>
        <v>6</v>
      </c>
      <c r="Z347" s="49">
        <f t="shared" si="40"/>
        <v>318</v>
      </c>
      <c r="AA347" s="60">
        <f t="shared" si="41"/>
        <v>6318</v>
      </c>
    </row>
    <row r="348" spans="1:27">
      <c r="A348" s="83" t="str">
        <f t="shared" si="35"/>
        <v>44900A-NASAlight blue</v>
      </c>
      <c r="B348" s="83" t="str">
        <f t="shared" si="36"/>
        <v>06-319-19</v>
      </c>
      <c r="C348" s="106" t="s">
        <v>1986</v>
      </c>
      <c r="D348" s="106" t="s">
        <v>1987</v>
      </c>
      <c r="E348" s="106" t="s">
        <v>788</v>
      </c>
      <c r="F348" s="107">
        <v>0</v>
      </c>
      <c r="G348" s="106" t="s">
        <v>1988</v>
      </c>
      <c r="H348" s="106" t="s">
        <v>91</v>
      </c>
      <c r="I348" s="106" t="s">
        <v>786</v>
      </c>
      <c r="J348" s="106" t="s">
        <v>327</v>
      </c>
      <c r="K348" s="106" t="s">
        <v>382</v>
      </c>
      <c r="L348" s="106" t="s">
        <v>873</v>
      </c>
      <c r="M348" s="106" t="s">
        <v>388</v>
      </c>
      <c r="N348" s="106" t="s">
        <v>43</v>
      </c>
      <c r="O348" s="106" t="s">
        <v>541</v>
      </c>
      <c r="P348" s="106" t="s">
        <v>866</v>
      </c>
      <c r="Q348" s="106" t="s">
        <v>830</v>
      </c>
      <c r="R348" s="106" t="s">
        <v>91</v>
      </c>
      <c r="S348" s="83" t="str">
        <f t="shared" si="37"/>
        <v>44900A-NASA</v>
      </c>
      <c r="T348" s="83" t="str">
        <f t="shared" si="38"/>
        <v>Space with NASA Replay</v>
      </c>
      <c r="Y348" s="60">
        <f t="shared" si="39"/>
        <v>6</v>
      </c>
      <c r="Z348" s="49">
        <f t="shared" si="40"/>
        <v>319</v>
      </c>
      <c r="AA348" s="60">
        <f t="shared" si="41"/>
        <v>6319</v>
      </c>
    </row>
    <row r="349" spans="1:27">
      <c r="A349" s="83" t="str">
        <f t="shared" si="35"/>
        <v>44900A-PUGblue</v>
      </c>
      <c r="B349" s="83" t="str">
        <f t="shared" si="36"/>
        <v>06-320-06</v>
      </c>
      <c r="C349" s="106" t="s">
        <v>1989</v>
      </c>
      <c r="D349" s="106" t="s">
        <v>1990</v>
      </c>
      <c r="E349" s="106" t="s">
        <v>788</v>
      </c>
      <c r="F349" s="107">
        <v>0</v>
      </c>
      <c r="G349" s="106" t="s">
        <v>1991</v>
      </c>
      <c r="H349" s="106" t="s">
        <v>71</v>
      </c>
      <c r="I349" s="106" t="s">
        <v>786</v>
      </c>
      <c r="J349" s="106" t="s">
        <v>327</v>
      </c>
      <c r="K349" s="106" t="s">
        <v>382</v>
      </c>
      <c r="L349" s="106" t="s">
        <v>880</v>
      </c>
      <c r="M349" s="106" t="s">
        <v>388</v>
      </c>
      <c r="N349" s="106" t="s">
        <v>43</v>
      </c>
      <c r="O349" s="106" t="s">
        <v>541</v>
      </c>
      <c r="P349" s="106" t="s">
        <v>866</v>
      </c>
      <c r="Q349" s="106" t="s">
        <v>823</v>
      </c>
      <c r="R349" s="106" t="s">
        <v>71</v>
      </c>
      <c r="S349" s="83" t="str">
        <f t="shared" si="37"/>
        <v>44900A-PUG</v>
      </c>
      <c r="T349" s="83" t="str">
        <f t="shared" si="38"/>
        <v>Pug Replay</v>
      </c>
      <c r="Y349" s="60">
        <f t="shared" si="39"/>
        <v>6</v>
      </c>
      <c r="Z349" s="49">
        <f t="shared" si="40"/>
        <v>320</v>
      </c>
      <c r="AA349" s="60">
        <f t="shared" si="41"/>
        <v>6320</v>
      </c>
    </row>
    <row r="350" spans="1:27">
      <c r="A350" s="83" t="str">
        <f t="shared" si="35"/>
        <v>44902A-VGKblack</v>
      </c>
      <c r="B350" s="83" t="str">
        <f t="shared" si="36"/>
        <v>06-321-09</v>
      </c>
      <c r="C350" s="106" t="s">
        <v>1992</v>
      </c>
      <c r="D350" s="106" t="s">
        <v>1993</v>
      </c>
      <c r="E350" s="106" t="s">
        <v>788</v>
      </c>
      <c r="F350" s="107">
        <v>0</v>
      </c>
      <c r="G350" s="106" t="s">
        <v>1994</v>
      </c>
      <c r="H350" s="106" t="s">
        <v>53</v>
      </c>
      <c r="I350" s="106" t="s">
        <v>786</v>
      </c>
      <c r="J350" s="106" t="s">
        <v>327</v>
      </c>
      <c r="K350" s="106" t="s">
        <v>382</v>
      </c>
      <c r="L350" s="106" t="s">
        <v>884</v>
      </c>
      <c r="M350" s="106" t="s">
        <v>388</v>
      </c>
      <c r="N350" s="106" t="s">
        <v>43</v>
      </c>
      <c r="O350" s="106" t="s">
        <v>541</v>
      </c>
      <c r="P350" s="106" t="s">
        <v>866</v>
      </c>
      <c r="Q350" s="106" t="s">
        <v>819</v>
      </c>
      <c r="R350" s="106" t="s">
        <v>53</v>
      </c>
      <c r="S350" s="83" t="str">
        <f t="shared" si="37"/>
        <v>44902A-VGK</v>
      </c>
      <c r="T350" s="83" t="str">
        <f t="shared" si="38"/>
        <v>Vegas Golden Knights Replay NHL</v>
      </c>
      <c r="Y350" s="60">
        <f t="shared" si="39"/>
        <v>6</v>
      </c>
      <c r="Z350" s="49">
        <f t="shared" si="40"/>
        <v>321</v>
      </c>
      <c r="AA350" s="60">
        <f t="shared" si="41"/>
        <v>6321</v>
      </c>
    </row>
    <row r="351" spans="1:27">
      <c r="A351" s="83" t="str">
        <f t="shared" si="35"/>
        <v>44902A-VGKwhite</v>
      </c>
      <c r="B351" s="83" t="str">
        <f t="shared" si="36"/>
        <v>06-321-17</v>
      </c>
      <c r="C351" s="106" t="s">
        <v>1995</v>
      </c>
      <c r="D351" s="106" t="s">
        <v>1996</v>
      </c>
      <c r="E351" s="106" t="s">
        <v>788</v>
      </c>
      <c r="F351" s="107">
        <v>0</v>
      </c>
      <c r="G351" s="106" t="s">
        <v>1994</v>
      </c>
      <c r="H351" s="106" t="s">
        <v>57</v>
      </c>
      <c r="I351" s="106" t="s">
        <v>786</v>
      </c>
      <c r="J351" s="106" t="s">
        <v>327</v>
      </c>
      <c r="K351" s="106" t="s">
        <v>382</v>
      </c>
      <c r="L351" s="106" t="s">
        <v>884</v>
      </c>
      <c r="M351" s="106" t="s">
        <v>388</v>
      </c>
      <c r="N351" s="106" t="s">
        <v>43</v>
      </c>
      <c r="O351" s="106" t="s">
        <v>541</v>
      </c>
      <c r="P351" s="106" t="s">
        <v>866</v>
      </c>
      <c r="Q351" s="106" t="s">
        <v>820</v>
      </c>
      <c r="R351" s="106" t="s">
        <v>57</v>
      </c>
      <c r="S351" s="83" t="str">
        <f t="shared" si="37"/>
        <v>44902A-VGK</v>
      </c>
      <c r="T351" s="83" t="str">
        <f t="shared" si="38"/>
        <v>Vegas Golden Knights Replay NHL</v>
      </c>
      <c r="Y351" s="60">
        <f t="shared" si="39"/>
        <v>6</v>
      </c>
      <c r="Z351" s="49">
        <f t="shared" si="40"/>
        <v>321</v>
      </c>
      <c r="AA351" s="60">
        <f t="shared" si="41"/>
        <v>6321</v>
      </c>
    </row>
    <row r="352" spans="1:27">
      <c r="A352" s="83" t="str">
        <f t="shared" si="35"/>
        <v>44950A-CAULwhite</v>
      </c>
      <c r="B352" s="83" t="str">
        <f t="shared" si="36"/>
        <v>06-322-17</v>
      </c>
      <c r="C352" s="106" t="s">
        <v>1997</v>
      </c>
      <c r="D352" s="106" t="s">
        <v>1998</v>
      </c>
      <c r="E352" s="106" t="s">
        <v>788</v>
      </c>
      <c r="F352" s="107">
        <v>0</v>
      </c>
      <c r="G352" s="106" t="s">
        <v>1999</v>
      </c>
      <c r="H352" s="106" t="s">
        <v>57</v>
      </c>
      <c r="I352" s="106" t="s">
        <v>786</v>
      </c>
      <c r="J352" s="106" t="s">
        <v>327</v>
      </c>
      <c r="K352" s="106" t="s">
        <v>382</v>
      </c>
      <c r="L352" s="106" t="s">
        <v>2000</v>
      </c>
      <c r="M352" s="106" t="s">
        <v>388</v>
      </c>
      <c r="N352" s="106" t="s">
        <v>43</v>
      </c>
      <c r="O352" s="106" t="s">
        <v>541</v>
      </c>
      <c r="P352" s="106" t="s">
        <v>866</v>
      </c>
      <c r="Q352" s="106" t="s">
        <v>820</v>
      </c>
      <c r="R352" s="106" t="s">
        <v>57</v>
      </c>
      <c r="S352" s="83" t="str">
        <f t="shared" si="37"/>
        <v>44950A-CAUL</v>
      </c>
      <c r="T352" s="83" t="str">
        <f t="shared" si="38"/>
        <v>Cauliflower Foodie Slouch</v>
      </c>
      <c r="Y352" s="60">
        <f t="shared" si="39"/>
        <v>6</v>
      </c>
      <c r="Z352" s="49">
        <f t="shared" si="40"/>
        <v>322</v>
      </c>
      <c r="AA352" s="60">
        <f t="shared" si="41"/>
        <v>6322</v>
      </c>
    </row>
    <row r="353" spans="1:27">
      <c r="A353" s="83" t="str">
        <f t="shared" si="35"/>
        <v>44950A-KALEcedar</v>
      </c>
      <c r="B353" s="83" t="str">
        <f t="shared" si="36"/>
        <v>06-323-03</v>
      </c>
      <c r="C353" s="106" t="s">
        <v>2001</v>
      </c>
      <c r="D353" s="106" t="s">
        <v>2002</v>
      </c>
      <c r="E353" s="106" t="s">
        <v>788</v>
      </c>
      <c r="F353" s="107">
        <v>0</v>
      </c>
      <c r="G353" s="106" t="s">
        <v>2003</v>
      </c>
      <c r="H353" s="106" t="s">
        <v>195</v>
      </c>
      <c r="I353" s="106" t="s">
        <v>786</v>
      </c>
      <c r="J353" s="106" t="s">
        <v>327</v>
      </c>
      <c r="K353" s="106" t="s">
        <v>382</v>
      </c>
      <c r="L353" s="106" t="s">
        <v>2000</v>
      </c>
      <c r="M353" s="106" t="s">
        <v>388</v>
      </c>
      <c r="N353" s="106" t="s">
        <v>43</v>
      </c>
      <c r="O353" s="106" t="s">
        <v>541</v>
      </c>
      <c r="P353" s="106" t="s">
        <v>866</v>
      </c>
      <c r="Q353" s="106" t="s">
        <v>2004</v>
      </c>
      <c r="R353" s="106" t="s">
        <v>195</v>
      </c>
      <c r="S353" s="83" t="str">
        <f t="shared" si="37"/>
        <v>44950A-KALE</v>
      </c>
      <c r="T353" s="83" t="str">
        <f t="shared" si="38"/>
        <v>Kale Foodie Slouch</v>
      </c>
      <c r="Y353" s="60">
        <f t="shared" si="39"/>
        <v>6</v>
      </c>
      <c r="Z353" s="49">
        <f t="shared" si="40"/>
        <v>323</v>
      </c>
      <c r="AA353" s="60">
        <f t="shared" si="41"/>
        <v>6323</v>
      </c>
    </row>
    <row r="354" spans="1:27">
      <c r="A354" s="83" t="str">
        <f t="shared" si="35"/>
        <v>44950A-KETCred</v>
      </c>
      <c r="B354" s="83" t="str">
        <f t="shared" si="36"/>
        <v>06-324-18</v>
      </c>
      <c r="C354" s="106" t="s">
        <v>2005</v>
      </c>
      <c r="D354" s="106" t="s">
        <v>2006</v>
      </c>
      <c r="E354" s="106" t="s">
        <v>788</v>
      </c>
      <c r="F354" s="107">
        <v>0</v>
      </c>
      <c r="G354" s="106" t="s">
        <v>2007</v>
      </c>
      <c r="H354" s="106" t="s">
        <v>78</v>
      </c>
      <c r="I354" s="106" t="s">
        <v>786</v>
      </c>
      <c r="J354" s="106" t="s">
        <v>327</v>
      </c>
      <c r="K354" s="106" t="s">
        <v>382</v>
      </c>
      <c r="L354" s="106" t="s">
        <v>2000</v>
      </c>
      <c r="M354" s="106" t="s">
        <v>388</v>
      </c>
      <c r="N354" s="106" t="s">
        <v>43</v>
      </c>
      <c r="O354" s="106" t="s">
        <v>541</v>
      </c>
      <c r="P354" s="106" t="s">
        <v>866</v>
      </c>
      <c r="Q354" s="106" t="s">
        <v>822</v>
      </c>
      <c r="R354" s="106" t="s">
        <v>78</v>
      </c>
      <c r="S354" s="83" t="str">
        <f t="shared" si="37"/>
        <v>44950A-KETC</v>
      </c>
      <c r="T354" s="83" t="str">
        <f t="shared" si="38"/>
        <v>Ketchup Foodie Slouch</v>
      </c>
      <c r="Y354" s="60">
        <f t="shared" si="39"/>
        <v>6</v>
      </c>
      <c r="Z354" s="49">
        <f t="shared" si="40"/>
        <v>324</v>
      </c>
      <c r="AA354" s="60">
        <f t="shared" si="41"/>
        <v>6324</v>
      </c>
    </row>
    <row r="355" spans="1:27">
      <c r="A355" s="83" t="str">
        <f t="shared" si="35"/>
        <v>44950A-MAYObeige</v>
      </c>
      <c r="B355" s="83" t="str">
        <f t="shared" si="36"/>
        <v>06-325-02</v>
      </c>
      <c r="C355" s="106" t="s">
        <v>2008</v>
      </c>
      <c r="D355" s="106" t="s">
        <v>2009</v>
      </c>
      <c r="E355" s="106" t="s">
        <v>788</v>
      </c>
      <c r="F355" s="107">
        <v>0</v>
      </c>
      <c r="G355" s="106" t="s">
        <v>2010</v>
      </c>
      <c r="H355" s="106" t="s">
        <v>63</v>
      </c>
      <c r="I355" s="106" t="s">
        <v>786</v>
      </c>
      <c r="J355" s="106" t="s">
        <v>327</v>
      </c>
      <c r="K355" s="106" t="s">
        <v>382</v>
      </c>
      <c r="L355" s="106" t="s">
        <v>2000</v>
      </c>
      <c r="M355" s="106" t="s">
        <v>388</v>
      </c>
      <c r="N355" s="106" t="s">
        <v>43</v>
      </c>
      <c r="O355" s="106" t="s">
        <v>541</v>
      </c>
      <c r="P355" s="106" t="s">
        <v>866</v>
      </c>
      <c r="Q355" s="106" t="s">
        <v>821</v>
      </c>
      <c r="R355" s="106" t="s">
        <v>63</v>
      </c>
      <c r="S355" s="83" t="str">
        <f t="shared" si="37"/>
        <v>44950A-MAYO</v>
      </c>
      <c r="T355" s="83" t="str">
        <f t="shared" si="38"/>
        <v>Mayo Foodie Slouch</v>
      </c>
      <c r="Y355" s="60">
        <f t="shared" si="39"/>
        <v>6</v>
      </c>
      <c r="Z355" s="49">
        <f t="shared" si="40"/>
        <v>325</v>
      </c>
      <c r="AA355" s="60">
        <f t="shared" si="41"/>
        <v>6325</v>
      </c>
    </row>
    <row r="356" spans="1:27">
      <c r="A356" s="83" t="str">
        <f t="shared" si="35"/>
        <v>44950A-MUSTyellow</v>
      </c>
      <c r="B356" s="83" t="str">
        <f t="shared" si="36"/>
        <v>06-326-20</v>
      </c>
      <c r="C356" s="106" t="s">
        <v>2011</v>
      </c>
      <c r="D356" s="106" t="s">
        <v>2012</v>
      </c>
      <c r="E356" s="106" t="s">
        <v>788</v>
      </c>
      <c r="F356" s="107">
        <v>0</v>
      </c>
      <c r="G356" s="106" t="s">
        <v>2013</v>
      </c>
      <c r="H356" s="106" t="s">
        <v>65</v>
      </c>
      <c r="I356" s="106" t="s">
        <v>786</v>
      </c>
      <c r="J356" s="106" t="s">
        <v>327</v>
      </c>
      <c r="K356" s="106" t="s">
        <v>382</v>
      </c>
      <c r="L356" s="106" t="s">
        <v>2000</v>
      </c>
      <c r="M356" s="106" t="s">
        <v>388</v>
      </c>
      <c r="N356" s="106" t="s">
        <v>43</v>
      </c>
      <c r="O356" s="106" t="s">
        <v>541</v>
      </c>
      <c r="P356" s="106" t="s">
        <v>866</v>
      </c>
      <c r="Q356" s="106" t="s">
        <v>2014</v>
      </c>
      <c r="R356" s="106" t="s">
        <v>65</v>
      </c>
      <c r="S356" s="83" t="str">
        <f t="shared" si="37"/>
        <v>44950A-MUST</v>
      </c>
      <c r="T356" s="83" t="str">
        <f t="shared" si="38"/>
        <v>Mustard Foodie Slouch</v>
      </c>
      <c r="Y356" s="60">
        <f t="shared" si="39"/>
        <v>6</v>
      </c>
      <c r="Z356" s="49">
        <f t="shared" si="40"/>
        <v>326</v>
      </c>
      <c r="AA356" s="60">
        <f t="shared" si="41"/>
        <v>6326</v>
      </c>
    </row>
    <row r="357" spans="1:27">
      <c r="A357" s="83" t="str">
        <f t="shared" si="35"/>
        <v>44960B-CAwtbl</v>
      </c>
      <c r="B357" s="83" t="str">
        <f t="shared" si="36"/>
        <v>06-327-46</v>
      </c>
      <c r="C357" s="106" t="s">
        <v>2015</v>
      </c>
      <c r="D357" s="106" t="s">
        <v>2016</v>
      </c>
      <c r="E357" s="106" t="s">
        <v>788</v>
      </c>
      <c r="F357" s="107">
        <v>0</v>
      </c>
      <c r="G357" s="106" t="s">
        <v>2017</v>
      </c>
      <c r="H357" s="106" t="s">
        <v>107</v>
      </c>
      <c r="I357" s="106" t="s">
        <v>1984</v>
      </c>
      <c r="J357" s="106" t="s">
        <v>356</v>
      </c>
      <c r="K357" s="106" t="s">
        <v>382</v>
      </c>
      <c r="L357" s="106" t="s">
        <v>880</v>
      </c>
      <c r="M357" s="106" t="s">
        <v>388</v>
      </c>
      <c r="O357" s="106" t="s">
        <v>386</v>
      </c>
      <c r="P357" s="106" t="s">
        <v>866</v>
      </c>
      <c r="Q357" s="106" t="s">
        <v>2018</v>
      </c>
      <c r="R357" s="106" t="s">
        <v>57</v>
      </c>
      <c r="S357" s="83" t="str">
        <f t="shared" si="37"/>
        <v>44960B-CA</v>
      </c>
      <c r="T357" s="83" t="str">
        <f t="shared" si="38"/>
        <v>California Riptide Valin</v>
      </c>
      <c r="Y357" s="60">
        <f t="shared" si="39"/>
        <v>6</v>
      </c>
      <c r="Z357" s="49">
        <f t="shared" si="40"/>
        <v>327</v>
      </c>
      <c r="AA357" s="60">
        <f t="shared" si="41"/>
        <v>6327</v>
      </c>
    </row>
    <row r="358" spans="1:27">
      <c r="A358" s="83" t="str">
        <f t="shared" si="35"/>
        <v>45020A-AMERblack</v>
      </c>
      <c r="B358" s="83" t="str">
        <f t="shared" si="36"/>
        <v>06-328-09</v>
      </c>
      <c r="C358" s="106" t="s">
        <v>2019</v>
      </c>
      <c r="D358" s="106" t="s">
        <v>2020</v>
      </c>
      <c r="E358" s="106" t="s">
        <v>788</v>
      </c>
      <c r="F358" s="107">
        <v>0</v>
      </c>
      <c r="G358" s="106" t="s">
        <v>2021</v>
      </c>
      <c r="H358" s="106" t="s">
        <v>53</v>
      </c>
      <c r="I358" s="106" t="s">
        <v>786</v>
      </c>
      <c r="J358" s="106" t="s">
        <v>327</v>
      </c>
      <c r="K358" s="106" t="s">
        <v>382</v>
      </c>
      <c r="L358" s="106" t="s">
        <v>880</v>
      </c>
      <c r="M358" s="106" t="s">
        <v>388</v>
      </c>
      <c r="N358" s="106" t="s">
        <v>43</v>
      </c>
      <c r="O358" s="106" t="s">
        <v>386</v>
      </c>
      <c r="P358" s="106" t="s">
        <v>866</v>
      </c>
      <c r="Q358" s="106" t="s">
        <v>819</v>
      </c>
      <c r="R358" s="106" t="s">
        <v>53</v>
      </c>
      <c r="S358" s="83" t="str">
        <f t="shared" si="37"/>
        <v>45020A-AMER</v>
      </c>
      <c r="T358" s="83" t="str">
        <f t="shared" si="38"/>
        <v>Americana Conrad</v>
      </c>
      <c r="Y358" s="60">
        <f t="shared" si="39"/>
        <v>6</v>
      </c>
      <c r="Z358" s="49">
        <f t="shared" si="40"/>
        <v>328</v>
      </c>
      <c r="AA358" s="60">
        <f t="shared" si="41"/>
        <v>6328</v>
      </c>
    </row>
    <row r="359" spans="1:27">
      <c r="A359" s="83" t="str">
        <f t="shared" si="35"/>
        <v>45020A-AMERnavy</v>
      </c>
      <c r="B359" s="83" t="str">
        <f t="shared" si="36"/>
        <v>06-328-16</v>
      </c>
      <c r="C359" s="106" t="s">
        <v>2022</v>
      </c>
      <c r="D359" s="106" t="s">
        <v>2023</v>
      </c>
      <c r="E359" s="106" t="s">
        <v>788</v>
      </c>
      <c r="F359" s="107">
        <v>0</v>
      </c>
      <c r="G359" s="106" t="s">
        <v>2021</v>
      </c>
      <c r="H359" s="106" t="s">
        <v>55</v>
      </c>
      <c r="I359" s="106" t="s">
        <v>786</v>
      </c>
      <c r="J359" s="106" t="s">
        <v>327</v>
      </c>
      <c r="K359" s="106" t="s">
        <v>382</v>
      </c>
      <c r="L359" s="106" t="s">
        <v>880</v>
      </c>
      <c r="M359" s="106" t="s">
        <v>388</v>
      </c>
      <c r="N359" s="106" t="s">
        <v>43</v>
      </c>
      <c r="O359" s="106" t="s">
        <v>386</v>
      </c>
      <c r="P359" s="106" t="s">
        <v>866</v>
      </c>
      <c r="Q359" s="106" t="s">
        <v>818</v>
      </c>
      <c r="R359" s="106" t="s">
        <v>71</v>
      </c>
      <c r="S359" s="83" t="str">
        <f t="shared" si="37"/>
        <v>45020A-AMER</v>
      </c>
      <c r="T359" s="83" t="str">
        <f t="shared" si="38"/>
        <v>Americana Conrad</v>
      </c>
      <c r="Y359" s="60">
        <f t="shared" si="39"/>
        <v>6</v>
      </c>
      <c r="Z359" s="49">
        <f t="shared" si="40"/>
        <v>328</v>
      </c>
      <c r="AA359" s="60">
        <f t="shared" si="41"/>
        <v>6328</v>
      </c>
    </row>
    <row r="360" spans="1:27">
      <c r="A360" s="83" t="str">
        <f t="shared" si="35"/>
        <v>45020A-USAblack</v>
      </c>
      <c r="B360" s="83" t="str">
        <f t="shared" si="36"/>
        <v>06-329-09</v>
      </c>
      <c r="C360" s="106" t="s">
        <v>2024</v>
      </c>
      <c r="D360" s="106" t="s">
        <v>2025</v>
      </c>
      <c r="E360" s="106" t="s">
        <v>788</v>
      </c>
      <c r="F360" s="107">
        <v>0</v>
      </c>
      <c r="G360" s="106" t="s">
        <v>2026</v>
      </c>
      <c r="H360" s="106" t="s">
        <v>53</v>
      </c>
      <c r="I360" s="106" t="s">
        <v>786</v>
      </c>
      <c r="J360" s="106" t="s">
        <v>327</v>
      </c>
      <c r="K360" s="106" t="s">
        <v>382</v>
      </c>
      <c r="L360" s="106" t="s">
        <v>880</v>
      </c>
      <c r="M360" s="106" t="s">
        <v>388</v>
      </c>
      <c r="N360" s="106" t="s">
        <v>43</v>
      </c>
      <c r="O360" s="106" t="s">
        <v>386</v>
      </c>
      <c r="P360" s="106" t="s">
        <v>866</v>
      </c>
      <c r="Q360" s="106" t="s">
        <v>819</v>
      </c>
      <c r="R360" s="106" t="s">
        <v>53</v>
      </c>
      <c r="S360" s="83" t="str">
        <f t="shared" si="37"/>
        <v>45020A-USA</v>
      </c>
      <c r="T360" s="83" t="str">
        <f t="shared" si="38"/>
        <v>United States Conrad</v>
      </c>
      <c r="Y360" s="60">
        <f t="shared" si="39"/>
        <v>6</v>
      </c>
      <c r="Z360" s="49">
        <f t="shared" si="40"/>
        <v>329</v>
      </c>
      <c r="AA360" s="60">
        <f t="shared" si="41"/>
        <v>6329</v>
      </c>
    </row>
    <row r="361" spans="1:27">
      <c r="A361" s="83" t="str">
        <f t="shared" si="35"/>
        <v>45020A-USAnavy</v>
      </c>
      <c r="B361" s="83" t="str">
        <f t="shared" si="36"/>
        <v>06-329-16</v>
      </c>
      <c r="C361" s="106" t="s">
        <v>2027</v>
      </c>
      <c r="D361" s="106" t="s">
        <v>2028</v>
      </c>
      <c r="E361" s="106" t="s">
        <v>788</v>
      </c>
      <c r="F361" s="107">
        <v>0</v>
      </c>
      <c r="G361" s="106" t="s">
        <v>2026</v>
      </c>
      <c r="H361" s="106" t="s">
        <v>55</v>
      </c>
      <c r="I361" s="106" t="s">
        <v>786</v>
      </c>
      <c r="J361" s="106" t="s">
        <v>327</v>
      </c>
      <c r="K361" s="106" t="s">
        <v>382</v>
      </c>
      <c r="L361" s="106" t="s">
        <v>880</v>
      </c>
      <c r="M361" s="106" t="s">
        <v>388</v>
      </c>
      <c r="N361" s="106" t="s">
        <v>43</v>
      </c>
      <c r="O361" s="106" t="s">
        <v>386</v>
      </c>
      <c r="P361" s="106" t="s">
        <v>866</v>
      </c>
      <c r="Q361" s="106" t="s">
        <v>818</v>
      </c>
      <c r="R361" s="106" t="s">
        <v>71</v>
      </c>
      <c r="S361" s="83" t="str">
        <f t="shared" si="37"/>
        <v>45020A-USA</v>
      </c>
      <c r="T361" s="83" t="str">
        <f t="shared" si="38"/>
        <v>United States Conrad</v>
      </c>
      <c r="Y361" s="60">
        <f t="shared" si="39"/>
        <v>6</v>
      </c>
      <c r="Z361" s="49">
        <f t="shared" si="40"/>
        <v>329</v>
      </c>
      <c r="AA361" s="60">
        <f t="shared" si="41"/>
        <v>6329</v>
      </c>
    </row>
    <row r="362" spans="1:27">
      <c r="A362" s="83" t="str">
        <f t="shared" si="35"/>
        <v>GM-1901Achrome</v>
      </c>
      <c r="B362" s="83" t="str">
        <f t="shared" si="36"/>
        <v>06-330-01</v>
      </c>
      <c r="C362" s="106" t="s">
        <v>2029</v>
      </c>
      <c r="D362" s="106" t="s">
        <v>2030</v>
      </c>
      <c r="E362" s="106" t="s">
        <v>788</v>
      </c>
      <c r="F362" s="107">
        <v>0</v>
      </c>
      <c r="G362" s="106" t="s">
        <v>2031</v>
      </c>
      <c r="H362" s="106" t="s">
        <v>231</v>
      </c>
      <c r="I362" s="106" t="s">
        <v>786</v>
      </c>
      <c r="J362" s="106" t="s">
        <v>327</v>
      </c>
      <c r="K362" s="106" t="s">
        <v>382</v>
      </c>
      <c r="L362" s="106" t="s">
        <v>1358</v>
      </c>
      <c r="M362" s="106" t="s">
        <v>388</v>
      </c>
      <c r="N362" s="106" t="s">
        <v>43</v>
      </c>
      <c r="O362" s="106" t="s">
        <v>541</v>
      </c>
      <c r="P362" s="106" t="s">
        <v>866</v>
      </c>
      <c r="Q362" s="106" t="s">
        <v>2032</v>
      </c>
      <c r="R362" s="106" t="s">
        <v>83</v>
      </c>
      <c r="S362" s="83" t="str">
        <f t="shared" si="37"/>
        <v>GM-1901A</v>
      </c>
      <c r="T362" s="83" t="str">
        <f t="shared" si="38"/>
        <v>Chevrolet New Raglan</v>
      </c>
      <c r="Y362" s="60">
        <f t="shared" si="39"/>
        <v>6</v>
      </c>
      <c r="Z362" s="49">
        <f t="shared" si="40"/>
        <v>330</v>
      </c>
      <c r="AA362" s="60">
        <f t="shared" si="41"/>
        <v>6330</v>
      </c>
    </row>
    <row r="363" spans="1:27">
      <c r="A363" s="83" t="str">
        <f t="shared" si="35"/>
        <v>GM-1909Dred</v>
      </c>
      <c r="B363" s="83" t="str">
        <f t="shared" si="36"/>
        <v>06-331-18</v>
      </c>
      <c r="C363" s="106" t="s">
        <v>2033</v>
      </c>
      <c r="D363" s="106" t="s">
        <v>2034</v>
      </c>
      <c r="E363" s="106" t="s">
        <v>788</v>
      </c>
      <c r="F363" s="107">
        <v>0</v>
      </c>
      <c r="G363" s="106" t="s">
        <v>2035</v>
      </c>
      <c r="H363" s="106" t="s">
        <v>78</v>
      </c>
      <c r="I363" s="106" t="s">
        <v>1034</v>
      </c>
      <c r="J363" s="106" t="s">
        <v>327</v>
      </c>
      <c r="K363" s="106" t="s">
        <v>382</v>
      </c>
      <c r="L363" s="106" t="s">
        <v>1358</v>
      </c>
      <c r="M363" s="106" t="s">
        <v>388</v>
      </c>
      <c r="N363" s="106" t="s">
        <v>43</v>
      </c>
      <c r="O363" s="106" t="s">
        <v>541</v>
      </c>
      <c r="P363" s="106" t="s">
        <v>866</v>
      </c>
      <c r="Q363" s="106" t="s">
        <v>822</v>
      </c>
      <c r="R363" s="106" t="s">
        <v>78</v>
      </c>
      <c r="S363" s="83" t="str">
        <f t="shared" si="37"/>
        <v>GM-1909D</v>
      </c>
      <c r="T363" s="83" t="str">
        <f t="shared" si="38"/>
        <v>Corvette Raglan Bones</v>
      </c>
      <c r="Y363" s="60">
        <f t="shared" si="39"/>
        <v>6</v>
      </c>
      <c r="Z363" s="49">
        <f t="shared" si="40"/>
        <v>331</v>
      </c>
      <c r="AA363" s="60">
        <f t="shared" si="41"/>
        <v>6331</v>
      </c>
    </row>
    <row r="364" spans="1:27">
      <c r="A364" s="83" t="str">
        <f t="shared" si="35"/>
        <v>42792A-CBHred-black</v>
      </c>
      <c r="B364" s="83" t="str">
        <f t="shared" si="36"/>
        <v>06-332-18</v>
      </c>
      <c r="C364" s="106" t="s">
        <v>2036</v>
      </c>
      <c r="D364" s="106" t="s">
        <v>2037</v>
      </c>
      <c r="E364" s="106" t="s">
        <v>788</v>
      </c>
      <c r="F364" s="107">
        <v>0</v>
      </c>
      <c r="G364" s="106" t="s">
        <v>2038</v>
      </c>
      <c r="H364" s="106" t="s">
        <v>179</v>
      </c>
      <c r="I364" s="106" t="s">
        <v>790</v>
      </c>
      <c r="J364" s="106" t="s">
        <v>342</v>
      </c>
      <c r="K364" s="106" t="s">
        <v>382</v>
      </c>
      <c r="L364" s="106" t="s">
        <v>884</v>
      </c>
      <c r="M364" s="106" t="s">
        <v>389</v>
      </c>
      <c r="O364" s="106" t="s">
        <v>386</v>
      </c>
      <c r="P364" s="106" t="s">
        <v>866</v>
      </c>
      <c r="Q364" s="106" t="s">
        <v>1646</v>
      </c>
      <c r="R364" s="106" t="s">
        <v>78</v>
      </c>
      <c r="S364" s="83" t="str">
        <f t="shared" si="37"/>
        <v>42792A-CBH</v>
      </c>
      <c r="T364" s="83" t="str">
        <f t="shared" si="38"/>
        <v>Chicago Blackhawks Breezy NHL</v>
      </c>
      <c r="Y364" s="60">
        <f t="shared" si="39"/>
        <v>6</v>
      </c>
      <c r="Z364" s="49">
        <f t="shared" si="40"/>
        <v>332</v>
      </c>
      <c r="AA364" s="60">
        <f t="shared" si="41"/>
        <v>6332</v>
      </c>
    </row>
    <row r="365" spans="1:27">
      <c r="A365" s="83" t="str">
        <f t="shared" si="35"/>
        <v>44612A-LAKblack-grey</v>
      </c>
      <c r="B365" s="83" t="str">
        <f t="shared" si="36"/>
        <v>06-333-88</v>
      </c>
      <c r="C365" s="106" t="s">
        <v>2039</v>
      </c>
      <c r="D365" s="106" t="s">
        <v>2040</v>
      </c>
      <c r="E365" s="106" t="s">
        <v>788</v>
      </c>
      <c r="F365" s="107">
        <v>0</v>
      </c>
      <c r="G365" s="106" t="s">
        <v>2041</v>
      </c>
      <c r="H365" s="106" t="s">
        <v>308</v>
      </c>
      <c r="I365" s="106" t="s">
        <v>1034</v>
      </c>
      <c r="J365" s="106" t="s">
        <v>356</v>
      </c>
      <c r="K365" s="106" t="s">
        <v>382</v>
      </c>
      <c r="L365" s="106" t="s">
        <v>884</v>
      </c>
      <c r="M365" s="106" t="s">
        <v>388</v>
      </c>
      <c r="N365" s="106" t="s">
        <v>43</v>
      </c>
      <c r="O365" s="106" t="s">
        <v>386</v>
      </c>
      <c r="P365" s="106" t="s">
        <v>866</v>
      </c>
      <c r="Q365" s="106" t="s">
        <v>1810</v>
      </c>
      <c r="R365" s="106" t="s">
        <v>53</v>
      </c>
      <c r="S365" s="83" t="str">
        <f t="shared" si="37"/>
        <v>44612A-LAK</v>
      </c>
      <c r="T365" s="83" t="str">
        <f t="shared" si="38"/>
        <v>Los Angeles Kings Cross Fade NHL</v>
      </c>
      <c r="Y365" s="60">
        <f t="shared" si="39"/>
        <v>6</v>
      </c>
      <c r="Z365" s="49">
        <f t="shared" si="40"/>
        <v>333</v>
      </c>
      <c r="AA365" s="60">
        <f t="shared" si="41"/>
        <v>6333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2022-02-18T13:24:01Z</dcterms:modified>
</cp:coreProperties>
</file>