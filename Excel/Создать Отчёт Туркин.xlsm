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1E515BBC-F815-4E64-9AAF-D4F7B614CA4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Handler" sheetId="1" r:id="rId1"/>
    <sheet name="Загрузка" sheetId="12" r:id="rId2"/>
    <sheet name="ОТЧЕТ" sheetId="18" r:id="rId3"/>
    <sheet name="АКТ" sheetId="19" r:id="rId4"/>
  </sheets>
  <functionGroups builtInGroupCount="19"/>
  <definedNames>
    <definedName name="Месяц">Handler!$F$3</definedName>
    <definedName name="ОтчетКомитентуОт">ОТЧЕТ!$A$1</definedName>
    <definedName name="папкаОтчетов">Handler!$C$5</definedName>
    <definedName name="ПериодПо">Handler!$C$4</definedName>
    <definedName name="ПериодПоВнутриМесяца">Handler!$F$4</definedName>
    <definedName name="ПериодС">Handler!$C$3</definedName>
    <definedName name="ПрошлаяНедПериодПо">Handler!$F$2</definedName>
    <definedName name="ПрошлаяНедПериодС">Handler!$F$1</definedName>
    <definedName name="путьОтчета">Handler!$C$7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8" l="1"/>
  <c r="A4" i="19"/>
  <c r="A1" i="18"/>
  <c r="F4" i="1"/>
  <c r="F3" i="1"/>
  <c r="G2" i="1"/>
  <c r="F2" i="1" s="1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G3" i="1"/>
  <c r="F6" i="19"/>
  <c r="B8" i="18" a="1"/>
  <c r="F1" i="1" l="1"/>
  <c r="B8" i="18"/>
  <c r="E618" i="18"/>
  <c r="G618" i="18"/>
  <c r="I8" i="18" a="1"/>
  <c r="E621" i="18" l="1"/>
  <c r="I8" i="18"/>
  <c r="I618" i="18" s="1"/>
  <c r="E19" i="19"/>
  <c r="E620" i="18"/>
  <c r="E13" i="19"/>
  <c r="A14" i="19" a="1"/>
  <c r="A20" i="19" a="1"/>
  <c r="C16" i="19" l="1"/>
  <c r="A20" i="19"/>
  <c r="A14" i="19"/>
  <c r="A17" i="19" a="1"/>
  <c r="A17" i="1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<sst xmlns="http://schemas.openxmlformats.org/spreadsheetml/2006/main" count="763" uniqueCount="143">
  <si>
    <t>Период</t>
  </si>
  <si>
    <t>С:</t>
  </si>
  <si>
    <t>По:</t>
  </si>
  <si>
    <t>Сумма комитента</t>
  </si>
  <si>
    <t>Цена продажи</t>
  </si>
  <si>
    <t>Сумма продажи</t>
  </si>
  <si>
    <t>94-002-05-00</t>
  </si>
  <si>
    <t>94-003-16-00</t>
  </si>
  <si>
    <t>94-003-09-00</t>
  </si>
  <si>
    <t>94-028-65-00</t>
  </si>
  <si>
    <t>94-028-72-00</t>
  </si>
  <si>
    <t>94-004-08-00</t>
  </si>
  <si>
    <t>94-004-05-00</t>
  </si>
  <si>
    <t>94-004-16-00</t>
  </si>
  <si>
    <t>94-020-17-00</t>
  </si>
  <si>
    <t>94-020-12-00</t>
  </si>
  <si>
    <t>94-020-80-00</t>
  </si>
  <si>
    <t>94-020-05-00</t>
  </si>
  <si>
    <t>94-020-16-00</t>
  </si>
  <si>
    <t>94-020-09-00</t>
  </si>
  <si>
    <t>94-006-00-00</t>
  </si>
  <si>
    <t>94-007-17-00</t>
  </si>
  <si>
    <t>94-007-12-00</t>
  </si>
  <si>
    <t>94-007-19-00</t>
  </si>
  <si>
    <t>94-007-01-00</t>
  </si>
  <si>
    <t>94-007-80-00</t>
  </si>
  <si>
    <t>94-007-08-00</t>
  </si>
  <si>
    <t>94-007-05-00</t>
  </si>
  <si>
    <t>94-007-16-00</t>
  </si>
  <si>
    <t>94-007-48-00</t>
  </si>
  <si>
    <t>94-008-99-00</t>
  </si>
  <si>
    <t>94-008-00-00</t>
  </si>
  <si>
    <t>94-010-00-00</t>
  </si>
  <si>
    <t>94-010-75-00</t>
  </si>
  <si>
    <t>94-011-99-60</t>
  </si>
  <si>
    <t>94-011-14-60</t>
  </si>
  <si>
    <t>94-011-14-56</t>
  </si>
  <si>
    <t>94-011-03-56</t>
  </si>
  <si>
    <t>94-011-03-60</t>
  </si>
  <si>
    <t>94-011-80-60</t>
  </si>
  <si>
    <t>94-011-80-56</t>
  </si>
  <si>
    <t>94-011-05-60</t>
  </si>
  <si>
    <t>94-011-09-56</t>
  </si>
  <si>
    <t>94-011-09-60</t>
  </si>
  <si>
    <t>94-024-99-56</t>
  </si>
  <si>
    <t>94-024-99-60</t>
  </si>
  <si>
    <t>94-024-00-56</t>
  </si>
  <si>
    <t>94-024-00-60</t>
  </si>
  <si>
    <t>94-015-11-00</t>
  </si>
  <si>
    <t>94-015-34-00</t>
  </si>
  <si>
    <t>94-015-16-00</t>
  </si>
  <si>
    <t>94-015-51-00</t>
  </si>
  <si>
    <t>94-025-00-00</t>
  </si>
  <si>
    <t>94-023-01-00</t>
  </si>
  <si>
    <t>94-023-05-00</t>
  </si>
  <si>
    <t>94-023-16-00</t>
  </si>
  <si>
    <t>94-023-09-00</t>
  </si>
  <si>
    <t>91-265-00-00</t>
  </si>
  <si>
    <t>91-302-09-00</t>
  </si>
  <si>
    <t>91-304-03-00</t>
  </si>
  <si>
    <t>91-381-09-00</t>
  </si>
  <si>
    <t>42-623-14-00</t>
  </si>
  <si>
    <t>42-623-09-00</t>
  </si>
  <si>
    <t>42-632-14-00</t>
  </si>
  <si>
    <t>91-443-09-00</t>
  </si>
  <si>
    <t>91-445-17-00</t>
  </si>
  <si>
    <t>91-549-09-00</t>
  </si>
  <si>
    <t>91-460-09-00</t>
  </si>
  <si>
    <t>91-467-18-00</t>
  </si>
  <si>
    <t>91-451-06-00</t>
  </si>
  <si>
    <t>91-471-09-00</t>
  </si>
  <si>
    <t>91-553-09-00</t>
  </si>
  <si>
    <t>91-475-08-00</t>
  </si>
  <si>
    <t>91-479-02-00</t>
  </si>
  <si>
    <t>91-510-17-00</t>
  </si>
  <si>
    <t>91-557-23-00</t>
  </si>
  <si>
    <t>91-558-09-00</t>
  </si>
  <si>
    <t>91-560-09-00</t>
  </si>
  <si>
    <t>91-561-09-00</t>
  </si>
  <si>
    <t>91-568-08-00</t>
  </si>
  <si>
    <t>91-570-19-00</t>
  </si>
  <si>
    <t>91-572-09-00</t>
  </si>
  <si>
    <t>91-574-08-00</t>
  </si>
  <si>
    <t>16-705-14-00</t>
  </si>
  <si>
    <t>16-705-09-00</t>
  </si>
  <si>
    <t>16-708-14-00</t>
  </si>
  <si>
    <t>91-575-14-00</t>
  </si>
  <si>
    <t>91-355-14-00</t>
  </si>
  <si>
    <t>91-576-14-00</t>
  </si>
  <si>
    <t>91-578-06-00</t>
  </si>
  <si>
    <t>91-579-08-00</t>
  </si>
  <si>
    <t>91-132-06-00</t>
  </si>
  <si>
    <t>91-581-17-00</t>
  </si>
  <si>
    <t>91-582-36-00</t>
  </si>
  <si>
    <t>91-583-09-00</t>
  </si>
  <si>
    <t>91-583-09-61</t>
  </si>
  <si>
    <t>91-537-09-61</t>
  </si>
  <si>
    <t>91-537-09-57</t>
  </si>
  <si>
    <t>91-537-09-59</t>
  </si>
  <si>
    <t>91-537-09-55</t>
  </si>
  <si>
    <t>91-538-03-59</t>
  </si>
  <si>
    <t>91-539-17-59</t>
  </si>
  <si>
    <t>91-540-00-59</t>
  </si>
  <si>
    <t>91-627-03-59</t>
  </si>
  <si>
    <t>91-627-03-57</t>
  </si>
  <si>
    <t>91-585-18-55</t>
  </si>
  <si>
    <t>91-585-18-00</t>
  </si>
  <si>
    <t>ШК</t>
  </si>
  <si>
    <t>Кол</t>
  </si>
  <si>
    <t>Цена коммитента</t>
  </si>
  <si>
    <t>Сумма вознаграждения</t>
  </si>
  <si>
    <t>Путь:</t>
  </si>
  <si>
    <t>O:\BUH\MARKETPLACE\Туркин\Отчёты комиссионера\07.2022\10.07\Отчёт_ипТуркин_04.07-10.07.xlsx</t>
  </si>
  <si>
    <t>Папка с отчётами:</t>
  </si>
  <si>
    <t>O:\BUH\MARKETPLACE\Туркин\Отчёты комиссионера\</t>
  </si>
  <si>
    <t>Комитент:</t>
  </si>
  <si>
    <t>ИП Сбитенков Владимир Владимирович,  ИНН 780218965247; 198260, Санкт-Петербург, ул. Стойкости д.1 кв 10</t>
  </si>
  <si>
    <t>Комиссионер:</t>
  </si>
  <si>
    <t>ИП Туркин Алексей Викторович, ИНН 772808911072; 117463, Москва г, Голубинская ул, дом 29, корпус 3, квартира 843</t>
  </si>
  <si>
    <t>№</t>
  </si>
  <si>
    <t>Артикул</t>
  </si>
  <si>
    <t>Кол-во</t>
  </si>
  <si>
    <t>Цена комитента</t>
  </si>
  <si>
    <t>Ставка НДС</t>
  </si>
  <si>
    <t>Вознаграждение, руб</t>
  </si>
  <si>
    <t>Без НДС</t>
  </si>
  <si>
    <t>Продано за период на сумму:</t>
  </si>
  <si>
    <t>руб</t>
  </si>
  <si>
    <t>К перечислению комитенту:</t>
  </si>
  <si>
    <t>ИП Туркин Алексей Викторович</t>
  </si>
  <si>
    <t>___________________________________</t>
  </si>
  <si>
    <t>Акт выполненных работ</t>
  </si>
  <si>
    <t>Договор комиссии №24062022 от 24.06.2022</t>
  </si>
  <si>
    <t>г.Санкт-Петербург</t>
  </si>
  <si>
    <t>Мы, нижеподписавшиеся, ИП Сбитенков Владимиир Владимирович, именуемое в дальнейшем «Комитент», с одной стороны, и ИП Туркин Алексей Викторович, именуемое в дальнейшем «Комиссионер», с другой стороны, составили настоящий АКТ о том, что в соответствии с договором комиссии Договор комиссии №24062022 от 24.06.2022 Комиссионером выполнены услуги по поручению в соответствии с Отчетом Комиссионера за период:</t>
  </si>
  <si>
    <t xml:space="preserve">Сумма реализации Товаров Комитента за отчетный период составила: </t>
  </si>
  <si>
    <t>Всего вознаграждение комиссионера</t>
  </si>
  <si>
    <t>Остаток Суммы реализации к перечислению Комитенту:</t>
  </si>
  <si>
    <t>Услуги по реализации Товара, указанные в Отчете Комиссионера, выполнены в соответствии с Договором в полном объеме.</t>
  </si>
  <si>
    <t>___________________</t>
  </si>
  <si>
    <t>_________________________</t>
  </si>
  <si>
    <t>ИП Сбитенков Владимир Владимирович</t>
  </si>
  <si>
    <t>М.П.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</si>
</sst>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</font>
    <font>
      <b/>
      <sz val="11"/>
      <color rgb="FF000000"/>
      <name val="Calibri"/>
      <family val="2"/>
      <charset val="204"/>
    </font>
    <font>
      <b/>
      <sz val="14"/>
      <name val="Arial"/>
      <family val="2"/>
      <charset val="204"/>
    </font>
    <font>
      <b/>
      <sz val="10"/>
      <name val="Arial"/>
      <family val="2"/>
      <charset val="204"/>
    </font>
    <font>
      <b/>
      <sz val="12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9"/>
      <color indexed="63"/>
      <name val="Arial"/>
      <family val="2"/>
      <charset val="204"/>
    </font>
    <font>
      <b/>
      <sz val="8"/>
      <name val="Arial"/>
      <family val="2"/>
      <charset val="204"/>
    </font>
    <font>
      <b/>
      <sz val="16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i/>
      <sz val="10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6" fillId="0" borderId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1" xfId="0" applyBorder="1" applyAlignment="1">
      <alignment horizontal="left" vertical="center"/>
    </xf>
    <xf numFmtId="49" fontId="4" fillId="3" borderId="1" xfId="2" applyNumberFormat="1" applyFill="1" applyBorder="1"/>
    <xf numFmtId="0" fontId="4" fillId="3" borderId="1" xfId="2" applyFill="1" applyBorder="1"/>
    <xf numFmtId="0" fontId="4" fillId="0" borderId="1" xfId="2" applyBorder="1"/>
    <xf numFmtId="0" fontId="4" fillId="0" borderId="0" xfId="2"/>
    <xf numFmtId="164" fontId="4" fillId="3" borderId="7" xfId="2" quotePrefix="1" applyNumberFormat="1" applyFill="1" applyBorder="1" applyAlignment="1">
      <alignment horizontal="right"/>
    </xf>
    <xf numFmtId="2" fontId="4" fillId="3" borderId="8" xfId="2" applyNumberFormat="1" applyFill="1" applyBorder="1" applyAlignment="1">
      <alignment horizontal="right"/>
    </xf>
    <xf numFmtId="2" fontId="4" fillId="0" borderId="8" xfId="2" applyNumberFormat="1" applyBorder="1" applyAlignment="1">
      <alignment horizontal="right"/>
    </xf>
    <xf numFmtId="49" fontId="4" fillId="3" borderId="0" xfId="2" applyNumberFormat="1" applyFill="1"/>
    <xf numFmtId="0" fontId="4" fillId="3" borderId="0" xfId="2" applyFill="1"/>
    <xf numFmtId="0" fontId="5" fillId="0" borderId="1" xfId="0" applyFont="1" applyBorder="1" applyAlignment="1">
      <alignment horizontal="left" vertical="center"/>
    </xf>
    <xf numFmtId="0" fontId="0" fillId="3" borderId="9" xfId="0" applyFill="1" applyBorder="1"/>
    <xf numFmtId="0" fontId="0" fillId="3" borderId="10" xfId="0" applyFill="1" applyBorder="1"/>
    <xf numFmtId="2" fontId="4" fillId="0" borderId="0" xfId="2" applyNumberFormat="1"/>
    <xf numFmtId="0" fontId="8" fillId="0" borderId="0" xfId="1" applyFont="1" applyAlignment="1">
      <alignment vertical="center"/>
    </xf>
    <xf numFmtId="0" fontId="6" fillId="0" borderId="0" xfId="1"/>
    <xf numFmtId="0" fontId="10" fillId="0" borderId="0" xfId="1" applyFont="1"/>
    <xf numFmtId="0" fontId="11" fillId="0" borderId="0" xfId="1" applyFont="1" applyAlignment="1">
      <alignment vertical="center"/>
    </xf>
    <xf numFmtId="0" fontId="11" fillId="0" borderId="0" xfId="1" applyFont="1" applyAlignment="1">
      <alignment vertical="top"/>
    </xf>
    <xf numFmtId="0" fontId="6" fillId="0" borderId="0" xfId="1" applyAlignment="1">
      <alignment wrapText="1"/>
    </xf>
    <xf numFmtId="0" fontId="13" fillId="5" borderId="11" xfId="1" applyFont="1" applyFill="1" applyBorder="1" applyAlignment="1">
      <alignment horizontal="center" vertical="center" wrapText="1"/>
    </xf>
    <xf numFmtId="0" fontId="14" fillId="5" borderId="2" xfId="1" applyFont="1" applyFill="1" applyBorder="1" applyAlignment="1">
      <alignment horizontal="center"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6" fillId="0" borderId="11" xfId="1" applyBorder="1" applyAlignment="1">
      <alignment horizontal="center" vertical="top"/>
    </xf>
    <xf numFmtId="0" fontId="6" fillId="0" borderId="2" xfId="1" applyBorder="1" applyAlignment="1">
      <alignment vertical="top"/>
    </xf>
    <xf numFmtId="1" fontId="6" fillId="0" borderId="11" xfId="1" applyNumberFormat="1" applyBorder="1" applyAlignment="1">
      <alignment horizontal="center" vertical="top"/>
    </xf>
    <xf numFmtId="4" fontId="6" fillId="0" borderId="11" xfId="1" applyNumberFormat="1" applyBorder="1" applyAlignment="1">
      <alignment horizontal="right" vertical="top"/>
    </xf>
    <xf numFmtId="4" fontId="6" fillId="0" borderId="2" xfId="1" applyNumberFormat="1" applyBorder="1" applyAlignment="1">
      <alignment horizontal="right" vertical="top"/>
    </xf>
    <xf numFmtId="0" fontId="6" fillId="0" borderId="2" xfId="1" applyBorder="1" applyAlignment="1">
      <alignment horizontal="right" vertical="top"/>
    </xf>
    <xf numFmtId="0" fontId="6" fillId="0" borderId="1" xfId="1" applyBorder="1" applyAlignment="1">
      <alignment vertical="top"/>
    </xf>
    <xf numFmtId="1" fontId="6" fillId="0" borderId="12" xfId="1" applyNumberFormat="1" applyBorder="1" applyAlignment="1">
      <alignment horizontal="center" vertical="top"/>
    </xf>
    <xf numFmtId="4" fontId="6" fillId="0" borderId="12" xfId="1" applyNumberFormat="1" applyBorder="1" applyAlignment="1">
      <alignment horizontal="right" vertical="top"/>
    </xf>
    <xf numFmtId="4" fontId="6" fillId="0" borderId="1" xfId="1" applyNumberFormat="1" applyBorder="1" applyAlignment="1">
      <alignment horizontal="right" vertical="top"/>
    </xf>
    <xf numFmtId="0" fontId="6" fillId="0" borderId="1" xfId="1" applyBorder="1" applyAlignment="1">
      <alignment horizontal="right" vertical="top"/>
    </xf>
    <xf numFmtId="4" fontId="14" fillId="5" borderId="13" xfId="1" applyNumberFormat="1" applyFont="1" applyFill="1" applyBorder="1" applyAlignment="1">
      <alignment horizontal="right" vertical="top"/>
    </xf>
    <xf numFmtId="0" fontId="14" fillId="0" borderId="0" xfId="1" applyFont="1"/>
    <xf numFmtId="4" fontId="14" fillId="0" borderId="0" xfId="1" applyNumberFormat="1" applyFont="1"/>
    <xf numFmtId="0" fontId="16" fillId="0" borderId="0" xfId="4" applyFont="1" applyAlignment="1">
      <alignment vertical="top"/>
    </xf>
    <xf numFmtId="0" fontId="19" fillId="0" borderId="0" xfId="4" applyFont="1" applyAlignment="1">
      <alignment vertical="top"/>
    </xf>
    <xf numFmtId="14" fontId="16" fillId="3" borderId="0" xfId="4" applyNumberFormat="1" applyFont="1" applyFill="1" applyAlignment="1">
      <alignment vertical="top"/>
    </xf>
    <xf numFmtId="49" fontId="20" fillId="0" borderId="0" xfId="4" applyNumberFormat="1" applyFont="1" applyAlignment="1">
      <alignment horizontal="left" vertical="top" wrapText="1"/>
    </xf>
    <xf numFmtId="0" fontId="19" fillId="0" borderId="0" xfId="4" applyFont="1" applyAlignment="1">
      <alignment horizontal="left" vertical="top" wrapText="1"/>
    </xf>
    <xf numFmtId="4" fontId="19" fillId="0" borderId="0" xfId="4" applyNumberFormat="1" applyFont="1" applyAlignment="1">
      <alignment horizontal="left" vertical="top" wrapText="1"/>
    </xf>
    <xf numFmtId="0" fontId="21" fillId="0" borderId="0" xfId="4" applyFont="1" applyAlignment="1">
      <alignment vertical="top"/>
    </xf>
    <xf numFmtId="4" fontId="21" fillId="3" borderId="0" xfId="4" applyNumberFormat="1" applyFont="1" applyFill="1" applyAlignment="1">
      <alignment vertical="top"/>
    </xf>
    <xf numFmtId="4" fontId="21" fillId="0" borderId="0" xfId="4" applyNumberFormat="1" applyFont="1" applyAlignment="1">
      <alignment vertical="top"/>
    </xf>
    <xf numFmtId="0" fontId="21" fillId="0" borderId="0" xfId="4" applyFont="1" applyAlignment="1">
      <alignment horizontal="left" vertical="top"/>
    </xf>
    <xf numFmtId="0" fontId="23" fillId="0" borderId="0" xfId="4" applyFont="1" applyAlignment="1">
      <alignment vertical="top"/>
    </xf>
    <xf numFmtId="4" fontId="21" fillId="3" borderId="0" xfId="4" applyNumberFormat="1" applyFont="1" applyFill="1" applyAlignment="1">
      <alignment horizontal="left" vertical="top" wrapText="1"/>
    </xf>
    <xf numFmtId="0" fontId="21" fillId="0" borderId="0" xfId="4" applyFont="1" applyAlignment="1">
      <alignment horizontal="left" vertical="top" wrapText="1"/>
    </xf>
    <xf numFmtId="0" fontId="24" fillId="0" borderId="0" xfId="4" applyFont="1" applyAlignment="1">
      <alignment vertical="top"/>
    </xf>
    <xf numFmtId="0" fontId="21" fillId="0" borderId="0" xfId="4" applyFont="1" applyAlignment="1">
      <alignment vertical="top" wrapText="1"/>
    </xf>
    <xf numFmtId="0" fontId="25" fillId="0" borderId="0" xfId="4" applyFont="1" applyAlignment="1">
      <alignment vertical="top" wrapText="1"/>
    </xf>
    <xf numFmtId="0" fontId="19" fillId="0" borderId="0" xfId="4" applyFont="1" applyAlignment="1">
      <alignment vertical="top" wrapText="1"/>
    </xf>
    <xf numFmtId="0" fontId="16" fillId="0" borderId="0" xfId="4" applyFont="1" applyAlignment="1">
      <alignment vertical="top" wrapText="1"/>
    </xf>
    <xf numFmtId="0" fontId="6" fillId="0" borderId="1" xfId="1" applyBorder="1" applyAlignment="1">
      <alignment horizontal="center" vertical="top"/>
    </xf>
    <xf numFmtId="1" fontId="6" fillId="0" borderId="1" xfId="1" applyNumberFormat="1" applyBorder="1" applyAlignment="1">
      <alignment horizontal="center" vertical="top"/>
    </xf>
    <xf numFmtId="0" fontId="6" fillId="0" borderId="0" xfId="1" applyFill="1"/>
    <xf numFmtId="0" fontId="26" fillId="6" borderId="0" xfId="0" applyFont="1" applyFill="1"/>
    <xf numFmtId="0" fontId="26" fillId="6" borderId="0" xfId="0" applyNumberFormat="1" applyFont="1" applyFill="1"/>
    <xf numFmtId="0" fontId="27" fillId="0" borderId="0" xfId="0" applyFont="1"/>
    <xf numFmtId="0" fontId="27" fillId="6" borderId="0" xfId="0" applyFont="1" applyFill="1"/>
    <xf numFmtId="14" fontId="26" fillId="0" borderId="0" xfId="0" applyNumberFormat="1" applyFont="1"/>
    <xf numFmtId="0" fontId="26" fillId="0" borderId="0" xfId="0" applyFont="1"/>
    <xf numFmtId="14" fontId="26" fillId="6" borderId="0" xfId="0" applyNumberFormat="1" applyFont="1" applyFill="1"/>
    <xf numFmtId="49" fontId="0" fillId="3" borderId="1" xfId="0" applyNumberFormat="1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top"/>
      <protection locked="0"/>
    </xf>
    <xf numFmtId="0" fontId="27" fillId="3" borderId="9" xfId="0" applyFont="1" applyFill="1" applyBorder="1"/>
    <xf numFmtId="14" fontId="0" fillId="3" borderId="1" xfId="0" applyNumberFormat="1" applyFill="1" applyBorder="1" applyAlignment="1" applyProtection="1">
      <alignment horizontal="left" vertical="center"/>
      <protection locked="0"/>
    </xf>
    <xf numFmtId="14" fontId="0" fillId="3" borderId="2" xfId="0" applyNumberFormat="1" applyFill="1" applyBorder="1" applyAlignment="1" applyProtection="1">
      <alignment horizontal="left" vertical="center"/>
      <protection locked="0"/>
    </xf>
    <xf numFmtId="49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8" fillId="0" borderId="0" xfId="1" applyFont="1" applyFill="1" applyAlignment="1">
      <alignment vertical="center"/>
    </xf>
    <xf numFmtId="0" fontId="3" fillId="0" borderId="0" xfId="4" applyFill="1" applyAlignment="1">
      <alignment vertical="center"/>
    </xf>
    <xf numFmtId="0" fontId="9" fillId="0" borderId="0" xfId="1" applyFont="1" applyFill="1" applyAlignment="1">
      <alignment wrapText="1"/>
    </xf>
    <xf numFmtId="0" fontId="3" fillId="0" borderId="0" xfId="4" applyFill="1" applyAlignment="1">
      <alignment wrapText="1"/>
    </xf>
    <xf numFmtId="0" fontId="12" fillId="0" borderId="0" xfId="1" applyFont="1" applyAlignment="1">
      <alignment vertical="top" wrapText="1"/>
    </xf>
    <xf numFmtId="0" fontId="3" fillId="0" borderId="0" xfId="4" applyAlignment="1">
      <alignment vertical="top" wrapText="1"/>
    </xf>
    <xf numFmtId="0" fontId="3" fillId="0" borderId="0" xfId="4" applyAlignment="1">
      <alignment vertical="top"/>
    </xf>
    <xf numFmtId="0" fontId="22" fillId="3" borderId="0" xfId="4" applyFont="1" applyFill="1" applyAlignment="1">
      <alignment horizontal="left" vertical="top" wrapText="1"/>
    </xf>
    <xf numFmtId="0" fontId="3" fillId="0" borderId="0" xfId="4" applyAlignment="1">
      <alignment horizontal="left" vertical="top" wrapText="1"/>
    </xf>
    <xf numFmtId="0" fontId="15" fillId="0" borderId="0" xfId="4" applyFont="1" applyAlignment="1">
      <alignment horizontal="center" vertical="top"/>
    </xf>
    <xf numFmtId="0" fontId="17" fillId="0" borderId="0" xfId="4" applyFont="1" applyAlignment="1">
      <alignment horizontal="center" vertical="top"/>
    </xf>
    <xf numFmtId="0" fontId="18" fillId="3" borderId="0" xfId="4" applyFont="1" applyFill="1" applyAlignment="1">
      <alignment horizontal="center" vertical="top"/>
    </xf>
    <xf numFmtId="0" fontId="19" fillId="0" borderId="0" xfId="4" applyFont="1" applyAlignment="1">
      <alignment horizontal="left" vertical="top" wrapText="1"/>
    </xf>
    <xf numFmtId="0" fontId="21" fillId="0" borderId="0" xfId="4" applyFont="1" applyAlignment="1">
      <alignment horizontal="left" vertical="top" wrapText="1"/>
    </xf>
  </cellXfs>
  <cellStyles count="10">
    <cellStyle name="Денежный 2" xfId="3" xr:uid="{71022FDB-E3C4-4846-AFE8-92696F59F085}"/>
    <cellStyle name="Денежный 3" xfId="5" xr:uid="{3D148C5A-721B-4D65-86C2-D1DACD9CBFED}"/>
    <cellStyle name="Денежный 4" xfId="7" xr:uid="{DB77C19F-332B-4344-937C-49E2522FD02B}"/>
    <cellStyle name="Денежный 5" xfId="9" xr:uid="{C0A9B227-F33A-42A1-862F-F263FC5F03FA}"/>
    <cellStyle name="Обычный" xfId="0" builtinId="0"/>
    <cellStyle name="Обычный 2" xfId="1" xr:uid="{949C722A-D3FA-49E4-B100-16A362D1D347}"/>
    <cellStyle name="Обычный 3" xfId="2" xr:uid="{13374456-28CD-41CB-8629-F31377B2A76F}"/>
    <cellStyle name="Обычный 4" xfId="4" xr:uid="{163DEC45-9FB5-4D15-8578-04E4DCCAA9D4}"/>
    <cellStyle name="Обычный 5" xfId="6" xr:uid="{D0D6FA5F-3024-4260-87EE-E85B7DB94196}"/>
    <cellStyle name="Обычный 6" xfId="8" xr:uid="{3C4F4AF0-C014-4286-BDBD-FFBBF13094F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133350</xdr:rowOff>
        </xdr:from>
        <xdr:to>
          <xdr:col>2</xdr:col>
          <xdr:colOff>1009650</xdr:colOff>
          <xdr:row>12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файл отчёта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12</xdr:row>
          <xdr:rowOff>161925</xdr:rowOff>
        </xdr:from>
        <xdr:to>
          <xdr:col>2</xdr:col>
          <xdr:colOff>1009650</xdr:colOff>
          <xdr:row>12</xdr:row>
          <xdr:rowOff>476250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акт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</xdr:row>
          <xdr:rowOff>114300</xdr:rowOff>
        </xdr:from>
        <xdr:to>
          <xdr:col>2</xdr:col>
          <xdr:colOff>1000125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 файл отчёта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190500</xdr:rowOff>
        </xdr:from>
        <xdr:to>
          <xdr:col>5</xdr:col>
          <xdr:colOff>590550</xdr:colOff>
          <xdr:row>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Поставить прошлую неделю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M13"/>
  <sheetViews>
    <sheetView showGridLines="0" workbookViewId="0">
      <selection activeCell="L16" sqref="L16"/>
    </sheetView>
  </sheetViews>
  <sheetFormatPr defaultRowHeight="15" x14ac:dyDescent="0.25"/>
  <cols>
    <col min="1" max="1" width="4.7109375" customWidth="1"/>
    <col min="2" max="2" width="16.7109375" customWidth="1"/>
    <col min="3" max="3" width="18.140625" customWidth="1"/>
    <col min="4" max="4" width="5.140625" style="61" customWidth="1"/>
    <col min="5" max="5" width="4.5703125" style="61" customWidth="1"/>
    <col min="6" max="7" width="10.140625" style="61" bestFit="1" customWidth="1"/>
    <col min="11" max="11" width="11" customWidth="1"/>
  </cols>
  <sheetData>
    <row r="1" spans="2:13" x14ac:dyDescent="0.25">
      <c r="F1" s="63">
        <f ca="1">TODAY()-G2-6</f>
        <v>44767</v>
      </c>
      <c r="G1" s="64"/>
      <c r="H1" s="61"/>
    </row>
    <row r="2" spans="2:13" ht="17.25" customHeight="1" x14ac:dyDescent="0.25">
      <c r="B2" s="72" t="s">
        <v>0</v>
      </c>
      <c r="C2" s="72"/>
      <c r="E2" s="62"/>
      <c r="F2" s="65">
        <f ca="1">TODAY()-G2</f>
        <v>44773</v>
      </c>
      <c r="G2" s="65" t="str">
        <f ca="1">LEFT(WEEKDAY(TODAY(),2),2)</f>
        <v>1</v>
      </c>
      <c r="H2" s="61"/>
    </row>
    <row r="3" spans="2:13" x14ac:dyDescent="0.25">
      <c r="B3" s="1" t="s">
        <v>1</v>
      </c>
      <c r="C3" s="69">
        <v>44760</v>
      </c>
      <c r="E3" s="62"/>
      <c r="F3" s="60" t="str">
        <f>TEXT(ПериодС,"ММ.гггг")</f>
        <v>07.2022</v>
      </c>
      <c r="G3" s="60">
        <f>COUNTA(Загрузка!A:A)</f>
        <v>102</v>
      </c>
      <c r="H3" s="61"/>
      <c r="K3" s="71"/>
    </row>
    <row r="4" spans="2:13" x14ac:dyDescent="0.25">
      <c r="B4" s="1" t="s">
        <v>2</v>
      </c>
      <c r="C4" s="70">
        <v>44766</v>
      </c>
      <c r="E4" s="62"/>
      <c r="F4" s="60" t="str">
        <f>TEXT(ПериодПо,"дд.ММ")</f>
        <v>24.07</v>
      </c>
      <c r="G4" s="59"/>
      <c r="H4" s="61"/>
    </row>
    <row r="5" spans="2:13" x14ac:dyDescent="0.25">
      <c r="B5" s="1" t="s">
        <v>113</v>
      </c>
      <c r="C5" s="66" t="s">
        <v>114</v>
      </c>
      <c r="D5" s="68"/>
      <c r="E5" s="68"/>
      <c r="F5" s="68"/>
      <c r="G5" s="68"/>
      <c r="H5" s="13"/>
    </row>
    <row r="7" spans="2:13" x14ac:dyDescent="0.25">
      <c r="B7" s="11" t="s">
        <v>111</v>
      </c>
      <c r="C7" s="67" t="s">
        <v>112</v>
      </c>
      <c r="D7" s="68"/>
      <c r="E7" s="68"/>
      <c r="F7" s="68"/>
      <c r="G7" s="68"/>
      <c r="H7" s="12"/>
      <c r="I7" s="12"/>
      <c r="J7" s="12"/>
      <c r="K7" s="12"/>
      <c r="L7" s="12"/>
      <c r="M7" s="13"/>
    </row>
    <row r="8" spans="2:13" ht="15.75" thickBot="1" x14ac:dyDescent="0.3"/>
    <row r="9" spans="2:13" x14ac:dyDescent="0.25">
      <c r="B9" s="73"/>
      <c r="C9" s="74"/>
    </row>
    <row r="10" spans="2:13" x14ac:dyDescent="0.25">
      <c r="B10" s="75"/>
      <c r="C10" s="76"/>
    </row>
    <row r="11" spans="2:13" x14ac:dyDescent="0.25">
      <c r="B11" s="75"/>
      <c r="C11" s="76"/>
    </row>
    <row r="12" spans="2:13" x14ac:dyDescent="0.25">
      <c r="B12" s="75"/>
      <c r="C12" s="76"/>
    </row>
    <row r="13" spans="2:13" ht="51" customHeight="1" x14ac:dyDescent="0.25">
      <c r="B13" s="75"/>
      <c r="C13" s="76"/>
    </row>
  </sheetData>
  <sheetProtection sheet="1" objects="1" scenarios="1"/>
  <mergeCells count="2">
    <mergeCell ref="B2:C2"/>
    <mergeCell ref="B9:C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СоздатьФайлОтчёта">
                <anchor moveWithCells="1" sizeWithCells="1">
                  <from>
                    <xdr:col>1</xdr:col>
                    <xdr:colOff>228600</xdr:colOff>
                    <xdr:row>10</xdr:row>
                    <xdr:rowOff>133350</xdr:rowOff>
                  </from>
                  <to>
                    <xdr:col>2</xdr:col>
                    <xdr:colOff>1009650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ВыгрузитьАкт">
                <anchor moveWithCells="1" sizeWithCells="1">
                  <from>
                    <xdr:col>1</xdr:col>
                    <xdr:colOff>228600</xdr:colOff>
                    <xdr:row>12</xdr:row>
                    <xdr:rowOff>161925</xdr:rowOff>
                  </from>
                  <to>
                    <xdr:col>2</xdr:col>
                    <xdr:colOff>1009650</xdr:colOff>
                    <xdr:row>12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ВыбратьФайл">
                <anchor moveWithCells="1" sizeWithCells="1">
                  <from>
                    <xdr:col>1</xdr:col>
                    <xdr:colOff>219075</xdr:colOff>
                    <xdr:row>8</xdr:row>
                    <xdr:rowOff>114300</xdr:rowOff>
                  </from>
                  <to>
                    <xdr:col>2</xdr:col>
                    <xdr:colOff>1000125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УстановитьПрошлуюНеделю">
                <anchor moveWithCells="1" sizeWithCells="1">
                  <from>
                    <xdr:col>3</xdr:col>
                    <xdr:colOff>38100</xdr:colOff>
                    <xdr:row>0</xdr:row>
                    <xdr:rowOff>190500</xdr:rowOff>
                  </from>
                  <to>
                    <xdr:col>5</xdr:col>
                    <xdr:colOff>590550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0C3BF-C3C1-4C2F-9E3A-D9D144C5ABF2}">
  <sheetPr codeName="Лист3"/>
  <dimension ref="A1:G102"/>
  <sheetViews>
    <sheetView topLeftCell="A61" zoomScale="85" zoomScaleNormal="85" workbookViewId="0">
      <selection activeCell="B102" sqref="B102"/>
    </sheetView>
  </sheetViews>
  <sheetFormatPr defaultColWidth="8.85546875" defaultRowHeight="15" x14ac:dyDescent="0.25"/>
  <cols>
    <col min="1" max="1" width="14.140625" style="9" bestFit="1" customWidth="1"/>
    <col min="2" max="2" width="8.85546875" style="10"/>
    <col min="3" max="3" width="16.42578125" style="10" bestFit="1" customWidth="1"/>
    <col min="4" max="4" width="16.28515625" style="5" bestFit="1" customWidth="1"/>
    <col min="5" max="5" width="16.28515625" style="10" customWidth="1"/>
    <col min="6" max="6" width="14.85546875" style="5" bestFit="1" customWidth="1"/>
    <col min="7" max="7" width="21.85546875" style="5" bestFit="1" customWidth="1"/>
    <col min="8" max="16384" width="8.85546875" style="5"/>
  </cols>
  <sheetData>
    <row r="1" spans="1:7" x14ac:dyDescent="0.25">
      <c r="A1" s="2" t="s">
        <v>107</v>
      </c>
      <c r="B1" s="3" t="s">
        <v>108</v>
      </c>
      <c r="C1" s="3" t="s">
        <v>109</v>
      </c>
      <c r="D1" s="4" t="s">
        <v>3</v>
      </c>
      <c r="E1" s="3" t="s">
        <v>4</v>
      </c>
      <c r="F1" s="4" t="s">
        <v>5</v>
      </c>
      <c r="G1" s="4" t="s">
        <v>110</v>
      </c>
    </row>
    <row r="2" spans="1:7" x14ac:dyDescent="0.25">
      <c r="A2" s="6" t="s">
        <v>6</v>
      </c>
      <c r="B2" s="7">
        <v>1</v>
      </c>
      <c r="C2" s="7">
        <v>1156.32</v>
      </c>
      <c r="D2" s="8">
        <f t="shared" ref="D2:D33" si="0">B2*C2</f>
        <v>1156.32</v>
      </c>
      <c r="E2" s="7">
        <v>2190</v>
      </c>
      <c r="F2" s="8">
        <f t="shared" ref="F2:F33" si="1">E2*B2</f>
        <v>2190</v>
      </c>
      <c r="G2" s="8">
        <f t="shared" ref="G2:G33" si="2">F2-D2</f>
        <v>1033.68</v>
      </c>
    </row>
    <row r="3" spans="1:7" x14ac:dyDescent="0.25">
      <c r="A3" s="6" t="s">
        <v>7</v>
      </c>
      <c r="B3" s="7">
        <v>2</v>
      </c>
      <c r="C3" s="7">
        <v>997.92</v>
      </c>
      <c r="D3" s="8">
        <f t="shared" si="0"/>
        <v>1995.84</v>
      </c>
      <c r="E3" s="7">
        <v>1890</v>
      </c>
      <c r="F3" s="8">
        <f t="shared" si="1"/>
        <v>3780</v>
      </c>
      <c r="G3" s="8">
        <f t="shared" si="2"/>
        <v>1784.16</v>
      </c>
    </row>
    <row r="4" spans="1:7" x14ac:dyDescent="0.25">
      <c r="A4" s="6" t="s">
        <v>8</v>
      </c>
      <c r="B4" s="7">
        <v>3</v>
      </c>
      <c r="C4" s="7">
        <v>997.92</v>
      </c>
      <c r="D4" s="8">
        <f t="shared" si="0"/>
        <v>2993.7599999999998</v>
      </c>
      <c r="E4" s="7">
        <v>1890</v>
      </c>
      <c r="F4" s="8">
        <f t="shared" si="1"/>
        <v>5670</v>
      </c>
      <c r="G4" s="8">
        <f t="shared" si="2"/>
        <v>2676.2400000000002</v>
      </c>
    </row>
    <row r="5" spans="1:7" x14ac:dyDescent="0.25">
      <c r="A5" s="9" t="s">
        <v>9</v>
      </c>
      <c r="B5" s="10">
        <v>2</v>
      </c>
      <c r="C5" s="10">
        <v>945.12</v>
      </c>
      <c r="D5" s="5">
        <f t="shared" si="0"/>
        <v>1890.24</v>
      </c>
      <c r="E5" s="10">
        <v>1790</v>
      </c>
      <c r="F5" s="5">
        <f t="shared" si="1"/>
        <v>3580</v>
      </c>
      <c r="G5" s="14">
        <f t="shared" si="2"/>
        <v>1689.76</v>
      </c>
    </row>
    <row r="6" spans="1:7" x14ac:dyDescent="0.25">
      <c r="A6" s="9" t="s">
        <v>10</v>
      </c>
      <c r="B6" s="10">
        <v>2</v>
      </c>
      <c r="C6" s="10">
        <v>945.12</v>
      </c>
      <c r="D6" s="5">
        <f t="shared" si="0"/>
        <v>1890.24</v>
      </c>
      <c r="E6" s="10">
        <v>1790</v>
      </c>
      <c r="F6" s="5">
        <f t="shared" si="1"/>
        <v>3580</v>
      </c>
      <c r="G6" s="14">
        <f t="shared" si="2"/>
        <v>1689.76</v>
      </c>
    </row>
    <row r="7" spans="1:7" x14ac:dyDescent="0.25">
      <c r="A7" s="9" t="s">
        <v>11</v>
      </c>
      <c r="B7" s="10">
        <v>1</v>
      </c>
      <c r="C7" s="10">
        <v>1156.32</v>
      </c>
      <c r="D7" s="5">
        <f t="shared" si="0"/>
        <v>1156.32</v>
      </c>
      <c r="E7" s="10">
        <v>2190</v>
      </c>
      <c r="F7" s="5">
        <f t="shared" si="1"/>
        <v>2190</v>
      </c>
      <c r="G7" s="14">
        <f t="shared" si="2"/>
        <v>1033.68</v>
      </c>
    </row>
    <row r="8" spans="1:7" x14ac:dyDescent="0.25">
      <c r="A8" s="9" t="s">
        <v>12</v>
      </c>
      <c r="B8" s="10">
        <v>1</v>
      </c>
      <c r="C8" s="10">
        <v>1156.32</v>
      </c>
      <c r="D8" s="5">
        <f t="shared" si="0"/>
        <v>1156.32</v>
      </c>
      <c r="E8" s="10">
        <v>2190</v>
      </c>
      <c r="F8" s="5">
        <f t="shared" si="1"/>
        <v>2190</v>
      </c>
      <c r="G8" s="14">
        <f t="shared" si="2"/>
        <v>1033.68</v>
      </c>
    </row>
    <row r="9" spans="1:7" x14ac:dyDescent="0.25">
      <c r="A9" s="9" t="s">
        <v>13</v>
      </c>
      <c r="B9" s="10">
        <v>1</v>
      </c>
      <c r="C9" s="10">
        <v>1156.32</v>
      </c>
      <c r="D9" s="5">
        <f t="shared" si="0"/>
        <v>1156.32</v>
      </c>
      <c r="E9" s="10">
        <v>2190</v>
      </c>
      <c r="F9" s="5">
        <f t="shared" si="1"/>
        <v>2190</v>
      </c>
      <c r="G9" s="14">
        <f t="shared" si="2"/>
        <v>1033.68</v>
      </c>
    </row>
    <row r="10" spans="1:7" x14ac:dyDescent="0.25">
      <c r="A10" s="9" t="s">
        <v>14</v>
      </c>
      <c r="B10" s="10">
        <v>3</v>
      </c>
      <c r="C10" s="10">
        <v>1050.72</v>
      </c>
      <c r="D10" s="5">
        <f t="shared" si="0"/>
        <v>3152.16</v>
      </c>
      <c r="E10" s="10">
        <v>1990</v>
      </c>
      <c r="F10" s="5">
        <f t="shared" si="1"/>
        <v>5970</v>
      </c>
      <c r="G10" s="14">
        <f t="shared" si="2"/>
        <v>2817.84</v>
      </c>
    </row>
    <row r="11" spans="1:7" x14ac:dyDescent="0.25">
      <c r="A11" s="9" t="s">
        <v>15</v>
      </c>
      <c r="B11" s="10">
        <v>1</v>
      </c>
      <c r="C11" s="10">
        <v>1050.72</v>
      </c>
      <c r="D11" s="5">
        <f t="shared" si="0"/>
        <v>1050.72</v>
      </c>
      <c r="E11" s="10">
        <v>1990</v>
      </c>
      <c r="F11" s="5">
        <f t="shared" si="1"/>
        <v>1990</v>
      </c>
      <c r="G11" s="14">
        <f t="shared" si="2"/>
        <v>939.28</v>
      </c>
    </row>
    <row r="12" spans="1:7" x14ac:dyDescent="0.25">
      <c r="A12" s="9" t="s">
        <v>16</v>
      </c>
      <c r="B12" s="10">
        <v>3</v>
      </c>
      <c r="C12" s="10">
        <v>1050.72</v>
      </c>
      <c r="D12" s="5">
        <f t="shared" si="0"/>
        <v>3152.16</v>
      </c>
      <c r="E12" s="10">
        <v>1990</v>
      </c>
      <c r="F12" s="5">
        <f t="shared" si="1"/>
        <v>5970</v>
      </c>
      <c r="G12" s="14">
        <f t="shared" si="2"/>
        <v>2817.84</v>
      </c>
    </row>
    <row r="13" spans="1:7" x14ac:dyDescent="0.25">
      <c r="A13" s="9" t="s">
        <v>17</v>
      </c>
      <c r="B13" s="10">
        <v>2</v>
      </c>
      <c r="C13" s="10">
        <v>1050.72</v>
      </c>
      <c r="D13" s="5">
        <f t="shared" si="0"/>
        <v>2101.44</v>
      </c>
      <c r="E13" s="10">
        <v>1990</v>
      </c>
      <c r="F13" s="5">
        <f t="shared" si="1"/>
        <v>3980</v>
      </c>
      <c r="G13" s="14">
        <f t="shared" si="2"/>
        <v>1878.56</v>
      </c>
    </row>
    <row r="14" spans="1:7" x14ac:dyDescent="0.25">
      <c r="A14" s="9" t="s">
        <v>18</v>
      </c>
      <c r="B14" s="10">
        <v>3</v>
      </c>
      <c r="C14" s="10">
        <v>1050.72</v>
      </c>
      <c r="D14" s="5">
        <f t="shared" si="0"/>
        <v>3152.16</v>
      </c>
      <c r="E14" s="10">
        <v>1990</v>
      </c>
      <c r="F14" s="5">
        <f t="shared" si="1"/>
        <v>5970</v>
      </c>
      <c r="G14" s="14">
        <f t="shared" si="2"/>
        <v>2817.84</v>
      </c>
    </row>
    <row r="15" spans="1:7" x14ac:dyDescent="0.25">
      <c r="A15" s="9" t="s">
        <v>19</v>
      </c>
      <c r="B15" s="10">
        <v>5</v>
      </c>
      <c r="C15" s="10">
        <v>1050.72</v>
      </c>
      <c r="D15" s="5">
        <f t="shared" si="0"/>
        <v>5253.6</v>
      </c>
      <c r="E15" s="10">
        <v>1990</v>
      </c>
      <c r="F15" s="5">
        <f t="shared" si="1"/>
        <v>9950</v>
      </c>
      <c r="G15" s="14">
        <f t="shared" si="2"/>
        <v>4696.3999999999996</v>
      </c>
    </row>
    <row r="16" spans="1:7" x14ac:dyDescent="0.25">
      <c r="A16" s="9" t="s">
        <v>20</v>
      </c>
      <c r="B16" s="10">
        <v>6</v>
      </c>
      <c r="C16" s="10">
        <v>1156.32</v>
      </c>
      <c r="D16" s="5">
        <f t="shared" si="0"/>
        <v>6937.92</v>
      </c>
      <c r="E16" s="10">
        <v>2190</v>
      </c>
      <c r="F16" s="5">
        <f t="shared" si="1"/>
        <v>13140</v>
      </c>
      <c r="G16" s="14">
        <f t="shared" si="2"/>
        <v>6202.08</v>
      </c>
    </row>
    <row r="17" spans="1:7" x14ac:dyDescent="0.25">
      <c r="A17" s="9" t="s">
        <v>21</v>
      </c>
      <c r="B17" s="10">
        <v>2</v>
      </c>
      <c r="C17" s="10">
        <v>1050.72</v>
      </c>
      <c r="D17" s="5">
        <f t="shared" si="0"/>
        <v>2101.44</v>
      </c>
      <c r="E17" s="10">
        <v>1990</v>
      </c>
      <c r="F17" s="5">
        <f t="shared" si="1"/>
        <v>3980</v>
      </c>
      <c r="G17" s="14">
        <f t="shared" si="2"/>
        <v>1878.56</v>
      </c>
    </row>
    <row r="18" spans="1:7" x14ac:dyDescent="0.25">
      <c r="A18" s="9" t="s">
        <v>22</v>
      </c>
      <c r="B18" s="10">
        <v>3</v>
      </c>
      <c r="C18" s="10">
        <v>1050.72</v>
      </c>
      <c r="D18" s="5">
        <f t="shared" si="0"/>
        <v>3152.16</v>
      </c>
      <c r="E18" s="10">
        <v>1990</v>
      </c>
      <c r="F18" s="5">
        <f t="shared" si="1"/>
        <v>5970</v>
      </c>
      <c r="G18" s="14">
        <f t="shared" si="2"/>
        <v>2817.84</v>
      </c>
    </row>
    <row r="19" spans="1:7" x14ac:dyDescent="0.25">
      <c r="A19" s="9" t="s">
        <v>23</v>
      </c>
      <c r="B19" s="10">
        <v>1</v>
      </c>
      <c r="C19" s="10">
        <v>1050.72</v>
      </c>
      <c r="D19" s="5">
        <f t="shared" si="0"/>
        <v>1050.72</v>
      </c>
      <c r="E19" s="10">
        <v>1990</v>
      </c>
      <c r="F19" s="5">
        <f t="shared" si="1"/>
        <v>1990</v>
      </c>
      <c r="G19" s="14">
        <f t="shared" si="2"/>
        <v>939.28</v>
      </c>
    </row>
    <row r="20" spans="1:7" x14ac:dyDescent="0.25">
      <c r="A20" s="9" t="s">
        <v>24</v>
      </c>
      <c r="B20" s="10">
        <v>3</v>
      </c>
      <c r="C20" s="10">
        <v>1050.72</v>
      </c>
      <c r="D20" s="5">
        <f t="shared" si="0"/>
        <v>3152.16</v>
      </c>
      <c r="E20" s="10">
        <v>1990</v>
      </c>
      <c r="F20" s="5">
        <f t="shared" si="1"/>
        <v>5970</v>
      </c>
      <c r="G20" s="14">
        <f t="shared" si="2"/>
        <v>2817.84</v>
      </c>
    </row>
    <row r="21" spans="1:7" x14ac:dyDescent="0.25">
      <c r="A21" s="9" t="s">
        <v>25</v>
      </c>
      <c r="B21" s="10">
        <v>2</v>
      </c>
      <c r="C21" s="10">
        <v>1050.72</v>
      </c>
      <c r="D21" s="5">
        <f t="shared" si="0"/>
        <v>2101.44</v>
      </c>
      <c r="E21" s="10">
        <v>1990</v>
      </c>
      <c r="F21" s="5">
        <f t="shared" si="1"/>
        <v>3980</v>
      </c>
      <c r="G21" s="14">
        <f t="shared" si="2"/>
        <v>1878.56</v>
      </c>
    </row>
    <row r="22" spans="1:7" x14ac:dyDescent="0.25">
      <c r="A22" s="9" t="s">
        <v>26</v>
      </c>
      <c r="B22" s="10">
        <v>2</v>
      </c>
      <c r="C22" s="10">
        <v>1050.72</v>
      </c>
      <c r="D22" s="5">
        <f t="shared" si="0"/>
        <v>2101.44</v>
      </c>
      <c r="E22" s="10">
        <v>1990</v>
      </c>
      <c r="F22" s="5">
        <f t="shared" si="1"/>
        <v>3980</v>
      </c>
      <c r="G22" s="14">
        <f t="shared" si="2"/>
        <v>1878.56</v>
      </c>
    </row>
    <row r="23" spans="1:7" x14ac:dyDescent="0.25">
      <c r="A23" s="9" t="s">
        <v>27</v>
      </c>
      <c r="B23" s="10">
        <v>2</v>
      </c>
      <c r="C23" s="10">
        <v>1050.72</v>
      </c>
      <c r="D23" s="5">
        <f t="shared" si="0"/>
        <v>2101.44</v>
      </c>
      <c r="E23" s="10">
        <v>1990</v>
      </c>
      <c r="F23" s="5">
        <f t="shared" si="1"/>
        <v>3980</v>
      </c>
      <c r="G23" s="14">
        <f t="shared" si="2"/>
        <v>1878.56</v>
      </c>
    </row>
    <row r="24" spans="1:7" x14ac:dyDescent="0.25">
      <c r="A24" s="9" t="s">
        <v>28</v>
      </c>
      <c r="B24" s="10">
        <v>2</v>
      </c>
      <c r="C24" s="10">
        <v>1050.72</v>
      </c>
      <c r="D24" s="5">
        <f t="shared" si="0"/>
        <v>2101.44</v>
      </c>
      <c r="E24" s="10">
        <v>1990</v>
      </c>
      <c r="F24" s="5">
        <f t="shared" si="1"/>
        <v>3980</v>
      </c>
      <c r="G24" s="14">
        <f t="shared" si="2"/>
        <v>1878.56</v>
      </c>
    </row>
    <row r="25" spans="1:7" x14ac:dyDescent="0.25">
      <c r="A25" s="9" t="s">
        <v>29</v>
      </c>
      <c r="B25" s="10">
        <v>18</v>
      </c>
      <c r="C25" s="10">
        <v>1050.72</v>
      </c>
      <c r="D25" s="5">
        <f t="shared" si="0"/>
        <v>18912.96</v>
      </c>
      <c r="E25" s="10">
        <v>1990</v>
      </c>
      <c r="F25" s="5">
        <f t="shared" si="1"/>
        <v>35820</v>
      </c>
      <c r="G25" s="14">
        <f t="shared" si="2"/>
        <v>16907.04</v>
      </c>
    </row>
    <row r="26" spans="1:7" x14ac:dyDescent="0.25">
      <c r="A26" s="9" t="s">
        <v>30</v>
      </c>
      <c r="B26" s="10">
        <v>6</v>
      </c>
      <c r="C26" s="10">
        <v>1314.72</v>
      </c>
      <c r="D26" s="5">
        <f t="shared" si="0"/>
        <v>7888.32</v>
      </c>
      <c r="E26" s="10">
        <v>2490</v>
      </c>
      <c r="F26" s="5">
        <f t="shared" si="1"/>
        <v>14940</v>
      </c>
      <c r="G26" s="14">
        <f t="shared" si="2"/>
        <v>7051.68</v>
      </c>
    </row>
    <row r="27" spans="1:7" x14ac:dyDescent="0.25">
      <c r="A27" s="9" t="s">
        <v>31</v>
      </c>
      <c r="B27" s="10">
        <v>6</v>
      </c>
      <c r="C27" s="10">
        <v>1314.72</v>
      </c>
      <c r="D27" s="5">
        <f t="shared" si="0"/>
        <v>7888.32</v>
      </c>
      <c r="E27" s="10">
        <v>2490</v>
      </c>
      <c r="F27" s="5">
        <f t="shared" si="1"/>
        <v>14940</v>
      </c>
      <c r="G27" s="14">
        <f t="shared" si="2"/>
        <v>7051.68</v>
      </c>
    </row>
    <row r="28" spans="1:7" x14ac:dyDescent="0.25">
      <c r="A28" s="9" t="s">
        <v>32</v>
      </c>
      <c r="B28" s="10">
        <v>6</v>
      </c>
      <c r="C28" s="10">
        <v>1050.72</v>
      </c>
      <c r="D28" s="5">
        <f t="shared" si="0"/>
        <v>6304.32</v>
      </c>
      <c r="E28" s="10">
        <v>1990</v>
      </c>
      <c r="F28" s="5">
        <f t="shared" si="1"/>
        <v>11940</v>
      </c>
      <c r="G28" s="14">
        <f t="shared" si="2"/>
        <v>5635.68</v>
      </c>
    </row>
    <row r="29" spans="1:7" x14ac:dyDescent="0.25">
      <c r="A29" s="9" t="s">
        <v>33</v>
      </c>
      <c r="B29" s="10">
        <v>6</v>
      </c>
      <c r="C29" s="10">
        <v>1050.72</v>
      </c>
      <c r="D29" s="5">
        <f t="shared" si="0"/>
        <v>6304.32</v>
      </c>
      <c r="E29" s="10">
        <v>1990</v>
      </c>
      <c r="F29" s="5">
        <f t="shared" si="1"/>
        <v>11940</v>
      </c>
      <c r="G29" s="14">
        <f t="shared" si="2"/>
        <v>5635.68</v>
      </c>
    </row>
    <row r="30" spans="1:7" x14ac:dyDescent="0.25">
      <c r="A30" s="9" t="s">
        <v>34</v>
      </c>
      <c r="B30" s="10">
        <v>1</v>
      </c>
      <c r="C30" s="10">
        <v>1103.52</v>
      </c>
      <c r="D30" s="5">
        <f t="shared" si="0"/>
        <v>1103.52</v>
      </c>
      <c r="E30" s="10">
        <v>2090</v>
      </c>
      <c r="F30" s="5">
        <f t="shared" si="1"/>
        <v>2090</v>
      </c>
      <c r="G30" s="14">
        <f t="shared" si="2"/>
        <v>986.48</v>
      </c>
    </row>
    <row r="31" spans="1:7" x14ac:dyDescent="0.25">
      <c r="A31" s="9" t="s">
        <v>35</v>
      </c>
      <c r="B31" s="10">
        <v>1</v>
      </c>
      <c r="C31" s="10">
        <v>1103.52</v>
      </c>
      <c r="D31" s="5">
        <f t="shared" si="0"/>
        <v>1103.52</v>
      </c>
      <c r="E31" s="10">
        <v>2090</v>
      </c>
      <c r="F31" s="5">
        <f t="shared" si="1"/>
        <v>2090</v>
      </c>
      <c r="G31" s="14">
        <f t="shared" si="2"/>
        <v>986.48</v>
      </c>
    </row>
    <row r="32" spans="1:7" x14ac:dyDescent="0.25">
      <c r="A32" s="9" t="s">
        <v>36</v>
      </c>
      <c r="B32" s="10">
        <v>1</v>
      </c>
      <c r="C32" s="10">
        <v>1103.52</v>
      </c>
      <c r="D32" s="5">
        <f t="shared" si="0"/>
        <v>1103.52</v>
      </c>
      <c r="E32" s="10">
        <v>2090</v>
      </c>
      <c r="F32" s="5">
        <f t="shared" si="1"/>
        <v>2090</v>
      </c>
      <c r="G32" s="14">
        <f t="shared" si="2"/>
        <v>986.48</v>
      </c>
    </row>
    <row r="33" spans="1:7" x14ac:dyDescent="0.25">
      <c r="A33" s="9" t="s">
        <v>37</v>
      </c>
      <c r="B33" s="10">
        <v>2</v>
      </c>
      <c r="C33" s="10">
        <v>1103.52</v>
      </c>
      <c r="D33" s="5">
        <f t="shared" si="0"/>
        <v>2207.04</v>
      </c>
      <c r="E33" s="10">
        <v>2090</v>
      </c>
      <c r="F33" s="5">
        <f t="shared" si="1"/>
        <v>4180</v>
      </c>
      <c r="G33" s="14">
        <f t="shared" si="2"/>
        <v>1972.96</v>
      </c>
    </row>
    <row r="34" spans="1:7" x14ac:dyDescent="0.25">
      <c r="A34" s="9" t="s">
        <v>38</v>
      </c>
      <c r="B34" s="10">
        <v>1</v>
      </c>
      <c r="C34" s="10">
        <v>1103.52</v>
      </c>
      <c r="D34" s="5">
        <f t="shared" ref="D34:D65" si="3">B34*C34</f>
        <v>1103.52</v>
      </c>
      <c r="E34" s="10">
        <v>2090</v>
      </c>
      <c r="F34" s="5">
        <f t="shared" ref="F34:F65" si="4">E34*B34</f>
        <v>2090</v>
      </c>
      <c r="G34" s="14">
        <f t="shared" ref="G34:G65" si="5">F34-D34</f>
        <v>986.48</v>
      </c>
    </row>
    <row r="35" spans="1:7" x14ac:dyDescent="0.25">
      <c r="A35" s="9" t="s">
        <v>39</v>
      </c>
      <c r="B35" s="10">
        <v>2</v>
      </c>
      <c r="C35" s="10">
        <v>1103.52</v>
      </c>
      <c r="D35" s="5">
        <f t="shared" si="3"/>
        <v>2207.04</v>
      </c>
      <c r="E35" s="10">
        <v>2090</v>
      </c>
      <c r="F35" s="5">
        <f t="shared" si="4"/>
        <v>4180</v>
      </c>
      <c r="G35" s="14">
        <f t="shared" si="5"/>
        <v>1972.96</v>
      </c>
    </row>
    <row r="36" spans="1:7" x14ac:dyDescent="0.25">
      <c r="A36" s="9" t="s">
        <v>40</v>
      </c>
      <c r="B36" s="10">
        <v>1</v>
      </c>
      <c r="C36" s="10">
        <v>1103.52</v>
      </c>
      <c r="D36" s="5">
        <f t="shared" si="3"/>
        <v>1103.52</v>
      </c>
      <c r="E36" s="10">
        <v>2090</v>
      </c>
      <c r="F36" s="5">
        <f t="shared" si="4"/>
        <v>2090</v>
      </c>
      <c r="G36" s="14">
        <f t="shared" si="5"/>
        <v>986.48</v>
      </c>
    </row>
    <row r="37" spans="1:7" x14ac:dyDescent="0.25">
      <c r="A37" s="9" t="s">
        <v>41</v>
      </c>
      <c r="B37" s="10">
        <v>1</v>
      </c>
      <c r="C37" s="10">
        <v>1103.52</v>
      </c>
      <c r="D37" s="5">
        <f t="shared" si="3"/>
        <v>1103.52</v>
      </c>
      <c r="E37" s="10">
        <v>2090</v>
      </c>
      <c r="F37" s="5">
        <f t="shared" si="4"/>
        <v>2090</v>
      </c>
      <c r="G37" s="14">
        <f t="shared" si="5"/>
        <v>986.48</v>
      </c>
    </row>
    <row r="38" spans="1:7" x14ac:dyDescent="0.25">
      <c r="A38" s="9" t="s">
        <v>42</v>
      </c>
      <c r="B38" s="10">
        <v>7</v>
      </c>
      <c r="C38" s="10">
        <v>1103.52</v>
      </c>
      <c r="D38" s="5">
        <f t="shared" si="3"/>
        <v>7724.6399999999994</v>
      </c>
      <c r="E38" s="10">
        <v>2090</v>
      </c>
      <c r="F38" s="5">
        <f t="shared" si="4"/>
        <v>14630</v>
      </c>
      <c r="G38" s="14">
        <f t="shared" si="5"/>
        <v>6905.3600000000006</v>
      </c>
    </row>
    <row r="39" spans="1:7" x14ac:dyDescent="0.25">
      <c r="A39" s="9" t="s">
        <v>43</v>
      </c>
      <c r="B39" s="10">
        <v>3</v>
      </c>
      <c r="C39" s="10">
        <v>1103.52</v>
      </c>
      <c r="D39" s="5">
        <f t="shared" si="3"/>
        <v>3310.56</v>
      </c>
      <c r="E39" s="10">
        <v>2090</v>
      </c>
      <c r="F39" s="5">
        <f t="shared" si="4"/>
        <v>6270</v>
      </c>
      <c r="G39" s="14">
        <f t="shared" si="5"/>
        <v>2959.44</v>
      </c>
    </row>
    <row r="40" spans="1:7" x14ac:dyDescent="0.25">
      <c r="A40" s="9" t="s">
        <v>44</v>
      </c>
      <c r="B40" s="10">
        <v>3</v>
      </c>
      <c r="C40" s="10">
        <v>1367.5199999999998</v>
      </c>
      <c r="D40" s="5">
        <f t="shared" si="3"/>
        <v>4102.5599999999995</v>
      </c>
      <c r="E40" s="10">
        <v>2590</v>
      </c>
      <c r="F40" s="5">
        <f t="shared" si="4"/>
        <v>7770</v>
      </c>
      <c r="G40" s="14">
        <f t="shared" si="5"/>
        <v>3667.4400000000005</v>
      </c>
    </row>
    <row r="41" spans="1:7" x14ac:dyDescent="0.25">
      <c r="A41" s="9" t="s">
        <v>45</v>
      </c>
      <c r="B41" s="10">
        <v>1</v>
      </c>
      <c r="C41" s="10">
        <v>1367.5199999999998</v>
      </c>
      <c r="D41" s="5">
        <f t="shared" si="3"/>
        <v>1367.5199999999998</v>
      </c>
      <c r="E41" s="10">
        <v>2590</v>
      </c>
      <c r="F41" s="5">
        <f t="shared" si="4"/>
        <v>2590</v>
      </c>
      <c r="G41" s="14">
        <f t="shared" si="5"/>
        <v>1222.4800000000002</v>
      </c>
    </row>
    <row r="42" spans="1:7" x14ac:dyDescent="0.25">
      <c r="A42" s="9" t="s">
        <v>46</v>
      </c>
      <c r="B42" s="10">
        <v>2</v>
      </c>
      <c r="C42" s="10">
        <v>1367.5199999999998</v>
      </c>
      <c r="D42" s="5">
        <f t="shared" si="3"/>
        <v>2735.0399999999995</v>
      </c>
      <c r="E42" s="10">
        <v>2590</v>
      </c>
      <c r="F42" s="5">
        <f t="shared" si="4"/>
        <v>5180</v>
      </c>
      <c r="G42" s="14">
        <f t="shared" si="5"/>
        <v>2444.9600000000005</v>
      </c>
    </row>
    <row r="43" spans="1:7" x14ac:dyDescent="0.25">
      <c r="A43" s="9" t="s">
        <v>47</v>
      </c>
      <c r="B43" s="10">
        <v>2</v>
      </c>
      <c r="C43" s="10">
        <v>1367.5199999999998</v>
      </c>
      <c r="D43" s="5">
        <f t="shared" si="3"/>
        <v>2735.0399999999995</v>
      </c>
      <c r="E43" s="10">
        <v>2590</v>
      </c>
      <c r="F43" s="5">
        <f t="shared" si="4"/>
        <v>5180</v>
      </c>
      <c r="G43" s="14">
        <f t="shared" si="5"/>
        <v>2444.9600000000005</v>
      </c>
    </row>
    <row r="44" spans="1:7" x14ac:dyDescent="0.25">
      <c r="A44" s="9" t="s">
        <v>48</v>
      </c>
      <c r="B44" s="10">
        <v>3</v>
      </c>
      <c r="C44" s="10">
        <v>945.12</v>
      </c>
      <c r="D44" s="5">
        <f t="shared" si="3"/>
        <v>2835.36</v>
      </c>
      <c r="E44" s="10">
        <v>1790</v>
      </c>
      <c r="F44" s="5">
        <f t="shared" si="4"/>
        <v>5370</v>
      </c>
      <c r="G44" s="14">
        <f t="shared" si="5"/>
        <v>2534.64</v>
      </c>
    </row>
    <row r="45" spans="1:7" x14ac:dyDescent="0.25">
      <c r="A45" s="9" t="s">
        <v>49</v>
      </c>
      <c r="B45" s="10">
        <v>2</v>
      </c>
      <c r="C45" s="10">
        <v>945.12</v>
      </c>
      <c r="D45" s="5">
        <f t="shared" si="3"/>
        <v>1890.24</v>
      </c>
      <c r="E45" s="10">
        <v>1790</v>
      </c>
      <c r="F45" s="5">
        <f t="shared" si="4"/>
        <v>3580</v>
      </c>
      <c r="G45" s="14">
        <f t="shared" si="5"/>
        <v>1689.76</v>
      </c>
    </row>
    <row r="46" spans="1:7" x14ac:dyDescent="0.25">
      <c r="A46" s="9" t="s">
        <v>50</v>
      </c>
      <c r="B46" s="10">
        <v>2</v>
      </c>
      <c r="C46" s="10">
        <v>945.12</v>
      </c>
      <c r="D46" s="5">
        <f t="shared" si="3"/>
        <v>1890.24</v>
      </c>
      <c r="E46" s="10">
        <v>1790</v>
      </c>
      <c r="F46" s="5">
        <f t="shared" si="4"/>
        <v>3580</v>
      </c>
      <c r="G46" s="14">
        <f t="shared" si="5"/>
        <v>1689.76</v>
      </c>
    </row>
    <row r="47" spans="1:7" x14ac:dyDescent="0.25">
      <c r="A47" s="9" t="s">
        <v>51</v>
      </c>
      <c r="B47" s="10">
        <v>3</v>
      </c>
      <c r="C47" s="10">
        <v>945.12</v>
      </c>
      <c r="D47" s="5">
        <f t="shared" si="3"/>
        <v>2835.36</v>
      </c>
      <c r="E47" s="10">
        <v>1790</v>
      </c>
      <c r="F47" s="5">
        <f t="shared" si="4"/>
        <v>5370</v>
      </c>
      <c r="G47" s="14">
        <f t="shared" si="5"/>
        <v>2534.64</v>
      </c>
    </row>
    <row r="48" spans="1:7" x14ac:dyDescent="0.25">
      <c r="A48" s="9" t="s">
        <v>52</v>
      </c>
      <c r="B48" s="10">
        <v>1</v>
      </c>
      <c r="C48" s="10">
        <v>945.12</v>
      </c>
      <c r="D48" s="5">
        <f t="shared" si="3"/>
        <v>945.12</v>
      </c>
      <c r="E48" s="10">
        <v>1790</v>
      </c>
      <c r="F48" s="5">
        <f t="shared" si="4"/>
        <v>1790</v>
      </c>
      <c r="G48" s="14">
        <f t="shared" si="5"/>
        <v>844.88</v>
      </c>
    </row>
    <row r="49" spans="1:7" x14ac:dyDescent="0.25">
      <c r="A49" s="9" t="s">
        <v>53</v>
      </c>
      <c r="B49" s="10">
        <v>2</v>
      </c>
      <c r="C49" s="10">
        <v>1050.72</v>
      </c>
      <c r="D49" s="5">
        <f t="shared" si="3"/>
        <v>2101.44</v>
      </c>
      <c r="E49" s="10">
        <v>1990</v>
      </c>
      <c r="F49" s="5">
        <f t="shared" si="4"/>
        <v>3980</v>
      </c>
      <c r="G49" s="14">
        <f t="shared" si="5"/>
        <v>1878.56</v>
      </c>
    </row>
    <row r="50" spans="1:7" x14ac:dyDescent="0.25">
      <c r="A50" s="9" t="s">
        <v>54</v>
      </c>
      <c r="B50" s="10">
        <v>1</v>
      </c>
      <c r="C50" s="10">
        <v>1050.72</v>
      </c>
      <c r="D50" s="5">
        <f t="shared" si="3"/>
        <v>1050.72</v>
      </c>
      <c r="E50" s="10">
        <v>1990</v>
      </c>
      <c r="F50" s="5">
        <f t="shared" si="4"/>
        <v>1990</v>
      </c>
      <c r="G50" s="14">
        <f t="shared" si="5"/>
        <v>939.28</v>
      </c>
    </row>
    <row r="51" spans="1:7" x14ac:dyDescent="0.25">
      <c r="A51" s="9" t="s">
        <v>55</v>
      </c>
      <c r="B51" s="10">
        <v>1</v>
      </c>
      <c r="C51" s="10">
        <v>1050.72</v>
      </c>
      <c r="D51" s="5">
        <f t="shared" si="3"/>
        <v>1050.72</v>
      </c>
      <c r="E51" s="10">
        <v>1990</v>
      </c>
      <c r="F51" s="5">
        <f t="shared" si="4"/>
        <v>1990</v>
      </c>
      <c r="G51" s="14">
        <f t="shared" si="5"/>
        <v>939.28</v>
      </c>
    </row>
    <row r="52" spans="1:7" x14ac:dyDescent="0.25">
      <c r="A52" s="9" t="s">
        <v>56</v>
      </c>
      <c r="B52" s="10">
        <v>2</v>
      </c>
      <c r="C52" s="10">
        <v>1050.72</v>
      </c>
      <c r="D52" s="5">
        <f t="shared" si="3"/>
        <v>2101.44</v>
      </c>
      <c r="E52" s="10">
        <v>1990</v>
      </c>
      <c r="F52" s="5">
        <f t="shared" si="4"/>
        <v>3980</v>
      </c>
      <c r="G52" s="14">
        <f t="shared" si="5"/>
        <v>1878.56</v>
      </c>
    </row>
    <row r="53" spans="1:7" x14ac:dyDescent="0.25">
      <c r="A53" s="9" t="s">
        <v>57</v>
      </c>
      <c r="B53" s="10">
        <v>1</v>
      </c>
      <c r="C53" s="10">
        <v>2106.7199999999998</v>
      </c>
      <c r="D53" s="5">
        <f t="shared" si="3"/>
        <v>2106.7199999999998</v>
      </c>
      <c r="E53" s="10">
        <v>3990</v>
      </c>
      <c r="F53" s="5">
        <f t="shared" si="4"/>
        <v>3990</v>
      </c>
      <c r="G53" s="14">
        <f t="shared" si="5"/>
        <v>1883.2800000000002</v>
      </c>
    </row>
    <row r="54" spans="1:7" x14ac:dyDescent="0.25">
      <c r="A54" s="9" t="s">
        <v>58</v>
      </c>
      <c r="B54" s="10">
        <v>2</v>
      </c>
      <c r="C54" s="10">
        <v>2106.7199999999998</v>
      </c>
      <c r="D54" s="5">
        <f t="shared" si="3"/>
        <v>4213.4399999999996</v>
      </c>
      <c r="E54" s="10">
        <v>3990</v>
      </c>
      <c r="F54" s="5">
        <f t="shared" si="4"/>
        <v>7980</v>
      </c>
      <c r="G54" s="14">
        <f t="shared" si="5"/>
        <v>3766.5600000000004</v>
      </c>
    </row>
    <row r="55" spans="1:7" x14ac:dyDescent="0.25">
      <c r="A55" s="9" t="s">
        <v>59</v>
      </c>
      <c r="B55" s="10">
        <v>1</v>
      </c>
      <c r="C55" s="10">
        <v>2106.7199999999998</v>
      </c>
      <c r="D55" s="5">
        <f t="shared" si="3"/>
        <v>2106.7199999999998</v>
      </c>
      <c r="E55" s="10">
        <v>3990</v>
      </c>
      <c r="F55" s="5">
        <f t="shared" si="4"/>
        <v>3990</v>
      </c>
      <c r="G55" s="14">
        <f t="shared" si="5"/>
        <v>1883.2800000000002</v>
      </c>
    </row>
    <row r="56" spans="1:7" x14ac:dyDescent="0.25">
      <c r="A56" s="9" t="s">
        <v>60</v>
      </c>
      <c r="B56" s="10">
        <v>1</v>
      </c>
      <c r="C56" s="10">
        <v>2106.7199999999998</v>
      </c>
      <c r="D56" s="5">
        <f t="shared" si="3"/>
        <v>2106.7199999999998</v>
      </c>
      <c r="E56" s="10">
        <v>3990</v>
      </c>
      <c r="F56" s="5">
        <f t="shared" si="4"/>
        <v>3990</v>
      </c>
      <c r="G56" s="14">
        <f t="shared" si="5"/>
        <v>1883.2800000000002</v>
      </c>
    </row>
    <row r="57" spans="1:7" x14ac:dyDescent="0.25">
      <c r="A57" s="9" t="s">
        <v>61</v>
      </c>
      <c r="B57" s="10">
        <v>1</v>
      </c>
      <c r="C57" s="10">
        <v>2106.7199999999998</v>
      </c>
      <c r="D57" s="5">
        <f t="shared" si="3"/>
        <v>2106.7199999999998</v>
      </c>
      <c r="E57" s="10">
        <v>3990</v>
      </c>
      <c r="F57" s="5">
        <f t="shared" si="4"/>
        <v>3990</v>
      </c>
      <c r="G57" s="14">
        <f t="shared" si="5"/>
        <v>1883.2800000000002</v>
      </c>
    </row>
    <row r="58" spans="1:7" x14ac:dyDescent="0.25">
      <c r="A58" s="9" t="s">
        <v>62</v>
      </c>
      <c r="B58" s="10">
        <v>2</v>
      </c>
      <c r="C58" s="10">
        <v>2106.7199999999998</v>
      </c>
      <c r="D58" s="5">
        <f t="shared" si="3"/>
        <v>4213.4399999999996</v>
      </c>
      <c r="E58" s="10">
        <v>3990</v>
      </c>
      <c r="F58" s="5">
        <f t="shared" si="4"/>
        <v>7980</v>
      </c>
      <c r="G58" s="14">
        <f t="shared" si="5"/>
        <v>3766.5600000000004</v>
      </c>
    </row>
    <row r="59" spans="1:7" x14ac:dyDescent="0.25">
      <c r="A59" s="9" t="s">
        <v>63</v>
      </c>
      <c r="B59" s="10">
        <v>1</v>
      </c>
      <c r="C59" s="10">
        <v>2106.7199999999998</v>
      </c>
      <c r="D59" s="5">
        <f t="shared" si="3"/>
        <v>2106.7199999999998</v>
      </c>
      <c r="E59" s="10">
        <v>3990</v>
      </c>
      <c r="F59" s="5">
        <f t="shared" si="4"/>
        <v>3990</v>
      </c>
      <c r="G59" s="14">
        <f t="shared" si="5"/>
        <v>1883.2800000000002</v>
      </c>
    </row>
    <row r="60" spans="1:7" x14ac:dyDescent="0.25">
      <c r="A60" s="9" t="s">
        <v>64</v>
      </c>
      <c r="B60" s="10">
        <v>1</v>
      </c>
      <c r="C60" s="10">
        <v>2106.7199999999998</v>
      </c>
      <c r="D60" s="5">
        <f t="shared" si="3"/>
        <v>2106.7199999999998</v>
      </c>
      <c r="E60" s="10">
        <v>3990</v>
      </c>
      <c r="F60" s="5">
        <f t="shared" si="4"/>
        <v>3990</v>
      </c>
      <c r="G60" s="14">
        <f t="shared" si="5"/>
        <v>1883.2800000000002</v>
      </c>
    </row>
    <row r="61" spans="1:7" x14ac:dyDescent="0.25">
      <c r="A61" s="9" t="s">
        <v>65</v>
      </c>
      <c r="B61" s="10">
        <v>2</v>
      </c>
      <c r="C61" s="10">
        <v>2106.7199999999998</v>
      </c>
      <c r="D61" s="5">
        <f t="shared" si="3"/>
        <v>4213.4399999999996</v>
      </c>
      <c r="E61" s="10">
        <v>3990</v>
      </c>
      <c r="F61" s="5">
        <f t="shared" si="4"/>
        <v>7980</v>
      </c>
      <c r="G61" s="14">
        <f t="shared" si="5"/>
        <v>3766.5600000000004</v>
      </c>
    </row>
    <row r="62" spans="1:7" x14ac:dyDescent="0.25">
      <c r="A62" s="9" t="s">
        <v>66</v>
      </c>
      <c r="B62" s="10">
        <v>1</v>
      </c>
      <c r="C62" s="10">
        <v>2106.7199999999998</v>
      </c>
      <c r="D62" s="5">
        <f t="shared" si="3"/>
        <v>2106.7199999999998</v>
      </c>
      <c r="E62" s="10">
        <v>3990</v>
      </c>
      <c r="F62" s="5">
        <f t="shared" si="4"/>
        <v>3990</v>
      </c>
      <c r="G62" s="14">
        <f t="shared" si="5"/>
        <v>1883.2800000000002</v>
      </c>
    </row>
    <row r="63" spans="1:7" x14ac:dyDescent="0.25">
      <c r="A63" s="9" t="s">
        <v>67</v>
      </c>
      <c r="B63" s="10">
        <v>1</v>
      </c>
      <c r="C63" s="10">
        <v>2106.7199999999998</v>
      </c>
      <c r="D63" s="5">
        <f t="shared" si="3"/>
        <v>2106.7199999999998</v>
      </c>
      <c r="E63" s="10">
        <v>3990</v>
      </c>
      <c r="F63" s="5">
        <f t="shared" si="4"/>
        <v>3990</v>
      </c>
      <c r="G63" s="14">
        <f t="shared" si="5"/>
        <v>1883.2800000000002</v>
      </c>
    </row>
    <row r="64" spans="1:7" x14ac:dyDescent="0.25">
      <c r="A64" s="9" t="s">
        <v>68</v>
      </c>
      <c r="B64" s="10">
        <v>1</v>
      </c>
      <c r="C64" s="10">
        <v>2106.7199999999998</v>
      </c>
      <c r="D64" s="5">
        <f t="shared" si="3"/>
        <v>2106.7199999999998</v>
      </c>
      <c r="E64" s="10">
        <v>3990</v>
      </c>
      <c r="F64" s="5">
        <f t="shared" si="4"/>
        <v>3990</v>
      </c>
      <c r="G64" s="14">
        <f t="shared" si="5"/>
        <v>1883.2800000000002</v>
      </c>
    </row>
    <row r="65" spans="1:7" x14ac:dyDescent="0.25">
      <c r="A65" s="9" t="s">
        <v>69</v>
      </c>
      <c r="B65" s="10">
        <v>2</v>
      </c>
      <c r="C65" s="10">
        <v>2370.7199999999998</v>
      </c>
      <c r="D65" s="5">
        <f t="shared" si="3"/>
        <v>4741.4399999999996</v>
      </c>
      <c r="E65" s="10">
        <v>4490</v>
      </c>
      <c r="F65" s="5">
        <f t="shared" si="4"/>
        <v>8980</v>
      </c>
      <c r="G65" s="14">
        <f t="shared" si="5"/>
        <v>4238.5600000000004</v>
      </c>
    </row>
    <row r="66" spans="1:7" x14ac:dyDescent="0.25">
      <c r="A66" s="9" t="s">
        <v>70</v>
      </c>
      <c r="B66" s="10">
        <v>1</v>
      </c>
      <c r="C66" s="10">
        <v>2106.7199999999998</v>
      </c>
      <c r="D66" s="5">
        <f t="shared" ref="D66:D97" si="6">B66*C66</f>
        <v>2106.7199999999998</v>
      </c>
      <c r="E66" s="10">
        <v>3990</v>
      </c>
      <c r="F66" s="5">
        <f t="shared" ref="F66:F97" si="7">E66*B66</f>
        <v>3990</v>
      </c>
      <c r="G66" s="14">
        <f t="shared" ref="G66:G97" si="8">F66-D66</f>
        <v>1883.2800000000002</v>
      </c>
    </row>
    <row r="67" spans="1:7" x14ac:dyDescent="0.25">
      <c r="A67" s="9" t="s">
        <v>71</v>
      </c>
      <c r="B67" s="10">
        <v>2</v>
      </c>
      <c r="C67" s="10">
        <v>2106.7199999999998</v>
      </c>
      <c r="D67" s="5">
        <f t="shared" si="6"/>
        <v>4213.4399999999996</v>
      </c>
      <c r="E67" s="10">
        <v>3990</v>
      </c>
      <c r="F67" s="5">
        <f t="shared" si="7"/>
        <v>7980</v>
      </c>
      <c r="G67" s="14">
        <f t="shared" si="8"/>
        <v>3766.5600000000004</v>
      </c>
    </row>
    <row r="68" spans="1:7" x14ac:dyDescent="0.25">
      <c r="A68" s="9" t="s">
        <v>72</v>
      </c>
      <c r="B68" s="10">
        <v>2</v>
      </c>
      <c r="C68" s="10">
        <v>2581.92</v>
      </c>
      <c r="D68" s="5">
        <f t="shared" si="6"/>
        <v>5163.84</v>
      </c>
      <c r="E68" s="10">
        <v>4890</v>
      </c>
      <c r="F68" s="5">
        <f t="shared" si="7"/>
        <v>9780</v>
      </c>
      <c r="G68" s="14">
        <f t="shared" si="8"/>
        <v>4616.16</v>
      </c>
    </row>
    <row r="69" spans="1:7" x14ac:dyDescent="0.25">
      <c r="A69" s="9" t="s">
        <v>73</v>
      </c>
      <c r="B69" s="10">
        <v>1</v>
      </c>
      <c r="C69" s="10">
        <v>2581.92</v>
      </c>
      <c r="D69" s="5">
        <f t="shared" si="6"/>
        <v>2581.92</v>
      </c>
      <c r="E69" s="10">
        <v>4890</v>
      </c>
      <c r="F69" s="5">
        <f t="shared" si="7"/>
        <v>4890</v>
      </c>
      <c r="G69" s="14">
        <f t="shared" si="8"/>
        <v>2308.08</v>
      </c>
    </row>
    <row r="70" spans="1:7" x14ac:dyDescent="0.25">
      <c r="A70" s="9" t="s">
        <v>74</v>
      </c>
      <c r="B70" s="10">
        <v>2</v>
      </c>
      <c r="C70" s="10">
        <v>2106.7199999999998</v>
      </c>
      <c r="D70" s="5">
        <f t="shared" si="6"/>
        <v>4213.4399999999996</v>
      </c>
      <c r="E70" s="10">
        <v>3990</v>
      </c>
      <c r="F70" s="5">
        <f t="shared" si="7"/>
        <v>7980</v>
      </c>
      <c r="G70" s="14">
        <f t="shared" si="8"/>
        <v>3766.5600000000004</v>
      </c>
    </row>
    <row r="71" spans="1:7" x14ac:dyDescent="0.25">
      <c r="A71" s="9" t="s">
        <v>75</v>
      </c>
      <c r="B71" s="10">
        <v>1</v>
      </c>
      <c r="C71" s="10">
        <v>2106.7199999999998</v>
      </c>
      <c r="D71" s="5">
        <f t="shared" si="6"/>
        <v>2106.7199999999998</v>
      </c>
      <c r="E71" s="10">
        <v>3990</v>
      </c>
      <c r="F71" s="5">
        <f t="shared" si="7"/>
        <v>3990</v>
      </c>
      <c r="G71" s="14">
        <f t="shared" si="8"/>
        <v>1883.2800000000002</v>
      </c>
    </row>
    <row r="72" spans="1:7" x14ac:dyDescent="0.25">
      <c r="A72" s="9" t="s">
        <v>76</v>
      </c>
      <c r="B72" s="10">
        <v>3</v>
      </c>
      <c r="C72" s="10">
        <v>2793.1200000000003</v>
      </c>
      <c r="D72" s="5">
        <f t="shared" si="6"/>
        <v>8379.36</v>
      </c>
      <c r="E72" s="10">
        <v>5290</v>
      </c>
      <c r="F72" s="5">
        <f t="shared" si="7"/>
        <v>15870</v>
      </c>
      <c r="G72" s="14">
        <f t="shared" si="8"/>
        <v>7490.6399999999994</v>
      </c>
    </row>
    <row r="73" spans="1:7" x14ac:dyDescent="0.25">
      <c r="A73" s="9" t="s">
        <v>77</v>
      </c>
      <c r="B73" s="10">
        <v>2</v>
      </c>
      <c r="C73" s="10">
        <v>2793.1200000000003</v>
      </c>
      <c r="D73" s="5">
        <f t="shared" si="6"/>
        <v>5586.2400000000007</v>
      </c>
      <c r="E73" s="10">
        <v>5290</v>
      </c>
      <c r="F73" s="5">
        <f t="shared" si="7"/>
        <v>10580</v>
      </c>
      <c r="G73" s="14">
        <f t="shared" si="8"/>
        <v>4993.7599999999993</v>
      </c>
    </row>
    <row r="74" spans="1:7" x14ac:dyDescent="0.25">
      <c r="A74" s="9" t="s">
        <v>78</v>
      </c>
      <c r="B74" s="10">
        <v>2</v>
      </c>
      <c r="C74" s="10">
        <v>2793.1200000000003</v>
      </c>
      <c r="D74" s="5">
        <f t="shared" si="6"/>
        <v>5586.2400000000007</v>
      </c>
      <c r="E74" s="10">
        <v>5290</v>
      </c>
      <c r="F74" s="5">
        <f t="shared" si="7"/>
        <v>10580</v>
      </c>
      <c r="G74" s="14">
        <f t="shared" si="8"/>
        <v>4993.7599999999993</v>
      </c>
    </row>
    <row r="75" spans="1:7" x14ac:dyDescent="0.25">
      <c r="A75" s="9" t="s">
        <v>79</v>
      </c>
      <c r="B75" s="10">
        <v>1</v>
      </c>
      <c r="C75" s="10">
        <v>2793.1200000000003</v>
      </c>
      <c r="D75" s="5">
        <f t="shared" si="6"/>
        <v>2793.1200000000003</v>
      </c>
      <c r="E75" s="10">
        <v>5290</v>
      </c>
      <c r="F75" s="5">
        <f t="shared" si="7"/>
        <v>5290</v>
      </c>
      <c r="G75" s="14">
        <f t="shared" si="8"/>
        <v>2496.8799999999997</v>
      </c>
    </row>
    <row r="76" spans="1:7" x14ac:dyDescent="0.25">
      <c r="A76" s="9" t="s">
        <v>80</v>
      </c>
      <c r="B76" s="10">
        <v>1</v>
      </c>
      <c r="C76" s="10">
        <v>2793.1200000000003</v>
      </c>
      <c r="D76" s="5">
        <f t="shared" si="6"/>
        <v>2793.1200000000003</v>
      </c>
      <c r="E76" s="10">
        <v>5290</v>
      </c>
      <c r="F76" s="5">
        <f t="shared" si="7"/>
        <v>5290</v>
      </c>
      <c r="G76" s="14">
        <f t="shared" si="8"/>
        <v>2496.8799999999997</v>
      </c>
    </row>
    <row r="77" spans="1:7" x14ac:dyDescent="0.25">
      <c r="A77" s="9" t="s">
        <v>81</v>
      </c>
      <c r="B77" s="10">
        <v>1</v>
      </c>
      <c r="C77" s="10">
        <v>2106.7199999999998</v>
      </c>
      <c r="D77" s="5">
        <f t="shared" si="6"/>
        <v>2106.7199999999998</v>
      </c>
      <c r="E77" s="10">
        <v>3990</v>
      </c>
      <c r="F77" s="5">
        <f t="shared" si="7"/>
        <v>3990</v>
      </c>
      <c r="G77" s="14">
        <f t="shared" si="8"/>
        <v>1883.2800000000002</v>
      </c>
    </row>
    <row r="78" spans="1:7" x14ac:dyDescent="0.25">
      <c r="A78" s="9" t="s">
        <v>82</v>
      </c>
      <c r="B78" s="10">
        <v>1</v>
      </c>
      <c r="C78" s="10">
        <v>2106.7199999999998</v>
      </c>
      <c r="D78" s="5">
        <f t="shared" si="6"/>
        <v>2106.7199999999998</v>
      </c>
      <c r="E78" s="10">
        <v>3990</v>
      </c>
      <c r="F78" s="5">
        <f t="shared" si="7"/>
        <v>3990</v>
      </c>
      <c r="G78" s="14">
        <f t="shared" si="8"/>
        <v>1883.2800000000002</v>
      </c>
    </row>
    <row r="79" spans="1:7" x14ac:dyDescent="0.25">
      <c r="A79" s="9" t="s">
        <v>83</v>
      </c>
      <c r="B79" s="10">
        <v>1</v>
      </c>
      <c r="C79" s="10">
        <v>2106.7199999999998</v>
      </c>
      <c r="D79" s="5">
        <f t="shared" si="6"/>
        <v>2106.7199999999998</v>
      </c>
      <c r="E79" s="10">
        <v>3990</v>
      </c>
      <c r="F79" s="5">
        <f t="shared" si="7"/>
        <v>3990</v>
      </c>
      <c r="G79" s="14">
        <f t="shared" si="8"/>
        <v>1883.2800000000002</v>
      </c>
    </row>
    <row r="80" spans="1:7" x14ac:dyDescent="0.25">
      <c r="A80" s="9" t="s">
        <v>84</v>
      </c>
      <c r="B80" s="10">
        <v>4</v>
      </c>
      <c r="C80" s="10">
        <v>2106.7199999999998</v>
      </c>
      <c r="D80" s="5">
        <f t="shared" si="6"/>
        <v>8426.8799999999992</v>
      </c>
      <c r="E80" s="10">
        <v>3990</v>
      </c>
      <c r="F80" s="5">
        <f t="shared" si="7"/>
        <v>15960</v>
      </c>
      <c r="G80" s="14">
        <f t="shared" si="8"/>
        <v>7533.1200000000008</v>
      </c>
    </row>
    <row r="81" spans="1:7" x14ac:dyDescent="0.25">
      <c r="A81" s="9" t="s">
        <v>85</v>
      </c>
      <c r="B81" s="10">
        <v>3</v>
      </c>
      <c r="C81" s="10">
        <v>2106.7199999999998</v>
      </c>
      <c r="D81" s="5">
        <f t="shared" si="6"/>
        <v>6320.16</v>
      </c>
      <c r="E81" s="10">
        <v>3990</v>
      </c>
      <c r="F81" s="5">
        <f t="shared" si="7"/>
        <v>11970</v>
      </c>
      <c r="G81" s="14">
        <f t="shared" si="8"/>
        <v>5649.84</v>
      </c>
    </row>
    <row r="82" spans="1:7" x14ac:dyDescent="0.25">
      <c r="A82" s="9" t="s">
        <v>86</v>
      </c>
      <c r="B82" s="10">
        <v>1</v>
      </c>
      <c r="C82" s="10">
        <v>2106.7199999999998</v>
      </c>
      <c r="D82" s="5">
        <f t="shared" si="6"/>
        <v>2106.7199999999998</v>
      </c>
      <c r="E82" s="10">
        <v>3990</v>
      </c>
      <c r="F82" s="5">
        <f t="shared" si="7"/>
        <v>3990</v>
      </c>
      <c r="G82" s="14">
        <f t="shared" si="8"/>
        <v>1883.2800000000002</v>
      </c>
    </row>
    <row r="83" spans="1:7" x14ac:dyDescent="0.25">
      <c r="A83" s="9" t="s">
        <v>87</v>
      </c>
      <c r="B83" s="10">
        <v>2</v>
      </c>
      <c r="C83" s="10">
        <v>2001.12</v>
      </c>
      <c r="D83" s="5">
        <f t="shared" si="6"/>
        <v>4002.24</v>
      </c>
      <c r="E83" s="10">
        <v>3790</v>
      </c>
      <c r="F83" s="5">
        <f t="shared" si="7"/>
        <v>7580</v>
      </c>
      <c r="G83" s="14">
        <f t="shared" si="8"/>
        <v>3577.76</v>
      </c>
    </row>
    <row r="84" spans="1:7" x14ac:dyDescent="0.25">
      <c r="A84" s="9" t="s">
        <v>88</v>
      </c>
      <c r="B84" s="10">
        <v>2</v>
      </c>
      <c r="C84" s="10">
        <v>2001.12</v>
      </c>
      <c r="D84" s="5">
        <f t="shared" si="6"/>
        <v>4002.24</v>
      </c>
      <c r="E84" s="10">
        <v>3790</v>
      </c>
      <c r="F84" s="5">
        <f t="shared" si="7"/>
        <v>7580</v>
      </c>
      <c r="G84" s="14">
        <f t="shared" si="8"/>
        <v>3577.76</v>
      </c>
    </row>
    <row r="85" spans="1:7" x14ac:dyDescent="0.25">
      <c r="A85" s="9" t="s">
        <v>89</v>
      </c>
      <c r="B85" s="10">
        <v>2</v>
      </c>
      <c r="C85" s="10">
        <v>2001.12</v>
      </c>
      <c r="D85" s="5">
        <f t="shared" si="6"/>
        <v>4002.24</v>
      </c>
      <c r="E85" s="10">
        <v>3790</v>
      </c>
      <c r="F85" s="5">
        <f t="shared" si="7"/>
        <v>7580</v>
      </c>
      <c r="G85" s="14">
        <f t="shared" si="8"/>
        <v>3577.76</v>
      </c>
    </row>
    <row r="86" spans="1:7" x14ac:dyDescent="0.25">
      <c r="A86" s="9" t="s">
        <v>90</v>
      </c>
      <c r="B86" s="10">
        <v>1</v>
      </c>
      <c r="C86" s="10">
        <v>2001.12</v>
      </c>
      <c r="D86" s="5">
        <f t="shared" si="6"/>
        <v>2001.12</v>
      </c>
      <c r="E86" s="10">
        <v>3790</v>
      </c>
      <c r="F86" s="5">
        <f t="shared" si="7"/>
        <v>3790</v>
      </c>
      <c r="G86" s="14">
        <f t="shared" si="8"/>
        <v>1788.88</v>
      </c>
    </row>
    <row r="87" spans="1:7" x14ac:dyDescent="0.25">
      <c r="A87" s="9" t="s">
        <v>91</v>
      </c>
      <c r="B87" s="10">
        <v>1</v>
      </c>
      <c r="C87" s="10">
        <v>2001.12</v>
      </c>
      <c r="D87" s="5">
        <f t="shared" si="6"/>
        <v>2001.12</v>
      </c>
      <c r="E87" s="10">
        <v>3790</v>
      </c>
      <c r="F87" s="5">
        <f t="shared" si="7"/>
        <v>3790</v>
      </c>
      <c r="G87" s="14">
        <f t="shared" si="8"/>
        <v>1788.88</v>
      </c>
    </row>
    <row r="88" spans="1:7" x14ac:dyDescent="0.25">
      <c r="A88" s="9" t="s">
        <v>92</v>
      </c>
      <c r="B88" s="10">
        <v>1</v>
      </c>
      <c r="C88" s="10">
        <v>2793.12</v>
      </c>
      <c r="D88" s="5">
        <f t="shared" si="6"/>
        <v>2793.12</v>
      </c>
      <c r="E88" s="10">
        <v>5290</v>
      </c>
      <c r="F88" s="5">
        <f t="shared" si="7"/>
        <v>5290</v>
      </c>
      <c r="G88" s="14">
        <f t="shared" si="8"/>
        <v>2496.88</v>
      </c>
    </row>
    <row r="89" spans="1:7" x14ac:dyDescent="0.25">
      <c r="A89" s="9" t="s">
        <v>93</v>
      </c>
      <c r="B89" s="10">
        <v>1</v>
      </c>
      <c r="C89" s="10">
        <v>2793.12</v>
      </c>
      <c r="D89" s="5">
        <f t="shared" si="6"/>
        <v>2793.12</v>
      </c>
      <c r="E89" s="10">
        <v>5290</v>
      </c>
      <c r="F89" s="5">
        <f t="shared" si="7"/>
        <v>5290</v>
      </c>
      <c r="G89" s="14">
        <f t="shared" si="8"/>
        <v>2496.88</v>
      </c>
    </row>
    <row r="90" spans="1:7" x14ac:dyDescent="0.25">
      <c r="A90" s="9" t="s">
        <v>94</v>
      </c>
      <c r="B90" s="10">
        <v>1</v>
      </c>
      <c r="C90" s="10">
        <v>2793.12</v>
      </c>
      <c r="D90" s="5">
        <f t="shared" si="6"/>
        <v>2793.12</v>
      </c>
      <c r="E90" s="10">
        <v>5290</v>
      </c>
      <c r="F90" s="5">
        <f t="shared" si="7"/>
        <v>5290</v>
      </c>
      <c r="G90" s="14">
        <f t="shared" si="8"/>
        <v>2496.88</v>
      </c>
    </row>
    <row r="91" spans="1:7" x14ac:dyDescent="0.25">
      <c r="A91" s="9" t="s">
        <v>95</v>
      </c>
      <c r="B91" s="10">
        <v>1</v>
      </c>
      <c r="C91" s="10">
        <v>2793.12</v>
      </c>
      <c r="D91" s="5">
        <f t="shared" si="6"/>
        <v>2793.12</v>
      </c>
      <c r="E91" s="10">
        <v>5290</v>
      </c>
      <c r="F91" s="5">
        <f t="shared" si="7"/>
        <v>5290</v>
      </c>
      <c r="G91" s="14">
        <f t="shared" si="8"/>
        <v>2496.88</v>
      </c>
    </row>
    <row r="92" spans="1:7" x14ac:dyDescent="0.25">
      <c r="A92" s="9" t="s">
        <v>96</v>
      </c>
      <c r="B92" s="10">
        <v>2</v>
      </c>
      <c r="C92" s="10">
        <v>2793.12</v>
      </c>
      <c r="D92" s="5">
        <f t="shared" si="6"/>
        <v>5586.24</v>
      </c>
      <c r="E92" s="10">
        <v>5290</v>
      </c>
      <c r="F92" s="5">
        <f t="shared" si="7"/>
        <v>10580</v>
      </c>
      <c r="G92" s="14">
        <f t="shared" si="8"/>
        <v>4993.76</v>
      </c>
    </row>
    <row r="93" spans="1:7" x14ac:dyDescent="0.25">
      <c r="A93" s="9" t="s">
        <v>97</v>
      </c>
      <c r="B93" s="10">
        <v>2</v>
      </c>
      <c r="C93" s="10">
        <v>2793.12</v>
      </c>
      <c r="D93" s="5">
        <f t="shared" si="6"/>
        <v>5586.24</v>
      </c>
      <c r="E93" s="10">
        <v>5290</v>
      </c>
      <c r="F93" s="5">
        <f t="shared" si="7"/>
        <v>10580</v>
      </c>
      <c r="G93" s="14">
        <f t="shared" si="8"/>
        <v>4993.76</v>
      </c>
    </row>
    <row r="94" spans="1:7" x14ac:dyDescent="0.25">
      <c r="A94" s="9" t="s">
        <v>98</v>
      </c>
      <c r="B94" s="10">
        <v>1</v>
      </c>
      <c r="C94" s="10">
        <v>2793.12</v>
      </c>
      <c r="D94" s="5">
        <f t="shared" si="6"/>
        <v>2793.12</v>
      </c>
      <c r="E94" s="10">
        <v>5290</v>
      </c>
      <c r="F94" s="5">
        <f t="shared" si="7"/>
        <v>5290</v>
      </c>
      <c r="G94" s="14">
        <f t="shared" si="8"/>
        <v>2496.88</v>
      </c>
    </row>
    <row r="95" spans="1:7" x14ac:dyDescent="0.25">
      <c r="A95" s="9" t="s">
        <v>99</v>
      </c>
      <c r="B95" s="10">
        <v>1</v>
      </c>
      <c r="C95" s="10">
        <v>2793.12</v>
      </c>
      <c r="D95" s="5">
        <f t="shared" si="6"/>
        <v>2793.12</v>
      </c>
      <c r="E95" s="10">
        <v>5290</v>
      </c>
      <c r="F95" s="5">
        <f t="shared" si="7"/>
        <v>5290</v>
      </c>
      <c r="G95" s="14">
        <f t="shared" si="8"/>
        <v>2496.88</v>
      </c>
    </row>
    <row r="96" spans="1:7" x14ac:dyDescent="0.25">
      <c r="A96" s="9" t="s">
        <v>100</v>
      </c>
      <c r="B96" s="10">
        <v>1</v>
      </c>
      <c r="C96" s="10">
        <v>2793.12</v>
      </c>
      <c r="D96" s="5">
        <f t="shared" si="6"/>
        <v>2793.12</v>
      </c>
      <c r="E96" s="10">
        <v>5290</v>
      </c>
      <c r="F96" s="5">
        <f t="shared" si="7"/>
        <v>5290</v>
      </c>
      <c r="G96" s="14">
        <f t="shared" si="8"/>
        <v>2496.88</v>
      </c>
    </row>
    <row r="97" spans="1:7" x14ac:dyDescent="0.25">
      <c r="A97" s="9" t="s">
        <v>101</v>
      </c>
      <c r="B97" s="10">
        <v>1</v>
      </c>
      <c r="C97" s="10">
        <v>2793.12</v>
      </c>
      <c r="D97" s="5">
        <f t="shared" si="6"/>
        <v>2793.12</v>
      </c>
      <c r="E97" s="10">
        <v>5290</v>
      </c>
      <c r="F97" s="5">
        <f t="shared" si="7"/>
        <v>5290</v>
      </c>
      <c r="G97" s="14">
        <f t="shared" si="8"/>
        <v>2496.88</v>
      </c>
    </row>
    <row r="98" spans="1:7" x14ac:dyDescent="0.25">
      <c r="A98" s="9" t="s">
        <v>102</v>
      </c>
      <c r="B98" s="10">
        <v>1</v>
      </c>
      <c r="C98" s="10">
        <v>2793.12</v>
      </c>
      <c r="D98" s="5">
        <f t="shared" ref="D98:D102" si="9">B98*C98</f>
        <v>2793.12</v>
      </c>
      <c r="E98" s="10">
        <v>5290</v>
      </c>
      <c r="F98" s="5">
        <f t="shared" ref="F98:F102" si="10">E98*B98</f>
        <v>5290</v>
      </c>
      <c r="G98" s="14">
        <f t="shared" ref="G98:G102" si="11">F98-D98</f>
        <v>2496.88</v>
      </c>
    </row>
    <row r="99" spans="1:7" x14ac:dyDescent="0.25">
      <c r="A99" s="9" t="s">
        <v>103</v>
      </c>
      <c r="B99" s="10">
        <v>2</v>
      </c>
      <c r="C99" s="10">
        <v>2793.12</v>
      </c>
      <c r="D99" s="5">
        <f t="shared" si="9"/>
        <v>5586.24</v>
      </c>
      <c r="E99" s="10">
        <v>5290</v>
      </c>
      <c r="F99" s="5">
        <f t="shared" si="10"/>
        <v>10580</v>
      </c>
      <c r="G99" s="14">
        <f t="shared" si="11"/>
        <v>4993.76</v>
      </c>
    </row>
    <row r="100" spans="1:7" x14ac:dyDescent="0.25">
      <c r="A100" s="9" t="s">
        <v>104</v>
      </c>
      <c r="B100" s="10">
        <v>1</v>
      </c>
      <c r="C100" s="10">
        <v>2793.12</v>
      </c>
      <c r="D100" s="5">
        <f t="shared" si="9"/>
        <v>2793.12</v>
      </c>
      <c r="E100" s="10">
        <v>5290</v>
      </c>
      <c r="F100" s="5">
        <f t="shared" si="10"/>
        <v>5290</v>
      </c>
      <c r="G100" s="14">
        <f t="shared" si="11"/>
        <v>2496.88</v>
      </c>
    </row>
    <row r="101" spans="1:7" x14ac:dyDescent="0.25">
      <c r="A101" s="9" t="s">
        <v>105</v>
      </c>
      <c r="B101" s="10">
        <v>1</v>
      </c>
      <c r="C101" s="10">
        <v>2793.12</v>
      </c>
      <c r="D101" s="5">
        <f t="shared" si="9"/>
        <v>2793.12</v>
      </c>
      <c r="E101" s="10">
        <v>5290</v>
      </c>
      <c r="F101" s="5">
        <f t="shared" si="10"/>
        <v>5290</v>
      </c>
      <c r="G101" s="14">
        <f t="shared" si="11"/>
        <v>2496.88</v>
      </c>
    </row>
    <row r="102" spans="1:7" x14ac:dyDescent="0.25">
      <c r="A102" s="9" t="s">
        <v>106</v>
      </c>
      <c r="B102" s="10">
        <v>1</v>
      </c>
      <c r="C102" s="10">
        <v>2793.12</v>
      </c>
      <c r="D102" s="5">
        <f t="shared" si="9"/>
        <v>2793.12</v>
      </c>
      <c r="E102" s="10">
        <v>5290</v>
      </c>
      <c r="F102" s="5">
        <f t="shared" si="10"/>
        <v>5290</v>
      </c>
      <c r="G102" s="14">
        <f t="shared" si="11"/>
        <v>2496.88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A49E5-15D8-412D-BA57-906189547CB4}">
  <sheetPr codeName="Лист2">
    <outlinePr summaryBelow="0" summaryRight="0"/>
    <pageSetUpPr autoPageBreaks="0" fitToPage="1"/>
  </sheetPr>
  <dimension ref="A1:N623"/>
  <sheetViews>
    <sheetView tabSelected="1" workbookViewId="0">
      <selection activeCell="L5" sqref="L5"/>
    </sheetView>
  </sheetViews>
  <sheetFormatPr defaultRowHeight="11.25" x14ac:dyDescent="0.2"/>
  <cols>
    <col min="1" max="1" width="4" style="16" customWidth="1"/>
    <col min="2" max="2" width="10" style="16" customWidth="1"/>
    <col min="3" max="3" width="6.42578125" style="16" bestFit="1" customWidth="1"/>
    <col min="4" max="4" width="9.28515625" style="16" customWidth="1"/>
    <col min="5" max="5" width="9.7109375" style="16" customWidth="1"/>
    <col min="6" max="6" width="11.5703125" style="16" bestFit="1" customWidth="1"/>
    <col min="7" max="7" width="10.140625" style="16" customWidth="1"/>
    <col min="8" max="8" width="7.7109375" style="16" customWidth="1"/>
    <col min="9" max="9" width="15" style="16" customWidth="1"/>
    <col min="10" max="11" width="5.5703125" style="16" customWidth="1"/>
    <col min="12" max="12" width="10.140625" style="16" customWidth="1"/>
    <col min="13" max="13" width="19.5703125" style="16" customWidth="1"/>
    <col min="14" max="255" width="3.42578125" style="16" customWidth="1"/>
    <col min="256" max="256" width="1" style="16" customWidth="1"/>
    <col min="257" max="257" width="4" style="16" customWidth="1"/>
    <col min="258" max="258" width="10" style="16" customWidth="1"/>
    <col min="259" max="259" width="14" style="16" customWidth="1"/>
    <col min="260" max="260" width="28.42578125" style="16" customWidth="1"/>
    <col min="261" max="261" width="13.28515625" style="16" customWidth="1"/>
    <col min="262" max="262" width="7.28515625" style="16" customWidth="1"/>
    <col min="263" max="263" width="4" style="16" customWidth="1"/>
    <col min="264" max="264" width="11" style="16" customWidth="1"/>
    <col min="265" max="265" width="14" style="16" customWidth="1"/>
    <col min="266" max="267" width="5.5703125" style="16" customWidth="1"/>
    <col min="268" max="268" width="10.140625" style="16" customWidth="1"/>
    <col min="269" max="269" width="19.5703125" style="16" customWidth="1"/>
    <col min="270" max="511" width="3.42578125" style="16" customWidth="1"/>
    <col min="512" max="512" width="1" style="16" customWidth="1"/>
    <col min="513" max="513" width="4" style="16" customWidth="1"/>
    <col min="514" max="514" width="10" style="16" customWidth="1"/>
    <col min="515" max="515" width="14" style="16" customWidth="1"/>
    <col min="516" max="516" width="28.42578125" style="16" customWidth="1"/>
    <col min="517" max="517" width="13.28515625" style="16" customWidth="1"/>
    <col min="518" max="518" width="7.28515625" style="16" customWidth="1"/>
    <col min="519" max="519" width="4" style="16" customWidth="1"/>
    <col min="520" max="520" width="11" style="16" customWidth="1"/>
    <col min="521" max="521" width="14" style="16" customWidth="1"/>
    <col min="522" max="523" width="5.5703125" style="16" customWidth="1"/>
    <col min="524" max="524" width="10.140625" style="16" customWidth="1"/>
    <col min="525" max="525" width="19.5703125" style="16" customWidth="1"/>
    <col min="526" max="767" width="3.42578125" style="16" customWidth="1"/>
    <col min="768" max="768" width="1" style="16" customWidth="1"/>
    <col min="769" max="769" width="4" style="16" customWidth="1"/>
    <col min="770" max="770" width="10" style="16" customWidth="1"/>
    <col min="771" max="771" width="14" style="16" customWidth="1"/>
    <col min="772" max="772" width="28.42578125" style="16" customWidth="1"/>
    <col min="773" max="773" width="13.28515625" style="16" customWidth="1"/>
    <col min="774" max="774" width="7.28515625" style="16" customWidth="1"/>
    <col min="775" max="775" width="4" style="16" customWidth="1"/>
    <col min="776" max="776" width="11" style="16" customWidth="1"/>
    <col min="777" max="777" width="14" style="16" customWidth="1"/>
    <col min="778" max="779" width="5.5703125" style="16" customWidth="1"/>
    <col min="780" max="780" width="10.140625" style="16" customWidth="1"/>
    <col min="781" max="781" width="19.5703125" style="16" customWidth="1"/>
    <col min="782" max="1023" width="3.42578125" style="16" customWidth="1"/>
    <col min="1024" max="1024" width="1" style="16" customWidth="1"/>
    <col min="1025" max="1025" width="4" style="16" customWidth="1"/>
    <col min="1026" max="1026" width="10" style="16" customWidth="1"/>
    <col min="1027" max="1027" width="14" style="16" customWidth="1"/>
    <col min="1028" max="1028" width="28.42578125" style="16" customWidth="1"/>
    <col min="1029" max="1029" width="13.28515625" style="16" customWidth="1"/>
    <col min="1030" max="1030" width="7.28515625" style="16" customWidth="1"/>
    <col min="1031" max="1031" width="4" style="16" customWidth="1"/>
    <col min="1032" max="1032" width="11" style="16" customWidth="1"/>
    <col min="1033" max="1033" width="14" style="16" customWidth="1"/>
    <col min="1034" max="1035" width="5.5703125" style="16" customWidth="1"/>
    <col min="1036" max="1036" width="10.140625" style="16" customWidth="1"/>
    <col min="1037" max="1037" width="19.5703125" style="16" customWidth="1"/>
    <col min="1038" max="1279" width="3.42578125" style="16" customWidth="1"/>
    <col min="1280" max="1280" width="1" style="16" customWidth="1"/>
    <col min="1281" max="1281" width="4" style="16" customWidth="1"/>
    <col min="1282" max="1282" width="10" style="16" customWidth="1"/>
    <col min="1283" max="1283" width="14" style="16" customWidth="1"/>
    <col min="1284" max="1284" width="28.42578125" style="16" customWidth="1"/>
    <col min="1285" max="1285" width="13.28515625" style="16" customWidth="1"/>
    <col min="1286" max="1286" width="7.28515625" style="16" customWidth="1"/>
    <col min="1287" max="1287" width="4" style="16" customWidth="1"/>
    <col min="1288" max="1288" width="11" style="16" customWidth="1"/>
    <col min="1289" max="1289" width="14" style="16" customWidth="1"/>
    <col min="1290" max="1291" width="5.5703125" style="16" customWidth="1"/>
    <col min="1292" max="1292" width="10.140625" style="16" customWidth="1"/>
    <col min="1293" max="1293" width="19.5703125" style="16" customWidth="1"/>
    <col min="1294" max="1535" width="3.42578125" style="16" customWidth="1"/>
    <col min="1536" max="1536" width="1" style="16" customWidth="1"/>
    <col min="1537" max="1537" width="4" style="16" customWidth="1"/>
    <col min="1538" max="1538" width="10" style="16" customWidth="1"/>
    <col min="1539" max="1539" width="14" style="16" customWidth="1"/>
    <col min="1540" max="1540" width="28.42578125" style="16" customWidth="1"/>
    <col min="1541" max="1541" width="13.28515625" style="16" customWidth="1"/>
    <col min="1542" max="1542" width="7.28515625" style="16" customWidth="1"/>
    <col min="1543" max="1543" width="4" style="16" customWidth="1"/>
    <col min="1544" max="1544" width="11" style="16" customWidth="1"/>
    <col min="1545" max="1545" width="14" style="16" customWidth="1"/>
    <col min="1546" max="1547" width="5.5703125" style="16" customWidth="1"/>
    <col min="1548" max="1548" width="10.140625" style="16" customWidth="1"/>
    <col min="1549" max="1549" width="19.5703125" style="16" customWidth="1"/>
    <col min="1550" max="1791" width="3.42578125" style="16" customWidth="1"/>
    <col min="1792" max="1792" width="1" style="16" customWidth="1"/>
    <col min="1793" max="1793" width="4" style="16" customWidth="1"/>
    <col min="1794" max="1794" width="10" style="16" customWidth="1"/>
    <col min="1795" max="1795" width="14" style="16" customWidth="1"/>
    <col min="1796" max="1796" width="28.42578125" style="16" customWidth="1"/>
    <col min="1797" max="1797" width="13.28515625" style="16" customWidth="1"/>
    <col min="1798" max="1798" width="7.28515625" style="16" customWidth="1"/>
    <col min="1799" max="1799" width="4" style="16" customWidth="1"/>
    <col min="1800" max="1800" width="11" style="16" customWidth="1"/>
    <col min="1801" max="1801" width="14" style="16" customWidth="1"/>
    <col min="1802" max="1803" width="5.5703125" style="16" customWidth="1"/>
    <col min="1804" max="1804" width="10.140625" style="16" customWidth="1"/>
    <col min="1805" max="1805" width="19.5703125" style="16" customWidth="1"/>
    <col min="1806" max="2047" width="3.42578125" style="16" customWidth="1"/>
    <col min="2048" max="2048" width="1" style="16" customWidth="1"/>
    <col min="2049" max="2049" width="4" style="16" customWidth="1"/>
    <col min="2050" max="2050" width="10" style="16" customWidth="1"/>
    <col min="2051" max="2051" width="14" style="16" customWidth="1"/>
    <col min="2052" max="2052" width="28.42578125" style="16" customWidth="1"/>
    <col min="2053" max="2053" width="13.28515625" style="16" customWidth="1"/>
    <col min="2054" max="2054" width="7.28515625" style="16" customWidth="1"/>
    <col min="2055" max="2055" width="4" style="16" customWidth="1"/>
    <col min="2056" max="2056" width="11" style="16" customWidth="1"/>
    <col min="2057" max="2057" width="14" style="16" customWidth="1"/>
    <col min="2058" max="2059" width="5.5703125" style="16" customWidth="1"/>
    <col min="2060" max="2060" width="10.140625" style="16" customWidth="1"/>
    <col min="2061" max="2061" width="19.5703125" style="16" customWidth="1"/>
    <col min="2062" max="2303" width="3.42578125" style="16" customWidth="1"/>
    <col min="2304" max="2304" width="1" style="16" customWidth="1"/>
    <col min="2305" max="2305" width="4" style="16" customWidth="1"/>
    <col min="2306" max="2306" width="10" style="16" customWidth="1"/>
    <col min="2307" max="2307" width="14" style="16" customWidth="1"/>
    <col min="2308" max="2308" width="28.42578125" style="16" customWidth="1"/>
    <col min="2309" max="2309" width="13.28515625" style="16" customWidth="1"/>
    <col min="2310" max="2310" width="7.28515625" style="16" customWidth="1"/>
    <col min="2311" max="2311" width="4" style="16" customWidth="1"/>
    <col min="2312" max="2312" width="11" style="16" customWidth="1"/>
    <col min="2313" max="2313" width="14" style="16" customWidth="1"/>
    <col min="2314" max="2315" width="5.5703125" style="16" customWidth="1"/>
    <col min="2316" max="2316" width="10.140625" style="16" customWidth="1"/>
    <col min="2317" max="2317" width="19.5703125" style="16" customWidth="1"/>
    <col min="2318" max="2559" width="3.42578125" style="16" customWidth="1"/>
    <col min="2560" max="2560" width="1" style="16" customWidth="1"/>
    <col min="2561" max="2561" width="4" style="16" customWidth="1"/>
    <col min="2562" max="2562" width="10" style="16" customWidth="1"/>
    <col min="2563" max="2563" width="14" style="16" customWidth="1"/>
    <col min="2564" max="2564" width="28.42578125" style="16" customWidth="1"/>
    <col min="2565" max="2565" width="13.28515625" style="16" customWidth="1"/>
    <col min="2566" max="2566" width="7.28515625" style="16" customWidth="1"/>
    <col min="2567" max="2567" width="4" style="16" customWidth="1"/>
    <col min="2568" max="2568" width="11" style="16" customWidth="1"/>
    <col min="2569" max="2569" width="14" style="16" customWidth="1"/>
    <col min="2570" max="2571" width="5.5703125" style="16" customWidth="1"/>
    <col min="2572" max="2572" width="10.140625" style="16" customWidth="1"/>
    <col min="2573" max="2573" width="19.5703125" style="16" customWidth="1"/>
    <col min="2574" max="2815" width="3.42578125" style="16" customWidth="1"/>
    <col min="2816" max="2816" width="1" style="16" customWidth="1"/>
    <col min="2817" max="2817" width="4" style="16" customWidth="1"/>
    <col min="2818" max="2818" width="10" style="16" customWidth="1"/>
    <col min="2819" max="2819" width="14" style="16" customWidth="1"/>
    <col min="2820" max="2820" width="28.42578125" style="16" customWidth="1"/>
    <col min="2821" max="2821" width="13.28515625" style="16" customWidth="1"/>
    <col min="2822" max="2822" width="7.28515625" style="16" customWidth="1"/>
    <col min="2823" max="2823" width="4" style="16" customWidth="1"/>
    <col min="2824" max="2824" width="11" style="16" customWidth="1"/>
    <col min="2825" max="2825" width="14" style="16" customWidth="1"/>
    <col min="2826" max="2827" width="5.5703125" style="16" customWidth="1"/>
    <col min="2828" max="2828" width="10.140625" style="16" customWidth="1"/>
    <col min="2829" max="2829" width="19.5703125" style="16" customWidth="1"/>
    <col min="2830" max="3071" width="3.42578125" style="16" customWidth="1"/>
    <col min="3072" max="3072" width="1" style="16" customWidth="1"/>
    <col min="3073" max="3073" width="4" style="16" customWidth="1"/>
    <col min="3074" max="3074" width="10" style="16" customWidth="1"/>
    <col min="3075" max="3075" width="14" style="16" customWidth="1"/>
    <col min="3076" max="3076" width="28.42578125" style="16" customWidth="1"/>
    <col min="3077" max="3077" width="13.28515625" style="16" customWidth="1"/>
    <col min="3078" max="3078" width="7.28515625" style="16" customWidth="1"/>
    <col min="3079" max="3079" width="4" style="16" customWidth="1"/>
    <col min="3080" max="3080" width="11" style="16" customWidth="1"/>
    <col min="3081" max="3081" width="14" style="16" customWidth="1"/>
    <col min="3082" max="3083" width="5.5703125" style="16" customWidth="1"/>
    <col min="3084" max="3084" width="10.140625" style="16" customWidth="1"/>
    <col min="3085" max="3085" width="19.5703125" style="16" customWidth="1"/>
    <col min="3086" max="3327" width="3.42578125" style="16" customWidth="1"/>
    <col min="3328" max="3328" width="1" style="16" customWidth="1"/>
    <col min="3329" max="3329" width="4" style="16" customWidth="1"/>
    <col min="3330" max="3330" width="10" style="16" customWidth="1"/>
    <col min="3331" max="3331" width="14" style="16" customWidth="1"/>
    <col min="3332" max="3332" width="28.42578125" style="16" customWidth="1"/>
    <col min="3333" max="3333" width="13.28515625" style="16" customWidth="1"/>
    <col min="3334" max="3334" width="7.28515625" style="16" customWidth="1"/>
    <col min="3335" max="3335" width="4" style="16" customWidth="1"/>
    <col min="3336" max="3336" width="11" style="16" customWidth="1"/>
    <col min="3337" max="3337" width="14" style="16" customWidth="1"/>
    <col min="3338" max="3339" width="5.5703125" style="16" customWidth="1"/>
    <col min="3340" max="3340" width="10.140625" style="16" customWidth="1"/>
    <col min="3341" max="3341" width="19.5703125" style="16" customWidth="1"/>
    <col min="3342" max="3583" width="3.42578125" style="16" customWidth="1"/>
    <col min="3584" max="3584" width="1" style="16" customWidth="1"/>
    <col min="3585" max="3585" width="4" style="16" customWidth="1"/>
    <col min="3586" max="3586" width="10" style="16" customWidth="1"/>
    <col min="3587" max="3587" width="14" style="16" customWidth="1"/>
    <col min="3588" max="3588" width="28.42578125" style="16" customWidth="1"/>
    <col min="3589" max="3589" width="13.28515625" style="16" customWidth="1"/>
    <col min="3590" max="3590" width="7.28515625" style="16" customWidth="1"/>
    <col min="3591" max="3591" width="4" style="16" customWidth="1"/>
    <col min="3592" max="3592" width="11" style="16" customWidth="1"/>
    <col min="3593" max="3593" width="14" style="16" customWidth="1"/>
    <col min="3594" max="3595" width="5.5703125" style="16" customWidth="1"/>
    <col min="3596" max="3596" width="10.140625" style="16" customWidth="1"/>
    <col min="3597" max="3597" width="19.5703125" style="16" customWidth="1"/>
    <col min="3598" max="3839" width="3.42578125" style="16" customWidth="1"/>
    <col min="3840" max="3840" width="1" style="16" customWidth="1"/>
    <col min="3841" max="3841" width="4" style="16" customWidth="1"/>
    <col min="3842" max="3842" width="10" style="16" customWidth="1"/>
    <col min="3843" max="3843" width="14" style="16" customWidth="1"/>
    <col min="3844" max="3844" width="28.42578125" style="16" customWidth="1"/>
    <col min="3845" max="3845" width="13.28515625" style="16" customWidth="1"/>
    <col min="3846" max="3846" width="7.28515625" style="16" customWidth="1"/>
    <col min="3847" max="3847" width="4" style="16" customWidth="1"/>
    <col min="3848" max="3848" width="11" style="16" customWidth="1"/>
    <col min="3849" max="3849" width="14" style="16" customWidth="1"/>
    <col min="3850" max="3851" width="5.5703125" style="16" customWidth="1"/>
    <col min="3852" max="3852" width="10.140625" style="16" customWidth="1"/>
    <col min="3853" max="3853" width="19.5703125" style="16" customWidth="1"/>
    <col min="3854" max="4095" width="3.42578125" style="16" customWidth="1"/>
    <col min="4096" max="4096" width="1" style="16" customWidth="1"/>
    <col min="4097" max="4097" width="4" style="16" customWidth="1"/>
    <col min="4098" max="4098" width="10" style="16" customWidth="1"/>
    <col min="4099" max="4099" width="14" style="16" customWidth="1"/>
    <col min="4100" max="4100" width="28.42578125" style="16" customWidth="1"/>
    <col min="4101" max="4101" width="13.28515625" style="16" customWidth="1"/>
    <col min="4102" max="4102" width="7.28515625" style="16" customWidth="1"/>
    <col min="4103" max="4103" width="4" style="16" customWidth="1"/>
    <col min="4104" max="4104" width="11" style="16" customWidth="1"/>
    <col min="4105" max="4105" width="14" style="16" customWidth="1"/>
    <col min="4106" max="4107" width="5.5703125" style="16" customWidth="1"/>
    <col min="4108" max="4108" width="10.140625" style="16" customWidth="1"/>
    <col min="4109" max="4109" width="19.5703125" style="16" customWidth="1"/>
    <col min="4110" max="4351" width="3.42578125" style="16" customWidth="1"/>
    <col min="4352" max="4352" width="1" style="16" customWidth="1"/>
    <col min="4353" max="4353" width="4" style="16" customWidth="1"/>
    <col min="4354" max="4354" width="10" style="16" customWidth="1"/>
    <col min="4355" max="4355" width="14" style="16" customWidth="1"/>
    <col min="4356" max="4356" width="28.42578125" style="16" customWidth="1"/>
    <col min="4357" max="4357" width="13.28515625" style="16" customWidth="1"/>
    <col min="4358" max="4358" width="7.28515625" style="16" customWidth="1"/>
    <col min="4359" max="4359" width="4" style="16" customWidth="1"/>
    <col min="4360" max="4360" width="11" style="16" customWidth="1"/>
    <col min="4361" max="4361" width="14" style="16" customWidth="1"/>
    <col min="4362" max="4363" width="5.5703125" style="16" customWidth="1"/>
    <col min="4364" max="4364" width="10.140625" style="16" customWidth="1"/>
    <col min="4365" max="4365" width="19.5703125" style="16" customWidth="1"/>
    <col min="4366" max="4607" width="3.42578125" style="16" customWidth="1"/>
    <col min="4608" max="4608" width="1" style="16" customWidth="1"/>
    <col min="4609" max="4609" width="4" style="16" customWidth="1"/>
    <col min="4610" max="4610" width="10" style="16" customWidth="1"/>
    <col min="4611" max="4611" width="14" style="16" customWidth="1"/>
    <col min="4612" max="4612" width="28.42578125" style="16" customWidth="1"/>
    <col min="4613" max="4613" width="13.28515625" style="16" customWidth="1"/>
    <col min="4614" max="4614" width="7.28515625" style="16" customWidth="1"/>
    <col min="4615" max="4615" width="4" style="16" customWidth="1"/>
    <col min="4616" max="4616" width="11" style="16" customWidth="1"/>
    <col min="4617" max="4617" width="14" style="16" customWidth="1"/>
    <col min="4618" max="4619" width="5.5703125" style="16" customWidth="1"/>
    <col min="4620" max="4620" width="10.140625" style="16" customWidth="1"/>
    <col min="4621" max="4621" width="19.5703125" style="16" customWidth="1"/>
    <col min="4622" max="4863" width="3.42578125" style="16" customWidth="1"/>
    <col min="4864" max="4864" width="1" style="16" customWidth="1"/>
    <col min="4865" max="4865" width="4" style="16" customWidth="1"/>
    <col min="4866" max="4866" width="10" style="16" customWidth="1"/>
    <col min="4867" max="4867" width="14" style="16" customWidth="1"/>
    <col min="4868" max="4868" width="28.42578125" style="16" customWidth="1"/>
    <col min="4869" max="4869" width="13.28515625" style="16" customWidth="1"/>
    <col min="4870" max="4870" width="7.28515625" style="16" customWidth="1"/>
    <col min="4871" max="4871" width="4" style="16" customWidth="1"/>
    <col min="4872" max="4872" width="11" style="16" customWidth="1"/>
    <col min="4873" max="4873" width="14" style="16" customWidth="1"/>
    <col min="4874" max="4875" width="5.5703125" style="16" customWidth="1"/>
    <col min="4876" max="4876" width="10.140625" style="16" customWidth="1"/>
    <col min="4877" max="4877" width="19.5703125" style="16" customWidth="1"/>
    <col min="4878" max="5119" width="3.42578125" style="16" customWidth="1"/>
    <col min="5120" max="5120" width="1" style="16" customWidth="1"/>
    <col min="5121" max="5121" width="4" style="16" customWidth="1"/>
    <col min="5122" max="5122" width="10" style="16" customWidth="1"/>
    <col min="5123" max="5123" width="14" style="16" customWidth="1"/>
    <col min="5124" max="5124" width="28.42578125" style="16" customWidth="1"/>
    <col min="5125" max="5125" width="13.28515625" style="16" customWidth="1"/>
    <col min="5126" max="5126" width="7.28515625" style="16" customWidth="1"/>
    <col min="5127" max="5127" width="4" style="16" customWidth="1"/>
    <col min="5128" max="5128" width="11" style="16" customWidth="1"/>
    <col min="5129" max="5129" width="14" style="16" customWidth="1"/>
    <col min="5130" max="5131" width="5.5703125" style="16" customWidth="1"/>
    <col min="5132" max="5132" width="10.140625" style="16" customWidth="1"/>
    <col min="5133" max="5133" width="19.5703125" style="16" customWidth="1"/>
    <col min="5134" max="5375" width="3.42578125" style="16" customWidth="1"/>
    <col min="5376" max="5376" width="1" style="16" customWidth="1"/>
    <col min="5377" max="5377" width="4" style="16" customWidth="1"/>
    <col min="5378" max="5378" width="10" style="16" customWidth="1"/>
    <col min="5379" max="5379" width="14" style="16" customWidth="1"/>
    <col min="5380" max="5380" width="28.42578125" style="16" customWidth="1"/>
    <col min="5381" max="5381" width="13.28515625" style="16" customWidth="1"/>
    <col min="5382" max="5382" width="7.28515625" style="16" customWidth="1"/>
    <col min="5383" max="5383" width="4" style="16" customWidth="1"/>
    <col min="5384" max="5384" width="11" style="16" customWidth="1"/>
    <col min="5385" max="5385" width="14" style="16" customWidth="1"/>
    <col min="5386" max="5387" width="5.5703125" style="16" customWidth="1"/>
    <col min="5388" max="5388" width="10.140625" style="16" customWidth="1"/>
    <col min="5389" max="5389" width="19.5703125" style="16" customWidth="1"/>
    <col min="5390" max="5631" width="3.42578125" style="16" customWidth="1"/>
    <col min="5632" max="5632" width="1" style="16" customWidth="1"/>
    <col min="5633" max="5633" width="4" style="16" customWidth="1"/>
    <col min="5634" max="5634" width="10" style="16" customWidth="1"/>
    <col min="5635" max="5635" width="14" style="16" customWidth="1"/>
    <col min="5636" max="5636" width="28.42578125" style="16" customWidth="1"/>
    <col min="5637" max="5637" width="13.28515625" style="16" customWidth="1"/>
    <col min="5638" max="5638" width="7.28515625" style="16" customWidth="1"/>
    <col min="5639" max="5639" width="4" style="16" customWidth="1"/>
    <col min="5640" max="5640" width="11" style="16" customWidth="1"/>
    <col min="5641" max="5641" width="14" style="16" customWidth="1"/>
    <col min="5642" max="5643" width="5.5703125" style="16" customWidth="1"/>
    <col min="5644" max="5644" width="10.140625" style="16" customWidth="1"/>
    <col min="5645" max="5645" width="19.5703125" style="16" customWidth="1"/>
    <col min="5646" max="5887" width="3.42578125" style="16" customWidth="1"/>
    <col min="5888" max="5888" width="1" style="16" customWidth="1"/>
    <col min="5889" max="5889" width="4" style="16" customWidth="1"/>
    <col min="5890" max="5890" width="10" style="16" customWidth="1"/>
    <col min="5891" max="5891" width="14" style="16" customWidth="1"/>
    <col min="5892" max="5892" width="28.42578125" style="16" customWidth="1"/>
    <col min="5893" max="5893" width="13.28515625" style="16" customWidth="1"/>
    <col min="5894" max="5894" width="7.28515625" style="16" customWidth="1"/>
    <col min="5895" max="5895" width="4" style="16" customWidth="1"/>
    <col min="5896" max="5896" width="11" style="16" customWidth="1"/>
    <col min="5897" max="5897" width="14" style="16" customWidth="1"/>
    <col min="5898" max="5899" width="5.5703125" style="16" customWidth="1"/>
    <col min="5900" max="5900" width="10.140625" style="16" customWidth="1"/>
    <col min="5901" max="5901" width="19.5703125" style="16" customWidth="1"/>
    <col min="5902" max="6143" width="3.42578125" style="16" customWidth="1"/>
    <col min="6144" max="6144" width="1" style="16" customWidth="1"/>
    <col min="6145" max="6145" width="4" style="16" customWidth="1"/>
    <col min="6146" max="6146" width="10" style="16" customWidth="1"/>
    <col min="6147" max="6147" width="14" style="16" customWidth="1"/>
    <col min="6148" max="6148" width="28.42578125" style="16" customWidth="1"/>
    <col min="6149" max="6149" width="13.28515625" style="16" customWidth="1"/>
    <col min="6150" max="6150" width="7.28515625" style="16" customWidth="1"/>
    <col min="6151" max="6151" width="4" style="16" customWidth="1"/>
    <col min="6152" max="6152" width="11" style="16" customWidth="1"/>
    <col min="6153" max="6153" width="14" style="16" customWidth="1"/>
    <col min="6154" max="6155" width="5.5703125" style="16" customWidth="1"/>
    <col min="6156" max="6156" width="10.140625" style="16" customWidth="1"/>
    <col min="6157" max="6157" width="19.5703125" style="16" customWidth="1"/>
    <col min="6158" max="6399" width="3.42578125" style="16" customWidth="1"/>
    <col min="6400" max="6400" width="1" style="16" customWidth="1"/>
    <col min="6401" max="6401" width="4" style="16" customWidth="1"/>
    <col min="6402" max="6402" width="10" style="16" customWidth="1"/>
    <col min="6403" max="6403" width="14" style="16" customWidth="1"/>
    <col min="6404" max="6404" width="28.42578125" style="16" customWidth="1"/>
    <col min="6405" max="6405" width="13.28515625" style="16" customWidth="1"/>
    <col min="6406" max="6406" width="7.28515625" style="16" customWidth="1"/>
    <col min="6407" max="6407" width="4" style="16" customWidth="1"/>
    <col min="6408" max="6408" width="11" style="16" customWidth="1"/>
    <col min="6409" max="6409" width="14" style="16" customWidth="1"/>
    <col min="6410" max="6411" width="5.5703125" style="16" customWidth="1"/>
    <col min="6412" max="6412" width="10.140625" style="16" customWidth="1"/>
    <col min="6413" max="6413" width="19.5703125" style="16" customWidth="1"/>
    <col min="6414" max="6655" width="3.42578125" style="16" customWidth="1"/>
    <col min="6656" max="6656" width="1" style="16" customWidth="1"/>
    <col min="6657" max="6657" width="4" style="16" customWidth="1"/>
    <col min="6658" max="6658" width="10" style="16" customWidth="1"/>
    <col min="6659" max="6659" width="14" style="16" customWidth="1"/>
    <col min="6660" max="6660" width="28.42578125" style="16" customWidth="1"/>
    <col min="6661" max="6661" width="13.28515625" style="16" customWidth="1"/>
    <col min="6662" max="6662" width="7.28515625" style="16" customWidth="1"/>
    <col min="6663" max="6663" width="4" style="16" customWidth="1"/>
    <col min="6664" max="6664" width="11" style="16" customWidth="1"/>
    <col min="6665" max="6665" width="14" style="16" customWidth="1"/>
    <col min="6666" max="6667" width="5.5703125" style="16" customWidth="1"/>
    <col min="6668" max="6668" width="10.140625" style="16" customWidth="1"/>
    <col min="6669" max="6669" width="19.5703125" style="16" customWidth="1"/>
    <col min="6670" max="6911" width="3.42578125" style="16" customWidth="1"/>
    <col min="6912" max="6912" width="1" style="16" customWidth="1"/>
    <col min="6913" max="6913" width="4" style="16" customWidth="1"/>
    <col min="6914" max="6914" width="10" style="16" customWidth="1"/>
    <col min="6915" max="6915" width="14" style="16" customWidth="1"/>
    <col min="6916" max="6916" width="28.42578125" style="16" customWidth="1"/>
    <col min="6917" max="6917" width="13.28515625" style="16" customWidth="1"/>
    <col min="6918" max="6918" width="7.28515625" style="16" customWidth="1"/>
    <col min="6919" max="6919" width="4" style="16" customWidth="1"/>
    <col min="6920" max="6920" width="11" style="16" customWidth="1"/>
    <col min="6921" max="6921" width="14" style="16" customWidth="1"/>
    <col min="6922" max="6923" width="5.5703125" style="16" customWidth="1"/>
    <col min="6924" max="6924" width="10.140625" style="16" customWidth="1"/>
    <col min="6925" max="6925" width="19.5703125" style="16" customWidth="1"/>
    <col min="6926" max="7167" width="3.42578125" style="16" customWidth="1"/>
    <col min="7168" max="7168" width="1" style="16" customWidth="1"/>
    <col min="7169" max="7169" width="4" style="16" customWidth="1"/>
    <col min="7170" max="7170" width="10" style="16" customWidth="1"/>
    <col min="7171" max="7171" width="14" style="16" customWidth="1"/>
    <col min="7172" max="7172" width="28.42578125" style="16" customWidth="1"/>
    <col min="7173" max="7173" width="13.28515625" style="16" customWidth="1"/>
    <col min="7174" max="7174" width="7.28515625" style="16" customWidth="1"/>
    <col min="7175" max="7175" width="4" style="16" customWidth="1"/>
    <col min="7176" max="7176" width="11" style="16" customWidth="1"/>
    <col min="7177" max="7177" width="14" style="16" customWidth="1"/>
    <col min="7178" max="7179" width="5.5703125" style="16" customWidth="1"/>
    <col min="7180" max="7180" width="10.140625" style="16" customWidth="1"/>
    <col min="7181" max="7181" width="19.5703125" style="16" customWidth="1"/>
    <col min="7182" max="7423" width="3.42578125" style="16" customWidth="1"/>
    <col min="7424" max="7424" width="1" style="16" customWidth="1"/>
    <col min="7425" max="7425" width="4" style="16" customWidth="1"/>
    <col min="7426" max="7426" width="10" style="16" customWidth="1"/>
    <col min="7427" max="7427" width="14" style="16" customWidth="1"/>
    <col min="7428" max="7428" width="28.42578125" style="16" customWidth="1"/>
    <col min="7429" max="7429" width="13.28515625" style="16" customWidth="1"/>
    <col min="7430" max="7430" width="7.28515625" style="16" customWidth="1"/>
    <col min="7431" max="7431" width="4" style="16" customWidth="1"/>
    <col min="7432" max="7432" width="11" style="16" customWidth="1"/>
    <col min="7433" max="7433" width="14" style="16" customWidth="1"/>
    <col min="7434" max="7435" width="5.5703125" style="16" customWidth="1"/>
    <col min="7436" max="7436" width="10.140625" style="16" customWidth="1"/>
    <col min="7437" max="7437" width="19.5703125" style="16" customWidth="1"/>
    <col min="7438" max="7679" width="3.42578125" style="16" customWidth="1"/>
    <col min="7680" max="7680" width="1" style="16" customWidth="1"/>
    <col min="7681" max="7681" width="4" style="16" customWidth="1"/>
    <col min="7682" max="7682" width="10" style="16" customWidth="1"/>
    <col min="7683" max="7683" width="14" style="16" customWidth="1"/>
    <col min="7684" max="7684" width="28.42578125" style="16" customWidth="1"/>
    <col min="7685" max="7685" width="13.28515625" style="16" customWidth="1"/>
    <col min="7686" max="7686" width="7.28515625" style="16" customWidth="1"/>
    <col min="7687" max="7687" width="4" style="16" customWidth="1"/>
    <col min="7688" max="7688" width="11" style="16" customWidth="1"/>
    <col min="7689" max="7689" width="14" style="16" customWidth="1"/>
    <col min="7690" max="7691" width="5.5703125" style="16" customWidth="1"/>
    <col min="7692" max="7692" width="10.140625" style="16" customWidth="1"/>
    <col min="7693" max="7693" width="19.5703125" style="16" customWidth="1"/>
    <col min="7694" max="7935" width="3.42578125" style="16" customWidth="1"/>
    <col min="7936" max="7936" width="1" style="16" customWidth="1"/>
    <col min="7937" max="7937" width="4" style="16" customWidth="1"/>
    <col min="7938" max="7938" width="10" style="16" customWidth="1"/>
    <col min="7939" max="7939" width="14" style="16" customWidth="1"/>
    <col min="7940" max="7940" width="28.42578125" style="16" customWidth="1"/>
    <col min="7941" max="7941" width="13.28515625" style="16" customWidth="1"/>
    <col min="7942" max="7942" width="7.28515625" style="16" customWidth="1"/>
    <col min="7943" max="7943" width="4" style="16" customWidth="1"/>
    <col min="7944" max="7944" width="11" style="16" customWidth="1"/>
    <col min="7945" max="7945" width="14" style="16" customWidth="1"/>
    <col min="7946" max="7947" width="5.5703125" style="16" customWidth="1"/>
    <col min="7948" max="7948" width="10.140625" style="16" customWidth="1"/>
    <col min="7949" max="7949" width="19.5703125" style="16" customWidth="1"/>
    <col min="7950" max="8191" width="3.42578125" style="16" customWidth="1"/>
    <col min="8192" max="8192" width="1" style="16" customWidth="1"/>
    <col min="8193" max="8193" width="4" style="16" customWidth="1"/>
    <col min="8194" max="8194" width="10" style="16" customWidth="1"/>
    <col min="8195" max="8195" width="14" style="16" customWidth="1"/>
    <col min="8196" max="8196" width="28.42578125" style="16" customWidth="1"/>
    <col min="8197" max="8197" width="13.28515625" style="16" customWidth="1"/>
    <col min="8198" max="8198" width="7.28515625" style="16" customWidth="1"/>
    <col min="8199" max="8199" width="4" style="16" customWidth="1"/>
    <col min="8200" max="8200" width="11" style="16" customWidth="1"/>
    <col min="8201" max="8201" width="14" style="16" customWidth="1"/>
    <col min="8202" max="8203" width="5.5703125" style="16" customWidth="1"/>
    <col min="8204" max="8204" width="10.140625" style="16" customWidth="1"/>
    <col min="8205" max="8205" width="19.5703125" style="16" customWidth="1"/>
    <col min="8206" max="8447" width="3.42578125" style="16" customWidth="1"/>
    <col min="8448" max="8448" width="1" style="16" customWidth="1"/>
    <col min="8449" max="8449" width="4" style="16" customWidth="1"/>
    <col min="8450" max="8450" width="10" style="16" customWidth="1"/>
    <col min="8451" max="8451" width="14" style="16" customWidth="1"/>
    <col min="8452" max="8452" width="28.42578125" style="16" customWidth="1"/>
    <col min="8453" max="8453" width="13.28515625" style="16" customWidth="1"/>
    <col min="8454" max="8454" width="7.28515625" style="16" customWidth="1"/>
    <col min="8455" max="8455" width="4" style="16" customWidth="1"/>
    <col min="8456" max="8456" width="11" style="16" customWidth="1"/>
    <col min="8457" max="8457" width="14" style="16" customWidth="1"/>
    <col min="8458" max="8459" width="5.5703125" style="16" customWidth="1"/>
    <col min="8460" max="8460" width="10.140625" style="16" customWidth="1"/>
    <col min="8461" max="8461" width="19.5703125" style="16" customWidth="1"/>
    <col min="8462" max="8703" width="3.42578125" style="16" customWidth="1"/>
    <col min="8704" max="8704" width="1" style="16" customWidth="1"/>
    <col min="8705" max="8705" width="4" style="16" customWidth="1"/>
    <col min="8706" max="8706" width="10" style="16" customWidth="1"/>
    <col min="8707" max="8707" width="14" style="16" customWidth="1"/>
    <col min="8708" max="8708" width="28.42578125" style="16" customWidth="1"/>
    <col min="8709" max="8709" width="13.28515625" style="16" customWidth="1"/>
    <col min="8710" max="8710" width="7.28515625" style="16" customWidth="1"/>
    <col min="8711" max="8711" width="4" style="16" customWidth="1"/>
    <col min="8712" max="8712" width="11" style="16" customWidth="1"/>
    <col min="8713" max="8713" width="14" style="16" customWidth="1"/>
    <col min="8714" max="8715" width="5.5703125" style="16" customWidth="1"/>
    <col min="8716" max="8716" width="10.140625" style="16" customWidth="1"/>
    <col min="8717" max="8717" width="19.5703125" style="16" customWidth="1"/>
    <col min="8718" max="8959" width="3.42578125" style="16" customWidth="1"/>
    <col min="8960" max="8960" width="1" style="16" customWidth="1"/>
    <col min="8961" max="8961" width="4" style="16" customWidth="1"/>
    <col min="8962" max="8962" width="10" style="16" customWidth="1"/>
    <col min="8963" max="8963" width="14" style="16" customWidth="1"/>
    <col min="8964" max="8964" width="28.42578125" style="16" customWidth="1"/>
    <col min="8965" max="8965" width="13.28515625" style="16" customWidth="1"/>
    <col min="8966" max="8966" width="7.28515625" style="16" customWidth="1"/>
    <col min="8967" max="8967" width="4" style="16" customWidth="1"/>
    <col min="8968" max="8968" width="11" style="16" customWidth="1"/>
    <col min="8969" max="8969" width="14" style="16" customWidth="1"/>
    <col min="8970" max="8971" width="5.5703125" style="16" customWidth="1"/>
    <col min="8972" max="8972" width="10.140625" style="16" customWidth="1"/>
    <col min="8973" max="8973" width="19.5703125" style="16" customWidth="1"/>
    <col min="8974" max="9215" width="3.42578125" style="16" customWidth="1"/>
    <col min="9216" max="9216" width="1" style="16" customWidth="1"/>
    <col min="9217" max="9217" width="4" style="16" customWidth="1"/>
    <col min="9218" max="9218" width="10" style="16" customWidth="1"/>
    <col min="9219" max="9219" width="14" style="16" customWidth="1"/>
    <col min="9220" max="9220" width="28.42578125" style="16" customWidth="1"/>
    <col min="9221" max="9221" width="13.28515625" style="16" customWidth="1"/>
    <col min="9222" max="9222" width="7.28515625" style="16" customWidth="1"/>
    <col min="9223" max="9223" width="4" style="16" customWidth="1"/>
    <col min="9224" max="9224" width="11" style="16" customWidth="1"/>
    <col min="9225" max="9225" width="14" style="16" customWidth="1"/>
    <col min="9226" max="9227" width="5.5703125" style="16" customWidth="1"/>
    <col min="9228" max="9228" width="10.140625" style="16" customWidth="1"/>
    <col min="9229" max="9229" width="19.5703125" style="16" customWidth="1"/>
    <col min="9230" max="9471" width="3.42578125" style="16" customWidth="1"/>
    <col min="9472" max="9472" width="1" style="16" customWidth="1"/>
    <col min="9473" max="9473" width="4" style="16" customWidth="1"/>
    <col min="9474" max="9474" width="10" style="16" customWidth="1"/>
    <col min="9475" max="9475" width="14" style="16" customWidth="1"/>
    <col min="9476" max="9476" width="28.42578125" style="16" customWidth="1"/>
    <col min="9477" max="9477" width="13.28515625" style="16" customWidth="1"/>
    <col min="9478" max="9478" width="7.28515625" style="16" customWidth="1"/>
    <col min="9479" max="9479" width="4" style="16" customWidth="1"/>
    <col min="9480" max="9480" width="11" style="16" customWidth="1"/>
    <col min="9481" max="9481" width="14" style="16" customWidth="1"/>
    <col min="9482" max="9483" width="5.5703125" style="16" customWidth="1"/>
    <col min="9484" max="9484" width="10.140625" style="16" customWidth="1"/>
    <col min="9485" max="9485" width="19.5703125" style="16" customWidth="1"/>
    <col min="9486" max="9727" width="3.42578125" style="16" customWidth="1"/>
    <col min="9728" max="9728" width="1" style="16" customWidth="1"/>
    <col min="9729" max="9729" width="4" style="16" customWidth="1"/>
    <col min="9730" max="9730" width="10" style="16" customWidth="1"/>
    <col min="9731" max="9731" width="14" style="16" customWidth="1"/>
    <col min="9732" max="9732" width="28.42578125" style="16" customWidth="1"/>
    <col min="9733" max="9733" width="13.28515625" style="16" customWidth="1"/>
    <col min="9734" max="9734" width="7.28515625" style="16" customWidth="1"/>
    <col min="9735" max="9735" width="4" style="16" customWidth="1"/>
    <col min="9736" max="9736" width="11" style="16" customWidth="1"/>
    <col min="9737" max="9737" width="14" style="16" customWidth="1"/>
    <col min="9738" max="9739" width="5.5703125" style="16" customWidth="1"/>
    <col min="9740" max="9740" width="10.140625" style="16" customWidth="1"/>
    <col min="9741" max="9741" width="19.5703125" style="16" customWidth="1"/>
    <col min="9742" max="9983" width="3.42578125" style="16" customWidth="1"/>
    <col min="9984" max="9984" width="1" style="16" customWidth="1"/>
    <col min="9985" max="9985" width="4" style="16" customWidth="1"/>
    <col min="9986" max="9986" width="10" style="16" customWidth="1"/>
    <col min="9987" max="9987" width="14" style="16" customWidth="1"/>
    <col min="9988" max="9988" width="28.42578125" style="16" customWidth="1"/>
    <col min="9989" max="9989" width="13.28515625" style="16" customWidth="1"/>
    <col min="9990" max="9990" width="7.28515625" style="16" customWidth="1"/>
    <col min="9991" max="9991" width="4" style="16" customWidth="1"/>
    <col min="9992" max="9992" width="11" style="16" customWidth="1"/>
    <col min="9993" max="9993" width="14" style="16" customWidth="1"/>
    <col min="9994" max="9995" width="5.5703125" style="16" customWidth="1"/>
    <col min="9996" max="9996" width="10.140625" style="16" customWidth="1"/>
    <col min="9997" max="9997" width="19.5703125" style="16" customWidth="1"/>
    <col min="9998" max="10239" width="3.42578125" style="16" customWidth="1"/>
    <col min="10240" max="10240" width="1" style="16" customWidth="1"/>
    <col min="10241" max="10241" width="4" style="16" customWidth="1"/>
    <col min="10242" max="10242" width="10" style="16" customWidth="1"/>
    <col min="10243" max="10243" width="14" style="16" customWidth="1"/>
    <col min="10244" max="10244" width="28.42578125" style="16" customWidth="1"/>
    <col min="10245" max="10245" width="13.28515625" style="16" customWidth="1"/>
    <col min="10246" max="10246" width="7.28515625" style="16" customWidth="1"/>
    <col min="10247" max="10247" width="4" style="16" customWidth="1"/>
    <col min="10248" max="10248" width="11" style="16" customWidth="1"/>
    <col min="10249" max="10249" width="14" style="16" customWidth="1"/>
    <col min="10250" max="10251" width="5.5703125" style="16" customWidth="1"/>
    <col min="10252" max="10252" width="10.140625" style="16" customWidth="1"/>
    <col min="10253" max="10253" width="19.5703125" style="16" customWidth="1"/>
    <col min="10254" max="10495" width="3.42578125" style="16" customWidth="1"/>
    <col min="10496" max="10496" width="1" style="16" customWidth="1"/>
    <col min="10497" max="10497" width="4" style="16" customWidth="1"/>
    <col min="10498" max="10498" width="10" style="16" customWidth="1"/>
    <col min="10499" max="10499" width="14" style="16" customWidth="1"/>
    <col min="10500" max="10500" width="28.42578125" style="16" customWidth="1"/>
    <col min="10501" max="10501" width="13.28515625" style="16" customWidth="1"/>
    <col min="10502" max="10502" width="7.28515625" style="16" customWidth="1"/>
    <col min="10503" max="10503" width="4" style="16" customWidth="1"/>
    <col min="10504" max="10504" width="11" style="16" customWidth="1"/>
    <col min="10505" max="10505" width="14" style="16" customWidth="1"/>
    <col min="10506" max="10507" width="5.5703125" style="16" customWidth="1"/>
    <col min="10508" max="10508" width="10.140625" style="16" customWidth="1"/>
    <col min="10509" max="10509" width="19.5703125" style="16" customWidth="1"/>
    <col min="10510" max="10751" width="3.42578125" style="16" customWidth="1"/>
    <col min="10752" max="10752" width="1" style="16" customWidth="1"/>
    <col min="10753" max="10753" width="4" style="16" customWidth="1"/>
    <col min="10754" max="10754" width="10" style="16" customWidth="1"/>
    <col min="10755" max="10755" width="14" style="16" customWidth="1"/>
    <col min="10756" max="10756" width="28.42578125" style="16" customWidth="1"/>
    <col min="10757" max="10757" width="13.28515625" style="16" customWidth="1"/>
    <col min="10758" max="10758" width="7.28515625" style="16" customWidth="1"/>
    <col min="10759" max="10759" width="4" style="16" customWidth="1"/>
    <col min="10760" max="10760" width="11" style="16" customWidth="1"/>
    <col min="10761" max="10761" width="14" style="16" customWidth="1"/>
    <col min="10762" max="10763" width="5.5703125" style="16" customWidth="1"/>
    <col min="10764" max="10764" width="10.140625" style="16" customWidth="1"/>
    <col min="10765" max="10765" width="19.5703125" style="16" customWidth="1"/>
    <col min="10766" max="11007" width="3.42578125" style="16" customWidth="1"/>
    <col min="11008" max="11008" width="1" style="16" customWidth="1"/>
    <col min="11009" max="11009" width="4" style="16" customWidth="1"/>
    <col min="11010" max="11010" width="10" style="16" customWidth="1"/>
    <col min="11011" max="11011" width="14" style="16" customWidth="1"/>
    <col min="11012" max="11012" width="28.42578125" style="16" customWidth="1"/>
    <col min="11013" max="11013" width="13.28515625" style="16" customWidth="1"/>
    <col min="11014" max="11014" width="7.28515625" style="16" customWidth="1"/>
    <col min="11015" max="11015" width="4" style="16" customWidth="1"/>
    <col min="11016" max="11016" width="11" style="16" customWidth="1"/>
    <col min="11017" max="11017" width="14" style="16" customWidth="1"/>
    <col min="11018" max="11019" width="5.5703125" style="16" customWidth="1"/>
    <col min="11020" max="11020" width="10.140625" style="16" customWidth="1"/>
    <col min="11021" max="11021" width="19.5703125" style="16" customWidth="1"/>
    <col min="11022" max="11263" width="3.42578125" style="16" customWidth="1"/>
    <col min="11264" max="11264" width="1" style="16" customWidth="1"/>
    <col min="11265" max="11265" width="4" style="16" customWidth="1"/>
    <col min="11266" max="11266" width="10" style="16" customWidth="1"/>
    <col min="11267" max="11267" width="14" style="16" customWidth="1"/>
    <col min="11268" max="11268" width="28.42578125" style="16" customWidth="1"/>
    <col min="11269" max="11269" width="13.28515625" style="16" customWidth="1"/>
    <col min="11270" max="11270" width="7.28515625" style="16" customWidth="1"/>
    <col min="11271" max="11271" width="4" style="16" customWidth="1"/>
    <col min="11272" max="11272" width="11" style="16" customWidth="1"/>
    <col min="11273" max="11273" width="14" style="16" customWidth="1"/>
    <col min="11274" max="11275" width="5.5703125" style="16" customWidth="1"/>
    <col min="11276" max="11276" width="10.140625" style="16" customWidth="1"/>
    <col min="11277" max="11277" width="19.5703125" style="16" customWidth="1"/>
    <col min="11278" max="11519" width="3.42578125" style="16" customWidth="1"/>
    <col min="11520" max="11520" width="1" style="16" customWidth="1"/>
    <col min="11521" max="11521" width="4" style="16" customWidth="1"/>
    <col min="11522" max="11522" width="10" style="16" customWidth="1"/>
    <col min="11523" max="11523" width="14" style="16" customWidth="1"/>
    <col min="11524" max="11524" width="28.42578125" style="16" customWidth="1"/>
    <col min="11525" max="11525" width="13.28515625" style="16" customWidth="1"/>
    <col min="11526" max="11526" width="7.28515625" style="16" customWidth="1"/>
    <col min="11527" max="11527" width="4" style="16" customWidth="1"/>
    <col min="11528" max="11528" width="11" style="16" customWidth="1"/>
    <col min="11529" max="11529" width="14" style="16" customWidth="1"/>
    <col min="11530" max="11531" width="5.5703125" style="16" customWidth="1"/>
    <col min="11532" max="11532" width="10.140625" style="16" customWidth="1"/>
    <col min="11533" max="11533" width="19.5703125" style="16" customWidth="1"/>
    <col min="11534" max="11775" width="3.42578125" style="16" customWidth="1"/>
    <col min="11776" max="11776" width="1" style="16" customWidth="1"/>
    <col min="11777" max="11777" width="4" style="16" customWidth="1"/>
    <col min="11778" max="11778" width="10" style="16" customWidth="1"/>
    <col min="11779" max="11779" width="14" style="16" customWidth="1"/>
    <col min="11780" max="11780" width="28.42578125" style="16" customWidth="1"/>
    <col min="11781" max="11781" width="13.28515625" style="16" customWidth="1"/>
    <col min="11782" max="11782" width="7.28515625" style="16" customWidth="1"/>
    <col min="11783" max="11783" width="4" style="16" customWidth="1"/>
    <col min="11784" max="11784" width="11" style="16" customWidth="1"/>
    <col min="11785" max="11785" width="14" style="16" customWidth="1"/>
    <col min="11786" max="11787" width="5.5703125" style="16" customWidth="1"/>
    <col min="11788" max="11788" width="10.140625" style="16" customWidth="1"/>
    <col min="11789" max="11789" width="19.5703125" style="16" customWidth="1"/>
    <col min="11790" max="12031" width="3.42578125" style="16" customWidth="1"/>
    <col min="12032" max="12032" width="1" style="16" customWidth="1"/>
    <col min="12033" max="12033" width="4" style="16" customWidth="1"/>
    <col min="12034" max="12034" width="10" style="16" customWidth="1"/>
    <col min="12035" max="12035" width="14" style="16" customWidth="1"/>
    <col min="12036" max="12036" width="28.42578125" style="16" customWidth="1"/>
    <col min="12037" max="12037" width="13.28515625" style="16" customWidth="1"/>
    <col min="12038" max="12038" width="7.28515625" style="16" customWidth="1"/>
    <col min="12039" max="12039" width="4" style="16" customWidth="1"/>
    <col min="12040" max="12040" width="11" style="16" customWidth="1"/>
    <col min="12041" max="12041" width="14" style="16" customWidth="1"/>
    <col min="12042" max="12043" width="5.5703125" style="16" customWidth="1"/>
    <col min="12044" max="12044" width="10.140625" style="16" customWidth="1"/>
    <col min="12045" max="12045" width="19.5703125" style="16" customWidth="1"/>
    <col min="12046" max="12287" width="3.42578125" style="16" customWidth="1"/>
    <col min="12288" max="12288" width="1" style="16" customWidth="1"/>
    <col min="12289" max="12289" width="4" style="16" customWidth="1"/>
    <col min="12290" max="12290" width="10" style="16" customWidth="1"/>
    <col min="12291" max="12291" width="14" style="16" customWidth="1"/>
    <col min="12292" max="12292" width="28.42578125" style="16" customWidth="1"/>
    <col min="12293" max="12293" width="13.28515625" style="16" customWidth="1"/>
    <col min="12294" max="12294" width="7.28515625" style="16" customWidth="1"/>
    <col min="12295" max="12295" width="4" style="16" customWidth="1"/>
    <col min="12296" max="12296" width="11" style="16" customWidth="1"/>
    <col min="12297" max="12297" width="14" style="16" customWidth="1"/>
    <col min="12298" max="12299" width="5.5703125" style="16" customWidth="1"/>
    <col min="12300" max="12300" width="10.140625" style="16" customWidth="1"/>
    <col min="12301" max="12301" width="19.5703125" style="16" customWidth="1"/>
    <col min="12302" max="12543" width="3.42578125" style="16" customWidth="1"/>
    <col min="12544" max="12544" width="1" style="16" customWidth="1"/>
    <col min="12545" max="12545" width="4" style="16" customWidth="1"/>
    <col min="12546" max="12546" width="10" style="16" customWidth="1"/>
    <col min="12547" max="12547" width="14" style="16" customWidth="1"/>
    <col min="12548" max="12548" width="28.42578125" style="16" customWidth="1"/>
    <col min="12549" max="12549" width="13.28515625" style="16" customWidth="1"/>
    <col min="12550" max="12550" width="7.28515625" style="16" customWidth="1"/>
    <col min="12551" max="12551" width="4" style="16" customWidth="1"/>
    <col min="12552" max="12552" width="11" style="16" customWidth="1"/>
    <col min="12553" max="12553" width="14" style="16" customWidth="1"/>
    <col min="12554" max="12555" width="5.5703125" style="16" customWidth="1"/>
    <col min="12556" max="12556" width="10.140625" style="16" customWidth="1"/>
    <col min="12557" max="12557" width="19.5703125" style="16" customWidth="1"/>
    <col min="12558" max="12799" width="3.42578125" style="16" customWidth="1"/>
    <col min="12800" max="12800" width="1" style="16" customWidth="1"/>
    <col min="12801" max="12801" width="4" style="16" customWidth="1"/>
    <col min="12802" max="12802" width="10" style="16" customWidth="1"/>
    <col min="12803" max="12803" width="14" style="16" customWidth="1"/>
    <col min="12804" max="12804" width="28.42578125" style="16" customWidth="1"/>
    <col min="12805" max="12805" width="13.28515625" style="16" customWidth="1"/>
    <col min="12806" max="12806" width="7.28515625" style="16" customWidth="1"/>
    <col min="12807" max="12807" width="4" style="16" customWidth="1"/>
    <col min="12808" max="12808" width="11" style="16" customWidth="1"/>
    <col min="12809" max="12809" width="14" style="16" customWidth="1"/>
    <col min="12810" max="12811" width="5.5703125" style="16" customWidth="1"/>
    <col min="12812" max="12812" width="10.140625" style="16" customWidth="1"/>
    <col min="12813" max="12813" width="19.5703125" style="16" customWidth="1"/>
    <col min="12814" max="13055" width="3.42578125" style="16" customWidth="1"/>
    <col min="13056" max="13056" width="1" style="16" customWidth="1"/>
    <col min="13057" max="13057" width="4" style="16" customWidth="1"/>
    <col min="13058" max="13058" width="10" style="16" customWidth="1"/>
    <col min="13059" max="13059" width="14" style="16" customWidth="1"/>
    <col min="13060" max="13060" width="28.42578125" style="16" customWidth="1"/>
    <col min="13061" max="13061" width="13.28515625" style="16" customWidth="1"/>
    <col min="13062" max="13062" width="7.28515625" style="16" customWidth="1"/>
    <col min="13063" max="13063" width="4" style="16" customWidth="1"/>
    <col min="13064" max="13064" width="11" style="16" customWidth="1"/>
    <col min="13065" max="13065" width="14" style="16" customWidth="1"/>
    <col min="13066" max="13067" width="5.5703125" style="16" customWidth="1"/>
    <col min="13068" max="13068" width="10.140625" style="16" customWidth="1"/>
    <col min="13069" max="13069" width="19.5703125" style="16" customWidth="1"/>
    <col min="13070" max="13311" width="3.42578125" style="16" customWidth="1"/>
    <col min="13312" max="13312" width="1" style="16" customWidth="1"/>
    <col min="13313" max="13313" width="4" style="16" customWidth="1"/>
    <col min="13314" max="13314" width="10" style="16" customWidth="1"/>
    <col min="13315" max="13315" width="14" style="16" customWidth="1"/>
    <col min="13316" max="13316" width="28.42578125" style="16" customWidth="1"/>
    <col min="13317" max="13317" width="13.28515625" style="16" customWidth="1"/>
    <col min="13318" max="13318" width="7.28515625" style="16" customWidth="1"/>
    <col min="13319" max="13319" width="4" style="16" customWidth="1"/>
    <col min="13320" max="13320" width="11" style="16" customWidth="1"/>
    <col min="13321" max="13321" width="14" style="16" customWidth="1"/>
    <col min="13322" max="13323" width="5.5703125" style="16" customWidth="1"/>
    <col min="13324" max="13324" width="10.140625" style="16" customWidth="1"/>
    <col min="13325" max="13325" width="19.5703125" style="16" customWidth="1"/>
    <col min="13326" max="13567" width="3.42578125" style="16" customWidth="1"/>
    <col min="13568" max="13568" width="1" style="16" customWidth="1"/>
    <col min="13569" max="13569" width="4" style="16" customWidth="1"/>
    <col min="13570" max="13570" width="10" style="16" customWidth="1"/>
    <col min="13571" max="13571" width="14" style="16" customWidth="1"/>
    <col min="13572" max="13572" width="28.42578125" style="16" customWidth="1"/>
    <col min="13573" max="13573" width="13.28515625" style="16" customWidth="1"/>
    <col min="13574" max="13574" width="7.28515625" style="16" customWidth="1"/>
    <col min="13575" max="13575" width="4" style="16" customWidth="1"/>
    <col min="13576" max="13576" width="11" style="16" customWidth="1"/>
    <col min="13577" max="13577" width="14" style="16" customWidth="1"/>
    <col min="13578" max="13579" width="5.5703125" style="16" customWidth="1"/>
    <col min="13580" max="13580" width="10.140625" style="16" customWidth="1"/>
    <col min="13581" max="13581" width="19.5703125" style="16" customWidth="1"/>
    <col min="13582" max="13823" width="3.42578125" style="16" customWidth="1"/>
    <col min="13824" max="13824" width="1" style="16" customWidth="1"/>
    <col min="13825" max="13825" width="4" style="16" customWidth="1"/>
    <col min="13826" max="13826" width="10" style="16" customWidth="1"/>
    <col min="13827" max="13827" width="14" style="16" customWidth="1"/>
    <col min="13828" max="13828" width="28.42578125" style="16" customWidth="1"/>
    <col min="13829" max="13829" width="13.28515625" style="16" customWidth="1"/>
    <col min="13830" max="13830" width="7.28515625" style="16" customWidth="1"/>
    <col min="13831" max="13831" width="4" style="16" customWidth="1"/>
    <col min="13832" max="13832" width="11" style="16" customWidth="1"/>
    <col min="13833" max="13833" width="14" style="16" customWidth="1"/>
    <col min="13834" max="13835" width="5.5703125" style="16" customWidth="1"/>
    <col min="13836" max="13836" width="10.140625" style="16" customWidth="1"/>
    <col min="13837" max="13837" width="19.5703125" style="16" customWidth="1"/>
    <col min="13838" max="14079" width="3.42578125" style="16" customWidth="1"/>
    <col min="14080" max="14080" width="1" style="16" customWidth="1"/>
    <col min="14081" max="14081" width="4" style="16" customWidth="1"/>
    <col min="14082" max="14082" width="10" style="16" customWidth="1"/>
    <col min="14083" max="14083" width="14" style="16" customWidth="1"/>
    <col min="14084" max="14084" width="28.42578125" style="16" customWidth="1"/>
    <col min="14085" max="14085" width="13.28515625" style="16" customWidth="1"/>
    <col min="14086" max="14086" width="7.28515625" style="16" customWidth="1"/>
    <col min="14087" max="14087" width="4" style="16" customWidth="1"/>
    <col min="14088" max="14088" width="11" style="16" customWidth="1"/>
    <col min="14089" max="14089" width="14" style="16" customWidth="1"/>
    <col min="14090" max="14091" width="5.5703125" style="16" customWidth="1"/>
    <col min="14092" max="14092" width="10.140625" style="16" customWidth="1"/>
    <col min="14093" max="14093" width="19.5703125" style="16" customWidth="1"/>
    <col min="14094" max="14335" width="3.42578125" style="16" customWidth="1"/>
    <col min="14336" max="14336" width="1" style="16" customWidth="1"/>
    <col min="14337" max="14337" width="4" style="16" customWidth="1"/>
    <col min="14338" max="14338" width="10" style="16" customWidth="1"/>
    <col min="14339" max="14339" width="14" style="16" customWidth="1"/>
    <col min="14340" max="14340" width="28.42578125" style="16" customWidth="1"/>
    <col min="14341" max="14341" width="13.28515625" style="16" customWidth="1"/>
    <col min="14342" max="14342" width="7.28515625" style="16" customWidth="1"/>
    <col min="14343" max="14343" width="4" style="16" customWidth="1"/>
    <col min="14344" max="14344" width="11" style="16" customWidth="1"/>
    <col min="14345" max="14345" width="14" style="16" customWidth="1"/>
    <col min="14346" max="14347" width="5.5703125" style="16" customWidth="1"/>
    <col min="14348" max="14348" width="10.140625" style="16" customWidth="1"/>
    <col min="14349" max="14349" width="19.5703125" style="16" customWidth="1"/>
    <col min="14350" max="14591" width="3.42578125" style="16" customWidth="1"/>
    <col min="14592" max="14592" width="1" style="16" customWidth="1"/>
    <col min="14593" max="14593" width="4" style="16" customWidth="1"/>
    <col min="14594" max="14594" width="10" style="16" customWidth="1"/>
    <col min="14595" max="14595" width="14" style="16" customWidth="1"/>
    <col min="14596" max="14596" width="28.42578125" style="16" customWidth="1"/>
    <col min="14597" max="14597" width="13.28515625" style="16" customWidth="1"/>
    <col min="14598" max="14598" width="7.28515625" style="16" customWidth="1"/>
    <col min="14599" max="14599" width="4" style="16" customWidth="1"/>
    <col min="14600" max="14600" width="11" style="16" customWidth="1"/>
    <col min="14601" max="14601" width="14" style="16" customWidth="1"/>
    <col min="14602" max="14603" width="5.5703125" style="16" customWidth="1"/>
    <col min="14604" max="14604" width="10.140625" style="16" customWidth="1"/>
    <col min="14605" max="14605" width="19.5703125" style="16" customWidth="1"/>
    <col min="14606" max="14847" width="3.42578125" style="16" customWidth="1"/>
    <col min="14848" max="14848" width="1" style="16" customWidth="1"/>
    <col min="14849" max="14849" width="4" style="16" customWidth="1"/>
    <col min="14850" max="14850" width="10" style="16" customWidth="1"/>
    <col min="14851" max="14851" width="14" style="16" customWidth="1"/>
    <col min="14852" max="14852" width="28.42578125" style="16" customWidth="1"/>
    <col min="14853" max="14853" width="13.28515625" style="16" customWidth="1"/>
    <col min="14854" max="14854" width="7.28515625" style="16" customWidth="1"/>
    <col min="14855" max="14855" width="4" style="16" customWidth="1"/>
    <col min="14856" max="14856" width="11" style="16" customWidth="1"/>
    <col min="14857" max="14857" width="14" style="16" customWidth="1"/>
    <col min="14858" max="14859" width="5.5703125" style="16" customWidth="1"/>
    <col min="14860" max="14860" width="10.140625" style="16" customWidth="1"/>
    <col min="14861" max="14861" width="19.5703125" style="16" customWidth="1"/>
    <col min="14862" max="15103" width="3.42578125" style="16" customWidth="1"/>
    <col min="15104" max="15104" width="1" style="16" customWidth="1"/>
    <col min="15105" max="15105" width="4" style="16" customWidth="1"/>
    <col min="15106" max="15106" width="10" style="16" customWidth="1"/>
    <col min="15107" max="15107" width="14" style="16" customWidth="1"/>
    <col min="15108" max="15108" width="28.42578125" style="16" customWidth="1"/>
    <col min="15109" max="15109" width="13.28515625" style="16" customWidth="1"/>
    <col min="15110" max="15110" width="7.28515625" style="16" customWidth="1"/>
    <col min="15111" max="15111" width="4" style="16" customWidth="1"/>
    <col min="15112" max="15112" width="11" style="16" customWidth="1"/>
    <col min="15113" max="15113" width="14" style="16" customWidth="1"/>
    <col min="15114" max="15115" width="5.5703125" style="16" customWidth="1"/>
    <col min="15116" max="15116" width="10.140625" style="16" customWidth="1"/>
    <col min="15117" max="15117" width="19.5703125" style="16" customWidth="1"/>
    <col min="15118" max="15359" width="3.42578125" style="16" customWidth="1"/>
    <col min="15360" max="15360" width="1" style="16" customWidth="1"/>
    <col min="15361" max="15361" width="4" style="16" customWidth="1"/>
    <col min="15362" max="15362" width="10" style="16" customWidth="1"/>
    <col min="15363" max="15363" width="14" style="16" customWidth="1"/>
    <col min="15364" max="15364" width="28.42578125" style="16" customWidth="1"/>
    <col min="15365" max="15365" width="13.28515625" style="16" customWidth="1"/>
    <col min="15366" max="15366" width="7.28515625" style="16" customWidth="1"/>
    <col min="15367" max="15367" width="4" style="16" customWidth="1"/>
    <col min="15368" max="15368" width="11" style="16" customWidth="1"/>
    <col min="15369" max="15369" width="14" style="16" customWidth="1"/>
    <col min="15370" max="15371" width="5.5703125" style="16" customWidth="1"/>
    <col min="15372" max="15372" width="10.140625" style="16" customWidth="1"/>
    <col min="15373" max="15373" width="19.5703125" style="16" customWidth="1"/>
    <col min="15374" max="15615" width="3.42578125" style="16" customWidth="1"/>
    <col min="15616" max="15616" width="1" style="16" customWidth="1"/>
    <col min="15617" max="15617" width="4" style="16" customWidth="1"/>
    <col min="15618" max="15618" width="10" style="16" customWidth="1"/>
    <col min="15619" max="15619" width="14" style="16" customWidth="1"/>
    <col min="15620" max="15620" width="28.42578125" style="16" customWidth="1"/>
    <col min="15621" max="15621" width="13.28515625" style="16" customWidth="1"/>
    <col min="15622" max="15622" width="7.28515625" style="16" customWidth="1"/>
    <col min="15623" max="15623" width="4" style="16" customWidth="1"/>
    <col min="15624" max="15624" width="11" style="16" customWidth="1"/>
    <col min="15625" max="15625" width="14" style="16" customWidth="1"/>
    <col min="15626" max="15627" width="5.5703125" style="16" customWidth="1"/>
    <col min="15628" max="15628" width="10.140625" style="16" customWidth="1"/>
    <col min="15629" max="15629" width="19.5703125" style="16" customWidth="1"/>
    <col min="15630" max="15871" width="3.42578125" style="16" customWidth="1"/>
    <col min="15872" max="15872" width="1" style="16" customWidth="1"/>
    <col min="15873" max="15873" width="4" style="16" customWidth="1"/>
    <col min="15874" max="15874" width="10" style="16" customWidth="1"/>
    <col min="15875" max="15875" width="14" style="16" customWidth="1"/>
    <col min="15876" max="15876" width="28.42578125" style="16" customWidth="1"/>
    <col min="15877" max="15877" width="13.28515625" style="16" customWidth="1"/>
    <col min="15878" max="15878" width="7.28515625" style="16" customWidth="1"/>
    <col min="15879" max="15879" width="4" style="16" customWidth="1"/>
    <col min="15880" max="15880" width="11" style="16" customWidth="1"/>
    <col min="15881" max="15881" width="14" style="16" customWidth="1"/>
    <col min="15882" max="15883" width="5.5703125" style="16" customWidth="1"/>
    <col min="15884" max="15884" width="10.140625" style="16" customWidth="1"/>
    <col min="15885" max="15885" width="19.5703125" style="16" customWidth="1"/>
    <col min="15886" max="16127" width="3.42578125" style="16" customWidth="1"/>
    <col min="16128" max="16128" width="1" style="16" customWidth="1"/>
    <col min="16129" max="16129" width="4" style="16" customWidth="1"/>
    <col min="16130" max="16130" width="10" style="16" customWidth="1"/>
    <col min="16131" max="16131" width="14" style="16" customWidth="1"/>
    <col min="16132" max="16132" width="28.42578125" style="16" customWidth="1"/>
    <col min="16133" max="16133" width="13.28515625" style="16" customWidth="1"/>
    <col min="16134" max="16134" width="7.28515625" style="16" customWidth="1"/>
    <col min="16135" max="16135" width="4" style="16" customWidth="1"/>
    <col min="16136" max="16136" width="11" style="16" customWidth="1"/>
    <col min="16137" max="16137" width="14" style="16" customWidth="1"/>
    <col min="16138" max="16139" width="5.5703125" style="16" customWidth="1"/>
    <col min="16140" max="16140" width="10.140625" style="16" customWidth="1"/>
    <col min="16141" max="16141" width="19.5703125" style="16" customWidth="1"/>
    <col min="16142" max="16384" width="3.42578125" style="16" customWidth="1"/>
  </cols>
  <sheetData>
    <row r="1" spans="1:14" ht="21" customHeight="1" x14ac:dyDescent="0.2">
      <c r="A1" s="77" t="str">
        <f>"Отчет комитенту о продажах № K"&amp;TEXT(ПериодПо,"ддММгггг")&amp;" от "&amp;TEXT(ПериодПо,"дд.ММ.гггг")</f>
        <v>Отчет комитенту о продажах № K24072022 от 24.07.2022</v>
      </c>
      <c r="B1" s="78"/>
      <c r="C1" s="78"/>
      <c r="D1" s="78"/>
      <c r="E1" s="78"/>
      <c r="F1" s="78"/>
      <c r="G1" s="78"/>
      <c r="H1" s="78"/>
      <c r="I1" s="78"/>
      <c r="J1" s="15"/>
      <c r="K1" s="15"/>
      <c r="L1" s="15"/>
      <c r="M1" s="15"/>
    </row>
    <row r="2" spans="1:14" ht="17.45" customHeight="1" x14ac:dyDescent="0.25">
      <c r="A2" s="79" t="str">
        <f>"за период с "&amp;TEXT(ПериодС,"дд.ММ.гггг")&amp;" г. по "&amp;TEXT(ПериодПо,"дд.ММ.гггг")&amp;" г. по Договору комиссии 24062022 от 24.06.2022"</f>
        <v>за период с 18.07.2022 г. по 24.07.2022 г. по Договору комиссии 24062022 от 24.06.2022</v>
      </c>
      <c r="B2" s="80"/>
      <c r="C2" s="80"/>
      <c r="D2" s="80"/>
      <c r="E2" s="80"/>
      <c r="F2" s="80"/>
      <c r="G2" s="80"/>
      <c r="H2" s="80"/>
      <c r="I2" s="80"/>
      <c r="J2" s="17"/>
      <c r="K2" s="17"/>
      <c r="L2" s="17"/>
      <c r="M2" s="17"/>
    </row>
    <row r="3" spans="1:14" ht="6.6" customHeight="1" x14ac:dyDescent="0.2">
      <c r="A3" s="58"/>
      <c r="B3" s="58"/>
      <c r="C3" s="58"/>
      <c r="D3" s="58"/>
      <c r="E3" s="58"/>
      <c r="F3" s="58"/>
      <c r="G3" s="58"/>
      <c r="H3" s="58"/>
      <c r="I3" s="58"/>
    </row>
    <row r="4" spans="1:14" ht="27.6" customHeight="1" x14ac:dyDescent="0.2">
      <c r="A4" s="18" t="s">
        <v>115</v>
      </c>
      <c r="C4" s="81" t="s">
        <v>116</v>
      </c>
      <c r="D4" s="82"/>
      <c r="E4" s="82"/>
      <c r="F4" s="82"/>
      <c r="G4" s="82"/>
      <c r="H4" s="82"/>
      <c r="I4" s="83"/>
      <c r="J4" s="19"/>
      <c r="K4" s="19"/>
      <c r="L4" s="19"/>
    </row>
    <row r="5" spans="1:14" ht="28.15" customHeight="1" x14ac:dyDescent="0.2">
      <c r="A5" s="18" t="s">
        <v>117</v>
      </c>
      <c r="C5" s="81" t="s">
        <v>118</v>
      </c>
      <c r="D5" s="82"/>
      <c r="E5" s="82"/>
      <c r="F5" s="82"/>
      <c r="G5" s="82"/>
      <c r="H5" s="82"/>
      <c r="I5" s="82"/>
      <c r="J5" s="19"/>
      <c r="K5" s="19"/>
      <c r="L5" s="19"/>
    </row>
    <row r="6" spans="1:14" ht="11.25" customHeight="1" x14ac:dyDescent="0.2">
      <c r="J6" s="20"/>
      <c r="K6" s="20"/>
      <c r="L6" s="20"/>
      <c r="M6" s="20"/>
      <c r="N6" s="20"/>
    </row>
    <row r="7" spans="1:14" s="20" customFormat="1" ht="33" customHeight="1" x14ac:dyDescent="0.2">
      <c r="A7" s="21" t="s">
        <v>119</v>
      </c>
      <c r="B7" s="22" t="s">
        <v>120</v>
      </c>
      <c r="C7" s="21" t="s">
        <v>121</v>
      </c>
      <c r="D7" s="21" t="s">
        <v>122</v>
      </c>
      <c r="E7" s="23" t="s">
        <v>3</v>
      </c>
      <c r="F7" s="21" t="s">
        <v>4</v>
      </c>
      <c r="G7" s="21" t="s">
        <v>5</v>
      </c>
      <c r="H7" s="23" t="s">
        <v>123</v>
      </c>
      <c r="I7" s="23" t="s">
        <v>124</v>
      </c>
    </row>
    <row r="8" spans="1:14" s="20" customFormat="1" ht="33" customHeight="1" x14ac:dyDescent="0.2">
      <c r="A8" s="24">
        <v>1</v>
      </c>
      <c r="B8" s="25" t="str" cm="1">
        <f t="array" aca="1" ref="B8:G108" ca="1">INDIRECT("Загрузка!A2:F"&amp;Handler!G3)</f>
        <v>94-002-05-00</v>
      </c>
      <c r="C8" s="26">
        <f ca="1"/>
        <v>1</v>
      </c>
      <c r="D8" s="27">
        <f ca="1"/>
        <v>1156.32</v>
      </c>
      <c r="E8" s="28">
        <f ca="1"/>
        <v>1156.32</v>
      </c>
      <c r="F8" s="27">
        <f ca="1"/>
        <v>2190</v>
      </c>
      <c r="G8" s="27">
        <f ca="1"/>
        <v>2190</v>
      </c>
      <c r="H8" s="29" t="s">
        <v>125</v>
      </c>
      <c r="I8" s="28" cm="1">
        <f t="array" aca="1" ref="I8:I108" ca="1">INDIRECT("Загрузка!G2:G"&amp;Handler!G3)</f>
        <v>1033.68</v>
      </c>
    </row>
    <row r="9" spans="1:14" s="20" customFormat="1" ht="33" customHeight="1" x14ac:dyDescent="0.2">
      <c r="A9" s="24">
        <v>2</v>
      </c>
      <c r="B9" s="25" t="str">
        <f ca="1"/>
        <v>94-003-16-00</v>
      </c>
      <c r="C9" s="26">
        <f ca="1"/>
        <v>2</v>
      </c>
      <c r="D9" s="27">
        <f ca="1"/>
        <v>997.92</v>
      </c>
      <c r="E9" s="28">
        <f ca="1"/>
        <v>1995.84</v>
      </c>
      <c r="F9" s="27">
        <f ca="1"/>
        <v>1890</v>
      </c>
      <c r="G9" s="27">
        <f ca="1"/>
        <v>3780</v>
      </c>
      <c r="H9" s="29" t="s">
        <v>125</v>
      </c>
      <c r="I9" s="28">
        <f ca="1"/>
        <v>1784.16</v>
      </c>
    </row>
    <row r="10" spans="1:14" s="20" customFormat="1" ht="33" customHeight="1" x14ac:dyDescent="0.2">
      <c r="A10" s="24">
        <v>3</v>
      </c>
      <c r="B10" s="25" t="str">
        <f ca="1"/>
        <v>94-003-09-00</v>
      </c>
      <c r="C10" s="26">
        <f ca="1"/>
        <v>3</v>
      </c>
      <c r="D10" s="27">
        <f ca="1"/>
        <v>997.92</v>
      </c>
      <c r="E10" s="28">
        <f ca="1"/>
        <v>2993.7599999999998</v>
      </c>
      <c r="F10" s="27">
        <f ca="1"/>
        <v>1890</v>
      </c>
      <c r="G10" s="27">
        <f ca="1"/>
        <v>5670</v>
      </c>
      <c r="H10" s="29" t="s">
        <v>125</v>
      </c>
      <c r="I10" s="28">
        <f ca="1"/>
        <v>2676.2400000000002</v>
      </c>
    </row>
    <row r="11" spans="1:14" s="20" customFormat="1" ht="33" customHeight="1" x14ac:dyDescent="0.2">
      <c r="A11" s="24">
        <v>4</v>
      </c>
      <c r="B11" s="25" t="str">
        <f ca="1"/>
        <v>94-028-65-00</v>
      </c>
      <c r="C11" s="26">
        <f ca="1"/>
        <v>2</v>
      </c>
      <c r="D11" s="27">
        <f ca="1"/>
        <v>945.12</v>
      </c>
      <c r="E11" s="28">
        <f ca="1"/>
        <v>1890.24</v>
      </c>
      <c r="F11" s="27">
        <f ca="1"/>
        <v>1790</v>
      </c>
      <c r="G11" s="27">
        <f ca="1"/>
        <v>3580</v>
      </c>
      <c r="H11" s="29" t="s">
        <v>125</v>
      </c>
      <c r="I11" s="28">
        <f ca="1"/>
        <v>1689.76</v>
      </c>
    </row>
    <row r="12" spans="1:14" s="20" customFormat="1" ht="33" customHeight="1" x14ac:dyDescent="0.2">
      <c r="A12" s="24">
        <v>5</v>
      </c>
      <c r="B12" s="25" t="str">
        <f ca="1"/>
        <v>94-028-72-00</v>
      </c>
      <c r="C12" s="26">
        <f ca="1"/>
        <v>2</v>
      </c>
      <c r="D12" s="27">
        <f ca="1"/>
        <v>945.12</v>
      </c>
      <c r="E12" s="28">
        <f ca="1"/>
        <v>1890.24</v>
      </c>
      <c r="F12" s="27">
        <f ca="1"/>
        <v>1790</v>
      </c>
      <c r="G12" s="27">
        <f ca="1"/>
        <v>3580</v>
      </c>
      <c r="H12" s="29" t="s">
        <v>125</v>
      </c>
      <c r="I12" s="28">
        <f ca="1"/>
        <v>1689.76</v>
      </c>
    </row>
    <row r="13" spans="1:14" s="20" customFormat="1" ht="33" customHeight="1" x14ac:dyDescent="0.2">
      <c r="A13" s="24">
        <v>6</v>
      </c>
      <c r="B13" s="25" t="str">
        <f ca="1"/>
        <v>94-004-08-00</v>
      </c>
      <c r="C13" s="26">
        <f ca="1"/>
        <v>1</v>
      </c>
      <c r="D13" s="27">
        <f ca="1"/>
        <v>1156.32</v>
      </c>
      <c r="E13" s="28">
        <f ca="1"/>
        <v>1156.32</v>
      </c>
      <c r="F13" s="27">
        <f ca="1"/>
        <v>2190</v>
      </c>
      <c r="G13" s="27">
        <f ca="1"/>
        <v>2190</v>
      </c>
      <c r="H13" s="29" t="s">
        <v>125</v>
      </c>
      <c r="I13" s="28">
        <f ca="1"/>
        <v>1033.68</v>
      </c>
    </row>
    <row r="14" spans="1:14" s="20" customFormat="1" ht="33" customHeight="1" x14ac:dyDescent="0.2">
      <c r="A14" s="24">
        <v>7</v>
      </c>
      <c r="B14" s="25" t="str">
        <f ca="1"/>
        <v>94-004-05-00</v>
      </c>
      <c r="C14" s="26">
        <f ca="1"/>
        <v>1</v>
      </c>
      <c r="D14" s="27">
        <f ca="1"/>
        <v>1156.32</v>
      </c>
      <c r="E14" s="28">
        <f ca="1"/>
        <v>1156.32</v>
      </c>
      <c r="F14" s="27">
        <f ca="1"/>
        <v>2190</v>
      </c>
      <c r="G14" s="27">
        <f ca="1"/>
        <v>2190</v>
      </c>
      <c r="H14" s="29" t="s">
        <v>125</v>
      </c>
      <c r="I14" s="28">
        <f ca="1"/>
        <v>1033.68</v>
      </c>
    </row>
    <row r="15" spans="1:14" s="20" customFormat="1" ht="33" customHeight="1" x14ac:dyDescent="0.2">
      <c r="A15" s="24">
        <v>8</v>
      </c>
      <c r="B15" s="25" t="str">
        <f ca="1"/>
        <v>94-004-16-00</v>
      </c>
      <c r="C15" s="26">
        <f ca="1"/>
        <v>1</v>
      </c>
      <c r="D15" s="27">
        <f ca="1"/>
        <v>1156.32</v>
      </c>
      <c r="E15" s="28">
        <f ca="1"/>
        <v>1156.32</v>
      </c>
      <c r="F15" s="27">
        <f ca="1"/>
        <v>2190</v>
      </c>
      <c r="G15" s="27">
        <f ca="1"/>
        <v>2190</v>
      </c>
      <c r="H15" s="29" t="s">
        <v>125</v>
      </c>
      <c r="I15" s="28">
        <f ca="1"/>
        <v>1033.68</v>
      </c>
    </row>
    <row r="16" spans="1:14" s="20" customFormat="1" ht="33" customHeight="1" x14ac:dyDescent="0.2">
      <c r="A16" s="24">
        <v>9</v>
      </c>
      <c r="B16" s="25" t="str">
        <f ca="1"/>
        <v>94-020-17-00</v>
      </c>
      <c r="C16" s="26">
        <f ca="1"/>
        <v>3</v>
      </c>
      <c r="D16" s="27">
        <f ca="1"/>
        <v>1050.72</v>
      </c>
      <c r="E16" s="28">
        <f ca="1"/>
        <v>3152.16</v>
      </c>
      <c r="F16" s="27">
        <f ca="1"/>
        <v>1990</v>
      </c>
      <c r="G16" s="27">
        <f ca="1"/>
        <v>5970</v>
      </c>
      <c r="H16" s="29" t="s">
        <v>125</v>
      </c>
      <c r="I16" s="28">
        <f ca="1"/>
        <v>2817.84</v>
      </c>
    </row>
    <row r="17" spans="1:9" s="20" customFormat="1" ht="33" customHeight="1" x14ac:dyDescent="0.2">
      <c r="A17" s="24">
        <v>10</v>
      </c>
      <c r="B17" s="25" t="str">
        <f ca="1"/>
        <v>94-020-12-00</v>
      </c>
      <c r="C17" s="26">
        <f ca="1"/>
        <v>1</v>
      </c>
      <c r="D17" s="27">
        <f ca="1"/>
        <v>1050.72</v>
      </c>
      <c r="E17" s="28">
        <f ca="1"/>
        <v>1050.72</v>
      </c>
      <c r="F17" s="27">
        <f ca="1"/>
        <v>1990</v>
      </c>
      <c r="G17" s="27">
        <f ca="1"/>
        <v>1990</v>
      </c>
      <c r="H17" s="29" t="s">
        <v>125</v>
      </c>
      <c r="I17" s="28">
        <f ca="1"/>
        <v>939.28</v>
      </c>
    </row>
    <row r="18" spans="1:9" s="20" customFormat="1" ht="33" customHeight="1" x14ac:dyDescent="0.2">
      <c r="A18" s="24">
        <v>11</v>
      </c>
      <c r="B18" s="25" t="str">
        <f ca="1"/>
        <v>94-020-80-00</v>
      </c>
      <c r="C18" s="26">
        <f ca="1"/>
        <v>3</v>
      </c>
      <c r="D18" s="27">
        <f ca="1"/>
        <v>1050.72</v>
      </c>
      <c r="E18" s="28">
        <f ca="1"/>
        <v>3152.16</v>
      </c>
      <c r="F18" s="27">
        <f ca="1"/>
        <v>1990</v>
      </c>
      <c r="G18" s="27">
        <f ca="1"/>
        <v>5970</v>
      </c>
      <c r="H18" s="29" t="s">
        <v>125</v>
      </c>
      <c r="I18" s="28">
        <f ca="1"/>
        <v>2817.84</v>
      </c>
    </row>
    <row r="19" spans="1:9" s="20" customFormat="1" ht="33" customHeight="1" x14ac:dyDescent="0.2">
      <c r="A19" s="24">
        <v>12</v>
      </c>
      <c r="B19" s="25" t="str">
        <f ca="1"/>
        <v>94-020-05-00</v>
      </c>
      <c r="C19" s="26">
        <f ca="1"/>
        <v>2</v>
      </c>
      <c r="D19" s="27">
        <f ca="1"/>
        <v>1050.72</v>
      </c>
      <c r="E19" s="28">
        <f ca="1"/>
        <v>2101.44</v>
      </c>
      <c r="F19" s="27">
        <f ca="1"/>
        <v>1990</v>
      </c>
      <c r="G19" s="27">
        <f ca="1"/>
        <v>3980</v>
      </c>
      <c r="H19" s="29" t="s">
        <v>125</v>
      </c>
      <c r="I19" s="28">
        <f ca="1"/>
        <v>1878.56</v>
      </c>
    </row>
    <row r="20" spans="1:9" s="20" customFormat="1" ht="33" customHeight="1" x14ac:dyDescent="0.2">
      <c r="A20" s="24">
        <v>13</v>
      </c>
      <c r="B20" s="25" t="str">
        <f ca="1"/>
        <v>94-020-16-00</v>
      </c>
      <c r="C20" s="26">
        <f ca="1"/>
        <v>3</v>
      </c>
      <c r="D20" s="27">
        <f ca="1"/>
        <v>1050.72</v>
      </c>
      <c r="E20" s="28">
        <f ca="1"/>
        <v>3152.16</v>
      </c>
      <c r="F20" s="27">
        <f ca="1"/>
        <v>1990</v>
      </c>
      <c r="G20" s="27">
        <f ca="1"/>
        <v>5970</v>
      </c>
      <c r="H20" s="29" t="s">
        <v>125</v>
      </c>
      <c r="I20" s="28">
        <f ca="1"/>
        <v>2817.84</v>
      </c>
    </row>
    <row r="21" spans="1:9" s="20" customFormat="1" ht="33" customHeight="1" x14ac:dyDescent="0.2">
      <c r="A21" s="24">
        <v>14</v>
      </c>
      <c r="B21" s="25" t="str">
        <f ca="1"/>
        <v>94-020-09-00</v>
      </c>
      <c r="C21" s="26">
        <f ca="1"/>
        <v>5</v>
      </c>
      <c r="D21" s="27">
        <f ca="1"/>
        <v>1050.72</v>
      </c>
      <c r="E21" s="28">
        <f ca="1"/>
        <v>5253.6</v>
      </c>
      <c r="F21" s="27">
        <f ca="1"/>
        <v>1990</v>
      </c>
      <c r="G21" s="27">
        <f ca="1"/>
        <v>9950</v>
      </c>
      <c r="H21" s="29" t="s">
        <v>125</v>
      </c>
      <c r="I21" s="28">
        <f ca="1"/>
        <v>4696.3999999999996</v>
      </c>
    </row>
    <row r="22" spans="1:9" s="20" customFormat="1" ht="33" customHeight="1" x14ac:dyDescent="0.2">
      <c r="A22" s="24">
        <v>15</v>
      </c>
      <c r="B22" s="25" t="str">
        <f ca="1"/>
        <v>94-006-00-00</v>
      </c>
      <c r="C22" s="26">
        <f ca="1"/>
        <v>6</v>
      </c>
      <c r="D22" s="27">
        <f ca="1"/>
        <v>1156.32</v>
      </c>
      <c r="E22" s="28">
        <f ca="1"/>
        <v>6937.92</v>
      </c>
      <c r="F22" s="27">
        <f ca="1"/>
        <v>2190</v>
      </c>
      <c r="G22" s="27">
        <f ca="1"/>
        <v>13140</v>
      </c>
      <c r="H22" s="29" t="s">
        <v>125</v>
      </c>
      <c r="I22" s="28">
        <f ca="1"/>
        <v>6202.08</v>
      </c>
    </row>
    <row r="23" spans="1:9" s="20" customFormat="1" ht="33" customHeight="1" x14ac:dyDescent="0.2">
      <c r="A23" s="24">
        <v>16</v>
      </c>
      <c r="B23" s="25" t="str">
        <f ca="1"/>
        <v>94-007-17-00</v>
      </c>
      <c r="C23" s="26">
        <f ca="1"/>
        <v>2</v>
      </c>
      <c r="D23" s="27">
        <f ca="1"/>
        <v>1050.72</v>
      </c>
      <c r="E23" s="28">
        <f ca="1"/>
        <v>2101.44</v>
      </c>
      <c r="F23" s="27">
        <f ca="1"/>
        <v>1990</v>
      </c>
      <c r="G23" s="27">
        <f ca="1"/>
        <v>3980</v>
      </c>
      <c r="H23" s="29" t="s">
        <v>125</v>
      </c>
      <c r="I23" s="28">
        <f ca="1"/>
        <v>1878.56</v>
      </c>
    </row>
    <row r="24" spans="1:9" s="20" customFormat="1" ht="33" customHeight="1" x14ac:dyDescent="0.2">
      <c r="A24" s="24">
        <v>17</v>
      </c>
      <c r="B24" s="25" t="str">
        <f ca="1"/>
        <v>94-007-12-00</v>
      </c>
      <c r="C24" s="26">
        <f ca="1"/>
        <v>3</v>
      </c>
      <c r="D24" s="27">
        <f ca="1"/>
        <v>1050.72</v>
      </c>
      <c r="E24" s="28">
        <f ca="1"/>
        <v>3152.16</v>
      </c>
      <c r="F24" s="27">
        <f ca="1"/>
        <v>1990</v>
      </c>
      <c r="G24" s="27">
        <f ca="1"/>
        <v>5970</v>
      </c>
      <c r="H24" s="29" t="s">
        <v>125</v>
      </c>
      <c r="I24" s="28">
        <f ca="1"/>
        <v>2817.84</v>
      </c>
    </row>
    <row r="25" spans="1:9" s="20" customFormat="1" ht="33" customHeight="1" x14ac:dyDescent="0.2">
      <c r="A25" s="24">
        <v>18</v>
      </c>
      <c r="B25" s="25" t="str">
        <f ca="1"/>
        <v>94-007-19-00</v>
      </c>
      <c r="C25" s="26">
        <f ca="1"/>
        <v>1</v>
      </c>
      <c r="D25" s="27">
        <f ca="1"/>
        <v>1050.72</v>
      </c>
      <c r="E25" s="28">
        <f ca="1"/>
        <v>1050.72</v>
      </c>
      <c r="F25" s="27">
        <f ca="1"/>
        <v>1990</v>
      </c>
      <c r="G25" s="27">
        <f ca="1"/>
        <v>1990</v>
      </c>
      <c r="H25" s="29" t="s">
        <v>125</v>
      </c>
      <c r="I25" s="28">
        <f ca="1"/>
        <v>939.28</v>
      </c>
    </row>
    <row r="26" spans="1:9" s="20" customFormat="1" ht="33" customHeight="1" x14ac:dyDescent="0.2">
      <c r="A26" s="24">
        <v>19</v>
      </c>
      <c r="B26" s="25" t="str">
        <f ca="1"/>
        <v>94-007-01-00</v>
      </c>
      <c r="C26" s="26">
        <f ca="1"/>
        <v>3</v>
      </c>
      <c r="D26" s="27">
        <f ca="1"/>
        <v>1050.72</v>
      </c>
      <c r="E26" s="28">
        <f ca="1"/>
        <v>3152.16</v>
      </c>
      <c r="F26" s="27">
        <f ca="1"/>
        <v>1990</v>
      </c>
      <c r="G26" s="27">
        <f ca="1"/>
        <v>5970</v>
      </c>
      <c r="H26" s="29" t="s">
        <v>125</v>
      </c>
      <c r="I26" s="28">
        <f ca="1"/>
        <v>2817.84</v>
      </c>
    </row>
    <row r="27" spans="1:9" s="20" customFormat="1" ht="33" customHeight="1" x14ac:dyDescent="0.2">
      <c r="A27" s="24">
        <v>20</v>
      </c>
      <c r="B27" s="25" t="str">
        <f ca="1"/>
        <v>94-007-80-00</v>
      </c>
      <c r="C27" s="26">
        <f ca="1"/>
        <v>2</v>
      </c>
      <c r="D27" s="27">
        <f ca="1"/>
        <v>1050.72</v>
      </c>
      <c r="E27" s="28">
        <f ca="1"/>
        <v>2101.44</v>
      </c>
      <c r="F27" s="27">
        <f ca="1"/>
        <v>1990</v>
      </c>
      <c r="G27" s="27">
        <f ca="1"/>
        <v>3980</v>
      </c>
      <c r="H27" s="29" t="s">
        <v>125</v>
      </c>
      <c r="I27" s="28">
        <f ca="1"/>
        <v>1878.56</v>
      </c>
    </row>
    <row r="28" spans="1:9" s="20" customFormat="1" ht="33" customHeight="1" x14ac:dyDescent="0.2">
      <c r="A28" s="24">
        <v>21</v>
      </c>
      <c r="B28" s="25" t="str">
        <f ca="1"/>
        <v>94-007-08-00</v>
      </c>
      <c r="C28" s="26">
        <f ca="1"/>
        <v>2</v>
      </c>
      <c r="D28" s="27">
        <f ca="1"/>
        <v>1050.72</v>
      </c>
      <c r="E28" s="28">
        <f ca="1"/>
        <v>2101.44</v>
      </c>
      <c r="F28" s="27">
        <f ca="1"/>
        <v>1990</v>
      </c>
      <c r="G28" s="27">
        <f ca="1"/>
        <v>3980</v>
      </c>
      <c r="H28" s="29" t="s">
        <v>125</v>
      </c>
      <c r="I28" s="28">
        <f ca="1"/>
        <v>1878.56</v>
      </c>
    </row>
    <row r="29" spans="1:9" s="20" customFormat="1" ht="33" customHeight="1" x14ac:dyDescent="0.2">
      <c r="A29" s="24">
        <v>22</v>
      </c>
      <c r="B29" s="25" t="str">
        <f ca="1"/>
        <v>94-007-05-00</v>
      </c>
      <c r="C29" s="26">
        <f ca="1"/>
        <v>2</v>
      </c>
      <c r="D29" s="27">
        <f ca="1"/>
        <v>1050.72</v>
      </c>
      <c r="E29" s="28">
        <f ca="1"/>
        <v>2101.44</v>
      </c>
      <c r="F29" s="27">
        <f ca="1"/>
        <v>1990</v>
      </c>
      <c r="G29" s="27">
        <f ca="1"/>
        <v>3980</v>
      </c>
      <c r="H29" s="29" t="s">
        <v>125</v>
      </c>
      <c r="I29" s="28">
        <f ca="1"/>
        <v>1878.56</v>
      </c>
    </row>
    <row r="30" spans="1:9" s="20" customFormat="1" ht="33" customHeight="1" x14ac:dyDescent="0.2">
      <c r="A30" s="24">
        <v>23</v>
      </c>
      <c r="B30" s="25" t="str">
        <f ca="1"/>
        <v>94-007-16-00</v>
      </c>
      <c r="C30" s="26">
        <f ca="1"/>
        <v>2</v>
      </c>
      <c r="D30" s="27">
        <f ca="1"/>
        <v>1050.72</v>
      </c>
      <c r="E30" s="28">
        <f ca="1"/>
        <v>2101.44</v>
      </c>
      <c r="F30" s="27">
        <f ca="1"/>
        <v>1990</v>
      </c>
      <c r="G30" s="27">
        <f ca="1"/>
        <v>3980</v>
      </c>
      <c r="H30" s="29" t="s">
        <v>125</v>
      </c>
      <c r="I30" s="28">
        <f ca="1"/>
        <v>1878.56</v>
      </c>
    </row>
    <row r="31" spans="1:9" s="20" customFormat="1" ht="33" customHeight="1" x14ac:dyDescent="0.2">
      <c r="A31" s="24">
        <v>24</v>
      </c>
      <c r="B31" s="25" t="str">
        <f ca="1"/>
        <v>94-007-48-00</v>
      </c>
      <c r="C31" s="26">
        <f ca="1"/>
        <v>18</v>
      </c>
      <c r="D31" s="27">
        <f ca="1"/>
        <v>1050.72</v>
      </c>
      <c r="E31" s="28">
        <f ca="1"/>
        <v>18912.96</v>
      </c>
      <c r="F31" s="27">
        <f ca="1"/>
        <v>1990</v>
      </c>
      <c r="G31" s="27">
        <f ca="1"/>
        <v>35820</v>
      </c>
      <c r="H31" s="29" t="s">
        <v>125</v>
      </c>
      <c r="I31" s="28">
        <f ca="1"/>
        <v>16907.04</v>
      </c>
    </row>
    <row r="32" spans="1:9" s="20" customFormat="1" ht="33" customHeight="1" x14ac:dyDescent="0.2">
      <c r="A32" s="24">
        <v>25</v>
      </c>
      <c r="B32" s="25" t="str">
        <f ca="1"/>
        <v>94-008-99-00</v>
      </c>
      <c r="C32" s="26">
        <f ca="1"/>
        <v>6</v>
      </c>
      <c r="D32" s="27">
        <f ca="1"/>
        <v>1314.72</v>
      </c>
      <c r="E32" s="28">
        <f ca="1"/>
        <v>7888.32</v>
      </c>
      <c r="F32" s="27">
        <f ca="1"/>
        <v>2490</v>
      </c>
      <c r="G32" s="27">
        <f ca="1"/>
        <v>14940</v>
      </c>
      <c r="H32" s="29" t="s">
        <v>125</v>
      </c>
      <c r="I32" s="28">
        <f ca="1"/>
        <v>7051.68</v>
      </c>
    </row>
    <row r="33" spans="1:9" s="20" customFormat="1" ht="33" customHeight="1" x14ac:dyDescent="0.2">
      <c r="A33" s="24">
        <v>26</v>
      </c>
      <c r="B33" s="25" t="str">
        <f ca="1"/>
        <v>94-008-00-00</v>
      </c>
      <c r="C33" s="26">
        <f ca="1"/>
        <v>6</v>
      </c>
      <c r="D33" s="27">
        <f ca="1"/>
        <v>1314.72</v>
      </c>
      <c r="E33" s="28">
        <f ca="1"/>
        <v>7888.32</v>
      </c>
      <c r="F33" s="27">
        <f ca="1"/>
        <v>2490</v>
      </c>
      <c r="G33" s="27">
        <f ca="1"/>
        <v>14940</v>
      </c>
      <c r="H33" s="29" t="s">
        <v>125</v>
      </c>
      <c r="I33" s="28">
        <f ca="1"/>
        <v>7051.68</v>
      </c>
    </row>
    <row r="34" spans="1:9" s="20" customFormat="1" ht="33" customHeight="1" x14ac:dyDescent="0.2">
      <c r="A34" s="24">
        <v>27</v>
      </c>
      <c r="B34" s="25" t="str">
        <f ca="1"/>
        <v>94-010-00-00</v>
      </c>
      <c r="C34" s="26">
        <f ca="1"/>
        <v>6</v>
      </c>
      <c r="D34" s="27">
        <f ca="1"/>
        <v>1050.72</v>
      </c>
      <c r="E34" s="28">
        <f ca="1"/>
        <v>6304.32</v>
      </c>
      <c r="F34" s="27">
        <f ca="1"/>
        <v>1990</v>
      </c>
      <c r="G34" s="27">
        <f ca="1"/>
        <v>11940</v>
      </c>
      <c r="H34" s="29" t="s">
        <v>125</v>
      </c>
      <c r="I34" s="28">
        <f ca="1"/>
        <v>5635.68</v>
      </c>
    </row>
    <row r="35" spans="1:9" s="20" customFormat="1" ht="33" customHeight="1" x14ac:dyDescent="0.2">
      <c r="A35" s="24">
        <v>28</v>
      </c>
      <c r="B35" s="25" t="str">
        <f ca="1"/>
        <v>94-010-75-00</v>
      </c>
      <c r="C35" s="26">
        <f ca="1"/>
        <v>6</v>
      </c>
      <c r="D35" s="27">
        <f ca="1"/>
        <v>1050.72</v>
      </c>
      <c r="E35" s="28">
        <f ca="1"/>
        <v>6304.32</v>
      </c>
      <c r="F35" s="27">
        <f ca="1"/>
        <v>1990</v>
      </c>
      <c r="G35" s="27">
        <f ca="1"/>
        <v>11940</v>
      </c>
      <c r="H35" s="29" t="s">
        <v>125</v>
      </c>
      <c r="I35" s="28">
        <f ca="1"/>
        <v>5635.68</v>
      </c>
    </row>
    <row r="36" spans="1:9" s="20" customFormat="1" ht="33" customHeight="1" x14ac:dyDescent="0.2">
      <c r="A36" s="24">
        <v>29</v>
      </c>
      <c r="B36" s="25" t="str">
        <f ca="1"/>
        <v>94-011-99-60</v>
      </c>
      <c r="C36" s="26">
        <f ca="1"/>
        <v>1</v>
      </c>
      <c r="D36" s="27">
        <f ca="1"/>
        <v>1103.52</v>
      </c>
      <c r="E36" s="28">
        <f ca="1"/>
        <v>1103.52</v>
      </c>
      <c r="F36" s="27">
        <f ca="1"/>
        <v>2090</v>
      </c>
      <c r="G36" s="27">
        <f ca="1"/>
        <v>2090</v>
      </c>
      <c r="H36" s="29" t="s">
        <v>125</v>
      </c>
      <c r="I36" s="28">
        <f ca="1"/>
        <v>986.48</v>
      </c>
    </row>
    <row r="37" spans="1:9" s="20" customFormat="1" ht="33" customHeight="1" x14ac:dyDescent="0.2">
      <c r="A37" s="24">
        <v>30</v>
      </c>
      <c r="B37" s="25" t="str">
        <f ca="1"/>
        <v>94-011-14-60</v>
      </c>
      <c r="C37" s="26">
        <f ca="1"/>
        <v>1</v>
      </c>
      <c r="D37" s="27">
        <f ca="1"/>
        <v>1103.52</v>
      </c>
      <c r="E37" s="28">
        <f ca="1"/>
        <v>1103.52</v>
      </c>
      <c r="F37" s="27">
        <f ca="1"/>
        <v>2090</v>
      </c>
      <c r="G37" s="27">
        <f ca="1"/>
        <v>2090</v>
      </c>
      <c r="H37" s="29" t="s">
        <v>125</v>
      </c>
      <c r="I37" s="28">
        <f ca="1"/>
        <v>986.48</v>
      </c>
    </row>
    <row r="38" spans="1:9" s="20" customFormat="1" ht="33" customHeight="1" x14ac:dyDescent="0.2">
      <c r="A38" s="24">
        <v>31</v>
      </c>
      <c r="B38" s="25" t="str">
        <f ca="1"/>
        <v>94-011-14-56</v>
      </c>
      <c r="C38" s="26">
        <f ca="1"/>
        <v>1</v>
      </c>
      <c r="D38" s="27">
        <f ca="1"/>
        <v>1103.52</v>
      </c>
      <c r="E38" s="28">
        <f ca="1"/>
        <v>1103.52</v>
      </c>
      <c r="F38" s="27">
        <f ca="1"/>
        <v>2090</v>
      </c>
      <c r="G38" s="27">
        <f ca="1"/>
        <v>2090</v>
      </c>
      <c r="H38" s="29" t="s">
        <v>125</v>
      </c>
      <c r="I38" s="28">
        <f ca="1"/>
        <v>986.48</v>
      </c>
    </row>
    <row r="39" spans="1:9" s="20" customFormat="1" ht="33" customHeight="1" x14ac:dyDescent="0.2">
      <c r="A39" s="24">
        <v>32</v>
      </c>
      <c r="B39" s="25" t="str">
        <f ca="1"/>
        <v>94-011-03-56</v>
      </c>
      <c r="C39" s="26">
        <f ca="1"/>
        <v>2</v>
      </c>
      <c r="D39" s="27">
        <f ca="1"/>
        <v>1103.52</v>
      </c>
      <c r="E39" s="28">
        <f ca="1"/>
        <v>2207.04</v>
      </c>
      <c r="F39" s="27">
        <f ca="1"/>
        <v>2090</v>
      </c>
      <c r="G39" s="27">
        <f ca="1"/>
        <v>4180</v>
      </c>
      <c r="H39" s="29" t="s">
        <v>125</v>
      </c>
      <c r="I39" s="28">
        <f ca="1"/>
        <v>1972.96</v>
      </c>
    </row>
    <row r="40" spans="1:9" s="20" customFormat="1" ht="33" customHeight="1" x14ac:dyDescent="0.2">
      <c r="A40" s="24">
        <v>33</v>
      </c>
      <c r="B40" s="25" t="str">
        <f ca="1"/>
        <v>94-011-03-60</v>
      </c>
      <c r="C40" s="26">
        <f ca="1"/>
        <v>1</v>
      </c>
      <c r="D40" s="27">
        <f ca="1"/>
        <v>1103.52</v>
      </c>
      <c r="E40" s="28">
        <f ca="1"/>
        <v>1103.52</v>
      </c>
      <c r="F40" s="27">
        <f ca="1"/>
        <v>2090</v>
      </c>
      <c r="G40" s="27">
        <f ca="1"/>
        <v>2090</v>
      </c>
      <c r="H40" s="29" t="s">
        <v>125</v>
      </c>
      <c r="I40" s="28">
        <f ca="1"/>
        <v>986.48</v>
      </c>
    </row>
    <row r="41" spans="1:9" s="20" customFormat="1" ht="33" customHeight="1" x14ac:dyDescent="0.2">
      <c r="A41" s="24">
        <v>34</v>
      </c>
      <c r="B41" s="25" t="str">
        <f ca="1"/>
        <v>94-011-80-60</v>
      </c>
      <c r="C41" s="26">
        <f ca="1"/>
        <v>2</v>
      </c>
      <c r="D41" s="27">
        <f ca="1"/>
        <v>1103.52</v>
      </c>
      <c r="E41" s="28">
        <f ca="1"/>
        <v>2207.04</v>
      </c>
      <c r="F41" s="27">
        <f ca="1"/>
        <v>2090</v>
      </c>
      <c r="G41" s="27">
        <f ca="1"/>
        <v>4180</v>
      </c>
      <c r="H41" s="29" t="s">
        <v>125</v>
      </c>
      <c r="I41" s="28">
        <f ca="1"/>
        <v>1972.96</v>
      </c>
    </row>
    <row r="42" spans="1:9" s="20" customFormat="1" ht="33" customHeight="1" x14ac:dyDescent="0.2">
      <c r="A42" s="24">
        <v>35</v>
      </c>
      <c r="B42" s="25" t="str">
        <f ca="1"/>
        <v>94-011-80-56</v>
      </c>
      <c r="C42" s="26">
        <f ca="1"/>
        <v>1</v>
      </c>
      <c r="D42" s="27">
        <f ca="1"/>
        <v>1103.52</v>
      </c>
      <c r="E42" s="28">
        <f ca="1"/>
        <v>1103.52</v>
      </c>
      <c r="F42" s="27">
        <f ca="1"/>
        <v>2090</v>
      </c>
      <c r="G42" s="27">
        <f ca="1"/>
        <v>2090</v>
      </c>
      <c r="H42" s="29" t="s">
        <v>125</v>
      </c>
      <c r="I42" s="28">
        <f ca="1"/>
        <v>986.48</v>
      </c>
    </row>
    <row r="43" spans="1:9" s="20" customFormat="1" ht="33" customHeight="1" x14ac:dyDescent="0.2">
      <c r="A43" s="24">
        <v>36</v>
      </c>
      <c r="B43" s="25" t="str">
        <f ca="1"/>
        <v>94-011-05-60</v>
      </c>
      <c r="C43" s="26">
        <f ca="1"/>
        <v>1</v>
      </c>
      <c r="D43" s="27">
        <f ca="1"/>
        <v>1103.52</v>
      </c>
      <c r="E43" s="28">
        <f ca="1"/>
        <v>1103.52</v>
      </c>
      <c r="F43" s="27">
        <f ca="1"/>
        <v>2090</v>
      </c>
      <c r="G43" s="27">
        <f ca="1"/>
        <v>2090</v>
      </c>
      <c r="H43" s="29" t="s">
        <v>125</v>
      </c>
      <c r="I43" s="28">
        <f ca="1"/>
        <v>986.48</v>
      </c>
    </row>
    <row r="44" spans="1:9" s="20" customFormat="1" ht="33" customHeight="1" x14ac:dyDescent="0.2">
      <c r="A44" s="24">
        <v>37</v>
      </c>
      <c r="B44" s="25" t="str">
        <f ca="1"/>
        <v>94-011-09-56</v>
      </c>
      <c r="C44" s="26">
        <f ca="1"/>
        <v>7</v>
      </c>
      <c r="D44" s="27">
        <f ca="1"/>
        <v>1103.52</v>
      </c>
      <c r="E44" s="28">
        <f ca="1"/>
        <v>7724.6399999999994</v>
      </c>
      <c r="F44" s="27">
        <f ca="1"/>
        <v>2090</v>
      </c>
      <c r="G44" s="27">
        <f ca="1"/>
        <v>14630</v>
      </c>
      <c r="H44" s="29" t="s">
        <v>125</v>
      </c>
      <c r="I44" s="28">
        <f ca="1"/>
        <v>6905.3600000000006</v>
      </c>
    </row>
    <row r="45" spans="1:9" s="20" customFormat="1" ht="33" customHeight="1" x14ac:dyDescent="0.2">
      <c r="A45" s="24">
        <v>38</v>
      </c>
      <c r="B45" s="25" t="str">
        <f ca="1"/>
        <v>94-011-09-60</v>
      </c>
      <c r="C45" s="26">
        <f ca="1"/>
        <v>3</v>
      </c>
      <c r="D45" s="27">
        <f ca="1"/>
        <v>1103.52</v>
      </c>
      <c r="E45" s="28">
        <f ca="1"/>
        <v>3310.56</v>
      </c>
      <c r="F45" s="27">
        <f ca="1"/>
        <v>2090</v>
      </c>
      <c r="G45" s="27">
        <f ca="1"/>
        <v>6270</v>
      </c>
      <c r="H45" s="29" t="s">
        <v>125</v>
      </c>
      <c r="I45" s="28">
        <f ca="1"/>
        <v>2959.44</v>
      </c>
    </row>
    <row r="46" spans="1:9" s="20" customFormat="1" ht="33" customHeight="1" x14ac:dyDescent="0.2">
      <c r="A46" s="24">
        <v>39</v>
      </c>
      <c r="B46" s="25" t="str">
        <f ca="1"/>
        <v>94-024-99-56</v>
      </c>
      <c r="C46" s="26">
        <f ca="1"/>
        <v>3</v>
      </c>
      <c r="D46" s="27">
        <f ca="1"/>
        <v>1367.5199999999998</v>
      </c>
      <c r="E46" s="28">
        <f ca="1"/>
        <v>4102.5599999999995</v>
      </c>
      <c r="F46" s="27">
        <f ca="1"/>
        <v>2590</v>
      </c>
      <c r="G46" s="27">
        <f ca="1"/>
        <v>7770</v>
      </c>
      <c r="H46" s="29" t="s">
        <v>125</v>
      </c>
      <c r="I46" s="28">
        <f ca="1"/>
        <v>3667.4400000000005</v>
      </c>
    </row>
    <row r="47" spans="1:9" s="20" customFormat="1" ht="33" customHeight="1" x14ac:dyDescent="0.2">
      <c r="A47" s="24">
        <v>40</v>
      </c>
      <c r="B47" s="25" t="str">
        <f ca="1"/>
        <v>94-024-99-60</v>
      </c>
      <c r="C47" s="26">
        <f ca="1"/>
        <v>1</v>
      </c>
      <c r="D47" s="27">
        <f ca="1"/>
        <v>1367.5199999999998</v>
      </c>
      <c r="E47" s="28">
        <f ca="1"/>
        <v>1367.5199999999998</v>
      </c>
      <c r="F47" s="27">
        <f ca="1"/>
        <v>2590</v>
      </c>
      <c r="G47" s="27">
        <f ca="1"/>
        <v>2590</v>
      </c>
      <c r="H47" s="29" t="s">
        <v>125</v>
      </c>
      <c r="I47" s="28">
        <f ca="1"/>
        <v>1222.4800000000002</v>
      </c>
    </row>
    <row r="48" spans="1:9" s="20" customFormat="1" ht="33" customHeight="1" x14ac:dyDescent="0.2">
      <c r="A48" s="24">
        <v>41</v>
      </c>
      <c r="B48" s="25" t="str">
        <f ca="1"/>
        <v>94-024-00-56</v>
      </c>
      <c r="C48" s="26">
        <f ca="1"/>
        <v>2</v>
      </c>
      <c r="D48" s="27">
        <f ca="1"/>
        <v>1367.5199999999998</v>
      </c>
      <c r="E48" s="28">
        <f ca="1"/>
        <v>2735.0399999999995</v>
      </c>
      <c r="F48" s="27">
        <f ca="1"/>
        <v>2590</v>
      </c>
      <c r="G48" s="27">
        <f ca="1"/>
        <v>5180</v>
      </c>
      <c r="H48" s="29" t="s">
        <v>125</v>
      </c>
      <c r="I48" s="28">
        <f ca="1"/>
        <v>2444.9600000000005</v>
      </c>
    </row>
    <row r="49" spans="1:9" s="20" customFormat="1" ht="33" customHeight="1" x14ac:dyDescent="0.2">
      <c r="A49" s="24">
        <v>42</v>
      </c>
      <c r="B49" s="25" t="str">
        <f ca="1"/>
        <v>94-024-00-60</v>
      </c>
      <c r="C49" s="26">
        <f ca="1"/>
        <v>2</v>
      </c>
      <c r="D49" s="27">
        <f ca="1"/>
        <v>1367.5199999999998</v>
      </c>
      <c r="E49" s="28">
        <f ca="1"/>
        <v>2735.0399999999995</v>
      </c>
      <c r="F49" s="27">
        <f ca="1"/>
        <v>2590</v>
      </c>
      <c r="G49" s="27">
        <f ca="1"/>
        <v>5180</v>
      </c>
      <c r="H49" s="29" t="s">
        <v>125</v>
      </c>
      <c r="I49" s="28">
        <f ca="1"/>
        <v>2444.9600000000005</v>
      </c>
    </row>
    <row r="50" spans="1:9" s="20" customFormat="1" ht="33" customHeight="1" x14ac:dyDescent="0.2">
      <c r="A50" s="24">
        <v>43</v>
      </c>
      <c r="B50" s="25" t="str">
        <f ca="1"/>
        <v>94-015-11-00</v>
      </c>
      <c r="C50" s="26">
        <f ca="1"/>
        <v>3</v>
      </c>
      <c r="D50" s="27">
        <f ca="1"/>
        <v>945.12</v>
      </c>
      <c r="E50" s="28">
        <f ca="1"/>
        <v>2835.36</v>
      </c>
      <c r="F50" s="27">
        <f ca="1"/>
        <v>1790</v>
      </c>
      <c r="G50" s="27">
        <f ca="1"/>
        <v>5370</v>
      </c>
      <c r="H50" s="29" t="s">
        <v>125</v>
      </c>
      <c r="I50" s="28">
        <f ca="1"/>
        <v>2534.64</v>
      </c>
    </row>
    <row r="51" spans="1:9" s="20" customFormat="1" ht="33" customHeight="1" x14ac:dyDescent="0.2">
      <c r="A51" s="24">
        <v>44</v>
      </c>
      <c r="B51" s="25" t="str">
        <f ca="1"/>
        <v>94-015-34-00</v>
      </c>
      <c r="C51" s="26">
        <f ca="1"/>
        <v>2</v>
      </c>
      <c r="D51" s="27">
        <f ca="1"/>
        <v>945.12</v>
      </c>
      <c r="E51" s="28">
        <f ca="1"/>
        <v>1890.24</v>
      </c>
      <c r="F51" s="27">
        <f ca="1"/>
        <v>1790</v>
      </c>
      <c r="G51" s="27">
        <f ca="1"/>
        <v>3580</v>
      </c>
      <c r="H51" s="29" t="s">
        <v>125</v>
      </c>
      <c r="I51" s="28">
        <f ca="1"/>
        <v>1689.76</v>
      </c>
    </row>
    <row r="52" spans="1:9" s="20" customFormat="1" ht="33" customHeight="1" x14ac:dyDescent="0.2">
      <c r="A52" s="24">
        <v>45</v>
      </c>
      <c r="B52" s="25" t="str">
        <f ca="1"/>
        <v>94-015-16-00</v>
      </c>
      <c r="C52" s="26">
        <f ca="1"/>
        <v>2</v>
      </c>
      <c r="D52" s="27">
        <f ca="1"/>
        <v>945.12</v>
      </c>
      <c r="E52" s="28">
        <f ca="1"/>
        <v>1890.24</v>
      </c>
      <c r="F52" s="27">
        <f ca="1"/>
        <v>1790</v>
      </c>
      <c r="G52" s="27">
        <f ca="1"/>
        <v>3580</v>
      </c>
      <c r="H52" s="29" t="s">
        <v>125</v>
      </c>
      <c r="I52" s="28">
        <f ca="1"/>
        <v>1689.76</v>
      </c>
    </row>
    <row r="53" spans="1:9" s="20" customFormat="1" ht="33" customHeight="1" x14ac:dyDescent="0.2">
      <c r="A53" s="24">
        <v>46</v>
      </c>
      <c r="B53" s="25" t="str">
        <f ca="1"/>
        <v>94-015-51-00</v>
      </c>
      <c r="C53" s="26">
        <f ca="1"/>
        <v>3</v>
      </c>
      <c r="D53" s="27">
        <f ca="1"/>
        <v>945.12</v>
      </c>
      <c r="E53" s="28">
        <f ca="1"/>
        <v>2835.36</v>
      </c>
      <c r="F53" s="27">
        <f ca="1"/>
        <v>1790</v>
      </c>
      <c r="G53" s="27">
        <f ca="1"/>
        <v>5370</v>
      </c>
      <c r="H53" s="29" t="s">
        <v>125</v>
      </c>
      <c r="I53" s="28">
        <f ca="1"/>
        <v>2534.64</v>
      </c>
    </row>
    <row r="54" spans="1:9" s="20" customFormat="1" ht="33" customHeight="1" x14ac:dyDescent="0.2">
      <c r="A54" s="24">
        <v>47</v>
      </c>
      <c r="B54" s="25" t="str">
        <f ca="1"/>
        <v>94-025-00-00</v>
      </c>
      <c r="C54" s="26">
        <f ca="1"/>
        <v>1</v>
      </c>
      <c r="D54" s="27">
        <f ca="1"/>
        <v>945.12</v>
      </c>
      <c r="E54" s="28">
        <f ca="1"/>
        <v>945.12</v>
      </c>
      <c r="F54" s="27">
        <f ca="1"/>
        <v>1790</v>
      </c>
      <c r="G54" s="27">
        <f ca="1"/>
        <v>1790</v>
      </c>
      <c r="H54" s="29" t="s">
        <v>125</v>
      </c>
      <c r="I54" s="28">
        <f ca="1"/>
        <v>844.88</v>
      </c>
    </row>
    <row r="55" spans="1:9" s="20" customFormat="1" ht="33" customHeight="1" x14ac:dyDescent="0.2">
      <c r="A55" s="24">
        <v>48</v>
      </c>
      <c r="B55" s="25" t="str">
        <f ca="1"/>
        <v>94-023-01-00</v>
      </c>
      <c r="C55" s="26">
        <f ca="1"/>
        <v>2</v>
      </c>
      <c r="D55" s="27">
        <f ca="1"/>
        <v>1050.72</v>
      </c>
      <c r="E55" s="28">
        <f ca="1"/>
        <v>2101.44</v>
      </c>
      <c r="F55" s="27">
        <f ca="1"/>
        <v>1990</v>
      </c>
      <c r="G55" s="27">
        <f ca="1"/>
        <v>3980</v>
      </c>
      <c r="H55" s="29" t="s">
        <v>125</v>
      </c>
      <c r="I55" s="28">
        <f ca="1"/>
        <v>1878.56</v>
      </c>
    </row>
    <row r="56" spans="1:9" s="20" customFormat="1" ht="33" customHeight="1" x14ac:dyDescent="0.2">
      <c r="A56" s="24">
        <v>49</v>
      </c>
      <c r="B56" s="25" t="str">
        <f ca="1"/>
        <v>94-023-05-00</v>
      </c>
      <c r="C56" s="26">
        <f ca="1"/>
        <v>1</v>
      </c>
      <c r="D56" s="27">
        <f ca="1"/>
        <v>1050.72</v>
      </c>
      <c r="E56" s="28">
        <f ca="1"/>
        <v>1050.72</v>
      </c>
      <c r="F56" s="27">
        <f ca="1"/>
        <v>1990</v>
      </c>
      <c r="G56" s="27">
        <f ca="1"/>
        <v>1990</v>
      </c>
      <c r="H56" s="29" t="s">
        <v>125</v>
      </c>
      <c r="I56" s="28">
        <f ca="1"/>
        <v>939.28</v>
      </c>
    </row>
    <row r="57" spans="1:9" s="20" customFormat="1" ht="33" customHeight="1" x14ac:dyDescent="0.2">
      <c r="A57" s="24">
        <v>50</v>
      </c>
      <c r="B57" s="25" t="str">
        <f ca="1"/>
        <v>94-023-16-00</v>
      </c>
      <c r="C57" s="26">
        <f ca="1"/>
        <v>1</v>
      </c>
      <c r="D57" s="27">
        <f ca="1"/>
        <v>1050.72</v>
      </c>
      <c r="E57" s="28">
        <f ca="1"/>
        <v>1050.72</v>
      </c>
      <c r="F57" s="27">
        <f ca="1"/>
        <v>1990</v>
      </c>
      <c r="G57" s="27">
        <f ca="1"/>
        <v>1990</v>
      </c>
      <c r="H57" s="29" t="s">
        <v>125</v>
      </c>
      <c r="I57" s="28">
        <f ca="1"/>
        <v>939.28</v>
      </c>
    </row>
    <row r="58" spans="1:9" s="20" customFormat="1" ht="33" customHeight="1" x14ac:dyDescent="0.2">
      <c r="A58" s="24">
        <v>51</v>
      </c>
      <c r="B58" s="25" t="str">
        <f ca="1"/>
        <v>94-023-09-00</v>
      </c>
      <c r="C58" s="26">
        <f ca="1"/>
        <v>2</v>
      </c>
      <c r="D58" s="27">
        <f ca="1"/>
        <v>1050.72</v>
      </c>
      <c r="E58" s="28">
        <f ca="1"/>
        <v>2101.44</v>
      </c>
      <c r="F58" s="27">
        <f ca="1"/>
        <v>1990</v>
      </c>
      <c r="G58" s="27">
        <f ca="1"/>
        <v>3980</v>
      </c>
      <c r="H58" s="29" t="s">
        <v>125</v>
      </c>
      <c r="I58" s="28">
        <f ca="1"/>
        <v>1878.56</v>
      </c>
    </row>
    <row r="59" spans="1:9" s="20" customFormat="1" ht="33" customHeight="1" x14ac:dyDescent="0.2">
      <c r="A59" s="24">
        <v>52</v>
      </c>
      <c r="B59" s="25" t="str">
        <f ca="1"/>
        <v>91-265-00-00</v>
      </c>
      <c r="C59" s="26">
        <f ca="1"/>
        <v>1</v>
      </c>
      <c r="D59" s="27">
        <f ca="1"/>
        <v>2106.7199999999998</v>
      </c>
      <c r="E59" s="28">
        <f ca="1"/>
        <v>2106.7199999999998</v>
      </c>
      <c r="F59" s="27">
        <f ca="1"/>
        <v>3990</v>
      </c>
      <c r="G59" s="27">
        <f ca="1"/>
        <v>3990</v>
      </c>
      <c r="H59" s="29" t="s">
        <v>125</v>
      </c>
      <c r="I59" s="28">
        <f ca="1"/>
        <v>1883.2800000000002</v>
      </c>
    </row>
    <row r="60" spans="1:9" s="20" customFormat="1" ht="33" customHeight="1" x14ac:dyDescent="0.2">
      <c r="A60" s="24">
        <v>53</v>
      </c>
      <c r="B60" s="25" t="str">
        <f ca="1"/>
        <v>91-302-09-00</v>
      </c>
      <c r="C60" s="26">
        <f ca="1"/>
        <v>2</v>
      </c>
      <c r="D60" s="27">
        <f ca="1"/>
        <v>2106.7199999999998</v>
      </c>
      <c r="E60" s="28">
        <f ca="1"/>
        <v>4213.4399999999996</v>
      </c>
      <c r="F60" s="27">
        <f ca="1"/>
        <v>3990</v>
      </c>
      <c r="G60" s="27">
        <f ca="1"/>
        <v>7980</v>
      </c>
      <c r="H60" s="29" t="s">
        <v>125</v>
      </c>
      <c r="I60" s="28">
        <f ca="1"/>
        <v>3766.5600000000004</v>
      </c>
    </row>
    <row r="61" spans="1:9" s="20" customFormat="1" ht="33" customHeight="1" x14ac:dyDescent="0.2">
      <c r="A61" s="24">
        <v>54</v>
      </c>
      <c r="B61" s="25" t="str">
        <f ca="1"/>
        <v>91-304-03-00</v>
      </c>
      <c r="C61" s="26">
        <f ca="1"/>
        <v>1</v>
      </c>
      <c r="D61" s="27">
        <f ca="1"/>
        <v>2106.7199999999998</v>
      </c>
      <c r="E61" s="28">
        <f ca="1"/>
        <v>2106.7199999999998</v>
      </c>
      <c r="F61" s="27">
        <f ca="1"/>
        <v>3990</v>
      </c>
      <c r="G61" s="27">
        <f ca="1"/>
        <v>3990</v>
      </c>
      <c r="H61" s="29" t="s">
        <v>125</v>
      </c>
      <c r="I61" s="28">
        <f ca="1"/>
        <v>1883.2800000000002</v>
      </c>
    </row>
    <row r="62" spans="1:9" ht="21.75" customHeight="1" x14ac:dyDescent="0.2">
      <c r="A62" s="24">
        <v>55</v>
      </c>
      <c r="B62" s="25" t="str">
        <f ca="1"/>
        <v>91-381-09-00</v>
      </c>
      <c r="C62" s="26">
        <f ca="1"/>
        <v>1</v>
      </c>
      <c r="D62" s="27">
        <f ca="1"/>
        <v>2106.7199999999998</v>
      </c>
      <c r="E62" s="28">
        <f ca="1"/>
        <v>2106.7199999999998</v>
      </c>
      <c r="F62" s="27">
        <f ca="1"/>
        <v>3990</v>
      </c>
      <c r="G62" s="27">
        <f ca="1"/>
        <v>3990</v>
      </c>
      <c r="H62" s="29" t="s">
        <v>125</v>
      </c>
      <c r="I62" s="28">
        <f ca="1"/>
        <v>1883.2800000000002</v>
      </c>
    </row>
    <row r="63" spans="1:9" ht="21.75" customHeight="1" x14ac:dyDescent="0.2">
      <c r="A63" s="24">
        <v>56</v>
      </c>
      <c r="B63" s="25" t="str">
        <f ca="1"/>
        <v>42-623-14-00</v>
      </c>
      <c r="C63" s="26">
        <f ca="1"/>
        <v>1</v>
      </c>
      <c r="D63" s="27">
        <f ca="1"/>
        <v>2106.7199999999998</v>
      </c>
      <c r="E63" s="28">
        <f ca="1"/>
        <v>2106.7199999999998</v>
      </c>
      <c r="F63" s="27">
        <f ca="1"/>
        <v>3990</v>
      </c>
      <c r="G63" s="27">
        <f ca="1"/>
        <v>3990</v>
      </c>
      <c r="H63" s="29" t="s">
        <v>125</v>
      </c>
      <c r="I63" s="28">
        <f ca="1"/>
        <v>1883.2800000000002</v>
      </c>
    </row>
    <row r="64" spans="1:9" ht="21.75" customHeight="1" x14ac:dyDescent="0.2">
      <c r="A64" s="24">
        <v>57</v>
      </c>
      <c r="B64" s="25" t="str">
        <f ca="1"/>
        <v>42-623-09-00</v>
      </c>
      <c r="C64" s="26">
        <f ca="1"/>
        <v>2</v>
      </c>
      <c r="D64" s="27">
        <f ca="1"/>
        <v>2106.7199999999998</v>
      </c>
      <c r="E64" s="28">
        <f ca="1"/>
        <v>4213.4399999999996</v>
      </c>
      <c r="F64" s="27">
        <f ca="1"/>
        <v>3990</v>
      </c>
      <c r="G64" s="27">
        <f ca="1"/>
        <v>7980</v>
      </c>
      <c r="H64" s="29" t="s">
        <v>125</v>
      </c>
      <c r="I64" s="28">
        <f ca="1"/>
        <v>3766.5600000000004</v>
      </c>
    </row>
    <row r="65" spans="1:9" ht="21.75" customHeight="1" x14ac:dyDescent="0.2">
      <c r="A65" s="24">
        <v>58</v>
      </c>
      <c r="B65" s="25" t="str">
        <f ca="1"/>
        <v>42-632-14-00</v>
      </c>
      <c r="C65" s="26">
        <f ca="1"/>
        <v>1</v>
      </c>
      <c r="D65" s="27">
        <f ca="1"/>
        <v>2106.7199999999998</v>
      </c>
      <c r="E65" s="28">
        <f ca="1"/>
        <v>2106.7199999999998</v>
      </c>
      <c r="F65" s="27">
        <f ca="1"/>
        <v>3990</v>
      </c>
      <c r="G65" s="27">
        <f ca="1"/>
        <v>3990</v>
      </c>
      <c r="H65" s="29" t="s">
        <v>125</v>
      </c>
      <c r="I65" s="28">
        <f ca="1"/>
        <v>1883.2800000000002</v>
      </c>
    </row>
    <row r="66" spans="1:9" ht="21.75" customHeight="1" x14ac:dyDescent="0.2">
      <c r="A66" s="24">
        <v>59</v>
      </c>
      <c r="B66" s="25" t="str">
        <f ca="1"/>
        <v>91-443-09-00</v>
      </c>
      <c r="C66" s="26">
        <f ca="1"/>
        <v>1</v>
      </c>
      <c r="D66" s="27">
        <f ca="1"/>
        <v>2106.7199999999998</v>
      </c>
      <c r="E66" s="28">
        <f ca="1"/>
        <v>2106.7199999999998</v>
      </c>
      <c r="F66" s="27">
        <f ca="1"/>
        <v>3990</v>
      </c>
      <c r="G66" s="27">
        <f ca="1"/>
        <v>3990</v>
      </c>
      <c r="H66" s="29" t="s">
        <v>125</v>
      </c>
      <c r="I66" s="28">
        <f ca="1"/>
        <v>1883.2800000000002</v>
      </c>
    </row>
    <row r="67" spans="1:9" ht="21.75" customHeight="1" x14ac:dyDescent="0.2">
      <c r="A67" s="24">
        <v>60</v>
      </c>
      <c r="B67" s="25" t="str">
        <f ca="1"/>
        <v>91-445-17-00</v>
      </c>
      <c r="C67" s="26">
        <f ca="1"/>
        <v>2</v>
      </c>
      <c r="D67" s="27">
        <f ca="1"/>
        <v>2106.7199999999998</v>
      </c>
      <c r="E67" s="28">
        <f ca="1"/>
        <v>4213.4399999999996</v>
      </c>
      <c r="F67" s="27">
        <f ca="1"/>
        <v>3990</v>
      </c>
      <c r="G67" s="27">
        <f ca="1"/>
        <v>7980</v>
      </c>
      <c r="H67" s="29" t="s">
        <v>125</v>
      </c>
      <c r="I67" s="28">
        <f ca="1"/>
        <v>3766.5600000000004</v>
      </c>
    </row>
    <row r="68" spans="1:9" ht="21.75" customHeight="1" x14ac:dyDescent="0.2">
      <c r="A68" s="24">
        <v>61</v>
      </c>
      <c r="B68" s="25" t="str">
        <f ca="1"/>
        <v>91-549-09-00</v>
      </c>
      <c r="C68" s="26">
        <f ca="1"/>
        <v>1</v>
      </c>
      <c r="D68" s="27">
        <f ca="1"/>
        <v>2106.7199999999998</v>
      </c>
      <c r="E68" s="28">
        <f ca="1"/>
        <v>2106.7199999999998</v>
      </c>
      <c r="F68" s="27">
        <f ca="1"/>
        <v>3990</v>
      </c>
      <c r="G68" s="27">
        <f ca="1"/>
        <v>3990</v>
      </c>
      <c r="H68" s="29" t="s">
        <v>125</v>
      </c>
      <c r="I68" s="28">
        <f ca="1"/>
        <v>1883.2800000000002</v>
      </c>
    </row>
    <row r="69" spans="1:9" ht="21.75" customHeight="1" x14ac:dyDescent="0.2">
      <c r="A69" s="24">
        <v>62</v>
      </c>
      <c r="B69" s="25" t="str">
        <f ca="1"/>
        <v>91-460-09-00</v>
      </c>
      <c r="C69" s="26">
        <f ca="1"/>
        <v>1</v>
      </c>
      <c r="D69" s="27">
        <f ca="1"/>
        <v>2106.7199999999998</v>
      </c>
      <c r="E69" s="28">
        <f ca="1"/>
        <v>2106.7199999999998</v>
      </c>
      <c r="F69" s="27">
        <f ca="1"/>
        <v>3990</v>
      </c>
      <c r="G69" s="27">
        <f ca="1"/>
        <v>3990</v>
      </c>
      <c r="H69" s="29" t="s">
        <v>125</v>
      </c>
      <c r="I69" s="28">
        <f ca="1"/>
        <v>1883.2800000000002</v>
      </c>
    </row>
    <row r="70" spans="1:9" ht="21.75" customHeight="1" x14ac:dyDescent="0.2">
      <c r="A70" s="24">
        <v>63</v>
      </c>
      <c r="B70" s="25" t="str">
        <f ca="1"/>
        <v>91-467-18-00</v>
      </c>
      <c r="C70" s="26">
        <f ca="1"/>
        <v>1</v>
      </c>
      <c r="D70" s="27">
        <f ca="1"/>
        <v>2106.7199999999998</v>
      </c>
      <c r="E70" s="28">
        <f ca="1"/>
        <v>2106.7199999999998</v>
      </c>
      <c r="F70" s="27">
        <f ca="1"/>
        <v>3990</v>
      </c>
      <c r="G70" s="27">
        <f ca="1"/>
        <v>3990</v>
      </c>
      <c r="H70" s="29" t="s">
        <v>125</v>
      </c>
      <c r="I70" s="28">
        <f ca="1"/>
        <v>1883.2800000000002</v>
      </c>
    </row>
    <row r="71" spans="1:9" ht="21.75" customHeight="1" x14ac:dyDescent="0.2">
      <c r="A71" s="24">
        <v>64</v>
      </c>
      <c r="B71" s="25" t="str">
        <f ca="1"/>
        <v>91-451-06-00</v>
      </c>
      <c r="C71" s="26">
        <f ca="1"/>
        <v>2</v>
      </c>
      <c r="D71" s="27">
        <f ca="1"/>
        <v>2370.7199999999998</v>
      </c>
      <c r="E71" s="28">
        <f ca="1"/>
        <v>4741.4399999999996</v>
      </c>
      <c r="F71" s="27">
        <f ca="1"/>
        <v>4490</v>
      </c>
      <c r="G71" s="27">
        <f ca="1"/>
        <v>8980</v>
      </c>
      <c r="H71" s="29" t="s">
        <v>125</v>
      </c>
      <c r="I71" s="28">
        <f ca="1"/>
        <v>4238.5600000000004</v>
      </c>
    </row>
    <row r="72" spans="1:9" ht="21.75" customHeight="1" x14ac:dyDescent="0.2">
      <c r="A72" s="24">
        <v>65</v>
      </c>
      <c r="B72" s="25" t="str">
        <f ca="1"/>
        <v>91-471-09-00</v>
      </c>
      <c r="C72" s="26">
        <f ca="1"/>
        <v>1</v>
      </c>
      <c r="D72" s="27">
        <f ca="1"/>
        <v>2106.7199999999998</v>
      </c>
      <c r="E72" s="28">
        <f ca="1"/>
        <v>2106.7199999999998</v>
      </c>
      <c r="F72" s="27">
        <f ca="1"/>
        <v>3990</v>
      </c>
      <c r="G72" s="27">
        <f ca="1"/>
        <v>3990</v>
      </c>
      <c r="H72" s="29" t="s">
        <v>125</v>
      </c>
      <c r="I72" s="28">
        <f ca="1"/>
        <v>1883.2800000000002</v>
      </c>
    </row>
    <row r="73" spans="1:9" ht="21.75" customHeight="1" x14ac:dyDescent="0.2">
      <c r="A73" s="24">
        <v>66</v>
      </c>
      <c r="B73" s="25" t="str">
        <f ca="1"/>
        <v>91-553-09-00</v>
      </c>
      <c r="C73" s="26">
        <f ca="1"/>
        <v>2</v>
      </c>
      <c r="D73" s="27">
        <f ca="1"/>
        <v>2106.7199999999998</v>
      </c>
      <c r="E73" s="28">
        <f ca="1"/>
        <v>4213.4399999999996</v>
      </c>
      <c r="F73" s="27">
        <f ca="1"/>
        <v>3990</v>
      </c>
      <c r="G73" s="27">
        <f ca="1"/>
        <v>7980</v>
      </c>
      <c r="H73" s="29" t="s">
        <v>125</v>
      </c>
      <c r="I73" s="28">
        <f ca="1"/>
        <v>3766.5600000000004</v>
      </c>
    </row>
    <row r="74" spans="1:9" ht="21.75" customHeight="1" x14ac:dyDescent="0.2">
      <c r="A74" s="24">
        <v>67</v>
      </c>
      <c r="B74" s="25" t="str">
        <f ca="1"/>
        <v>91-475-08-00</v>
      </c>
      <c r="C74" s="26">
        <f ca="1"/>
        <v>2</v>
      </c>
      <c r="D74" s="27">
        <f ca="1"/>
        <v>2581.92</v>
      </c>
      <c r="E74" s="28">
        <f ca="1"/>
        <v>5163.84</v>
      </c>
      <c r="F74" s="27">
        <f ca="1"/>
        <v>4890</v>
      </c>
      <c r="G74" s="27">
        <f ca="1"/>
        <v>9780</v>
      </c>
      <c r="H74" s="29" t="s">
        <v>125</v>
      </c>
      <c r="I74" s="28">
        <f ca="1"/>
        <v>4616.16</v>
      </c>
    </row>
    <row r="75" spans="1:9" ht="21.75" customHeight="1" x14ac:dyDescent="0.2">
      <c r="A75" s="24">
        <v>68</v>
      </c>
      <c r="B75" s="25" t="str">
        <f ca="1"/>
        <v>91-479-02-00</v>
      </c>
      <c r="C75" s="26">
        <f ca="1"/>
        <v>1</v>
      </c>
      <c r="D75" s="27">
        <f ca="1"/>
        <v>2581.92</v>
      </c>
      <c r="E75" s="28">
        <f ca="1"/>
        <v>2581.92</v>
      </c>
      <c r="F75" s="27">
        <f ca="1"/>
        <v>4890</v>
      </c>
      <c r="G75" s="27">
        <f ca="1"/>
        <v>4890</v>
      </c>
      <c r="H75" s="29" t="s">
        <v>125</v>
      </c>
      <c r="I75" s="28">
        <f ca="1"/>
        <v>2308.08</v>
      </c>
    </row>
    <row r="76" spans="1:9" ht="21.75" customHeight="1" x14ac:dyDescent="0.2">
      <c r="A76" s="24">
        <v>69</v>
      </c>
      <c r="B76" s="25" t="str">
        <f ca="1"/>
        <v>91-510-17-00</v>
      </c>
      <c r="C76" s="26">
        <f ca="1"/>
        <v>2</v>
      </c>
      <c r="D76" s="27">
        <f ca="1"/>
        <v>2106.7199999999998</v>
      </c>
      <c r="E76" s="28">
        <f ca="1"/>
        <v>4213.4399999999996</v>
      </c>
      <c r="F76" s="27">
        <f ca="1"/>
        <v>3990</v>
      </c>
      <c r="G76" s="27">
        <f ca="1"/>
        <v>7980</v>
      </c>
      <c r="H76" s="29" t="s">
        <v>125</v>
      </c>
      <c r="I76" s="28">
        <f ca="1"/>
        <v>3766.5600000000004</v>
      </c>
    </row>
    <row r="77" spans="1:9" ht="21.75" customHeight="1" x14ac:dyDescent="0.2">
      <c r="A77" s="24">
        <v>70</v>
      </c>
      <c r="B77" s="25" t="str">
        <f ca="1"/>
        <v>91-557-23-00</v>
      </c>
      <c r="C77" s="26">
        <f ca="1"/>
        <v>1</v>
      </c>
      <c r="D77" s="27">
        <f ca="1"/>
        <v>2106.7199999999998</v>
      </c>
      <c r="E77" s="28">
        <f ca="1"/>
        <v>2106.7199999999998</v>
      </c>
      <c r="F77" s="27">
        <f ca="1"/>
        <v>3990</v>
      </c>
      <c r="G77" s="27">
        <f ca="1"/>
        <v>3990</v>
      </c>
      <c r="H77" s="29" t="s">
        <v>125</v>
      </c>
      <c r="I77" s="28">
        <f ca="1"/>
        <v>1883.2800000000002</v>
      </c>
    </row>
    <row r="78" spans="1:9" ht="21.75" customHeight="1" x14ac:dyDescent="0.2">
      <c r="A78" s="24">
        <v>71</v>
      </c>
      <c r="B78" s="25" t="str">
        <f ca="1"/>
        <v>91-558-09-00</v>
      </c>
      <c r="C78" s="26">
        <f ca="1"/>
        <v>3</v>
      </c>
      <c r="D78" s="27">
        <f ca="1"/>
        <v>2793.1200000000003</v>
      </c>
      <c r="E78" s="28">
        <f ca="1"/>
        <v>8379.36</v>
      </c>
      <c r="F78" s="27">
        <f ca="1"/>
        <v>5290</v>
      </c>
      <c r="G78" s="27">
        <f ca="1"/>
        <v>15870</v>
      </c>
      <c r="H78" s="29" t="s">
        <v>125</v>
      </c>
      <c r="I78" s="28">
        <f ca="1"/>
        <v>7490.6399999999994</v>
      </c>
    </row>
    <row r="79" spans="1:9" ht="21.75" customHeight="1" x14ac:dyDescent="0.2">
      <c r="A79" s="24">
        <v>72</v>
      </c>
      <c r="B79" s="25" t="str">
        <f ca="1"/>
        <v>91-560-09-00</v>
      </c>
      <c r="C79" s="26">
        <f ca="1"/>
        <v>2</v>
      </c>
      <c r="D79" s="27">
        <f ca="1"/>
        <v>2793.1200000000003</v>
      </c>
      <c r="E79" s="28">
        <f ca="1"/>
        <v>5586.2400000000007</v>
      </c>
      <c r="F79" s="27">
        <f ca="1"/>
        <v>5290</v>
      </c>
      <c r="G79" s="27">
        <f ca="1"/>
        <v>10580</v>
      </c>
      <c r="H79" s="29" t="s">
        <v>125</v>
      </c>
      <c r="I79" s="28">
        <f ca="1"/>
        <v>4993.7599999999993</v>
      </c>
    </row>
    <row r="80" spans="1:9" ht="21.75" customHeight="1" x14ac:dyDescent="0.2">
      <c r="A80" s="24">
        <v>73</v>
      </c>
      <c r="B80" s="25" t="str">
        <f ca="1"/>
        <v>91-561-09-00</v>
      </c>
      <c r="C80" s="26">
        <f ca="1"/>
        <v>2</v>
      </c>
      <c r="D80" s="27">
        <f ca="1"/>
        <v>2793.1200000000003</v>
      </c>
      <c r="E80" s="28">
        <f ca="1"/>
        <v>5586.2400000000007</v>
      </c>
      <c r="F80" s="27">
        <f ca="1"/>
        <v>5290</v>
      </c>
      <c r="G80" s="27">
        <f ca="1"/>
        <v>10580</v>
      </c>
      <c r="H80" s="29" t="s">
        <v>125</v>
      </c>
      <c r="I80" s="28">
        <f ca="1"/>
        <v>4993.7599999999993</v>
      </c>
    </row>
    <row r="81" spans="1:9" ht="21.75" customHeight="1" x14ac:dyDescent="0.2">
      <c r="A81" s="24">
        <v>74</v>
      </c>
      <c r="B81" s="25" t="str">
        <f ca="1"/>
        <v>91-568-08-00</v>
      </c>
      <c r="C81" s="26">
        <f ca="1"/>
        <v>1</v>
      </c>
      <c r="D81" s="27">
        <f ca="1"/>
        <v>2793.1200000000003</v>
      </c>
      <c r="E81" s="28">
        <f ca="1"/>
        <v>2793.1200000000003</v>
      </c>
      <c r="F81" s="27">
        <f ca="1"/>
        <v>5290</v>
      </c>
      <c r="G81" s="27">
        <f ca="1"/>
        <v>5290</v>
      </c>
      <c r="H81" s="29" t="s">
        <v>125</v>
      </c>
      <c r="I81" s="28">
        <f ca="1"/>
        <v>2496.8799999999997</v>
      </c>
    </row>
    <row r="82" spans="1:9" ht="21.75" customHeight="1" x14ac:dyDescent="0.2">
      <c r="A82" s="24">
        <v>75</v>
      </c>
      <c r="B82" s="25" t="str">
        <f ca="1"/>
        <v>91-570-19-00</v>
      </c>
      <c r="C82" s="26">
        <f ca="1"/>
        <v>1</v>
      </c>
      <c r="D82" s="27">
        <f ca="1"/>
        <v>2793.1200000000003</v>
      </c>
      <c r="E82" s="28">
        <f ca="1"/>
        <v>2793.1200000000003</v>
      </c>
      <c r="F82" s="27">
        <f ca="1"/>
        <v>5290</v>
      </c>
      <c r="G82" s="27">
        <f ca="1"/>
        <v>5290</v>
      </c>
      <c r="H82" s="29" t="s">
        <v>125</v>
      </c>
      <c r="I82" s="28">
        <f ca="1"/>
        <v>2496.8799999999997</v>
      </c>
    </row>
    <row r="83" spans="1:9" ht="21.75" customHeight="1" x14ac:dyDescent="0.2">
      <c r="A83" s="24">
        <v>76</v>
      </c>
      <c r="B83" s="25" t="str">
        <f ca="1"/>
        <v>91-572-09-00</v>
      </c>
      <c r="C83" s="26">
        <f ca="1"/>
        <v>1</v>
      </c>
      <c r="D83" s="27">
        <f ca="1"/>
        <v>2106.7199999999998</v>
      </c>
      <c r="E83" s="28">
        <f ca="1"/>
        <v>2106.7199999999998</v>
      </c>
      <c r="F83" s="27">
        <f ca="1"/>
        <v>3990</v>
      </c>
      <c r="G83" s="27">
        <f ca="1"/>
        <v>3990</v>
      </c>
      <c r="H83" s="29" t="s">
        <v>125</v>
      </c>
      <c r="I83" s="28">
        <f ca="1"/>
        <v>1883.2800000000002</v>
      </c>
    </row>
    <row r="84" spans="1:9" ht="21.75" customHeight="1" x14ac:dyDescent="0.2">
      <c r="A84" s="24">
        <v>77</v>
      </c>
      <c r="B84" s="30" t="str">
        <f ca="1"/>
        <v>91-574-08-00</v>
      </c>
      <c r="C84" s="31">
        <f ca="1"/>
        <v>1</v>
      </c>
      <c r="D84" s="32">
        <f ca="1"/>
        <v>2106.7199999999998</v>
      </c>
      <c r="E84" s="33">
        <f ca="1"/>
        <v>2106.7199999999998</v>
      </c>
      <c r="F84" s="32">
        <f ca="1"/>
        <v>3990</v>
      </c>
      <c r="G84" s="32">
        <f ca="1"/>
        <v>3990</v>
      </c>
      <c r="H84" s="34" t="s">
        <v>125</v>
      </c>
      <c r="I84" s="33">
        <f ca="1"/>
        <v>1883.2800000000002</v>
      </c>
    </row>
    <row r="85" spans="1:9" ht="21.75" customHeight="1" x14ac:dyDescent="0.2">
      <c r="A85" s="24">
        <v>78</v>
      </c>
      <c r="B85" s="25" t="str">
        <f ca="1"/>
        <v>16-705-14-00</v>
      </c>
      <c r="C85" s="26">
        <f ca="1"/>
        <v>1</v>
      </c>
      <c r="D85" s="27">
        <f ca="1"/>
        <v>2106.7199999999998</v>
      </c>
      <c r="E85" s="28">
        <f ca="1"/>
        <v>2106.7199999999998</v>
      </c>
      <c r="F85" s="27">
        <f ca="1"/>
        <v>3990</v>
      </c>
      <c r="G85" s="27">
        <f ca="1"/>
        <v>3990</v>
      </c>
      <c r="H85" s="29" t="s">
        <v>125</v>
      </c>
      <c r="I85" s="28">
        <f ca="1"/>
        <v>1883.2800000000002</v>
      </c>
    </row>
    <row r="86" spans="1:9" ht="21.75" customHeight="1" x14ac:dyDescent="0.2">
      <c r="A86" s="24">
        <v>79</v>
      </c>
      <c r="B86" s="25" t="str">
        <f ca="1"/>
        <v>16-705-09-00</v>
      </c>
      <c r="C86" s="26">
        <f ca="1"/>
        <v>4</v>
      </c>
      <c r="D86" s="27">
        <f ca="1"/>
        <v>2106.7199999999998</v>
      </c>
      <c r="E86" s="28">
        <f ca="1"/>
        <v>8426.8799999999992</v>
      </c>
      <c r="F86" s="27">
        <f ca="1"/>
        <v>3990</v>
      </c>
      <c r="G86" s="27">
        <f ca="1"/>
        <v>15960</v>
      </c>
      <c r="H86" s="29" t="s">
        <v>125</v>
      </c>
      <c r="I86" s="28">
        <f ca="1"/>
        <v>7533.1200000000008</v>
      </c>
    </row>
    <row r="87" spans="1:9" ht="21.75" customHeight="1" x14ac:dyDescent="0.2">
      <c r="A87" s="24">
        <v>80</v>
      </c>
      <c r="B87" s="25" t="str">
        <f ca="1"/>
        <v>16-708-14-00</v>
      </c>
      <c r="C87" s="26">
        <f ca="1"/>
        <v>3</v>
      </c>
      <c r="D87" s="27">
        <f ca="1"/>
        <v>2106.7199999999998</v>
      </c>
      <c r="E87" s="28">
        <f ca="1"/>
        <v>6320.16</v>
      </c>
      <c r="F87" s="27">
        <f ca="1"/>
        <v>3990</v>
      </c>
      <c r="G87" s="27">
        <f ca="1"/>
        <v>11970</v>
      </c>
      <c r="H87" s="29" t="s">
        <v>125</v>
      </c>
      <c r="I87" s="28">
        <f ca="1"/>
        <v>5649.84</v>
      </c>
    </row>
    <row r="88" spans="1:9" ht="21.75" customHeight="1" x14ac:dyDescent="0.2">
      <c r="A88" s="24">
        <v>81</v>
      </c>
      <c r="B88" s="25" t="str">
        <f ca="1"/>
        <v>91-575-14-00</v>
      </c>
      <c r="C88" s="26">
        <f ca="1"/>
        <v>1</v>
      </c>
      <c r="D88" s="27">
        <f ca="1"/>
        <v>2106.7199999999998</v>
      </c>
      <c r="E88" s="28">
        <f ca="1"/>
        <v>2106.7199999999998</v>
      </c>
      <c r="F88" s="27">
        <f ca="1"/>
        <v>3990</v>
      </c>
      <c r="G88" s="27">
        <f ca="1"/>
        <v>3990</v>
      </c>
      <c r="H88" s="29" t="s">
        <v>125</v>
      </c>
      <c r="I88" s="28">
        <f ca="1"/>
        <v>1883.2800000000002</v>
      </c>
    </row>
    <row r="89" spans="1:9" ht="21.75" customHeight="1" x14ac:dyDescent="0.2">
      <c r="A89" s="24">
        <v>82</v>
      </c>
      <c r="B89" s="25" t="str">
        <f ca="1"/>
        <v>91-355-14-00</v>
      </c>
      <c r="C89" s="26">
        <f ca="1"/>
        <v>2</v>
      </c>
      <c r="D89" s="27">
        <f ca="1"/>
        <v>2001.12</v>
      </c>
      <c r="E89" s="28">
        <f ca="1"/>
        <v>4002.24</v>
      </c>
      <c r="F89" s="27">
        <f ca="1"/>
        <v>3790</v>
      </c>
      <c r="G89" s="27">
        <f ca="1"/>
        <v>7580</v>
      </c>
      <c r="H89" s="29" t="s">
        <v>125</v>
      </c>
      <c r="I89" s="28">
        <f ca="1"/>
        <v>3577.76</v>
      </c>
    </row>
    <row r="90" spans="1:9" ht="21.75" customHeight="1" x14ac:dyDescent="0.2">
      <c r="A90" s="24">
        <v>83</v>
      </c>
      <c r="B90" s="25" t="str">
        <f ca="1"/>
        <v>91-576-14-00</v>
      </c>
      <c r="C90" s="26">
        <f ca="1"/>
        <v>2</v>
      </c>
      <c r="D90" s="27">
        <f ca="1"/>
        <v>2001.12</v>
      </c>
      <c r="E90" s="28">
        <f ca="1"/>
        <v>4002.24</v>
      </c>
      <c r="F90" s="27">
        <f ca="1"/>
        <v>3790</v>
      </c>
      <c r="G90" s="27">
        <f ca="1"/>
        <v>7580</v>
      </c>
      <c r="H90" s="29" t="s">
        <v>125</v>
      </c>
      <c r="I90" s="28">
        <f ca="1"/>
        <v>3577.76</v>
      </c>
    </row>
    <row r="91" spans="1:9" ht="21.75" customHeight="1" x14ac:dyDescent="0.2">
      <c r="A91" s="24">
        <v>84</v>
      </c>
      <c r="B91" s="25" t="str">
        <f ca="1"/>
        <v>91-578-06-00</v>
      </c>
      <c r="C91" s="26">
        <f ca="1"/>
        <v>2</v>
      </c>
      <c r="D91" s="27">
        <f ca="1"/>
        <v>2001.12</v>
      </c>
      <c r="E91" s="28">
        <f ca="1"/>
        <v>4002.24</v>
      </c>
      <c r="F91" s="27">
        <f ca="1"/>
        <v>3790</v>
      </c>
      <c r="G91" s="27">
        <f ca="1"/>
        <v>7580</v>
      </c>
      <c r="H91" s="29" t="s">
        <v>125</v>
      </c>
      <c r="I91" s="28">
        <f ca="1"/>
        <v>3577.76</v>
      </c>
    </row>
    <row r="92" spans="1:9" ht="21.75" customHeight="1" x14ac:dyDescent="0.2">
      <c r="A92" s="24">
        <v>85</v>
      </c>
      <c r="B92" s="25" t="str">
        <f ca="1"/>
        <v>91-579-08-00</v>
      </c>
      <c r="C92" s="26">
        <f ca="1"/>
        <v>1</v>
      </c>
      <c r="D92" s="27">
        <f ca="1"/>
        <v>2001.12</v>
      </c>
      <c r="E92" s="28">
        <f ca="1"/>
        <v>2001.12</v>
      </c>
      <c r="F92" s="27">
        <f ca="1"/>
        <v>3790</v>
      </c>
      <c r="G92" s="27">
        <f ca="1"/>
        <v>3790</v>
      </c>
      <c r="H92" s="29" t="s">
        <v>125</v>
      </c>
      <c r="I92" s="28">
        <f ca="1"/>
        <v>1788.88</v>
      </c>
    </row>
    <row r="93" spans="1:9" ht="21.75" customHeight="1" x14ac:dyDescent="0.2">
      <c r="A93" s="24">
        <v>86</v>
      </c>
      <c r="B93" s="25" t="str">
        <f ca="1"/>
        <v>91-132-06-00</v>
      </c>
      <c r="C93" s="26">
        <f ca="1"/>
        <v>1</v>
      </c>
      <c r="D93" s="27">
        <f ca="1"/>
        <v>2001.12</v>
      </c>
      <c r="E93" s="28">
        <f ca="1"/>
        <v>2001.12</v>
      </c>
      <c r="F93" s="27">
        <f ca="1"/>
        <v>3790</v>
      </c>
      <c r="G93" s="27">
        <f ca="1"/>
        <v>3790</v>
      </c>
      <c r="H93" s="29" t="s">
        <v>125</v>
      </c>
      <c r="I93" s="28">
        <f ca="1"/>
        <v>1788.88</v>
      </c>
    </row>
    <row r="94" spans="1:9" ht="21.75" customHeight="1" x14ac:dyDescent="0.2">
      <c r="A94" s="24">
        <v>87</v>
      </c>
      <c r="B94" s="25" t="str">
        <f ca="1"/>
        <v>91-581-17-00</v>
      </c>
      <c r="C94" s="26">
        <f ca="1"/>
        <v>1</v>
      </c>
      <c r="D94" s="27">
        <f ca="1"/>
        <v>2793.12</v>
      </c>
      <c r="E94" s="28">
        <f ca="1"/>
        <v>2793.12</v>
      </c>
      <c r="F94" s="27">
        <f ca="1"/>
        <v>5290</v>
      </c>
      <c r="G94" s="27">
        <f ca="1"/>
        <v>5290</v>
      </c>
      <c r="H94" s="29" t="s">
        <v>125</v>
      </c>
      <c r="I94" s="28">
        <f ca="1"/>
        <v>2496.88</v>
      </c>
    </row>
    <row r="95" spans="1:9" ht="21.75" customHeight="1" x14ac:dyDescent="0.2">
      <c r="A95" s="24">
        <v>88</v>
      </c>
      <c r="B95" s="25" t="str">
        <f ca="1"/>
        <v>91-582-36-00</v>
      </c>
      <c r="C95" s="26">
        <f ca="1"/>
        <v>1</v>
      </c>
      <c r="D95" s="27">
        <f ca="1"/>
        <v>2793.12</v>
      </c>
      <c r="E95" s="28">
        <f ca="1"/>
        <v>2793.12</v>
      </c>
      <c r="F95" s="27">
        <f ca="1"/>
        <v>5290</v>
      </c>
      <c r="G95" s="27">
        <f ca="1"/>
        <v>5290</v>
      </c>
      <c r="H95" s="29" t="s">
        <v>125</v>
      </c>
      <c r="I95" s="28">
        <f ca="1"/>
        <v>2496.88</v>
      </c>
    </row>
    <row r="96" spans="1:9" ht="21.75" customHeight="1" x14ac:dyDescent="0.2">
      <c r="A96" s="24">
        <v>89</v>
      </c>
      <c r="B96" s="25" t="str">
        <f ca="1"/>
        <v>91-583-09-00</v>
      </c>
      <c r="C96" s="26">
        <f ca="1"/>
        <v>1</v>
      </c>
      <c r="D96" s="27">
        <f ca="1"/>
        <v>2793.12</v>
      </c>
      <c r="E96" s="28">
        <f ca="1"/>
        <v>2793.12</v>
      </c>
      <c r="F96" s="27">
        <f ca="1"/>
        <v>5290</v>
      </c>
      <c r="G96" s="27">
        <f ca="1"/>
        <v>5290</v>
      </c>
      <c r="H96" s="29" t="s">
        <v>125</v>
      </c>
      <c r="I96" s="28">
        <f ca="1"/>
        <v>2496.88</v>
      </c>
    </row>
    <row r="97" spans="1:9" ht="21.75" customHeight="1" x14ac:dyDescent="0.2">
      <c r="A97" s="24">
        <v>90</v>
      </c>
      <c r="B97" s="25" t="str">
        <f ca="1"/>
        <v>91-583-09-61</v>
      </c>
      <c r="C97" s="26">
        <f ca="1"/>
        <v>1</v>
      </c>
      <c r="D97" s="27">
        <f ca="1"/>
        <v>2793.12</v>
      </c>
      <c r="E97" s="28">
        <f ca="1"/>
        <v>2793.12</v>
      </c>
      <c r="F97" s="27">
        <f ca="1"/>
        <v>5290</v>
      </c>
      <c r="G97" s="27">
        <f ca="1"/>
        <v>5290</v>
      </c>
      <c r="H97" s="29" t="s">
        <v>125</v>
      </c>
      <c r="I97" s="28">
        <f ca="1"/>
        <v>2496.88</v>
      </c>
    </row>
    <row r="98" spans="1:9" ht="21.75" customHeight="1" x14ac:dyDescent="0.2">
      <c r="A98" s="24">
        <v>91</v>
      </c>
      <c r="B98" s="25" t="str">
        <f ca="1"/>
        <v>91-537-09-61</v>
      </c>
      <c r="C98" s="26">
        <f ca="1"/>
        <v>2</v>
      </c>
      <c r="D98" s="27">
        <f ca="1"/>
        <v>2793.12</v>
      </c>
      <c r="E98" s="28">
        <f ca="1"/>
        <v>5586.24</v>
      </c>
      <c r="F98" s="27">
        <f ca="1"/>
        <v>5290</v>
      </c>
      <c r="G98" s="27">
        <f ca="1"/>
        <v>10580</v>
      </c>
      <c r="H98" s="29" t="s">
        <v>125</v>
      </c>
      <c r="I98" s="28">
        <f ca="1"/>
        <v>4993.76</v>
      </c>
    </row>
    <row r="99" spans="1:9" ht="21.75" customHeight="1" x14ac:dyDescent="0.2">
      <c r="A99" s="24">
        <v>92</v>
      </c>
      <c r="B99" s="25" t="str">
        <f ca="1"/>
        <v>91-537-09-57</v>
      </c>
      <c r="C99" s="26">
        <f ca="1"/>
        <v>2</v>
      </c>
      <c r="D99" s="27">
        <f ca="1"/>
        <v>2793.12</v>
      </c>
      <c r="E99" s="28">
        <f ca="1"/>
        <v>5586.24</v>
      </c>
      <c r="F99" s="27">
        <f ca="1"/>
        <v>5290</v>
      </c>
      <c r="G99" s="27">
        <f ca="1"/>
        <v>10580</v>
      </c>
      <c r="H99" s="29" t="s">
        <v>125</v>
      </c>
      <c r="I99" s="28">
        <f ca="1"/>
        <v>4993.76</v>
      </c>
    </row>
    <row r="100" spans="1:9" ht="21.75" customHeight="1" x14ac:dyDescent="0.2">
      <c r="A100" s="24">
        <v>93</v>
      </c>
      <c r="B100" s="25" t="str">
        <f ca="1"/>
        <v>91-537-09-59</v>
      </c>
      <c r="C100" s="26">
        <f ca="1"/>
        <v>1</v>
      </c>
      <c r="D100" s="27">
        <f ca="1"/>
        <v>2793.12</v>
      </c>
      <c r="E100" s="28">
        <f ca="1"/>
        <v>2793.12</v>
      </c>
      <c r="F100" s="27">
        <f ca="1"/>
        <v>5290</v>
      </c>
      <c r="G100" s="27">
        <f ca="1"/>
        <v>5290</v>
      </c>
      <c r="H100" s="29" t="s">
        <v>125</v>
      </c>
      <c r="I100" s="28">
        <f ca="1"/>
        <v>2496.88</v>
      </c>
    </row>
    <row r="101" spans="1:9" ht="21.75" customHeight="1" x14ac:dyDescent="0.2">
      <c r="A101" s="24">
        <v>94</v>
      </c>
      <c r="B101" s="25" t="str">
        <f ca="1"/>
        <v>91-537-09-55</v>
      </c>
      <c r="C101" s="26">
        <f ca="1"/>
        <v>1</v>
      </c>
      <c r="D101" s="27">
        <f ca="1"/>
        <v>2793.12</v>
      </c>
      <c r="E101" s="28">
        <f ca="1"/>
        <v>2793.12</v>
      </c>
      <c r="F101" s="27">
        <f ca="1"/>
        <v>5290</v>
      </c>
      <c r="G101" s="27">
        <f ca="1"/>
        <v>5290</v>
      </c>
      <c r="H101" s="29" t="s">
        <v>125</v>
      </c>
      <c r="I101" s="28">
        <f ca="1"/>
        <v>2496.88</v>
      </c>
    </row>
    <row r="102" spans="1:9" ht="21.75" customHeight="1" x14ac:dyDescent="0.2">
      <c r="A102" s="24">
        <v>95</v>
      </c>
      <c r="B102" s="25" t="str">
        <f ca="1"/>
        <v>91-538-03-59</v>
      </c>
      <c r="C102" s="26">
        <f ca="1"/>
        <v>1</v>
      </c>
      <c r="D102" s="27">
        <f ca="1"/>
        <v>2793.12</v>
      </c>
      <c r="E102" s="28">
        <f ca="1"/>
        <v>2793.12</v>
      </c>
      <c r="F102" s="27">
        <f ca="1"/>
        <v>5290</v>
      </c>
      <c r="G102" s="27">
        <f ca="1"/>
        <v>5290</v>
      </c>
      <c r="H102" s="29" t="s">
        <v>125</v>
      </c>
      <c r="I102" s="28">
        <f ca="1"/>
        <v>2496.88</v>
      </c>
    </row>
    <row r="103" spans="1:9" ht="21.75" customHeight="1" x14ac:dyDescent="0.2">
      <c r="A103" s="24">
        <v>96</v>
      </c>
      <c r="B103" s="25" t="str">
        <f ca="1"/>
        <v>91-539-17-59</v>
      </c>
      <c r="C103" s="26">
        <f ca="1"/>
        <v>1</v>
      </c>
      <c r="D103" s="27">
        <f ca="1"/>
        <v>2793.12</v>
      </c>
      <c r="E103" s="28">
        <f ca="1"/>
        <v>2793.12</v>
      </c>
      <c r="F103" s="27">
        <f ca="1"/>
        <v>5290</v>
      </c>
      <c r="G103" s="27">
        <f ca="1"/>
        <v>5290</v>
      </c>
      <c r="H103" s="29" t="s">
        <v>125</v>
      </c>
      <c r="I103" s="28">
        <f ca="1"/>
        <v>2496.88</v>
      </c>
    </row>
    <row r="104" spans="1:9" ht="21.75" customHeight="1" x14ac:dyDescent="0.2">
      <c r="A104" s="24">
        <v>97</v>
      </c>
      <c r="B104" s="25" t="str">
        <f ca="1"/>
        <v>91-540-00-59</v>
      </c>
      <c r="C104" s="26">
        <f ca="1"/>
        <v>1</v>
      </c>
      <c r="D104" s="27">
        <f ca="1"/>
        <v>2793.12</v>
      </c>
      <c r="E104" s="28">
        <f ca="1"/>
        <v>2793.12</v>
      </c>
      <c r="F104" s="27">
        <f ca="1"/>
        <v>5290</v>
      </c>
      <c r="G104" s="27">
        <f ca="1"/>
        <v>5290</v>
      </c>
      <c r="H104" s="29" t="s">
        <v>125</v>
      </c>
      <c r="I104" s="28">
        <f ca="1"/>
        <v>2496.88</v>
      </c>
    </row>
    <row r="105" spans="1:9" ht="21.75" customHeight="1" x14ac:dyDescent="0.2">
      <c r="A105" s="24">
        <v>98</v>
      </c>
      <c r="B105" s="25" t="str">
        <f ca="1"/>
        <v>91-627-03-59</v>
      </c>
      <c r="C105" s="26">
        <f ca="1"/>
        <v>2</v>
      </c>
      <c r="D105" s="27">
        <f ca="1"/>
        <v>2793.12</v>
      </c>
      <c r="E105" s="28">
        <f ca="1"/>
        <v>5586.24</v>
      </c>
      <c r="F105" s="27">
        <f ca="1"/>
        <v>5290</v>
      </c>
      <c r="G105" s="27">
        <f ca="1"/>
        <v>10580</v>
      </c>
      <c r="H105" s="29" t="s">
        <v>125</v>
      </c>
      <c r="I105" s="28">
        <f ca="1"/>
        <v>4993.76</v>
      </c>
    </row>
    <row r="106" spans="1:9" ht="21.75" customHeight="1" x14ac:dyDescent="0.2">
      <c r="A106" s="24">
        <v>99</v>
      </c>
      <c r="B106" s="25" t="str">
        <f ca="1"/>
        <v>91-627-03-57</v>
      </c>
      <c r="C106" s="26">
        <f ca="1"/>
        <v>1</v>
      </c>
      <c r="D106" s="27">
        <f ca="1"/>
        <v>2793.12</v>
      </c>
      <c r="E106" s="28">
        <f ca="1"/>
        <v>2793.12</v>
      </c>
      <c r="F106" s="27">
        <f ca="1"/>
        <v>5290</v>
      </c>
      <c r="G106" s="27">
        <f ca="1"/>
        <v>5290</v>
      </c>
      <c r="H106" s="29" t="s">
        <v>125</v>
      </c>
      <c r="I106" s="28">
        <f ca="1"/>
        <v>2496.88</v>
      </c>
    </row>
    <row r="107" spans="1:9" ht="21.75" customHeight="1" x14ac:dyDescent="0.2">
      <c r="A107" s="24">
        <v>100</v>
      </c>
      <c r="B107" s="25" t="str">
        <f ca="1"/>
        <v>91-585-18-55</v>
      </c>
      <c r="C107" s="26">
        <f ca="1"/>
        <v>1</v>
      </c>
      <c r="D107" s="27">
        <f ca="1"/>
        <v>2793.12</v>
      </c>
      <c r="E107" s="28">
        <f ca="1"/>
        <v>2793.12</v>
      </c>
      <c r="F107" s="27">
        <f ca="1"/>
        <v>5290</v>
      </c>
      <c r="G107" s="27">
        <f ca="1"/>
        <v>5290</v>
      </c>
      <c r="H107" s="29" t="s">
        <v>125</v>
      </c>
      <c r="I107" s="28">
        <f ca="1"/>
        <v>2496.88</v>
      </c>
    </row>
    <row r="108" spans="1:9" ht="21.75" customHeight="1" x14ac:dyDescent="0.2">
      <c r="A108" s="24">
        <v>101</v>
      </c>
      <c r="B108" s="30" t="str">
        <f ca="1"/>
        <v>91-585-18-00</v>
      </c>
      <c r="C108" s="31">
        <f ca="1"/>
        <v>1</v>
      </c>
      <c r="D108" s="32">
        <f ca="1"/>
        <v>2793.12</v>
      </c>
      <c r="E108" s="33">
        <f ca="1"/>
        <v>2793.12</v>
      </c>
      <c r="F108" s="32">
        <f ca="1"/>
        <v>5290</v>
      </c>
      <c r="G108" s="32">
        <f ca="1"/>
        <v>5290</v>
      </c>
      <c r="H108" s="34" t="s">
        <v>125</v>
      </c>
      <c r="I108" s="33">
        <f ca="1"/>
        <v>2496.88</v>
      </c>
    </row>
    <row r="109" spans="1:9" s="20" customFormat="1" ht="33" customHeight="1" x14ac:dyDescent="0.2">
      <c r="A109" s="24">
        <v>102</v>
      </c>
      <c r="B109" s="25"/>
      <c r="C109" s="26"/>
      <c r="D109" s="27"/>
      <c r="E109" s="28"/>
      <c r="F109" s="27"/>
      <c r="G109" s="27"/>
      <c r="H109" s="29" t="s">
        <v>125</v>
      </c>
      <c r="I109" s="28"/>
    </row>
    <row r="110" spans="1:9" s="20" customFormat="1" ht="33" customHeight="1" x14ac:dyDescent="0.2">
      <c r="A110" s="24">
        <v>103</v>
      </c>
      <c r="B110" s="25"/>
      <c r="C110" s="26"/>
      <c r="D110" s="27"/>
      <c r="E110" s="28"/>
      <c r="F110" s="27"/>
      <c r="G110" s="27"/>
      <c r="H110" s="29" t="s">
        <v>125</v>
      </c>
      <c r="I110" s="28"/>
    </row>
    <row r="111" spans="1:9" s="20" customFormat="1" ht="33" customHeight="1" x14ac:dyDescent="0.2">
      <c r="A111" s="24">
        <v>104</v>
      </c>
      <c r="B111" s="25"/>
      <c r="C111" s="26"/>
      <c r="D111" s="27"/>
      <c r="E111" s="28"/>
      <c r="F111" s="27"/>
      <c r="G111" s="27"/>
      <c r="H111" s="29" t="s">
        <v>125</v>
      </c>
      <c r="I111" s="28"/>
    </row>
    <row r="112" spans="1:9" s="20" customFormat="1" ht="33" customHeight="1" x14ac:dyDescent="0.2">
      <c r="A112" s="24">
        <v>105</v>
      </c>
      <c r="B112" s="25"/>
      <c r="C112" s="26"/>
      <c r="D112" s="27"/>
      <c r="E112" s="28"/>
      <c r="F112" s="27"/>
      <c r="G112" s="27"/>
      <c r="H112" s="29" t="s">
        <v>125</v>
      </c>
      <c r="I112" s="28"/>
    </row>
    <row r="113" spans="1:9" s="20" customFormat="1" ht="33" customHeight="1" x14ac:dyDescent="0.2">
      <c r="A113" s="24">
        <v>106</v>
      </c>
      <c r="B113" s="25"/>
      <c r="C113" s="26"/>
      <c r="D113" s="27"/>
      <c r="E113" s="28"/>
      <c r="F113" s="27"/>
      <c r="G113" s="27"/>
      <c r="H113" s="29" t="s">
        <v>125</v>
      </c>
      <c r="I113" s="28"/>
    </row>
    <row r="114" spans="1:9" s="20" customFormat="1" ht="33" customHeight="1" x14ac:dyDescent="0.2">
      <c r="A114" s="24">
        <v>107</v>
      </c>
      <c r="B114" s="25"/>
      <c r="C114" s="26"/>
      <c r="D114" s="27"/>
      <c r="E114" s="28"/>
      <c r="F114" s="27"/>
      <c r="G114" s="27"/>
      <c r="H114" s="29" t="s">
        <v>125</v>
      </c>
      <c r="I114" s="28"/>
    </row>
    <row r="115" spans="1:9" s="20" customFormat="1" ht="33" customHeight="1" x14ac:dyDescent="0.2">
      <c r="A115" s="24">
        <v>108</v>
      </c>
      <c r="B115" s="25"/>
      <c r="C115" s="26"/>
      <c r="D115" s="27"/>
      <c r="E115" s="28"/>
      <c r="F115" s="27"/>
      <c r="G115" s="27"/>
      <c r="H115" s="29" t="s">
        <v>125</v>
      </c>
      <c r="I115" s="28"/>
    </row>
    <row r="116" spans="1:9" s="20" customFormat="1" ht="33" customHeight="1" x14ac:dyDescent="0.2">
      <c r="A116" s="24">
        <v>109</v>
      </c>
      <c r="B116" s="25"/>
      <c r="C116" s="26"/>
      <c r="D116" s="27"/>
      <c r="E116" s="28"/>
      <c r="F116" s="27"/>
      <c r="G116" s="27"/>
      <c r="H116" s="29" t="s">
        <v>125</v>
      </c>
      <c r="I116" s="28"/>
    </row>
    <row r="117" spans="1:9" s="20" customFormat="1" ht="33" customHeight="1" x14ac:dyDescent="0.2">
      <c r="A117" s="24">
        <v>110</v>
      </c>
      <c r="B117" s="25"/>
      <c r="C117" s="26"/>
      <c r="D117" s="27"/>
      <c r="E117" s="28"/>
      <c r="F117" s="27"/>
      <c r="G117" s="27"/>
      <c r="H117" s="29" t="s">
        <v>125</v>
      </c>
      <c r="I117" s="28"/>
    </row>
    <row r="118" spans="1:9" s="20" customFormat="1" ht="33" customHeight="1" x14ac:dyDescent="0.2">
      <c r="A118" s="24">
        <v>111</v>
      </c>
      <c r="B118" s="25"/>
      <c r="C118" s="26"/>
      <c r="D118" s="27"/>
      <c r="E118" s="28"/>
      <c r="F118" s="27"/>
      <c r="G118" s="27"/>
      <c r="H118" s="29" t="s">
        <v>125</v>
      </c>
      <c r="I118" s="28"/>
    </row>
    <row r="119" spans="1:9" s="20" customFormat="1" ht="33" customHeight="1" x14ac:dyDescent="0.2">
      <c r="A119" s="24">
        <v>112</v>
      </c>
      <c r="B119" s="25"/>
      <c r="C119" s="26"/>
      <c r="D119" s="27"/>
      <c r="E119" s="28"/>
      <c r="F119" s="27"/>
      <c r="G119" s="27"/>
      <c r="H119" s="29" t="s">
        <v>125</v>
      </c>
      <c r="I119" s="28"/>
    </row>
    <row r="120" spans="1:9" s="20" customFormat="1" ht="33" customHeight="1" x14ac:dyDescent="0.2">
      <c r="A120" s="24">
        <v>113</v>
      </c>
      <c r="B120" s="25"/>
      <c r="C120" s="26"/>
      <c r="D120" s="27"/>
      <c r="E120" s="28"/>
      <c r="F120" s="27"/>
      <c r="G120" s="27"/>
      <c r="H120" s="29" t="s">
        <v>125</v>
      </c>
      <c r="I120" s="28"/>
    </row>
    <row r="121" spans="1:9" s="20" customFormat="1" ht="33" customHeight="1" x14ac:dyDescent="0.2">
      <c r="A121" s="24">
        <v>114</v>
      </c>
      <c r="B121" s="25"/>
      <c r="C121" s="26"/>
      <c r="D121" s="27"/>
      <c r="E121" s="28"/>
      <c r="F121" s="27"/>
      <c r="G121" s="27"/>
      <c r="H121" s="29" t="s">
        <v>125</v>
      </c>
      <c r="I121" s="28"/>
    </row>
    <row r="122" spans="1:9" s="20" customFormat="1" ht="33" customHeight="1" x14ac:dyDescent="0.2">
      <c r="A122" s="24">
        <v>115</v>
      </c>
      <c r="B122" s="25"/>
      <c r="C122" s="26"/>
      <c r="D122" s="27"/>
      <c r="E122" s="28"/>
      <c r="F122" s="27"/>
      <c r="G122" s="27"/>
      <c r="H122" s="29" t="s">
        <v>125</v>
      </c>
      <c r="I122" s="28"/>
    </row>
    <row r="123" spans="1:9" s="20" customFormat="1" ht="33" customHeight="1" x14ac:dyDescent="0.2">
      <c r="A123" s="24">
        <v>116</v>
      </c>
      <c r="B123" s="25"/>
      <c r="C123" s="26"/>
      <c r="D123" s="27"/>
      <c r="E123" s="28"/>
      <c r="F123" s="27"/>
      <c r="G123" s="27"/>
      <c r="H123" s="29" t="s">
        <v>125</v>
      </c>
      <c r="I123" s="28"/>
    </row>
    <row r="124" spans="1:9" s="20" customFormat="1" ht="33" customHeight="1" x14ac:dyDescent="0.2">
      <c r="A124" s="24">
        <v>117</v>
      </c>
      <c r="B124" s="25"/>
      <c r="C124" s="26"/>
      <c r="D124" s="27"/>
      <c r="E124" s="28"/>
      <c r="F124" s="27"/>
      <c r="G124" s="27"/>
      <c r="H124" s="29" t="s">
        <v>125</v>
      </c>
      <c r="I124" s="28"/>
    </row>
    <row r="125" spans="1:9" s="20" customFormat="1" ht="33" customHeight="1" x14ac:dyDescent="0.2">
      <c r="A125" s="24">
        <v>118</v>
      </c>
      <c r="B125" s="25"/>
      <c r="C125" s="26"/>
      <c r="D125" s="27"/>
      <c r="E125" s="28"/>
      <c r="F125" s="27"/>
      <c r="G125" s="27"/>
      <c r="H125" s="29" t="s">
        <v>125</v>
      </c>
      <c r="I125" s="28"/>
    </row>
    <row r="126" spans="1:9" s="20" customFormat="1" ht="33" customHeight="1" x14ac:dyDescent="0.2">
      <c r="A126" s="24">
        <v>119</v>
      </c>
      <c r="B126" s="25"/>
      <c r="C126" s="26"/>
      <c r="D126" s="27"/>
      <c r="E126" s="28"/>
      <c r="F126" s="27"/>
      <c r="G126" s="27"/>
      <c r="H126" s="29" t="s">
        <v>125</v>
      </c>
      <c r="I126" s="28"/>
    </row>
    <row r="127" spans="1:9" s="20" customFormat="1" ht="33" customHeight="1" x14ac:dyDescent="0.2">
      <c r="A127" s="24">
        <v>120</v>
      </c>
      <c r="B127" s="25"/>
      <c r="C127" s="26"/>
      <c r="D127" s="27"/>
      <c r="E127" s="28"/>
      <c r="F127" s="27"/>
      <c r="G127" s="27"/>
      <c r="H127" s="29" t="s">
        <v>125</v>
      </c>
      <c r="I127" s="28"/>
    </row>
    <row r="128" spans="1:9" s="20" customFormat="1" ht="33" customHeight="1" x14ac:dyDescent="0.2">
      <c r="A128" s="24">
        <v>121</v>
      </c>
      <c r="B128" s="25"/>
      <c r="C128" s="26"/>
      <c r="D128" s="27"/>
      <c r="E128" s="28"/>
      <c r="F128" s="27"/>
      <c r="G128" s="27"/>
      <c r="H128" s="29" t="s">
        <v>125</v>
      </c>
      <c r="I128" s="28"/>
    </row>
    <row r="129" spans="1:9" s="20" customFormat="1" ht="33" customHeight="1" x14ac:dyDescent="0.2">
      <c r="A129" s="24">
        <v>122</v>
      </c>
      <c r="B129" s="25"/>
      <c r="C129" s="26"/>
      <c r="D129" s="27"/>
      <c r="E129" s="28"/>
      <c r="F129" s="27"/>
      <c r="G129" s="27"/>
      <c r="H129" s="29" t="s">
        <v>125</v>
      </c>
      <c r="I129" s="28"/>
    </row>
    <row r="130" spans="1:9" s="20" customFormat="1" ht="33" customHeight="1" x14ac:dyDescent="0.2">
      <c r="A130" s="24">
        <v>123</v>
      </c>
      <c r="B130" s="25"/>
      <c r="C130" s="26"/>
      <c r="D130" s="27"/>
      <c r="E130" s="28"/>
      <c r="F130" s="27"/>
      <c r="G130" s="27"/>
      <c r="H130" s="29" t="s">
        <v>125</v>
      </c>
      <c r="I130" s="28"/>
    </row>
    <row r="131" spans="1:9" s="20" customFormat="1" ht="33" customHeight="1" x14ac:dyDescent="0.2">
      <c r="A131" s="24">
        <v>124</v>
      </c>
      <c r="B131" s="25"/>
      <c r="C131" s="26"/>
      <c r="D131" s="27"/>
      <c r="E131" s="28"/>
      <c r="F131" s="27"/>
      <c r="G131" s="27"/>
      <c r="H131" s="29" t="s">
        <v>125</v>
      </c>
      <c r="I131" s="28"/>
    </row>
    <row r="132" spans="1:9" s="20" customFormat="1" ht="33" customHeight="1" x14ac:dyDescent="0.2">
      <c r="A132" s="24">
        <v>125</v>
      </c>
      <c r="B132" s="25"/>
      <c r="C132" s="26"/>
      <c r="D132" s="27"/>
      <c r="E132" s="28"/>
      <c r="F132" s="27"/>
      <c r="G132" s="27"/>
      <c r="H132" s="29" t="s">
        <v>125</v>
      </c>
      <c r="I132" s="28"/>
    </row>
    <row r="133" spans="1:9" s="20" customFormat="1" ht="33" customHeight="1" x14ac:dyDescent="0.2">
      <c r="A133" s="24">
        <v>126</v>
      </c>
      <c r="B133" s="25"/>
      <c r="C133" s="26"/>
      <c r="D133" s="27"/>
      <c r="E133" s="28"/>
      <c r="F133" s="27"/>
      <c r="G133" s="27"/>
      <c r="H133" s="29" t="s">
        <v>125</v>
      </c>
      <c r="I133" s="28"/>
    </row>
    <row r="134" spans="1:9" s="20" customFormat="1" ht="33" customHeight="1" x14ac:dyDescent="0.2">
      <c r="A134" s="24">
        <v>127</v>
      </c>
      <c r="B134" s="25"/>
      <c r="C134" s="26"/>
      <c r="D134" s="27"/>
      <c r="E134" s="28"/>
      <c r="F134" s="27"/>
      <c r="G134" s="27"/>
      <c r="H134" s="29" t="s">
        <v>125</v>
      </c>
      <c r="I134" s="28"/>
    </row>
    <row r="135" spans="1:9" s="20" customFormat="1" ht="33" customHeight="1" x14ac:dyDescent="0.2">
      <c r="A135" s="24">
        <v>128</v>
      </c>
      <c r="B135" s="25"/>
      <c r="C135" s="26"/>
      <c r="D135" s="27"/>
      <c r="E135" s="28"/>
      <c r="F135" s="27"/>
      <c r="G135" s="27"/>
      <c r="H135" s="29" t="s">
        <v>125</v>
      </c>
      <c r="I135" s="28"/>
    </row>
    <row r="136" spans="1:9" s="20" customFormat="1" ht="33" customHeight="1" x14ac:dyDescent="0.2">
      <c r="A136" s="24">
        <v>129</v>
      </c>
      <c r="B136" s="25"/>
      <c r="C136" s="26"/>
      <c r="D136" s="27"/>
      <c r="E136" s="28"/>
      <c r="F136" s="27"/>
      <c r="G136" s="27"/>
      <c r="H136" s="29" t="s">
        <v>125</v>
      </c>
      <c r="I136" s="28"/>
    </row>
    <row r="137" spans="1:9" s="20" customFormat="1" ht="33" customHeight="1" x14ac:dyDescent="0.2">
      <c r="A137" s="24">
        <v>130</v>
      </c>
      <c r="B137" s="25"/>
      <c r="C137" s="26"/>
      <c r="D137" s="27"/>
      <c r="E137" s="28"/>
      <c r="F137" s="27"/>
      <c r="G137" s="27"/>
      <c r="H137" s="29" t="s">
        <v>125</v>
      </c>
      <c r="I137" s="28"/>
    </row>
    <row r="138" spans="1:9" s="20" customFormat="1" ht="33" customHeight="1" x14ac:dyDescent="0.2">
      <c r="A138" s="24">
        <v>131</v>
      </c>
      <c r="B138" s="25"/>
      <c r="C138" s="26"/>
      <c r="D138" s="27"/>
      <c r="E138" s="28"/>
      <c r="F138" s="27"/>
      <c r="G138" s="27"/>
      <c r="H138" s="29" t="s">
        <v>125</v>
      </c>
      <c r="I138" s="28"/>
    </row>
    <row r="139" spans="1:9" s="20" customFormat="1" ht="33" customHeight="1" x14ac:dyDescent="0.2">
      <c r="A139" s="24">
        <v>132</v>
      </c>
      <c r="B139" s="25"/>
      <c r="C139" s="26"/>
      <c r="D139" s="27"/>
      <c r="E139" s="28"/>
      <c r="F139" s="27"/>
      <c r="G139" s="27"/>
      <c r="H139" s="29" t="s">
        <v>125</v>
      </c>
      <c r="I139" s="28"/>
    </row>
    <row r="140" spans="1:9" s="20" customFormat="1" ht="33" customHeight="1" x14ac:dyDescent="0.2">
      <c r="A140" s="24">
        <v>133</v>
      </c>
      <c r="B140" s="25"/>
      <c r="C140" s="26"/>
      <c r="D140" s="27"/>
      <c r="E140" s="28"/>
      <c r="F140" s="27"/>
      <c r="G140" s="27"/>
      <c r="H140" s="29" t="s">
        <v>125</v>
      </c>
      <c r="I140" s="28"/>
    </row>
    <row r="141" spans="1:9" s="20" customFormat="1" ht="33" customHeight="1" x14ac:dyDescent="0.2">
      <c r="A141" s="24">
        <v>134</v>
      </c>
      <c r="B141" s="25"/>
      <c r="C141" s="26"/>
      <c r="D141" s="27"/>
      <c r="E141" s="28"/>
      <c r="F141" s="27"/>
      <c r="G141" s="27"/>
      <c r="H141" s="29" t="s">
        <v>125</v>
      </c>
      <c r="I141" s="28"/>
    </row>
    <row r="142" spans="1:9" s="20" customFormat="1" ht="33" customHeight="1" x14ac:dyDescent="0.2">
      <c r="A142" s="24">
        <v>135</v>
      </c>
      <c r="B142" s="25"/>
      <c r="C142" s="26"/>
      <c r="D142" s="27"/>
      <c r="E142" s="28"/>
      <c r="F142" s="27"/>
      <c r="G142" s="27"/>
      <c r="H142" s="29" t="s">
        <v>125</v>
      </c>
      <c r="I142" s="28"/>
    </row>
    <row r="143" spans="1:9" s="20" customFormat="1" ht="33" customHeight="1" x14ac:dyDescent="0.2">
      <c r="A143" s="24">
        <v>136</v>
      </c>
      <c r="B143" s="25"/>
      <c r="C143" s="26"/>
      <c r="D143" s="27"/>
      <c r="E143" s="28"/>
      <c r="F143" s="27"/>
      <c r="G143" s="27"/>
      <c r="H143" s="29" t="s">
        <v>125</v>
      </c>
      <c r="I143" s="28"/>
    </row>
    <row r="144" spans="1:9" s="20" customFormat="1" ht="33" customHeight="1" x14ac:dyDescent="0.2">
      <c r="A144" s="24">
        <v>137</v>
      </c>
      <c r="B144" s="25"/>
      <c r="C144" s="26"/>
      <c r="D144" s="27"/>
      <c r="E144" s="28"/>
      <c r="F144" s="27"/>
      <c r="G144" s="27"/>
      <c r="H144" s="29" t="s">
        <v>125</v>
      </c>
      <c r="I144" s="28"/>
    </row>
    <row r="145" spans="1:9" s="20" customFormat="1" ht="33" customHeight="1" x14ac:dyDescent="0.2">
      <c r="A145" s="24">
        <v>138</v>
      </c>
      <c r="B145" s="25"/>
      <c r="C145" s="26"/>
      <c r="D145" s="27"/>
      <c r="E145" s="28"/>
      <c r="F145" s="27"/>
      <c r="G145" s="27"/>
      <c r="H145" s="29" t="s">
        <v>125</v>
      </c>
      <c r="I145" s="28"/>
    </row>
    <row r="146" spans="1:9" s="20" customFormat="1" ht="33" customHeight="1" x14ac:dyDescent="0.2">
      <c r="A146" s="24">
        <v>139</v>
      </c>
      <c r="B146" s="25"/>
      <c r="C146" s="26"/>
      <c r="D146" s="27"/>
      <c r="E146" s="28"/>
      <c r="F146" s="27"/>
      <c r="G146" s="27"/>
      <c r="H146" s="29" t="s">
        <v>125</v>
      </c>
      <c r="I146" s="28"/>
    </row>
    <row r="147" spans="1:9" s="20" customFormat="1" ht="33" customHeight="1" x14ac:dyDescent="0.2">
      <c r="A147" s="24">
        <v>140</v>
      </c>
      <c r="B147" s="25"/>
      <c r="C147" s="26"/>
      <c r="D147" s="27"/>
      <c r="E147" s="28"/>
      <c r="F147" s="27"/>
      <c r="G147" s="27"/>
      <c r="H147" s="29" t="s">
        <v>125</v>
      </c>
      <c r="I147" s="28"/>
    </row>
    <row r="148" spans="1:9" s="20" customFormat="1" ht="33" customHeight="1" x14ac:dyDescent="0.2">
      <c r="A148" s="24">
        <v>141</v>
      </c>
      <c r="B148" s="25"/>
      <c r="C148" s="26"/>
      <c r="D148" s="27"/>
      <c r="E148" s="28"/>
      <c r="F148" s="27"/>
      <c r="G148" s="27"/>
      <c r="H148" s="29" t="s">
        <v>125</v>
      </c>
      <c r="I148" s="28"/>
    </row>
    <row r="149" spans="1:9" s="20" customFormat="1" ht="33" customHeight="1" x14ac:dyDescent="0.2">
      <c r="A149" s="24">
        <v>142</v>
      </c>
      <c r="B149" s="25"/>
      <c r="C149" s="26"/>
      <c r="D149" s="27"/>
      <c r="E149" s="28"/>
      <c r="F149" s="27"/>
      <c r="G149" s="27"/>
      <c r="H149" s="29" t="s">
        <v>125</v>
      </c>
      <c r="I149" s="28"/>
    </row>
    <row r="150" spans="1:9" s="20" customFormat="1" ht="33" customHeight="1" x14ac:dyDescent="0.2">
      <c r="A150" s="24">
        <v>143</v>
      </c>
      <c r="B150" s="25"/>
      <c r="C150" s="26"/>
      <c r="D150" s="27"/>
      <c r="E150" s="28"/>
      <c r="F150" s="27"/>
      <c r="G150" s="27"/>
      <c r="H150" s="29" t="s">
        <v>125</v>
      </c>
      <c r="I150" s="28"/>
    </row>
    <row r="151" spans="1:9" s="20" customFormat="1" ht="33" customHeight="1" x14ac:dyDescent="0.2">
      <c r="A151" s="24">
        <v>144</v>
      </c>
      <c r="B151" s="25"/>
      <c r="C151" s="26"/>
      <c r="D151" s="27"/>
      <c r="E151" s="28"/>
      <c r="F151" s="27"/>
      <c r="G151" s="27"/>
      <c r="H151" s="29" t="s">
        <v>125</v>
      </c>
      <c r="I151" s="28"/>
    </row>
    <row r="152" spans="1:9" s="20" customFormat="1" ht="33" customHeight="1" x14ac:dyDescent="0.2">
      <c r="A152" s="24">
        <v>145</v>
      </c>
      <c r="B152" s="25"/>
      <c r="C152" s="26"/>
      <c r="D152" s="27"/>
      <c r="E152" s="28"/>
      <c r="F152" s="27"/>
      <c r="G152" s="27"/>
      <c r="H152" s="29" t="s">
        <v>125</v>
      </c>
      <c r="I152" s="28"/>
    </row>
    <row r="153" spans="1:9" s="20" customFormat="1" ht="33" customHeight="1" x14ac:dyDescent="0.2">
      <c r="A153" s="24">
        <v>146</v>
      </c>
      <c r="B153" s="25"/>
      <c r="C153" s="26"/>
      <c r="D153" s="27"/>
      <c r="E153" s="28"/>
      <c r="F153" s="27"/>
      <c r="G153" s="27"/>
      <c r="H153" s="29" t="s">
        <v>125</v>
      </c>
      <c r="I153" s="28"/>
    </row>
    <row r="154" spans="1:9" s="20" customFormat="1" ht="33" customHeight="1" x14ac:dyDescent="0.2">
      <c r="A154" s="24">
        <v>147</v>
      </c>
      <c r="B154" s="25"/>
      <c r="C154" s="26"/>
      <c r="D154" s="27"/>
      <c r="E154" s="28"/>
      <c r="F154" s="27"/>
      <c r="G154" s="27"/>
      <c r="H154" s="29" t="s">
        <v>125</v>
      </c>
      <c r="I154" s="28"/>
    </row>
    <row r="155" spans="1:9" s="20" customFormat="1" ht="33" customHeight="1" x14ac:dyDescent="0.2">
      <c r="A155" s="24">
        <v>148</v>
      </c>
      <c r="B155" s="25"/>
      <c r="C155" s="26"/>
      <c r="D155" s="27"/>
      <c r="E155" s="28"/>
      <c r="F155" s="27"/>
      <c r="G155" s="27"/>
      <c r="H155" s="29" t="s">
        <v>125</v>
      </c>
      <c r="I155" s="28"/>
    </row>
    <row r="156" spans="1:9" s="20" customFormat="1" ht="33" customHeight="1" x14ac:dyDescent="0.2">
      <c r="A156" s="24">
        <v>149</v>
      </c>
      <c r="B156" s="25"/>
      <c r="C156" s="26"/>
      <c r="D156" s="27"/>
      <c r="E156" s="28"/>
      <c r="F156" s="27"/>
      <c r="G156" s="27"/>
      <c r="H156" s="29" t="s">
        <v>125</v>
      </c>
      <c r="I156" s="28"/>
    </row>
    <row r="157" spans="1:9" s="20" customFormat="1" ht="33" customHeight="1" x14ac:dyDescent="0.2">
      <c r="A157" s="24">
        <v>150</v>
      </c>
      <c r="B157" s="25"/>
      <c r="C157" s="26"/>
      <c r="D157" s="27"/>
      <c r="E157" s="28"/>
      <c r="F157" s="27"/>
      <c r="G157" s="27"/>
      <c r="H157" s="29" t="s">
        <v>125</v>
      </c>
      <c r="I157" s="28"/>
    </row>
    <row r="158" spans="1:9" s="20" customFormat="1" ht="33" customHeight="1" x14ac:dyDescent="0.2">
      <c r="A158" s="24">
        <v>151</v>
      </c>
      <c r="B158" s="25"/>
      <c r="C158" s="26"/>
      <c r="D158" s="27"/>
      <c r="E158" s="28"/>
      <c r="F158" s="27"/>
      <c r="G158" s="27"/>
      <c r="H158" s="29" t="s">
        <v>125</v>
      </c>
      <c r="I158" s="28"/>
    </row>
    <row r="159" spans="1:9" s="20" customFormat="1" ht="33" customHeight="1" x14ac:dyDescent="0.2">
      <c r="A159" s="24">
        <v>152</v>
      </c>
      <c r="B159" s="25"/>
      <c r="C159" s="26"/>
      <c r="D159" s="27"/>
      <c r="E159" s="28"/>
      <c r="F159" s="27"/>
      <c r="G159" s="27"/>
      <c r="H159" s="29" t="s">
        <v>125</v>
      </c>
      <c r="I159" s="28"/>
    </row>
    <row r="160" spans="1:9" s="20" customFormat="1" ht="33" customHeight="1" x14ac:dyDescent="0.2">
      <c r="A160" s="24">
        <v>153</v>
      </c>
      <c r="B160" s="25"/>
      <c r="C160" s="26"/>
      <c r="D160" s="27"/>
      <c r="E160" s="28"/>
      <c r="F160" s="27"/>
      <c r="G160" s="27"/>
      <c r="H160" s="29" t="s">
        <v>125</v>
      </c>
      <c r="I160" s="28"/>
    </row>
    <row r="161" spans="1:9" s="20" customFormat="1" ht="33" customHeight="1" x14ac:dyDescent="0.2">
      <c r="A161" s="24">
        <v>154</v>
      </c>
      <c r="B161" s="25"/>
      <c r="C161" s="26"/>
      <c r="D161" s="27"/>
      <c r="E161" s="28"/>
      <c r="F161" s="27"/>
      <c r="G161" s="27"/>
      <c r="H161" s="29" t="s">
        <v>125</v>
      </c>
      <c r="I161" s="28"/>
    </row>
    <row r="162" spans="1:9" s="20" customFormat="1" ht="33" customHeight="1" x14ac:dyDescent="0.2">
      <c r="A162" s="24">
        <v>155</v>
      </c>
      <c r="B162" s="25"/>
      <c r="C162" s="26"/>
      <c r="D162" s="27"/>
      <c r="E162" s="28"/>
      <c r="F162" s="27"/>
      <c r="G162" s="27"/>
      <c r="H162" s="29" t="s">
        <v>125</v>
      </c>
      <c r="I162" s="28"/>
    </row>
    <row r="163" spans="1:9" ht="21.75" customHeight="1" x14ac:dyDescent="0.2">
      <c r="A163" s="24">
        <v>156</v>
      </c>
      <c r="B163" s="25"/>
      <c r="C163" s="26"/>
      <c r="D163" s="27"/>
      <c r="E163" s="28"/>
      <c r="F163" s="27"/>
      <c r="G163" s="27"/>
      <c r="H163" s="29" t="s">
        <v>125</v>
      </c>
      <c r="I163" s="28"/>
    </row>
    <row r="164" spans="1:9" ht="21.75" customHeight="1" x14ac:dyDescent="0.2">
      <c r="A164" s="24">
        <v>157</v>
      </c>
      <c r="B164" s="25"/>
      <c r="C164" s="26"/>
      <c r="D164" s="27"/>
      <c r="E164" s="28"/>
      <c r="F164" s="27"/>
      <c r="G164" s="27"/>
      <c r="H164" s="29" t="s">
        <v>125</v>
      </c>
      <c r="I164" s="28"/>
    </row>
    <row r="165" spans="1:9" ht="21.75" customHeight="1" x14ac:dyDescent="0.2">
      <c r="A165" s="24">
        <v>158</v>
      </c>
      <c r="B165" s="25"/>
      <c r="C165" s="26"/>
      <c r="D165" s="27"/>
      <c r="E165" s="28"/>
      <c r="F165" s="27"/>
      <c r="G165" s="27"/>
      <c r="H165" s="29" t="s">
        <v>125</v>
      </c>
      <c r="I165" s="28"/>
    </row>
    <row r="166" spans="1:9" ht="21.75" customHeight="1" x14ac:dyDescent="0.2">
      <c r="A166" s="24">
        <v>159</v>
      </c>
      <c r="B166" s="25"/>
      <c r="C166" s="26"/>
      <c r="D166" s="27"/>
      <c r="E166" s="28"/>
      <c r="F166" s="27"/>
      <c r="G166" s="27"/>
      <c r="H166" s="29" t="s">
        <v>125</v>
      </c>
      <c r="I166" s="28"/>
    </row>
    <row r="167" spans="1:9" ht="21.75" customHeight="1" x14ac:dyDescent="0.2">
      <c r="A167" s="24">
        <v>160</v>
      </c>
      <c r="B167" s="25"/>
      <c r="C167" s="26"/>
      <c r="D167" s="27"/>
      <c r="E167" s="28"/>
      <c r="F167" s="27"/>
      <c r="G167" s="27"/>
      <c r="H167" s="29" t="s">
        <v>125</v>
      </c>
      <c r="I167" s="28"/>
    </row>
    <row r="168" spans="1:9" ht="21.75" customHeight="1" x14ac:dyDescent="0.2">
      <c r="A168" s="24">
        <v>161</v>
      </c>
      <c r="B168" s="25"/>
      <c r="C168" s="26"/>
      <c r="D168" s="27"/>
      <c r="E168" s="28"/>
      <c r="F168" s="27"/>
      <c r="G168" s="27"/>
      <c r="H168" s="29" t="s">
        <v>125</v>
      </c>
      <c r="I168" s="28"/>
    </row>
    <row r="169" spans="1:9" ht="21.75" customHeight="1" x14ac:dyDescent="0.2">
      <c r="A169" s="24">
        <v>162</v>
      </c>
      <c r="B169" s="25"/>
      <c r="C169" s="26"/>
      <c r="D169" s="27"/>
      <c r="E169" s="28"/>
      <c r="F169" s="27"/>
      <c r="G169" s="27"/>
      <c r="H169" s="29" t="s">
        <v>125</v>
      </c>
      <c r="I169" s="28"/>
    </row>
    <row r="170" spans="1:9" ht="21.75" customHeight="1" x14ac:dyDescent="0.2">
      <c r="A170" s="24">
        <v>163</v>
      </c>
      <c r="B170" s="25"/>
      <c r="C170" s="26"/>
      <c r="D170" s="27"/>
      <c r="E170" s="28"/>
      <c r="F170" s="27"/>
      <c r="G170" s="27"/>
      <c r="H170" s="29" t="s">
        <v>125</v>
      </c>
      <c r="I170" s="28"/>
    </row>
    <row r="171" spans="1:9" ht="21.75" customHeight="1" x14ac:dyDescent="0.2">
      <c r="A171" s="24">
        <v>164</v>
      </c>
      <c r="B171" s="25"/>
      <c r="C171" s="26"/>
      <c r="D171" s="27"/>
      <c r="E171" s="28"/>
      <c r="F171" s="27"/>
      <c r="G171" s="27"/>
      <c r="H171" s="29" t="s">
        <v>125</v>
      </c>
      <c r="I171" s="28"/>
    </row>
    <row r="172" spans="1:9" ht="21.75" customHeight="1" x14ac:dyDescent="0.2">
      <c r="A172" s="24">
        <v>165</v>
      </c>
      <c r="B172" s="25"/>
      <c r="C172" s="26"/>
      <c r="D172" s="27"/>
      <c r="E172" s="28"/>
      <c r="F172" s="27"/>
      <c r="G172" s="27"/>
      <c r="H172" s="29" t="s">
        <v>125</v>
      </c>
      <c r="I172" s="28"/>
    </row>
    <row r="173" spans="1:9" ht="21.75" customHeight="1" x14ac:dyDescent="0.2">
      <c r="A173" s="24">
        <v>166</v>
      </c>
      <c r="B173" s="25"/>
      <c r="C173" s="26"/>
      <c r="D173" s="27"/>
      <c r="E173" s="28"/>
      <c r="F173" s="27"/>
      <c r="G173" s="27"/>
      <c r="H173" s="29" t="s">
        <v>125</v>
      </c>
      <c r="I173" s="28"/>
    </row>
    <row r="174" spans="1:9" ht="21.75" customHeight="1" x14ac:dyDescent="0.2">
      <c r="A174" s="24">
        <v>167</v>
      </c>
      <c r="B174" s="25"/>
      <c r="C174" s="26"/>
      <c r="D174" s="27"/>
      <c r="E174" s="28"/>
      <c r="F174" s="27"/>
      <c r="G174" s="27"/>
      <c r="H174" s="29" t="s">
        <v>125</v>
      </c>
      <c r="I174" s="28"/>
    </row>
    <row r="175" spans="1:9" ht="21.75" customHeight="1" x14ac:dyDescent="0.2">
      <c r="A175" s="24">
        <v>168</v>
      </c>
      <c r="B175" s="25"/>
      <c r="C175" s="26"/>
      <c r="D175" s="27"/>
      <c r="E175" s="28"/>
      <c r="F175" s="27"/>
      <c r="G175" s="27"/>
      <c r="H175" s="29" t="s">
        <v>125</v>
      </c>
      <c r="I175" s="28"/>
    </row>
    <row r="176" spans="1:9" ht="21.75" customHeight="1" x14ac:dyDescent="0.2">
      <c r="A176" s="24">
        <v>169</v>
      </c>
      <c r="B176" s="25"/>
      <c r="C176" s="26"/>
      <c r="D176" s="27"/>
      <c r="E176" s="28"/>
      <c r="F176" s="27"/>
      <c r="G176" s="27"/>
      <c r="H176" s="29" t="s">
        <v>125</v>
      </c>
      <c r="I176" s="28"/>
    </row>
    <row r="177" spans="1:9" ht="21.75" customHeight="1" x14ac:dyDescent="0.2">
      <c r="A177" s="24">
        <v>170</v>
      </c>
      <c r="B177" s="25"/>
      <c r="C177" s="26"/>
      <c r="D177" s="27"/>
      <c r="E177" s="28"/>
      <c r="F177" s="27"/>
      <c r="G177" s="27"/>
      <c r="H177" s="29" t="s">
        <v>125</v>
      </c>
      <c r="I177" s="28"/>
    </row>
    <row r="178" spans="1:9" ht="21.75" customHeight="1" x14ac:dyDescent="0.2">
      <c r="A178" s="24">
        <v>171</v>
      </c>
      <c r="B178" s="25"/>
      <c r="C178" s="26"/>
      <c r="D178" s="27"/>
      <c r="E178" s="28"/>
      <c r="F178" s="27"/>
      <c r="G178" s="27"/>
      <c r="H178" s="29" t="s">
        <v>125</v>
      </c>
      <c r="I178" s="28"/>
    </row>
    <row r="179" spans="1:9" ht="21.75" customHeight="1" x14ac:dyDescent="0.2">
      <c r="A179" s="24">
        <v>172</v>
      </c>
      <c r="B179" s="25"/>
      <c r="C179" s="26"/>
      <c r="D179" s="27"/>
      <c r="E179" s="28"/>
      <c r="F179" s="27"/>
      <c r="G179" s="27"/>
      <c r="H179" s="29" t="s">
        <v>125</v>
      </c>
      <c r="I179" s="28"/>
    </row>
    <row r="180" spans="1:9" ht="21.75" customHeight="1" x14ac:dyDescent="0.2">
      <c r="A180" s="24">
        <v>173</v>
      </c>
      <c r="B180" s="25"/>
      <c r="C180" s="26"/>
      <c r="D180" s="27"/>
      <c r="E180" s="28"/>
      <c r="F180" s="27"/>
      <c r="G180" s="27"/>
      <c r="H180" s="29" t="s">
        <v>125</v>
      </c>
      <c r="I180" s="28"/>
    </row>
    <row r="181" spans="1:9" ht="21.75" customHeight="1" x14ac:dyDescent="0.2">
      <c r="A181" s="24">
        <v>174</v>
      </c>
      <c r="B181" s="25"/>
      <c r="C181" s="26"/>
      <c r="D181" s="27"/>
      <c r="E181" s="28"/>
      <c r="F181" s="27"/>
      <c r="G181" s="27"/>
      <c r="H181" s="29" t="s">
        <v>125</v>
      </c>
      <c r="I181" s="28"/>
    </row>
    <row r="182" spans="1:9" ht="21.75" customHeight="1" x14ac:dyDescent="0.2">
      <c r="A182" s="24">
        <v>175</v>
      </c>
      <c r="B182" s="25"/>
      <c r="C182" s="26"/>
      <c r="D182" s="27"/>
      <c r="E182" s="28"/>
      <c r="F182" s="27"/>
      <c r="G182" s="27"/>
      <c r="H182" s="29" t="s">
        <v>125</v>
      </c>
      <c r="I182" s="28"/>
    </row>
    <row r="183" spans="1:9" ht="21.75" customHeight="1" x14ac:dyDescent="0.2">
      <c r="A183" s="24">
        <v>176</v>
      </c>
      <c r="B183" s="25"/>
      <c r="C183" s="26"/>
      <c r="D183" s="27"/>
      <c r="E183" s="28"/>
      <c r="F183" s="27"/>
      <c r="G183" s="27"/>
      <c r="H183" s="29" t="s">
        <v>125</v>
      </c>
      <c r="I183" s="28"/>
    </row>
    <row r="184" spans="1:9" ht="21.75" customHeight="1" x14ac:dyDescent="0.2">
      <c r="A184" s="24">
        <v>177</v>
      </c>
      <c r="B184" s="25"/>
      <c r="C184" s="26"/>
      <c r="D184" s="27"/>
      <c r="E184" s="28"/>
      <c r="F184" s="27"/>
      <c r="G184" s="27"/>
      <c r="H184" s="29" t="s">
        <v>125</v>
      </c>
      <c r="I184" s="28"/>
    </row>
    <row r="185" spans="1:9" ht="21.75" customHeight="1" x14ac:dyDescent="0.2">
      <c r="A185" s="24">
        <v>178</v>
      </c>
      <c r="B185" s="30"/>
      <c r="C185" s="31"/>
      <c r="D185" s="32"/>
      <c r="E185" s="33"/>
      <c r="F185" s="32"/>
      <c r="G185" s="32"/>
      <c r="H185" s="34" t="s">
        <v>125</v>
      </c>
      <c r="I185" s="33"/>
    </row>
    <row r="186" spans="1:9" ht="21.75" customHeight="1" x14ac:dyDescent="0.2">
      <c r="A186" s="24">
        <v>179</v>
      </c>
      <c r="B186" s="25"/>
      <c r="C186" s="26"/>
      <c r="D186" s="27"/>
      <c r="E186" s="28"/>
      <c r="F186" s="27"/>
      <c r="G186" s="27"/>
      <c r="H186" s="29" t="s">
        <v>125</v>
      </c>
      <c r="I186" s="28"/>
    </row>
    <row r="187" spans="1:9" ht="21.75" customHeight="1" x14ac:dyDescent="0.2">
      <c r="A187" s="24">
        <v>180</v>
      </c>
      <c r="B187" s="25"/>
      <c r="C187" s="26"/>
      <c r="D187" s="27"/>
      <c r="E187" s="28"/>
      <c r="F187" s="27"/>
      <c r="G187" s="27"/>
      <c r="H187" s="29" t="s">
        <v>125</v>
      </c>
      <c r="I187" s="28"/>
    </row>
    <row r="188" spans="1:9" ht="21.75" customHeight="1" x14ac:dyDescent="0.2">
      <c r="A188" s="24">
        <v>181</v>
      </c>
      <c r="B188" s="25"/>
      <c r="C188" s="26"/>
      <c r="D188" s="27"/>
      <c r="E188" s="28"/>
      <c r="F188" s="27"/>
      <c r="G188" s="27"/>
      <c r="H188" s="29" t="s">
        <v>125</v>
      </c>
      <c r="I188" s="28"/>
    </row>
    <row r="189" spans="1:9" ht="21.75" customHeight="1" x14ac:dyDescent="0.2">
      <c r="A189" s="24">
        <v>182</v>
      </c>
      <c r="B189" s="25"/>
      <c r="C189" s="26"/>
      <c r="D189" s="27"/>
      <c r="E189" s="28"/>
      <c r="F189" s="27"/>
      <c r="G189" s="27"/>
      <c r="H189" s="29" t="s">
        <v>125</v>
      </c>
      <c r="I189" s="28"/>
    </row>
    <row r="190" spans="1:9" ht="21.75" customHeight="1" x14ac:dyDescent="0.2">
      <c r="A190" s="24">
        <v>183</v>
      </c>
      <c r="B190" s="25"/>
      <c r="C190" s="26"/>
      <c r="D190" s="27"/>
      <c r="E190" s="28"/>
      <c r="F190" s="27"/>
      <c r="G190" s="27"/>
      <c r="H190" s="29" t="s">
        <v>125</v>
      </c>
      <c r="I190" s="28"/>
    </row>
    <row r="191" spans="1:9" ht="21.75" customHeight="1" x14ac:dyDescent="0.2">
      <c r="A191" s="24">
        <v>184</v>
      </c>
      <c r="B191" s="25"/>
      <c r="C191" s="26"/>
      <c r="D191" s="27"/>
      <c r="E191" s="28"/>
      <c r="F191" s="27"/>
      <c r="G191" s="27"/>
      <c r="H191" s="29" t="s">
        <v>125</v>
      </c>
      <c r="I191" s="28"/>
    </row>
    <row r="192" spans="1:9" ht="21.75" customHeight="1" x14ac:dyDescent="0.2">
      <c r="A192" s="24">
        <v>185</v>
      </c>
      <c r="B192" s="25"/>
      <c r="C192" s="26"/>
      <c r="D192" s="27"/>
      <c r="E192" s="28"/>
      <c r="F192" s="27"/>
      <c r="G192" s="27"/>
      <c r="H192" s="29" t="s">
        <v>125</v>
      </c>
      <c r="I192" s="28"/>
    </row>
    <row r="193" spans="1:9" ht="21.75" customHeight="1" x14ac:dyDescent="0.2">
      <c r="A193" s="24">
        <v>186</v>
      </c>
      <c r="B193" s="25"/>
      <c r="C193" s="26"/>
      <c r="D193" s="27"/>
      <c r="E193" s="28"/>
      <c r="F193" s="27"/>
      <c r="G193" s="27"/>
      <c r="H193" s="29" t="s">
        <v>125</v>
      </c>
      <c r="I193" s="28"/>
    </row>
    <row r="194" spans="1:9" ht="21.75" customHeight="1" x14ac:dyDescent="0.2">
      <c r="A194" s="24">
        <v>187</v>
      </c>
      <c r="B194" s="25"/>
      <c r="C194" s="26"/>
      <c r="D194" s="27"/>
      <c r="E194" s="28"/>
      <c r="F194" s="27"/>
      <c r="G194" s="27"/>
      <c r="H194" s="29" t="s">
        <v>125</v>
      </c>
      <c r="I194" s="28"/>
    </row>
    <row r="195" spans="1:9" ht="21.75" customHeight="1" x14ac:dyDescent="0.2">
      <c r="A195" s="24">
        <v>188</v>
      </c>
      <c r="B195" s="25"/>
      <c r="C195" s="26"/>
      <c r="D195" s="27"/>
      <c r="E195" s="28"/>
      <c r="F195" s="27"/>
      <c r="G195" s="27"/>
      <c r="H195" s="29" t="s">
        <v>125</v>
      </c>
      <c r="I195" s="28"/>
    </row>
    <row r="196" spans="1:9" ht="21.75" customHeight="1" x14ac:dyDescent="0.2">
      <c r="A196" s="24">
        <v>189</v>
      </c>
      <c r="B196" s="25"/>
      <c r="C196" s="26"/>
      <c r="D196" s="27"/>
      <c r="E196" s="28"/>
      <c r="F196" s="27"/>
      <c r="G196" s="27"/>
      <c r="H196" s="29" t="s">
        <v>125</v>
      </c>
      <c r="I196" s="28"/>
    </row>
    <row r="197" spans="1:9" ht="21.75" customHeight="1" x14ac:dyDescent="0.2">
      <c r="A197" s="24">
        <v>190</v>
      </c>
      <c r="B197" s="25"/>
      <c r="C197" s="26"/>
      <c r="D197" s="27"/>
      <c r="E197" s="28"/>
      <c r="F197" s="27"/>
      <c r="G197" s="27"/>
      <c r="H197" s="29" t="s">
        <v>125</v>
      </c>
      <c r="I197" s="28"/>
    </row>
    <row r="198" spans="1:9" ht="21.75" customHeight="1" x14ac:dyDescent="0.2">
      <c r="A198" s="24">
        <v>191</v>
      </c>
      <c r="B198" s="25"/>
      <c r="C198" s="26"/>
      <c r="D198" s="27"/>
      <c r="E198" s="28"/>
      <c r="F198" s="27"/>
      <c r="G198" s="27"/>
      <c r="H198" s="29" t="s">
        <v>125</v>
      </c>
      <c r="I198" s="28"/>
    </row>
    <row r="199" spans="1:9" ht="21.75" customHeight="1" x14ac:dyDescent="0.2">
      <c r="A199" s="24">
        <v>192</v>
      </c>
      <c r="B199" s="25"/>
      <c r="C199" s="26"/>
      <c r="D199" s="27"/>
      <c r="E199" s="28"/>
      <c r="F199" s="27"/>
      <c r="G199" s="27"/>
      <c r="H199" s="29" t="s">
        <v>125</v>
      </c>
      <c r="I199" s="28"/>
    </row>
    <row r="200" spans="1:9" ht="21.75" customHeight="1" x14ac:dyDescent="0.2">
      <c r="A200" s="24">
        <v>193</v>
      </c>
      <c r="B200" s="25"/>
      <c r="C200" s="26"/>
      <c r="D200" s="27"/>
      <c r="E200" s="28"/>
      <c r="F200" s="27"/>
      <c r="G200" s="27"/>
      <c r="H200" s="29" t="s">
        <v>125</v>
      </c>
      <c r="I200" s="28"/>
    </row>
    <row r="201" spans="1:9" ht="21.75" customHeight="1" x14ac:dyDescent="0.2">
      <c r="A201" s="24">
        <v>194</v>
      </c>
      <c r="B201" s="25"/>
      <c r="C201" s="26"/>
      <c r="D201" s="27"/>
      <c r="E201" s="28"/>
      <c r="F201" s="27"/>
      <c r="G201" s="27"/>
      <c r="H201" s="29" t="s">
        <v>125</v>
      </c>
      <c r="I201" s="28"/>
    </row>
    <row r="202" spans="1:9" ht="21.75" customHeight="1" x14ac:dyDescent="0.2">
      <c r="A202" s="24">
        <v>195</v>
      </c>
      <c r="B202" s="25"/>
      <c r="C202" s="26"/>
      <c r="D202" s="27"/>
      <c r="E202" s="28"/>
      <c r="F202" s="27"/>
      <c r="G202" s="27"/>
      <c r="H202" s="29" t="s">
        <v>125</v>
      </c>
      <c r="I202" s="28"/>
    </row>
    <row r="203" spans="1:9" ht="21.75" customHeight="1" x14ac:dyDescent="0.2">
      <c r="A203" s="24">
        <v>196</v>
      </c>
      <c r="B203" s="25"/>
      <c r="C203" s="26"/>
      <c r="D203" s="27"/>
      <c r="E203" s="28"/>
      <c r="F203" s="27"/>
      <c r="G203" s="27"/>
      <c r="H203" s="29" t="s">
        <v>125</v>
      </c>
      <c r="I203" s="28"/>
    </row>
    <row r="204" spans="1:9" ht="21.75" customHeight="1" x14ac:dyDescent="0.2">
      <c r="A204" s="24">
        <v>197</v>
      </c>
      <c r="B204" s="25"/>
      <c r="C204" s="26"/>
      <c r="D204" s="27"/>
      <c r="E204" s="28"/>
      <c r="F204" s="27"/>
      <c r="G204" s="27"/>
      <c r="H204" s="29" t="s">
        <v>125</v>
      </c>
      <c r="I204" s="28"/>
    </row>
    <row r="205" spans="1:9" ht="21.75" customHeight="1" x14ac:dyDescent="0.2">
      <c r="A205" s="24">
        <v>198</v>
      </c>
      <c r="B205" s="25"/>
      <c r="C205" s="26"/>
      <c r="D205" s="27"/>
      <c r="E205" s="28"/>
      <c r="F205" s="27"/>
      <c r="G205" s="27"/>
      <c r="H205" s="29" t="s">
        <v>125</v>
      </c>
      <c r="I205" s="28"/>
    </row>
    <row r="206" spans="1:9" ht="21.75" customHeight="1" x14ac:dyDescent="0.2">
      <c r="A206" s="24">
        <v>199</v>
      </c>
      <c r="B206" s="25"/>
      <c r="C206" s="26"/>
      <c r="D206" s="27"/>
      <c r="E206" s="28"/>
      <c r="F206" s="27"/>
      <c r="G206" s="27"/>
      <c r="H206" s="29" t="s">
        <v>125</v>
      </c>
      <c r="I206" s="28"/>
    </row>
    <row r="207" spans="1:9" ht="21.75" customHeight="1" x14ac:dyDescent="0.2">
      <c r="A207" s="24">
        <v>200</v>
      </c>
      <c r="B207" s="25"/>
      <c r="C207" s="26"/>
      <c r="D207" s="27"/>
      <c r="E207" s="28"/>
      <c r="F207" s="27"/>
      <c r="G207" s="27"/>
      <c r="H207" s="29" t="s">
        <v>125</v>
      </c>
      <c r="I207" s="28"/>
    </row>
    <row r="208" spans="1:9" ht="21.75" customHeight="1" x14ac:dyDescent="0.2">
      <c r="A208" s="24">
        <v>201</v>
      </c>
      <c r="B208" s="25"/>
      <c r="C208" s="26"/>
      <c r="D208" s="27"/>
      <c r="E208" s="28"/>
      <c r="F208" s="27"/>
      <c r="G208" s="27"/>
      <c r="H208" s="29" t="s">
        <v>125</v>
      </c>
      <c r="I208" s="28"/>
    </row>
    <row r="209" spans="1:9" ht="21.75" customHeight="1" x14ac:dyDescent="0.2">
      <c r="A209" s="24">
        <v>202</v>
      </c>
      <c r="B209" s="30"/>
      <c r="C209" s="31"/>
      <c r="D209" s="32"/>
      <c r="E209" s="33"/>
      <c r="F209" s="32"/>
      <c r="G209" s="32"/>
      <c r="H209" s="34" t="s">
        <v>125</v>
      </c>
      <c r="I209" s="33"/>
    </row>
    <row r="210" spans="1:9" s="20" customFormat="1" ht="33" customHeight="1" x14ac:dyDescent="0.2">
      <c r="A210" s="24">
        <v>203</v>
      </c>
      <c r="B210" s="25"/>
      <c r="C210" s="26"/>
      <c r="D210" s="27"/>
      <c r="E210" s="28"/>
      <c r="F210" s="27"/>
      <c r="G210" s="27"/>
      <c r="H210" s="29" t="s">
        <v>125</v>
      </c>
      <c r="I210" s="28"/>
    </row>
    <row r="211" spans="1:9" s="20" customFormat="1" ht="33" customHeight="1" x14ac:dyDescent="0.2">
      <c r="A211" s="24">
        <v>204</v>
      </c>
      <c r="B211" s="25"/>
      <c r="C211" s="26"/>
      <c r="D211" s="27"/>
      <c r="E211" s="28"/>
      <c r="F211" s="27"/>
      <c r="G211" s="27"/>
      <c r="H211" s="29" t="s">
        <v>125</v>
      </c>
      <c r="I211" s="28"/>
    </row>
    <row r="212" spans="1:9" s="20" customFormat="1" ht="33" customHeight="1" x14ac:dyDescent="0.2">
      <c r="A212" s="24">
        <v>205</v>
      </c>
      <c r="B212" s="25"/>
      <c r="C212" s="26"/>
      <c r="D212" s="27"/>
      <c r="E212" s="28"/>
      <c r="F212" s="27"/>
      <c r="G212" s="27"/>
      <c r="H212" s="29" t="s">
        <v>125</v>
      </c>
      <c r="I212" s="28"/>
    </row>
    <row r="213" spans="1:9" s="20" customFormat="1" ht="33" customHeight="1" x14ac:dyDescent="0.2">
      <c r="A213" s="24">
        <v>206</v>
      </c>
      <c r="B213" s="25"/>
      <c r="C213" s="26"/>
      <c r="D213" s="27"/>
      <c r="E213" s="28"/>
      <c r="F213" s="27"/>
      <c r="G213" s="27"/>
      <c r="H213" s="29" t="s">
        <v>125</v>
      </c>
      <c r="I213" s="28"/>
    </row>
    <row r="214" spans="1:9" s="20" customFormat="1" ht="33" customHeight="1" x14ac:dyDescent="0.2">
      <c r="A214" s="24">
        <v>207</v>
      </c>
      <c r="B214" s="25"/>
      <c r="C214" s="26"/>
      <c r="D214" s="27"/>
      <c r="E214" s="28"/>
      <c r="F214" s="27"/>
      <c r="G214" s="27"/>
      <c r="H214" s="29" t="s">
        <v>125</v>
      </c>
      <c r="I214" s="28"/>
    </row>
    <row r="215" spans="1:9" s="20" customFormat="1" ht="33" customHeight="1" x14ac:dyDescent="0.2">
      <c r="A215" s="24">
        <v>208</v>
      </c>
      <c r="B215" s="25"/>
      <c r="C215" s="26"/>
      <c r="D215" s="27"/>
      <c r="E215" s="28"/>
      <c r="F215" s="27"/>
      <c r="G215" s="27"/>
      <c r="H215" s="29" t="s">
        <v>125</v>
      </c>
      <c r="I215" s="28"/>
    </row>
    <row r="216" spans="1:9" s="20" customFormat="1" ht="33" customHeight="1" x14ac:dyDescent="0.2">
      <c r="A216" s="24">
        <v>209</v>
      </c>
      <c r="B216" s="25"/>
      <c r="C216" s="26"/>
      <c r="D216" s="27"/>
      <c r="E216" s="28"/>
      <c r="F216" s="27"/>
      <c r="G216" s="27"/>
      <c r="H216" s="29" t="s">
        <v>125</v>
      </c>
      <c r="I216" s="28"/>
    </row>
    <row r="217" spans="1:9" s="20" customFormat="1" ht="33" customHeight="1" x14ac:dyDescent="0.2">
      <c r="A217" s="24">
        <v>210</v>
      </c>
      <c r="B217" s="25"/>
      <c r="C217" s="26"/>
      <c r="D217" s="27"/>
      <c r="E217" s="28"/>
      <c r="F217" s="27"/>
      <c r="G217" s="27"/>
      <c r="H217" s="29" t="s">
        <v>125</v>
      </c>
      <c r="I217" s="28"/>
    </row>
    <row r="218" spans="1:9" s="20" customFormat="1" ht="33" customHeight="1" x14ac:dyDescent="0.2">
      <c r="A218" s="24">
        <v>211</v>
      </c>
      <c r="B218" s="25"/>
      <c r="C218" s="26"/>
      <c r="D218" s="27"/>
      <c r="E218" s="28"/>
      <c r="F218" s="27"/>
      <c r="G218" s="27"/>
      <c r="H218" s="29" t="s">
        <v>125</v>
      </c>
      <c r="I218" s="28"/>
    </row>
    <row r="219" spans="1:9" s="20" customFormat="1" ht="33" customHeight="1" x14ac:dyDescent="0.2">
      <c r="A219" s="24">
        <v>212</v>
      </c>
      <c r="B219" s="25"/>
      <c r="C219" s="26"/>
      <c r="D219" s="27"/>
      <c r="E219" s="28"/>
      <c r="F219" s="27"/>
      <c r="G219" s="27"/>
      <c r="H219" s="29" t="s">
        <v>125</v>
      </c>
      <c r="I219" s="28"/>
    </row>
    <row r="220" spans="1:9" s="20" customFormat="1" ht="33" customHeight="1" x14ac:dyDescent="0.2">
      <c r="A220" s="24">
        <v>213</v>
      </c>
      <c r="B220" s="25"/>
      <c r="C220" s="26"/>
      <c r="D220" s="27"/>
      <c r="E220" s="28"/>
      <c r="F220" s="27"/>
      <c r="G220" s="27"/>
      <c r="H220" s="29" t="s">
        <v>125</v>
      </c>
      <c r="I220" s="28"/>
    </row>
    <row r="221" spans="1:9" s="20" customFormat="1" ht="33" customHeight="1" x14ac:dyDescent="0.2">
      <c r="A221" s="24">
        <v>214</v>
      </c>
      <c r="B221" s="25"/>
      <c r="C221" s="26"/>
      <c r="D221" s="27"/>
      <c r="E221" s="28"/>
      <c r="F221" s="27"/>
      <c r="G221" s="27"/>
      <c r="H221" s="29" t="s">
        <v>125</v>
      </c>
      <c r="I221" s="28"/>
    </row>
    <row r="222" spans="1:9" s="20" customFormat="1" ht="33" customHeight="1" x14ac:dyDescent="0.2">
      <c r="A222" s="24">
        <v>215</v>
      </c>
      <c r="B222" s="25"/>
      <c r="C222" s="26"/>
      <c r="D222" s="27"/>
      <c r="E222" s="28"/>
      <c r="F222" s="27"/>
      <c r="G222" s="27"/>
      <c r="H222" s="29" t="s">
        <v>125</v>
      </c>
      <c r="I222" s="28"/>
    </row>
    <row r="223" spans="1:9" s="20" customFormat="1" ht="33" customHeight="1" x14ac:dyDescent="0.2">
      <c r="A223" s="24">
        <v>216</v>
      </c>
      <c r="B223" s="25"/>
      <c r="C223" s="26"/>
      <c r="D223" s="27"/>
      <c r="E223" s="28"/>
      <c r="F223" s="27"/>
      <c r="G223" s="27"/>
      <c r="H223" s="29" t="s">
        <v>125</v>
      </c>
      <c r="I223" s="28"/>
    </row>
    <row r="224" spans="1:9" s="20" customFormat="1" ht="33" customHeight="1" x14ac:dyDescent="0.2">
      <c r="A224" s="24">
        <v>217</v>
      </c>
      <c r="B224" s="25"/>
      <c r="C224" s="26"/>
      <c r="D224" s="27"/>
      <c r="E224" s="28"/>
      <c r="F224" s="27"/>
      <c r="G224" s="27"/>
      <c r="H224" s="29" t="s">
        <v>125</v>
      </c>
      <c r="I224" s="28"/>
    </row>
    <row r="225" spans="1:9" s="20" customFormat="1" ht="33" customHeight="1" x14ac:dyDescent="0.2">
      <c r="A225" s="24">
        <v>218</v>
      </c>
      <c r="B225" s="25"/>
      <c r="C225" s="26"/>
      <c r="D225" s="27"/>
      <c r="E225" s="28"/>
      <c r="F225" s="27"/>
      <c r="G225" s="27"/>
      <c r="H225" s="29" t="s">
        <v>125</v>
      </c>
      <c r="I225" s="28"/>
    </row>
    <row r="226" spans="1:9" s="20" customFormat="1" ht="33" customHeight="1" x14ac:dyDescent="0.2">
      <c r="A226" s="24">
        <v>219</v>
      </c>
      <c r="B226" s="25"/>
      <c r="C226" s="26"/>
      <c r="D226" s="27"/>
      <c r="E226" s="28"/>
      <c r="F226" s="27"/>
      <c r="G226" s="27"/>
      <c r="H226" s="29" t="s">
        <v>125</v>
      </c>
      <c r="I226" s="28"/>
    </row>
    <row r="227" spans="1:9" s="20" customFormat="1" ht="33" customHeight="1" x14ac:dyDescent="0.2">
      <c r="A227" s="24">
        <v>220</v>
      </c>
      <c r="B227" s="25"/>
      <c r="C227" s="26"/>
      <c r="D227" s="27"/>
      <c r="E227" s="28"/>
      <c r="F227" s="27"/>
      <c r="G227" s="27"/>
      <c r="H227" s="29" t="s">
        <v>125</v>
      </c>
      <c r="I227" s="28"/>
    </row>
    <row r="228" spans="1:9" s="20" customFormat="1" ht="33" customHeight="1" x14ac:dyDescent="0.2">
      <c r="A228" s="24">
        <v>221</v>
      </c>
      <c r="B228" s="25"/>
      <c r="C228" s="26"/>
      <c r="D228" s="27"/>
      <c r="E228" s="28"/>
      <c r="F228" s="27"/>
      <c r="G228" s="27"/>
      <c r="H228" s="29" t="s">
        <v>125</v>
      </c>
      <c r="I228" s="28"/>
    </row>
    <row r="229" spans="1:9" s="20" customFormat="1" ht="33" customHeight="1" x14ac:dyDescent="0.2">
      <c r="A229" s="24">
        <v>222</v>
      </c>
      <c r="B229" s="25"/>
      <c r="C229" s="26"/>
      <c r="D229" s="27"/>
      <c r="E229" s="28"/>
      <c r="F229" s="27"/>
      <c r="G229" s="27"/>
      <c r="H229" s="29" t="s">
        <v>125</v>
      </c>
      <c r="I229" s="28"/>
    </row>
    <row r="230" spans="1:9" s="20" customFormat="1" ht="33" customHeight="1" x14ac:dyDescent="0.2">
      <c r="A230" s="24">
        <v>223</v>
      </c>
      <c r="B230" s="25"/>
      <c r="C230" s="26"/>
      <c r="D230" s="27"/>
      <c r="E230" s="28"/>
      <c r="F230" s="27"/>
      <c r="G230" s="27"/>
      <c r="H230" s="29" t="s">
        <v>125</v>
      </c>
      <c r="I230" s="28"/>
    </row>
    <row r="231" spans="1:9" s="20" customFormat="1" ht="33" customHeight="1" x14ac:dyDescent="0.2">
      <c r="A231" s="24">
        <v>224</v>
      </c>
      <c r="B231" s="25"/>
      <c r="C231" s="26"/>
      <c r="D231" s="27"/>
      <c r="E231" s="28"/>
      <c r="F231" s="27"/>
      <c r="G231" s="27"/>
      <c r="H231" s="29" t="s">
        <v>125</v>
      </c>
      <c r="I231" s="28"/>
    </row>
    <row r="232" spans="1:9" s="20" customFormat="1" ht="33" customHeight="1" x14ac:dyDescent="0.2">
      <c r="A232" s="24">
        <v>225</v>
      </c>
      <c r="B232" s="25"/>
      <c r="C232" s="26"/>
      <c r="D232" s="27"/>
      <c r="E232" s="28"/>
      <c r="F232" s="27"/>
      <c r="G232" s="27"/>
      <c r="H232" s="29" t="s">
        <v>125</v>
      </c>
      <c r="I232" s="28"/>
    </row>
    <row r="233" spans="1:9" s="20" customFormat="1" ht="33" customHeight="1" x14ac:dyDescent="0.2">
      <c r="A233" s="24">
        <v>226</v>
      </c>
      <c r="B233" s="25"/>
      <c r="C233" s="26"/>
      <c r="D233" s="27"/>
      <c r="E233" s="28"/>
      <c r="F233" s="27"/>
      <c r="G233" s="27"/>
      <c r="H233" s="29" t="s">
        <v>125</v>
      </c>
      <c r="I233" s="28"/>
    </row>
    <row r="234" spans="1:9" s="20" customFormat="1" ht="33" customHeight="1" x14ac:dyDescent="0.2">
      <c r="A234" s="24">
        <v>227</v>
      </c>
      <c r="B234" s="25"/>
      <c r="C234" s="26"/>
      <c r="D234" s="27"/>
      <c r="E234" s="28"/>
      <c r="F234" s="27"/>
      <c r="G234" s="27"/>
      <c r="H234" s="29" t="s">
        <v>125</v>
      </c>
      <c r="I234" s="28"/>
    </row>
    <row r="235" spans="1:9" s="20" customFormat="1" ht="33" customHeight="1" x14ac:dyDescent="0.2">
      <c r="A235" s="24">
        <v>228</v>
      </c>
      <c r="B235" s="25"/>
      <c r="C235" s="26"/>
      <c r="D235" s="27"/>
      <c r="E235" s="28"/>
      <c r="F235" s="27"/>
      <c r="G235" s="27"/>
      <c r="H235" s="29" t="s">
        <v>125</v>
      </c>
      <c r="I235" s="28"/>
    </row>
    <row r="236" spans="1:9" s="20" customFormat="1" ht="33" customHeight="1" x14ac:dyDescent="0.2">
      <c r="A236" s="24">
        <v>229</v>
      </c>
      <c r="B236" s="25"/>
      <c r="C236" s="26"/>
      <c r="D236" s="27"/>
      <c r="E236" s="28"/>
      <c r="F236" s="27"/>
      <c r="G236" s="27"/>
      <c r="H236" s="29" t="s">
        <v>125</v>
      </c>
      <c r="I236" s="28"/>
    </row>
    <row r="237" spans="1:9" s="20" customFormat="1" ht="33" customHeight="1" x14ac:dyDescent="0.2">
      <c r="A237" s="24">
        <v>230</v>
      </c>
      <c r="B237" s="25"/>
      <c r="C237" s="26"/>
      <c r="D237" s="27"/>
      <c r="E237" s="28"/>
      <c r="F237" s="27"/>
      <c r="G237" s="27"/>
      <c r="H237" s="29" t="s">
        <v>125</v>
      </c>
      <c r="I237" s="28"/>
    </row>
    <row r="238" spans="1:9" s="20" customFormat="1" ht="33" customHeight="1" x14ac:dyDescent="0.2">
      <c r="A238" s="24">
        <v>231</v>
      </c>
      <c r="B238" s="25"/>
      <c r="C238" s="26"/>
      <c r="D238" s="27"/>
      <c r="E238" s="28"/>
      <c r="F238" s="27"/>
      <c r="G238" s="27"/>
      <c r="H238" s="29" t="s">
        <v>125</v>
      </c>
      <c r="I238" s="28"/>
    </row>
    <row r="239" spans="1:9" s="20" customFormat="1" ht="33" customHeight="1" x14ac:dyDescent="0.2">
      <c r="A239" s="24">
        <v>232</v>
      </c>
      <c r="B239" s="25"/>
      <c r="C239" s="26"/>
      <c r="D239" s="27"/>
      <c r="E239" s="28"/>
      <c r="F239" s="27"/>
      <c r="G239" s="27"/>
      <c r="H239" s="29" t="s">
        <v>125</v>
      </c>
      <c r="I239" s="28"/>
    </row>
    <row r="240" spans="1:9" s="20" customFormat="1" ht="33" customHeight="1" x14ac:dyDescent="0.2">
      <c r="A240" s="24">
        <v>233</v>
      </c>
      <c r="B240" s="25"/>
      <c r="C240" s="26"/>
      <c r="D240" s="27"/>
      <c r="E240" s="28"/>
      <c r="F240" s="27"/>
      <c r="G240" s="27"/>
      <c r="H240" s="29" t="s">
        <v>125</v>
      </c>
      <c r="I240" s="28"/>
    </row>
    <row r="241" spans="1:9" s="20" customFormat="1" ht="33" customHeight="1" x14ac:dyDescent="0.2">
      <c r="A241" s="24">
        <v>234</v>
      </c>
      <c r="B241" s="25"/>
      <c r="C241" s="26"/>
      <c r="D241" s="27"/>
      <c r="E241" s="28"/>
      <c r="F241" s="27"/>
      <c r="G241" s="27"/>
      <c r="H241" s="29" t="s">
        <v>125</v>
      </c>
      <c r="I241" s="28"/>
    </row>
    <row r="242" spans="1:9" s="20" customFormat="1" ht="33" customHeight="1" x14ac:dyDescent="0.2">
      <c r="A242" s="24">
        <v>235</v>
      </c>
      <c r="B242" s="25"/>
      <c r="C242" s="26"/>
      <c r="D242" s="27"/>
      <c r="E242" s="28"/>
      <c r="F242" s="27"/>
      <c r="G242" s="27"/>
      <c r="H242" s="29" t="s">
        <v>125</v>
      </c>
      <c r="I242" s="28"/>
    </row>
    <row r="243" spans="1:9" s="20" customFormat="1" ht="33" customHeight="1" x14ac:dyDescent="0.2">
      <c r="A243" s="24">
        <v>236</v>
      </c>
      <c r="B243" s="25"/>
      <c r="C243" s="26"/>
      <c r="D243" s="27"/>
      <c r="E243" s="28"/>
      <c r="F243" s="27"/>
      <c r="G243" s="27"/>
      <c r="H243" s="29" t="s">
        <v>125</v>
      </c>
      <c r="I243" s="28"/>
    </row>
    <row r="244" spans="1:9" s="20" customFormat="1" ht="33" customHeight="1" x14ac:dyDescent="0.2">
      <c r="A244" s="24">
        <v>237</v>
      </c>
      <c r="B244" s="25"/>
      <c r="C244" s="26"/>
      <c r="D244" s="27"/>
      <c r="E244" s="28"/>
      <c r="F244" s="27"/>
      <c r="G244" s="27"/>
      <c r="H244" s="29" t="s">
        <v>125</v>
      </c>
      <c r="I244" s="28"/>
    </row>
    <row r="245" spans="1:9" s="20" customFormat="1" ht="33" customHeight="1" x14ac:dyDescent="0.2">
      <c r="A245" s="24">
        <v>238</v>
      </c>
      <c r="B245" s="25"/>
      <c r="C245" s="26"/>
      <c r="D245" s="27"/>
      <c r="E245" s="28"/>
      <c r="F245" s="27"/>
      <c r="G245" s="27"/>
      <c r="H245" s="29" t="s">
        <v>125</v>
      </c>
      <c r="I245" s="28"/>
    </row>
    <row r="246" spans="1:9" s="20" customFormat="1" ht="33" customHeight="1" x14ac:dyDescent="0.2">
      <c r="A246" s="24">
        <v>239</v>
      </c>
      <c r="B246" s="25"/>
      <c r="C246" s="26"/>
      <c r="D246" s="27"/>
      <c r="E246" s="28"/>
      <c r="F246" s="27"/>
      <c r="G246" s="27"/>
      <c r="H246" s="29" t="s">
        <v>125</v>
      </c>
      <c r="I246" s="28"/>
    </row>
    <row r="247" spans="1:9" s="20" customFormat="1" ht="33" customHeight="1" x14ac:dyDescent="0.2">
      <c r="A247" s="24">
        <v>240</v>
      </c>
      <c r="B247" s="25"/>
      <c r="C247" s="26"/>
      <c r="D247" s="27"/>
      <c r="E247" s="28"/>
      <c r="F247" s="27"/>
      <c r="G247" s="27"/>
      <c r="H247" s="29" t="s">
        <v>125</v>
      </c>
      <c r="I247" s="28"/>
    </row>
    <row r="248" spans="1:9" s="20" customFormat="1" ht="33" customHeight="1" x14ac:dyDescent="0.2">
      <c r="A248" s="24">
        <v>241</v>
      </c>
      <c r="B248" s="25"/>
      <c r="C248" s="26"/>
      <c r="D248" s="27"/>
      <c r="E248" s="28"/>
      <c r="F248" s="27"/>
      <c r="G248" s="27"/>
      <c r="H248" s="29" t="s">
        <v>125</v>
      </c>
      <c r="I248" s="28"/>
    </row>
    <row r="249" spans="1:9" s="20" customFormat="1" ht="33" customHeight="1" x14ac:dyDescent="0.2">
      <c r="A249" s="24">
        <v>242</v>
      </c>
      <c r="B249" s="25"/>
      <c r="C249" s="26"/>
      <c r="D249" s="27"/>
      <c r="E249" s="28"/>
      <c r="F249" s="27"/>
      <c r="G249" s="27"/>
      <c r="H249" s="29" t="s">
        <v>125</v>
      </c>
      <c r="I249" s="28"/>
    </row>
    <row r="250" spans="1:9" s="20" customFormat="1" ht="33" customHeight="1" x14ac:dyDescent="0.2">
      <c r="A250" s="24">
        <v>243</v>
      </c>
      <c r="B250" s="25"/>
      <c r="C250" s="26"/>
      <c r="D250" s="27"/>
      <c r="E250" s="28"/>
      <c r="F250" s="27"/>
      <c r="G250" s="27"/>
      <c r="H250" s="29" t="s">
        <v>125</v>
      </c>
      <c r="I250" s="28"/>
    </row>
    <row r="251" spans="1:9" s="20" customFormat="1" ht="33" customHeight="1" x14ac:dyDescent="0.2">
      <c r="A251" s="24">
        <v>244</v>
      </c>
      <c r="B251" s="25"/>
      <c r="C251" s="26"/>
      <c r="D251" s="27"/>
      <c r="E251" s="28"/>
      <c r="F251" s="27"/>
      <c r="G251" s="27"/>
      <c r="H251" s="29" t="s">
        <v>125</v>
      </c>
      <c r="I251" s="28"/>
    </row>
    <row r="252" spans="1:9" s="20" customFormat="1" ht="33" customHeight="1" x14ac:dyDescent="0.2">
      <c r="A252" s="24">
        <v>245</v>
      </c>
      <c r="B252" s="25"/>
      <c r="C252" s="26"/>
      <c r="D252" s="27"/>
      <c r="E252" s="28"/>
      <c r="F252" s="27"/>
      <c r="G252" s="27"/>
      <c r="H252" s="29" t="s">
        <v>125</v>
      </c>
      <c r="I252" s="28"/>
    </row>
    <row r="253" spans="1:9" s="20" customFormat="1" ht="33" customHeight="1" x14ac:dyDescent="0.2">
      <c r="A253" s="24">
        <v>246</v>
      </c>
      <c r="B253" s="25"/>
      <c r="C253" s="26"/>
      <c r="D253" s="27"/>
      <c r="E253" s="28"/>
      <c r="F253" s="27"/>
      <c r="G253" s="27"/>
      <c r="H253" s="29" t="s">
        <v>125</v>
      </c>
      <c r="I253" s="28"/>
    </row>
    <row r="254" spans="1:9" s="20" customFormat="1" ht="33" customHeight="1" x14ac:dyDescent="0.2">
      <c r="A254" s="24">
        <v>247</v>
      </c>
      <c r="B254" s="25"/>
      <c r="C254" s="26"/>
      <c r="D254" s="27"/>
      <c r="E254" s="28"/>
      <c r="F254" s="27"/>
      <c r="G254" s="27"/>
      <c r="H254" s="29" t="s">
        <v>125</v>
      </c>
      <c r="I254" s="28"/>
    </row>
    <row r="255" spans="1:9" s="20" customFormat="1" ht="33" customHeight="1" x14ac:dyDescent="0.2">
      <c r="A255" s="24">
        <v>248</v>
      </c>
      <c r="B255" s="25"/>
      <c r="C255" s="26"/>
      <c r="D255" s="27"/>
      <c r="E255" s="28"/>
      <c r="F255" s="27"/>
      <c r="G255" s="27"/>
      <c r="H255" s="29" t="s">
        <v>125</v>
      </c>
      <c r="I255" s="28"/>
    </row>
    <row r="256" spans="1:9" s="20" customFormat="1" ht="33" customHeight="1" x14ac:dyDescent="0.2">
      <c r="A256" s="24">
        <v>249</v>
      </c>
      <c r="B256" s="25"/>
      <c r="C256" s="26"/>
      <c r="D256" s="27"/>
      <c r="E256" s="28"/>
      <c r="F256" s="27"/>
      <c r="G256" s="27"/>
      <c r="H256" s="29" t="s">
        <v>125</v>
      </c>
      <c r="I256" s="28"/>
    </row>
    <row r="257" spans="1:9" s="20" customFormat="1" ht="33" customHeight="1" x14ac:dyDescent="0.2">
      <c r="A257" s="24">
        <v>250</v>
      </c>
      <c r="B257" s="25"/>
      <c r="C257" s="26"/>
      <c r="D257" s="27"/>
      <c r="E257" s="28"/>
      <c r="F257" s="27"/>
      <c r="G257" s="27"/>
      <c r="H257" s="29" t="s">
        <v>125</v>
      </c>
      <c r="I257" s="28"/>
    </row>
    <row r="258" spans="1:9" s="20" customFormat="1" ht="33" customHeight="1" x14ac:dyDescent="0.2">
      <c r="A258" s="24">
        <v>251</v>
      </c>
      <c r="B258" s="25"/>
      <c r="C258" s="26"/>
      <c r="D258" s="27"/>
      <c r="E258" s="28"/>
      <c r="F258" s="27"/>
      <c r="G258" s="27"/>
      <c r="H258" s="29" t="s">
        <v>125</v>
      </c>
      <c r="I258" s="28"/>
    </row>
    <row r="259" spans="1:9" s="20" customFormat="1" ht="33" customHeight="1" x14ac:dyDescent="0.2">
      <c r="A259" s="24">
        <v>252</v>
      </c>
      <c r="B259" s="25"/>
      <c r="C259" s="26"/>
      <c r="D259" s="27"/>
      <c r="E259" s="28"/>
      <c r="F259" s="27"/>
      <c r="G259" s="27"/>
      <c r="H259" s="29" t="s">
        <v>125</v>
      </c>
      <c r="I259" s="28"/>
    </row>
    <row r="260" spans="1:9" s="20" customFormat="1" ht="33" customHeight="1" x14ac:dyDescent="0.2">
      <c r="A260" s="24">
        <v>253</v>
      </c>
      <c r="B260" s="25"/>
      <c r="C260" s="26"/>
      <c r="D260" s="27"/>
      <c r="E260" s="28"/>
      <c r="F260" s="27"/>
      <c r="G260" s="27"/>
      <c r="H260" s="29" t="s">
        <v>125</v>
      </c>
      <c r="I260" s="28"/>
    </row>
    <row r="261" spans="1:9" s="20" customFormat="1" ht="33" customHeight="1" x14ac:dyDescent="0.2">
      <c r="A261" s="24">
        <v>254</v>
      </c>
      <c r="B261" s="25"/>
      <c r="C261" s="26"/>
      <c r="D261" s="27"/>
      <c r="E261" s="28"/>
      <c r="F261" s="27"/>
      <c r="G261" s="27"/>
      <c r="H261" s="29" t="s">
        <v>125</v>
      </c>
      <c r="I261" s="28"/>
    </row>
    <row r="262" spans="1:9" s="20" customFormat="1" ht="33" customHeight="1" x14ac:dyDescent="0.2">
      <c r="A262" s="24">
        <v>255</v>
      </c>
      <c r="B262" s="25"/>
      <c r="C262" s="26"/>
      <c r="D262" s="27"/>
      <c r="E262" s="28"/>
      <c r="F262" s="27"/>
      <c r="G262" s="27"/>
      <c r="H262" s="29" t="s">
        <v>125</v>
      </c>
      <c r="I262" s="28"/>
    </row>
    <row r="263" spans="1:9" s="20" customFormat="1" ht="33" customHeight="1" x14ac:dyDescent="0.2">
      <c r="A263" s="24">
        <v>256</v>
      </c>
      <c r="B263" s="25"/>
      <c r="C263" s="26"/>
      <c r="D263" s="27"/>
      <c r="E263" s="28"/>
      <c r="F263" s="27"/>
      <c r="G263" s="27"/>
      <c r="H263" s="29" t="s">
        <v>125</v>
      </c>
      <c r="I263" s="28"/>
    </row>
    <row r="264" spans="1:9" ht="21.75" customHeight="1" x14ac:dyDescent="0.2">
      <c r="A264" s="24">
        <v>257</v>
      </c>
      <c r="B264" s="25"/>
      <c r="C264" s="26"/>
      <c r="D264" s="27"/>
      <c r="E264" s="28"/>
      <c r="F264" s="27"/>
      <c r="G264" s="27"/>
      <c r="H264" s="29" t="s">
        <v>125</v>
      </c>
      <c r="I264" s="28"/>
    </row>
    <row r="265" spans="1:9" ht="21.75" customHeight="1" x14ac:dyDescent="0.2">
      <c r="A265" s="24">
        <v>258</v>
      </c>
      <c r="B265" s="25"/>
      <c r="C265" s="26"/>
      <c r="D265" s="27"/>
      <c r="E265" s="28"/>
      <c r="F265" s="27"/>
      <c r="G265" s="27"/>
      <c r="H265" s="29" t="s">
        <v>125</v>
      </c>
      <c r="I265" s="28"/>
    </row>
    <row r="266" spans="1:9" ht="21.75" customHeight="1" x14ac:dyDescent="0.2">
      <c r="A266" s="24">
        <v>259</v>
      </c>
      <c r="B266" s="25"/>
      <c r="C266" s="26"/>
      <c r="D266" s="27"/>
      <c r="E266" s="28"/>
      <c r="F266" s="27"/>
      <c r="G266" s="27"/>
      <c r="H266" s="29" t="s">
        <v>125</v>
      </c>
      <c r="I266" s="28"/>
    </row>
    <row r="267" spans="1:9" ht="21.75" customHeight="1" x14ac:dyDescent="0.2">
      <c r="A267" s="24">
        <v>260</v>
      </c>
      <c r="B267" s="25"/>
      <c r="C267" s="26"/>
      <c r="D267" s="27"/>
      <c r="E267" s="28"/>
      <c r="F267" s="27"/>
      <c r="G267" s="27"/>
      <c r="H267" s="29" t="s">
        <v>125</v>
      </c>
      <c r="I267" s="28"/>
    </row>
    <row r="268" spans="1:9" ht="21.75" customHeight="1" x14ac:dyDescent="0.2">
      <c r="A268" s="24">
        <v>261</v>
      </c>
      <c r="B268" s="25"/>
      <c r="C268" s="26"/>
      <c r="D268" s="27"/>
      <c r="E268" s="28"/>
      <c r="F268" s="27"/>
      <c r="G268" s="27"/>
      <c r="H268" s="29" t="s">
        <v>125</v>
      </c>
      <c r="I268" s="28"/>
    </row>
    <row r="269" spans="1:9" ht="21.75" customHeight="1" x14ac:dyDescent="0.2">
      <c r="A269" s="24">
        <v>262</v>
      </c>
      <c r="B269" s="25"/>
      <c r="C269" s="26"/>
      <c r="D269" s="27"/>
      <c r="E269" s="28"/>
      <c r="F269" s="27"/>
      <c r="G269" s="27"/>
      <c r="H269" s="29" t="s">
        <v>125</v>
      </c>
      <c r="I269" s="28"/>
    </row>
    <row r="270" spans="1:9" ht="21.75" customHeight="1" x14ac:dyDescent="0.2">
      <c r="A270" s="24">
        <v>263</v>
      </c>
      <c r="B270" s="25"/>
      <c r="C270" s="26"/>
      <c r="D270" s="27"/>
      <c r="E270" s="28"/>
      <c r="F270" s="27"/>
      <c r="G270" s="27"/>
      <c r="H270" s="29" t="s">
        <v>125</v>
      </c>
      <c r="I270" s="28"/>
    </row>
    <row r="271" spans="1:9" ht="21.75" customHeight="1" x14ac:dyDescent="0.2">
      <c r="A271" s="24">
        <v>264</v>
      </c>
      <c r="B271" s="25"/>
      <c r="C271" s="26"/>
      <c r="D271" s="27"/>
      <c r="E271" s="28"/>
      <c r="F271" s="27"/>
      <c r="G271" s="27"/>
      <c r="H271" s="29" t="s">
        <v>125</v>
      </c>
      <c r="I271" s="28"/>
    </row>
    <row r="272" spans="1:9" ht="21.75" customHeight="1" x14ac:dyDescent="0.2">
      <c r="A272" s="24">
        <v>265</v>
      </c>
      <c r="B272" s="25"/>
      <c r="C272" s="26"/>
      <c r="D272" s="27"/>
      <c r="E272" s="28"/>
      <c r="F272" s="27"/>
      <c r="G272" s="27"/>
      <c r="H272" s="29" t="s">
        <v>125</v>
      </c>
      <c r="I272" s="28"/>
    </row>
    <row r="273" spans="1:9" ht="21.75" customHeight="1" x14ac:dyDescent="0.2">
      <c r="A273" s="24">
        <v>266</v>
      </c>
      <c r="B273" s="25"/>
      <c r="C273" s="26"/>
      <c r="D273" s="27"/>
      <c r="E273" s="28"/>
      <c r="F273" s="27"/>
      <c r="G273" s="27"/>
      <c r="H273" s="29" t="s">
        <v>125</v>
      </c>
      <c r="I273" s="28"/>
    </row>
    <row r="274" spans="1:9" ht="21.75" customHeight="1" x14ac:dyDescent="0.2">
      <c r="A274" s="24">
        <v>267</v>
      </c>
      <c r="B274" s="25"/>
      <c r="C274" s="26"/>
      <c r="D274" s="27"/>
      <c r="E274" s="28"/>
      <c r="F274" s="27"/>
      <c r="G274" s="27"/>
      <c r="H274" s="29" t="s">
        <v>125</v>
      </c>
      <c r="I274" s="28"/>
    </row>
    <row r="275" spans="1:9" ht="21.75" customHeight="1" x14ac:dyDescent="0.2">
      <c r="A275" s="24">
        <v>268</v>
      </c>
      <c r="B275" s="25"/>
      <c r="C275" s="26"/>
      <c r="D275" s="27"/>
      <c r="E275" s="28"/>
      <c r="F275" s="27"/>
      <c r="G275" s="27"/>
      <c r="H275" s="29" t="s">
        <v>125</v>
      </c>
      <c r="I275" s="28"/>
    </row>
    <row r="276" spans="1:9" ht="21.75" customHeight="1" x14ac:dyDescent="0.2">
      <c r="A276" s="24">
        <v>269</v>
      </c>
      <c r="B276" s="25"/>
      <c r="C276" s="26"/>
      <c r="D276" s="27"/>
      <c r="E276" s="28"/>
      <c r="F276" s="27"/>
      <c r="G276" s="27"/>
      <c r="H276" s="29" t="s">
        <v>125</v>
      </c>
      <c r="I276" s="28"/>
    </row>
    <row r="277" spans="1:9" ht="21.75" customHeight="1" x14ac:dyDescent="0.2">
      <c r="A277" s="24">
        <v>270</v>
      </c>
      <c r="B277" s="25"/>
      <c r="C277" s="26"/>
      <c r="D277" s="27"/>
      <c r="E277" s="28"/>
      <c r="F277" s="27"/>
      <c r="G277" s="27"/>
      <c r="H277" s="29" t="s">
        <v>125</v>
      </c>
      <c r="I277" s="28"/>
    </row>
    <row r="278" spans="1:9" ht="21.75" customHeight="1" x14ac:dyDescent="0.2">
      <c r="A278" s="24">
        <v>271</v>
      </c>
      <c r="B278" s="25"/>
      <c r="C278" s="26"/>
      <c r="D278" s="27"/>
      <c r="E278" s="28"/>
      <c r="F278" s="27"/>
      <c r="G278" s="27"/>
      <c r="H278" s="29" t="s">
        <v>125</v>
      </c>
      <c r="I278" s="28"/>
    </row>
    <row r="279" spans="1:9" ht="21.75" customHeight="1" x14ac:dyDescent="0.2">
      <c r="A279" s="24">
        <v>272</v>
      </c>
      <c r="B279" s="25"/>
      <c r="C279" s="26"/>
      <c r="D279" s="27"/>
      <c r="E279" s="28"/>
      <c r="F279" s="27"/>
      <c r="G279" s="27"/>
      <c r="H279" s="29" t="s">
        <v>125</v>
      </c>
      <c r="I279" s="28"/>
    </row>
    <row r="280" spans="1:9" ht="21.75" customHeight="1" x14ac:dyDescent="0.2">
      <c r="A280" s="24">
        <v>273</v>
      </c>
      <c r="B280" s="25"/>
      <c r="C280" s="26"/>
      <c r="D280" s="27"/>
      <c r="E280" s="28"/>
      <c r="F280" s="27"/>
      <c r="G280" s="27"/>
      <c r="H280" s="29" t="s">
        <v>125</v>
      </c>
      <c r="I280" s="28"/>
    </row>
    <row r="281" spans="1:9" ht="21.75" customHeight="1" x14ac:dyDescent="0.2">
      <c r="A281" s="24">
        <v>274</v>
      </c>
      <c r="B281" s="25"/>
      <c r="C281" s="26"/>
      <c r="D281" s="27"/>
      <c r="E281" s="28"/>
      <c r="F281" s="27"/>
      <c r="G281" s="27"/>
      <c r="H281" s="29" t="s">
        <v>125</v>
      </c>
      <c r="I281" s="28"/>
    </row>
    <row r="282" spans="1:9" ht="21.75" customHeight="1" x14ac:dyDescent="0.2">
      <c r="A282" s="24">
        <v>275</v>
      </c>
      <c r="B282" s="25"/>
      <c r="C282" s="26"/>
      <c r="D282" s="27"/>
      <c r="E282" s="28"/>
      <c r="F282" s="27"/>
      <c r="G282" s="27"/>
      <c r="H282" s="29" t="s">
        <v>125</v>
      </c>
      <c r="I282" s="28"/>
    </row>
    <row r="283" spans="1:9" ht="21.75" customHeight="1" x14ac:dyDescent="0.2">
      <c r="A283" s="24">
        <v>276</v>
      </c>
      <c r="B283" s="25"/>
      <c r="C283" s="26"/>
      <c r="D283" s="27"/>
      <c r="E283" s="28"/>
      <c r="F283" s="27"/>
      <c r="G283" s="27"/>
      <c r="H283" s="29" t="s">
        <v>125</v>
      </c>
      <c r="I283" s="28"/>
    </row>
    <row r="284" spans="1:9" ht="21.75" customHeight="1" x14ac:dyDescent="0.2">
      <c r="A284" s="24">
        <v>277</v>
      </c>
      <c r="B284" s="25"/>
      <c r="C284" s="26"/>
      <c r="D284" s="27"/>
      <c r="E284" s="28"/>
      <c r="F284" s="27"/>
      <c r="G284" s="27"/>
      <c r="H284" s="29" t="s">
        <v>125</v>
      </c>
      <c r="I284" s="28"/>
    </row>
    <row r="285" spans="1:9" ht="21.75" customHeight="1" x14ac:dyDescent="0.2">
      <c r="A285" s="24">
        <v>278</v>
      </c>
      <c r="B285" s="25"/>
      <c r="C285" s="26"/>
      <c r="D285" s="27"/>
      <c r="E285" s="28"/>
      <c r="F285" s="27"/>
      <c r="G285" s="27"/>
      <c r="H285" s="29" t="s">
        <v>125</v>
      </c>
      <c r="I285" s="28"/>
    </row>
    <row r="286" spans="1:9" ht="21.75" customHeight="1" x14ac:dyDescent="0.2">
      <c r="A286" s="24">
        <v>279</v>
      </c>
      <c r="B286" s="30"/>
      <c r="C286" s="31"/>
      <c r="D286" s="32"/>
      <c r="E286" s="33"/>
      <c r="F286" s="32"/>
      <c r="G286" s="32"/>
      <c r="H286" s="34" t="s">
        <v>125</v>
      </c>
      <c r="I286" s="33"/>
    </row>
    <row r="287" spans="1:9" ht="21.75" customHeight="1" x14ac:dyDescent="0.2">
      <c r="A287" s="24">
        <v>280</v>
      </c>
      <c r="B287" s="25"/>
      <c r="C287" s="26"/>
      <c r="D287" s="27"/>
      <c r="E287" s="28"/>
      <c r="F287" s="27"/>
      <c r="G287" s="27"/>
      <c r="H287" s="29" t="s">
        <v>125</v>
      </c>
      <c r="I287" s="28"/>
    </row>
    <row r="288" spans="1:9" ht="21.75" customHeight="1" x14ac:dyDescent="0.2">
      <c r="A288" s="24">
        <v>281</v>
      </c>
      <c r="B288" s="25"/>
      <c r="C288" s="26"/>
      <c r="D288" s="27"/>
      <c r="E288" s="28"/>
      <c r="F288" s="27"/>
      <c r="G288" s="27"/>
      <c r="H288" s="29" t="s">
        <v>125</v>
      </c>
      <c r="I288" s="28"/>
    </row>
    <row r="289" spans="1:9" ht="21.75" customHeight="1" x14ac:dyDescent="0.2">
      <c r="A289" s="24">
        <v>282</v>
      </c>
      <c r="B289" s="25"/>
      <c r="C289" s="26"/>
      <c r="D289" s="27"/>
      <c r="E289" s="28"/>
      <c r="F289" s="27"/>
      <c r="G289" s="27"/>
      <c r="H289" s="29" t="s">
        <v>125</v>
      </c>
      <c r="I289" s="28"/>
    </row>
    <row r="290" spans="1:9" ht="21.75" customHeight="1" x14ac:dyDescent="0.2">
      <c r="A290" s="24">
        <v>283</v>
      </c>
      <c r="B290" s="25"/>
      <c r="C290" s="26"/>
      <c r="D290" s="27"/>
      <c r="E290" s="28"/>
      <c r="F290" s="27"/>
      <c r="G290" s="27"/>
      <c r="H290" s="29" t="s">
        <v>125</v>
      </c>
      <c r="I290" s="28"/>
    </row>
    <row r="291" spans="1:9" ht="21.75" customHeight="1" x14ac:dyDescent="0.2">
      <c r="A291" s="24">
        <v>284</v>
      </c>
      <c r="B291" s="25"/>
      <c r="C291" s="26"/>
      <c r="D291" s="27"/>
      <c r="E291" s="28"/>
      <c r="F291" s="27"/>
      <c r="G291" s="27"/>
      <c r="H291" s="29" t="s">
        <v>125</v>
      </c>
      <c r="I291" s="28"/>
    </row>
    <row r="292" spans="1:9" ht="21.75" customHeight="1" x14ac:dyDescent="0.2">
      <c r="A292" s="24">
        <v>285</v>
      </c>
      <c r="B292" s="25"/>
      <c r="C292" s="26"/>
      <c r="D292" s="27"/>
      <c r="E292" s="28"/>
      <c r="F292" s="27"/>
      <c r="G292" s="27"/>
      <c r="H292" s="29" t="s">
        <v>125</v>
      </c>
      <c r="I292" s="28"/>
    </row>
    <row r="293" spans="1:9" ht="21.75" customHeight="1" x14ac:dyDescent="0.2">
      <c r="A293" s="24">
        <v>286</v>
      </c>
      <c r="B293" s="25"/>
      <c r="C293" s="26"/>
      <c r="D293" s="27"/>
      <c r="E293" s="28"/>
      <c r="F293" s="27"/>
      <c r="G293" s="27"/>
      <c r="H293" s="29" t="s">
        <v>125</v>
      </c>
      <c r="I293" s="28"/>
    </row>
    <row r="294" spans="1:9" ht="21.75" customHeight="1" x14ac:dyDescent="0.2">
      <c r="A294" s="24">
        <v>287</v>
      </c>
      <c r="B294" s="25"/>
      <c r="C294" s="26"/>
      <c r="D294" s="27"/>
      <c r="E294" s="28"/>
      <c r="F294" s="27"/>
      <c r="G294" s="27"/>
      <c r="H294" s="29" t="s">
        <v>125</v>
      </c>
      <c r="I294" s="28"/>
    </row>
    <row r="295" spans="1:9" ht="21.75" customHeight="1" x14ac:dyDescent="0.2">
      <c r="A295" s="24">
        <v>288</v>
      </c>
      <c r="B295" s="25"/>
      <c r="C295" s="26"/>
      <c r="D295" s="27"/>
      <c r="E295" s="28"/>
      <c r="F295" s="27"/>
      <c r="G295" s="27"/>
      <c r="H295" s="29" t="s">
        <v>125</v>
      </c>
      <c r="I295" s="28"/>
    </row>
    <row r="296" spans="1:9" ht="21.75" customHeight="1" x14ac:dyDescent="0.2">
      <c r="A296" s="24">
        <v>289</v>
      </c>
      <c r="B296" s="25"/>
      <c r="C296" s="26"/>
      <c r="D296" s="27"/>
      <c r="E296" s="28"/>
      <c r="F296" s="27"/>
      <c r="G296" s="27"/>
      <c r="H296" s="29" t="s">
        <v>125</v>
      </c>
      <c r="I296" s="28"/>
    </row>
    <row r="297" spans="1:9" ht="21.75" customHeight="1" x14ac:dyDescent="0.2">
      <c r="A297" s="24">
        <v>290</v>
      </c>
      <c r="B297" s="25"/>
      <c r="C297" s="26"/>
      <c r="D297" s="27"/>
      <c r="E297" s="28"/>
      <c r="F297" s="27"/>
      <c r="G297" s="27"/>
      <c r="H297" s="29" t="s">
        <v>125</v>
      </c>
      <c r="I297" s="28"/>
    </row>
    <row r="298" spans="1:9" ht="21.75" customHeight="1" x14ac:dyDescent="0.2">
      <c r="A298" s="24">
        <v>291</v>
      </c>
      <c r="B298" s="25"/>
      <c r="C298" s="26"/>
      <c r="D298" s="27"/>
      <c r="E298" s="28"/>
      <c r="F298" s="27"/>
      <c r="G298" s="27"/>
      <c r="H298" s="29" t="s">
        <v>125</v>
      </c>
      <c r="I298" s="28"/>
    </row>
    <row r="299" spans="1:9" ht="21.75" customHeight="1" x14ac:dyDescent="0.2">
      <c r="A299" s="24">
        <v>292</v>
      </c>
      <c r="B299" s="25"/>
      <c r="C299" s="26"/>
      <c r="D299" s="27"/>
      <c r="E299" s="28"/>
      <c r="F299" s="27"/>
      <c r="G299" s="27"/>
      <c r="H299" s="29" t="s">
        <v>125</v>
      </c>
      <c r="I299" s="28"/>
    </row>
    <row r="300" spans="1:9" ht="21.75" customHeight="1" x14ac:dyDescent="0.2">
      <c r="A300" s="24">
        <v>293</v>
      </c>
      <c r="B300" s="25"/>
      <c r="C300" s="26"/>
      <c r="D300" s="27"/>
      <c r="E300" s="28"/>
      <c r="F300" s="27"/>
      <c r="G300" s="27"/>
      <c r="H300" s="29" t="s">
        <v>125</v>
      </c>
      <c r="I300" s="28"/>
    </row>
    <row r="301" spans="1:9" ht="21.75" customHeight="1" x14ac:dyDescent="0.2">
      <c r="A301" s="24">
        <v>294</v>
      </c>
      <c r="B301" s="25"/>
      <c r="C301" s="26"/>
      <c r="D301" s="27"/>
      <c r="E301" s="28"/>
      <c r="F301" s="27"/>
      <c r="G301" s="27"/>
      <c r="H301" s="29" t="s">
        <v>125</v>
      </c>
      <c r="I301" s="28"/>
    </row>
    <row r="302" spans="1:9" ht="21.75" customHeight="1" x14ac:dyDescent="0.2">
      <c r="A302" s="24">
        <v>295</v>
      </c>
      <c r="B302" s="25"/>
      <c r="C302" s="26"/>
      <c r="D302" s="27"/>
      <c r="E302" s="28"/>
      <c r="F302" s="27"/>
      <c r="G302" s="27"/>
      <c r="H302" s="29" t="s">
        <v>125</v>
      </c>
      <c r="I302" s="28"/>
    </row>
    <row r="303" spans="1:9" ht="21.75" customHeight="1" x14ac:dyDescent="0.2">
      <c r="A303" s="24">
        <v>296</v>
      </c>
      <c r="B303" s="25"/>
      <c r="C303" s="26"/>
      <c r="D303" s="27"/>
      <c r="E303" s="28"/>
      <c r="F303" s="27"/>
      <c r="G303" s="27"/>
      <c r="H303" s="29" t="s">
        <v>125</v>
      </c>
      <c r="I303" s="28"/>
    </row>
    <row r="304" spans="1:9" ht="21.75" customHeight="1" x14ac:dyDescent="0.2">
      <c r="A304" s="24">
        <v>297</v>
      </c>
      <c r="B304" s="25"/>
      <c r="C304" s="26"/>
      <c r="D304" s="27"/>
      <c r="E304" s="28"/>
      <c r="F304" s="27"/>
      <c r="G304" s="27"/>
      <c r="H304" s="29" t="s">
        <v>125</v>
      </c>
      <c r="I304" s="28"/>
    </row>
    <row r="305" spans="1:9" ht="21.75" customHeight="1" x14ac:dyDescent="0.2">
      <c r="A305" s="24">
        <v>298</v>
      </c>
      <c r="B305" s="25"/>
      <c r="C305" s="26"/>
      <c r="D305" s="27"/>
      <c r="E305" s="28"/>
      <c r="F305" s="27"/>
      <c r="G305" s="27"/>
      <c r="H305" s="29" t="s">
        <v>125</v>
      </c>
      <c r="I305" s="28"/>
    </row>
    <row r="306" spans="1:9" ht="21.75" customHeight="1" x14ac:dyDescent="0.2">
      <c r="A306" s="24">
        <v>299</v>
      </c>
      <c r="B306" s="25"/>
      <c r="C306" s="26"/>
      <c r="D306" s="27"/>
      <c r="E306" s="28"/>
      <c r="F306" s="27"/>
      <c r="G306" s="27"/>
      <c r="H306" s="29" t="s">
        <v>125</v>
      </c>
      <c r="I306" s="28"/>
    </row>
    <row r="307" spans="1:9" ht="21.75" customHeight="1" x14ac:dyDescent="0.2">
      <c r="A307" s="24">
        <v>300</v>
      </c>
      <c r="B307" s="25"/>
      <c r="C307" s="26"/>
      <c r="D307" s="27"/>
      <c r="E307" s="28"/>
      <c r="F307" s="27"/>
      <c r="G307" s="27"/>
      <c r="H307" s="29" t="s">
        <v>125</v>
      </c>
      <c r="I307" s="28"/>
    </row>
    <row r="308" spans="1:9" ht="21.75" customHeight="1" x14ac:dyDescent="0.2">
      <c r="A308" s="24">
        <v>301</v>
      </c>
      <c r="B308" s="25"/>
      <c r="C308" s="26"/>
      <c r="D308" s="27"/>
      <c r="E308" s="28"/>
      <c r="F308" s="27"/>
      <c r="G308" s="27"/>
      <c r="H308" s="29" t="s">
        <v>125</v>
      </c>
      <c r="I308" s="28"/>
    </row>
    <row r="309" spans="1:9" ht="21.75" customHeight="1" x14ac:dyDescent="0.2">
      <c r="A309" s="24">
        <v>302</v>
      </c>
      <c r="B309" s="25"/>
      <c r="C309" s="26"/>
      <c r="D309" s="27"/>
      <c r="E309" s="28"/>
      <c r="F309" s="27"/>
      <c r="G309" s="27"/>
      <c r="H309" s="29" t="s">
        <v>125</v>
      </c>
      <c r="I309" s="28"/>
    </row>
    <row r="310" spans="1:9" ht="21.75" customHeight="1" x14ac:dyDescent="0.2">
      <c r="A310" s="24">
        <v>303</v>
      </c>
      <c r="B310" s="30"/>
      <c r="C310" s="31"/>
      <c r="D310" s="32"/>
      <c r="E310" s="33"/>
      <c r="F310" s="32"/>
      <c r="G310" s="32"/>
      <c r="H310" s="34" t="s">
        <v>125</v>
      </c>
      <c r="I310" s="33"/>
    </row>
    <row r="311" spans="1:9" s="20" customFormat="1" ht="33" customHeight="1" x14ac:dyDescent="0.2">
      <c r="A311" s="24">
        <v>304</v>
      </c>
      <c r="B311" s="25"/>
      <c r="C311" s="26"/>
      <c r="D311" s="27"/>
      <c r="E311" s="28"/>
      <c r="F311" s="27"/>
      <c r="G311" s="27"/>
      <c r="H311" s="29" t="s">
        <v>125</v>
      </c>
      <c r="I311" s="28"/>
    </row>
    <row r="312" spans="1:9" s="20" customFormat="1" ht="33" customHeight="1" x14ac:dyDescent="0.2">
      <c r="A312" s="24">
        <v>305</v>
      </c>
      <c r="B312" s="25"/>
      <c r="C312" s="26"/>
      <c r="D312" s="27"/>
      <c r="E312" s="28"/>
      <c r="F312" s="27"/>
      <c r="G312" s="27"/>
      <c r="H312" s="29" t="s">
        <v>125</v>
      </c>
      <c r="I312" s="28"/>
    </row>
    <row r="313" spans="1:9" s="20" customFormat="1" ht="33" customHeight="1" x14ac:dyDescent="0.2">
      <c r="A313" s="24">
        <v>306</v>
      </c>
      <c r="B313" s="25"/>
      <c r="C313" s="26"/>
      <c r="D313" s="27"/>
      <c r="E313" s="28"/>
      <c r="F313" s="27"/>
      <c r="G313" s="27"/>
      <c r="H313" s="29" t="s">
        <v>125</v>
      </c>
      <c r="I313" s="28"/>
    </row>
    <row r="314" spans="1:9" s="20" customFormat="1" ht="33" customHeight="1" x14ac:dyDescent="0.2">
      <c r="A314" s="24">
        <v>307</v>
      </c>
      <c r="B314" s="25"/>
      <c r="C314" s="26"/>
      <c r="D314" s="27"/>
      <c r="E314" s="28"/>
      <c r="F314" s="27"/>
      <c r="G314" s="27"/>
      <c r="H314" s="29" t="s">
        <v>125</v>
      </c>
      <c r="I314" s="28"/>
    </row>
    <row r="315" spans="1:9" s="20" customFormat="1" ht="33" customHeight="1" x14ac:dyDescent="0.2">
      <c r="A315" s="24">
        <v>308</v>
      </c>
      <c r="B315" s="25"/>
      <c r="C315" s="26"/>
      <c r="D315" s="27"/>
      <c r="E315" s="28"/>
      <c r="F315" s="27"/>
      <c r="G315" s="27"/>
      <c r="H315" s="29" t="s">
        <v>125</v>
      </c>
      <c r="I315" s="28"/>
    </row>
    <row r="316" spans="1:9" s="20" customFormat="1" ht="33" customHeight="1" x14ac:dyDescent="0.2">
      <c r="A316" s="24">
        <v>309</v>
      </c>
      <c r="B316" s="25"/>
      <c r="C316" s="26"/>
      <c r="D316" s="27"/>
      <c r="E316" s="28"/>
      <c r="F316" s="27"/>
      <c r="G316" s="27"/>
      <c r="H316" s="29" t="s">
        <v>125</v>
      </c>
      <c r="I316" s="28"/>
    </row>
    <row r="317" spans="1:9" s="20" customFormat="1" ht="33" customHeight="1" x14ac:dyDescent="0.2">
      <c r="A317" s="24">
        <v>310</v>
      </c>
      <c r="B317" s="25"/>
      <c r="C317" s="26"/>
      <c r="D317" s="27"/>
      <c r="E317" s="28"/>
      <c r="F317" s="27"/>
      <c r="G317" s="27"/>
      <c r="H317" s="29" t="s">
        <v>125</v>
      </c>
      <c r="I317" s="28"/>
    </row>
    <row r="318" spans="1:9" s="20" customFormat="1" ht="33" customHeight="1" x14ac:dyDescent="0.2">
      <c r="A318" s="24">
        <v>311</v>
      </c>
      <c r="B318" s="25"/>
      <c r="C318" s="26"/>
      <c r="D318" s="27"/>
      <c r="E318" s="28"/>
      <c r="F318" s="27"/>
      <c r="G318" s="27"/>
      <c r="H318" s="29" t="s">
        <v>125</v>
      </c>
      <c r="I318" s="28"/>
    </row>
    <row r="319" spans="1:9" s="20" customFormat="1" ht="33" customHeight="1" x14ac:dyDescent="0.2">
      <c r="A319" s="24">
        <v>312</v>
      </c>
      <c r="B319" s="25"/>
      <c r="C319" s="26"/>
      <c r="D319" s="27"/>
      <c r="E319" s="28"/>
      <c r="F319" s="27"/>
      <c r="G319" s="27"/>
      <c r="H319" s="29" t="s">
        <v>125</v>
      </c>
      <c r="I319" s="28"/>
    </row>
    <row r="320" spans="1:9" s="20" customFormat="1" ht="33" customHeight="1" x14ac:dyDescent="0.2">
      <c r="A320" s="24">
        <v>313</v>
      </c>
      <c r="B320" s="25"/>
      <c r="C320" s="26"/>
      <c r="D320" s="27"/>
      <c r="E320" s="28"/>
      <c r="F320" s="27"/>
      <c r="G320" s="27"/>
      <c r="H320" s="29" t="s">
        <v>125</v>
      </c>
      <c r="I320" s="28"/>
    </row>
    <row r="321" spans="1:9" s="20" customFormat="1" ht="33" customHeight="1" x14ac:dyDescent="0.2">
      <c r="A321" s="24">
        <v>314</v>
      </c>
      <c r="B321" s="25"/>
      <c r="C321" s="26"/>
      <c r="D321" s="27"/>
      <c r="E321" s="28"/>
      <c r="F321" s="27"/>
      <c r="G321" s="27"/>
      <c r="H321" s="29" t="s">
        <v>125</v>
      </c>
      <c r="I321" s="28"/>
    </row>
    <row r="322" spans="1:9" s="20" customFormat="1" ht="33" customHeight="1" x14ac:dyDescent="0.2">
      <c r="A322" s="24">
        <v>315</v>
      </c>
      <c r="B322" s="25"/>
      <c r="C322" s="26"/>
      <c r="D322" s="27"/>
      <c r="E322" s="28"/>
      <c r="F322" s="27"/>
      <c r="G322" s="27"/>
      <c r="H322" s="29" t="s">
        <v>125</v>
      </c>
      <c r="I322" s="28"/>
    </row>
    <row r="323" spans="1:9" s="20" customFormat="1" ht="33" customHeight="1" x14ac:dyDescent="0.2">
      <c r="A323" s="24">
        <v>316</v>
      </c>
      <c r="B323" s="25"/>
      <c r="C323" s="26"/>
      <c r="D323" s="27"/>
      <c r="E323" s="28"/>
      <c r="F323" s="27"/>
      <c r="G323" s="27"/>
      <c r="H323" s="29" t="s">
        <v>125</v>
      </c>
      <c r="I323" s="28"/>
    </row>
    <row r="324" spans="1:9" s="20" customFormat="1" ht="33" customHeight="1" x14ac:dyDescent="0.2">
      <c r="A324" s="24">
        <v>317</v>
      </c>
      <c r="B324" s="25"/>
      <c r="C324" s="26"/>
      <c r="D324" s="27"/>
      <c r="E324" s="28"/>
      <c r="F324" s="27"/>
      <c r="G324" s="27"/>
      <c r="H324" s="29" t="s">
        <v>125</v>
      </c>
      <c r="I324" s="28"/>
    </row>
    <row r="325" spans="1:9" s="20" customFormat="1" ht="33" customHeight="1" x14ac:dyDescent="0.2">
      <c r="A325" s="24">
        <v>318</v>
      </c>
      <c r="B325" s="25"/>
      <c r="C325" s="26"/>
      <c r="D325" s="27"/>
      <c r="E325" s="28"/>
      <c r="F325" s="27"/>
      <c r="G325" s="27"/>
      <c r="H325" s="29" t="s">
        <v>125</v>
      </c>
      <c r="I325" s="28"/>
    </row>
    <row r="326" spans="1:9" s="20" customFormat="1" ht="33" customHeight="1" x14ac:dyDescent="0.2">
      <c r="A326" s="24">
        <v>319</v>
      </c>
      <c r="B326" s="25"/>
      <c r="C326" s="26"/>
      <c r="D326" s="27"/>
      <c r="E326" s="28"/>
      <c r="F326" s="27"/>
      <c r="G326" s="27"/>
      <c r="H326" s="29" t="s">
        <v>125</v>
      </c>
      <c r="I326" s="28"/>
    </row>
    <row r="327" spans="1:9" s="20" customFormat="1" ht="33" customHeight="1" x14ac:dyDescent="0.2">
      <c r="A327" s="24">
        <v>320</v>
      </c>
      <c r="B327" s="25"/>
      <c r="C327" s="26"/>
      <c r="D327" s="27"/>
      <c r="E327" s="28"/>
      <c r="F327" s="27"/>
      <c r="G327" s="27"/>
      <c r="H327" s="29" t="s">
        <v>125</v>
      </c>
      <c r="I327" s="28"/>
    </row>
    <row r="328" spans="1:9" s="20" customFormat="1" ht="33" customHeight="1" x14ac:dyDescent="0.2">
      <c r="A328" s="24">
        <v>321</v>
      </c>
      <c r="B328" s="25"/>
      <c r="C328" s="26"/>
      <c r="D328" s="27"/>
      <c r="E328" s="28"/>
      <c r="F328" s="27"/>
      <c r="G328" s="27"/>
      <c r="H328" s="29" t="s">
        <v>125</v>
      </c>
      <c r="I328" s="28"/>
    </row>
    <row r="329" spans="1:9" s="20" customFormat="1" ht="33" customHeight="1" x14ac:dyDescent="0.2">
      <c r="A329" s="24">
        <v>322</v>
      </c>
      <c r="B329" s="25"/>
      <c r="C329" s="26"/>
      <c r="D329" s="27"/>
      <c r="E329" s="28"/>
      <c r="F329" s="27"/>
      <c r="G329" s="27"/>
      <c r="H329" s="29" t="s">
        <v>125</v>
      </c>
      <c r="I329" s="28"/>
    </row>
    <row r="330" spans="1:9" s="20" customFormat="1" ht="33" customHeight="1" x14ac:dyDescent="0.2">
      <c r="A330" s="24">
        <v>323</v>
      </c>
      <c r="B330" s="25"/>
      <c r="C330" s="26"/>
      <c r="D330" s="27"/>
      <c r="E330" s="28"/>
      <c r="F330" s="27"/>
      <c r="G330" s="27"/>
      <c r="H330" s="29" t="s">
        <v>125</v>
      </c>
      <c r="I330" s="28"/>
    </row>
    <row r="331" spans="1:9" s="20" customFormat="1" ht="33" customHeight="1" x14ac:dyDescent="0.2">
      <c r="A331" s="24">
        <v>324</v>
      </c>
      <c r="B331" s="25"/>
      <c r="C331" s="26"/>
      <c r="D331" s="27"/>
      <c r="E331" s="28"/>
      <c r="F331" s="27"/>
      <c r="G331" s="27"/>
      <c r="H331" s="29" t="s">
        <v>125</v>
      </c>
      <c r="I331" s="28"/>
    </row>
    <row r="332" spans="1:9" s="20" customFormat="1" ht="33" customHeight="1" x14ac:dyDescent="0.2">
      <c r="A332" s="24">
        <v>325</v>
      </c>
      <c r="B332" s="25"/>
      <c r="C332" s="26"/>
      <c r="D332" s="27"/>
      <c r="E332" s="28"/>
      <c r="F332" s="27"/>
      <c r="G332" s="27"/>
      <c r="H332" s="29" t="s">
        <v>125</v>
      </c>
      <c r="I332" s="28"/>
    </row>
    <row r="333" spans="1:9" s="20" customFormat="1" ht="33" customHeight="1" x14ac:dyDescent="0.2">
      <c r="A333" s="24">
        <v>326</v>
      </c>
      <c r="B333" s="25"/>
      <c r="C333" s="26"/>
      <c r="D333" s="27"/>
      <c r="E333" s="28"/>
      <c r="F333" s="27"/>
      <c r="G333" s="27"/>
      <c r="H333" s="29" t="s">
        <v>125</v>
      </c>
      <c r="I333" s="28"/>
    </row>
    <row r="334" spans="1:9" s="20" customFormat="1" ht="33" customHeight="1" x14ac:dyDescent="0.2">
      <c r="A334" s="24">
        <v>327</v>
      </c>
      <c r="B334" s="25"/>
      <c r="C334" s="26"/>
      <c r="D334" s="27"/>
      <c r="E334" s="28"/>
      <c r="F334" s="27"/>
      <c r="G334" s="27"/>
      <c r="H334" s="29" t="s">
        <v>125</v>
      </c>
      <c r="I334" s="28"/>
    </row>
    <row r="335" spans="1:9" s="20" customFormat="1" ht="33" customHeight="1" x14ac:dyDescent="0.2">
      <c r="A335" s="24">
        <v>328</v>
      </c>
      <c r="B335" s="25"/>
      <c r="C335" s="26"/>
      <c r="D335" s="27"/>
      <c r="E335" s="28"/>
      <c r="F335" s="27"/>
      <c r="G335" s="27"/>
      <c r="H335" s="29" t="s">
        <v>125</v>
      </c>
      <c r="I335" s="28"/>
    </row>
    <row r="336" spans="1:9" s="20" customFormat="1" ht="33" customHeight="1" x14ac:dyDescent="0.2">
      <c r="A336" s="24">
        <v>329</v>
      </c>
      <c r="B336" s="25"/>
      <c r="C336" s="26"/>
      <c r="D336" s="27"/>
      <c r="E336" s="28"/>
      <c r="F336" s="27"/>
      <c r="G336" s="27"/>
      <c r="H336" s="29" t="s">
        <v>125</v>
      </c>
      <c r="I336" s="28"/>
    </row>
    <row r="337" spans="1:9" s="20" customFormat="1" ht="33" customHeight="1" x14ac:dyDescent="0.2">
      <c r="A337" s="24">
        <v>330</v>
      </c>
      <c r="B337" s="25"/>
      <c r="C337" s="26"/>
      <c r="D337" s="27"/>
      <c r="E337" s="28"/>
      <c r="F337" s="27"/>
      <c r="G337" s="27"/>
      <c r="H337" s="29" t="s">
        <v>125</v>
      </c>
      <c r="I337" s="28"/>
    </row>
    <row r="338" spans="1:9" s="20" customFormat="1" ht="33" customHeight="1" x14ac:dyDescent="0.2">
      <c r="A338" s="24">
        <v>331</v>
      </c>
      <c r="B338" s="25"/>
      <c r="C338" s="26"/>
      <c r="D338" s="27"/>
      <c r="E338" s="28"/>
      <c r="F338" s="27"/>
      <c r="G338" s="27"/>
      <c r="H338" s="29" t="s">
        <v>125</v>
      </c>
      <c r="I338" s="28"/>
    </row>
    <row r="339" spans="1:9" s="20" customFormat="1" ht="33" customHeight="1" x14ac:dyDescent="0.2">
      <c r="A339" s="24">
        <v>332</v>
      </c>
      <c r="B339" s="25"/>
      <c r="C339" s="26"/>
      <c r="D339" s="27"/>
      <c r="E339" s="28"/>
      <c r="F339" s="27"/>
      <c r="G339" s="27"/>
      <c r="H339" s="29" t="s">
        <v>125</v>
      </c>
      <c r="I339" s="28"/>
    </row>
    <row r="340" spans="1:9" s="20" customFormat="1" ht="33" customHeight="1" x14ac:dyDescent="0.2">
      <c r="A340" s="24">
        <v>333</v>
      </c>
      <c r="B340" s="25"/>
      <c r="C340" s="26"/>
      <c r="D340" s="27"/>
      <c r="E340" s="28"/>
      <c r="F340" s="27"/>
      <c r="G340" s="27"/>
      <c r="H340" s="29" t="s">
        <v>125</v>
      </c>
      <c r="I340" s="28"/>
    </row>
    <row r="341" spans="1:9" s="20" customFormat="1" ht="33" customHeight="1" x14ac:dyDescent="0.2">
      <c r="A341" s="24">
        <v>334</v>
      </c>
      <c r="B341" s="25"/>
      <c r="C341" s="26"/>
      <c r="D341" s="27"/>
      <c r="E341" s="28"/>
      <c r="F341" s="27"/>
      <c r="G341" s="27"/>
      <c r="H341" s="29" t="s">
        <v>125</v>
      </c>
      <c r="I341" s="28"/>
    </row>
    <row r="342" spans="1:9" s="20" customFormat="1" ht="33" customHeight="1" x14ac:dyDescent="0.2">
      <c r="A342" s="24">
        <v>335</v>
      </c>
      <c r="B342" s="25"/>
      <c r="C342" s="26"/>
      <c r="D342" s="27"/>
      <c r="E342" s="28"/>
      <c r="F342" s="27"/>
      <c r="G342" s="27"/>
      <c r="H342" s="29" t="s">
        <v>125</v>
      </c>
      <c r="I342" s="28"/>
    </row>
    <row r="343" spans="1:9" s="20" customFormat="1" ht="33" customHeight="1" x14ac:dyDescent="0.2">
      <c r="A343" s="24">
        <v>336</v>
      </c>
      <c r="B343" s="25"/>
      <c r="C343" s="26"/>
      <c r="D343" s="27"/>
      <c r="E343" s="28"/>
      <c r="F343" s="27"/>
      <c r="G343" s="27"/>
      <c r="H343" s="29" t="s">
        <v>125</v>
      </c>
      <c r="I343" s="28"/>
    </row>
    <row r="344" spans="1:9" s="20" customFormat="1" ht="33" customHeight="1" x14ac:dyDescent="0.2">
      <c r="A344" s="24">
        <v>337</v>
      </c>
      <c r="B344" s="25"/>
      <c r="C344" s="26"/>
      <c r="D344" s="27"/>
      <c r="E344" s="28"/>
      <c r="F344" s="27"/>
      <c r="G344" s="27"/>
      <c r="H344" s="29" t="s">
        <v>125</v>
      </c>
      <c r="I344" s="28"/>
    </row>
    <row r="345" spans="1:9" s="20" customFormat="1" ht="33" customHeight="1" x14ac:dyDescent="0.2">
      <c r="A345" s="24">
        <v>338</v>
      </c>
      <c r="B345" s="25"/>
      <c r="C345" s="26"/>
      <c r="D345" s="27"/>
      <c r="E345" s="28"/>
      <c r="F345" s="27"/>
      <c r="G345" s="27"/>
      <c r="H345" s="29" t="s">
        <v>125</v>
      </c>
      <c r="I345" s="28"/>
    </row>
    <row r="346" spans="1:9" s="20" customFormat="1" ht="33" customHeight="1" x14ac:dyDescent="0.2">
      <c r="A346" s="24">
        <v>339</v>
      </c>
      <c r="B346" s="25"/>
      <c r="C346" s="26"/>
      <c r="D346" s="27"/>
      <c r="E346" s="28"/>
      <c r="F346" s="27"/>
      <c r="G346" s="27"/>
      <c r="H346" s="29" t="s">
        <v>125</v>
      </c>
      <c r="I346" s="28"/>
    </row>
    <row r="347" spans="1:9" s="20" customFormat="1" ht="33" customHeight="1" x14ac:dyDescent="0.2">
      <c r="A347" s="24">
        <v>340</v>
      </c>
      <c r="B347" s="25"/>
      <c r="C347" s="26"/>
      <c r="D347" s="27"/>
      <c r="E347" s="28"/>
      <c r="F347" s="27"/>
      <c r="G347" s="27"/>
      <c r="H347" s="29" t="s">
        <v>125</v>
      </c>
      <c r="I347" s="28"/>
    </row>
    <row r="348" spans="1:9" s="20" customFormat="1" ht="33" customHeight="1" x14ac:dyDescent="0.2">
      <c r="A348" s="24">
        <v>341</v>
      </c>
      <c r="B348" s="25"/>
      <c r="C348" s="26"/>
      <c r="D348" s="27"/>
      <c r="E348" s="28"/>
      <c r="F348" s="27"/>
      <c r="G348" s="27"/>
      <c r="H348" s="29" t="s">
        <v>125</v>
      </c>
      <c r="I348" s="28"/>
    </row>
    <row r="349" spans="1:9" s="20" customFormat="1" ht="33" customHeight="1" x14ac:dyDescent="0.2">
      <c r="A349" s="24">
        <v>342</v>
      </c>
      <c r="B349" s="25"/>
      <c r="C349" s="26"/>
      <c r="D349" s="27"/>
      <c r="E349" s="28"/>
      <c r="F349" s="27"/>
      <c r="G349" s="27"/>
      <c r="H349" s="29" t="s">
        <v>125</v>
      </c>
      <c r="I349" s="28"/>
    </row>
    <row r="350" spans="1:9" s="20" customFormat="1" ht="33" customHeight="1" x14ac:dyDescent="0.2">
      <c r="A350" s="24">
        <v>343</v>
      </c>
      <c r="B350" s="25"/>
      <c r="C350" s="26"/>
      <c r="D350" s="27"/>
      <c r="E350" s="28"/>
      <c r="F350" s="27"/>
      <c r="G350" s="27"/>
      <c r="H350" s="29" t="s">
        <v>125</v>
      </c>
      <c r="I350" s="28"/>
    </row>
    <row r="351" spans="1:9" s="20" customFormat="1" ht="33" customHeight="1" x14ac:dyDescent="0.2">
      <c r="A351" s="24">
        <v>344</v>
      </c>
      <c r="B351" s="25"/>
      <c r="C351" s="26"/>
      <c r="D351" s="27"/>
      <c r="E351" s="28"/>
      <c r="F351" s="27"/>
      <c r="G351" s="27"/>
      <c r="H351" s="29" t="s">
        <v>125</v>
      </c>
      <c r="I351" s="28"/>
    </row>
    <row r="352" spans="1:9" s="20" customFormat="1" ht="33" customHeight="1" x14ac:dyDescent="0.2">
      <c r="A352" s="24">
        <v>345</v>
      </c>
      <c r="B352" s="25"/>
      <c r="C352" s="26"/>
      <c r="D352" s="27"/>
      <c r="E352" s="28"/>
      <c r="F352" s="27"/>
      <c r="G352" s="27"/>
      <c r="H352" s="29" t="s">
        <v>125</v>
      </c>
      <c r="I352" s="28"/>
    </row>
    <row r="353" spans="1:9" s="20" customFormat="1" ht="33" customHeight="1" x14ac:dyDescent="0.2">
      <c r="A353" s="24">
        <v>346</v>
      </c>
      <c r="B353" s="25"/>
      <c r="C353" s="26"/>
      <c r="D353" s="27"/>
      <c r="E353" s="28"/>
      <c r="F353" s="27"/>
      <c r="G353" s="27"/>
      <c r="H353" s="29" t="s">
        <v>125</v>
      </c>
      <c r="I353" s="28"/>
    </row>
    <row r="354" spans="1:9" s="20" customFormat="1" ht="33" customHeight="1" x14ac:dyDescent="0.2">
      <c r="A354" s="24">
        <v>347</v>
      </c>
      <c r="B354" s="25"/>
      <c r="C354" s="26"/>
      <c r="D354" s="27"/>
      <c r="E354" s="28"/>
      <c r="F354" s="27"/>
      <c r="G354" s="27"/>
      <c r="H354" s="29" t="s">
        <v>125</v>
      </c>
      <c r="I354" s="28"/>
    </row>
    <row r="355" spans="1:9" s="20" customFormat="1" ht="33" customHeight="1" x14ac:dyDescent="0.2">
      <c r="A355" s="24">
        <v>348</v>
      </c>
      <c r="B355" s="25"/>
      <c r="C355" s="26"/>
      <c r="D355" s="27"/>
      <c r="E355" s="28"/>
      <c r="F355" s="27"/>
      <c r="G355" s="27"/>
      <c r="H355" s="29" t="s">
        <v>125</v>
      </c>
      <c r="I355" s="28"/>
    </row>
    <row r="356" spans="1:9" s="20" customFormat="1" ht="33" customHeight="1" x14ac:dyDescent="0.2">
      <c r="A356" s="24">
        <v>349</v>
      </c>
      <c r="B356" s="25"/>
      <c r="C356" s="26"/>
      <c r="D356" s="27"/>
      <c r="E356" s="28"/>
      <c r="F356" s="27"/>
      <c r="G356" s="27"/>
      <c r="H356" s="29" t="s">
        <v>125</v>
      </c>
      <c r="I356" s="28"/>
    </row>
    <row r="357" spans="1:9" s="20" customFormat="1" ht="33" customHeight="1" x14ac:dyDescent="0.2">
      <c r="A357" s="24">
        <v>350</v>
      </c>
      <c r="B357" s="25"/>
      <c r="C357" s="26"/>
      <c r="D357" s="27"/>
      <c r="E357" s="28"/>
      <c r="F357" s="27"/>
      <c r="G357" s="27"/>
      <c r="H357" s="29" t="s">
        <v>125</v>
      </c>
      <c r="I357" s="28"/>
    </row>
    <row r="358" spans="1:9" s="20" customFormat="1" ht="33" customHeight="1" x14ac:dyDescent="0.2">
      <c r="A358" s="24">
        <v>351</v>
      </c>
      <c r="B358" s="25"/>
      <c r="C358" s="26"/>
      <c r="D358" s="27"/>
      <c r="E358" s="28"/>
      <c r="F358" s="27"/>
      <c r="G358" s="27"/>
      <c r="H358" s="29" t="s">
        <v>125</v>
      </c>
      <c r="I358" s="28"/>
    </row>
    <row r="359" spans="1:9" s="20" customFormat="1" ht="33" customHeight="1" x14ac:dyDescent="0.2">
      <c r="A359" s="24">
        <v>352</v>
      </c>
      <c r="B359" s="25"/>
      <c r="C359" s="26"/>
      <c r="D359" s="27"/>
      <c r="E359" s="28"/>
      <c r="F359" s="27"/>
      <c r="G359" s="27"/>
      <c r="H359" s="29" t="s">
        <v>125</v>
      </c>
      <c r="I359" s="28"/>
    </row>
    <row r="360" spans="1:9" s="20" customFormat="1" ht="33" customHeight="1" x14ac:dyDescent="0.2">
      <c r="A360" s="24">
        <v>353</v>
      </c>
      <c r="B360" s="25"/>
      <c r="C360" s="26"/>
      <c r="D360" s="27"/>
      <c r="E360" s="28"/>
      <c r="F360" s="27"/>
      <c r="G360" s="27"/>
      <c r="H360" s="29" t="s">
        <v>125</v>
      </c>
      <c r="I360" s="28"/>
    </row>
    <row r="361" spans="1:9" s="20" customFormat="1" ht="33" customHeight="1" x14ac:dyDescent="0.2">
      <c r="A361" s="24">
        <v>354</v>
      </c>
      <c r="B361" s="25"/>
      <c r="C361" s="26"/>
      <c r="D361" s="27"/>
      <c r="E361" s="28"/>
      <c r="F361" s="27"/>
      <c r="G361" s="27"/>
      <c r="H361" s="29" t="s">
        <v>125</v>
      </c>
      <c r="I361" s="28"/>
    </row>
    <row r="362" spans="1:9" s="20" customFormat="1" ht="33" customHeight="1" x14ac:dyDescent="0.2">
      <c r="A362" s="24">
        <v>355</v>
      </c>
      <c r="B362" s="25"/>
      <c r="C362" s="26"/>
      <c r="D362" s="27"/>
      <c r="E362" s="28"/>
      <c r="F362" s="27"/>
      <c r="G362" s="27"/>
      <c r="H362" s="29" t="s">
        <v>125</v>
      </c>
      <c r="I362" s="28"/>
    </row>
    <row r="363" spans="1:9" s="20" customFormat="1" ht="33" customHeight="1" x14ac:dyDescent="0.2">
      <c r="A363" s="24">
        <v>356</v>
      </c>
      <c r="B363" s="25"/>
      <c r="C363" s="26"/>
      <c r="D363" s="27"/>
      <c r="E363" s="28"/>
      <c r="F363" s="27"/>
      <c r="G363" s="27"/>
      <c r="H363" s="29" t="s">
        <v>125</v>
      </c>
      <c r="I363" s="28"/>
    </row>
    <row r="364" spans="1:9" s="20" customFormat="1" ht="33" customHeight="1" x14ac:dyDescent="0.2">
      <c r="A364" s="24">
        <v>357</v>
      </c>
      <c r="B364" s="25"/>
      <c r="C364" s="26"/>
      <c r="D364" s="27"/>
      <c r="E364" s="28"/>
      <c r="F364" s="27"/>
      <c r="G364" s="27"/>
      <c r="H364" s="29" t="s">
        <v>125</v>
      </c>
      <c r="I364" s="28"/>
    </row>
    <row r="365" spans="1:9" ht="21.75" customHeight="1" x14ac:dyDescent="0.2">
      <c r="A365" s="24">
        <v>358</v>
      </c>
      <c r="B365" s="25"/>
      <c r="C365" s="26"/>
      <c r="D365" s="27"/>
      <c r="E365" s="28"/>
      <c r="F365" s="27"/>
      <c r="G365" s="27"/>
      <c r="H365" s="29" t="s">
        <v>125</v>
      </c>
      <c r="I365" s="28"/>
    </row>
    <row r="366" spans="1:9" ht="21.75" customHeight="1" x14ac:dyDescent="0.2">
      <c r="A366" s="24">
        <v>359</v>
      </c>
      <c r="B366" s="25"/>
      <c r="C366" s="26"/>
      <c r="D366" s="27"/>
      <c r="E366" s="28"/>
      <c r="F366" s="27"/>
      <c r="G366" s="27"/>
      <c r="H366" s="29" t="s">
        <v>125</v>
      </c>
      <c r="I366" s="28"/>
    </row>
    <row r="367" spans="1:9" ht="21.75" customHeight="1" x14ac:dyDescent="0.2">
      <c r="A367" s="24">
        <v>360</v>
      </c>
      <c r="B367" s="25"/>
      <c r="C367" s="26"/>
      <c r="D367" s="27"/>
      <c r="E367" s="28"/>
      <c r="F367" s="27"/>
      <c r="G367" s="27"/>
      <c r="H367" s="29" t="s">
        <v>125</v>
      </c>
      <c r="I367" s="28"/>
    </row>
    <row r="368" spans="1:9" ht="21.75" customHeight="1" x14ac:dyDescent="0.2">
      <c r="A368" s="24">
        <v>361</v>
      </c>
      <c r="B368" s="25"/>
      <c r="C368" s="26"/>
      <c r="D368" s="27"/>
      <c r="E368" s="28"/>
      <c r="F368" s="27"/>
      <c r="G368" s="27"/>
      <c r="H368" s="29" t="s">
        <v>125</v>
      </c>
      <c r="I368" s="28"/>
    </row>
    <row r="369" spans="1:9" ht="21.75" customHeight="1" x14ac:dyDescent="0.2">
      <c r="A369" s="24">
        <v>362</v>
      </c>
      <c r="B369" s="25"/>
      <c r="C369" s="26"/>
      <c r="D369" s="27"/>
      <c r="E369" s="28"/>
      <c r="F369" s="27"/>
      <c r="G369" s="27"/>
      <c r="H369" s="29" t="s">
        <v>125</v>
      </c>
      <c r="I369" s="28"/>
    </row>
    <row r="370" spans="1:9" ht="21.75" customHeight="1" x14ac:dyDescent="0.2">
      <c r="A370" s="24">
        <v>363</v>
      </c>
      <c r="B370" s="25"/>
      <c r="C370" s="26"/>
      <c r="D370" s="27"/>
      <c r="E370" s="28"/>
      <c r="F370" s="27"/>
      <c r="G370" s="27"/>
      <c r="H370" s="29" t="s">
        <v>125</v>
      </c>
      <c r="I370" s="28"/>
    </row>
    <row r="371" spans="1:9" ht="21.75" customHeight="1" x14ac:dyDescent="0.2">
      <c r="A371" s="24">
        <v>364</v>
      </c>
      <c r="B371" s="25"/>
      <c r="C371" s="26"/>
      <c r="D371" s="27"/>
      <c r="E371" s="28"/>
      <c r="F371" s="27"/>
      <c r="G371" s="27"/>
      <c r="H371" s="29" t="s">
        <v>125</v>
      </c>
      <c r="I371" s="28"/>
    </row>
    <row r="372" spans="1:9" ht="21.75" customHeight="1" x14ac:dyDescent="0.2">
      <c r="A372" s="24">
        <v>365</v>
      </c>
      <c r="B372" s="25"/>
      <c r="C372" s="26"/>
      <c r="D372" s="27"/>
      <c r="E372" s="28"/>
      <c r="F372" s="27"/>
      <c r="G372" s="27"/>
      <c r="H372" s="29" t="s">
        <v>125</v>
      </c>
      <c r="I372" s="28"/>
    </row>
    <row r="373" spans="1:9" ht="21.75" customHeight="1" x14ac:dyDescent="0.2">
      <c r="A373" s="24">
        <v>366</v>
      </c>
      <c r="B373" s="25"/>
      <c r="C373" s="26"/>
      <c r="D373" s="27"/>
      <c r="E373" s="28"/>
      <c r="F373" s="27"/>
      <c r="G373" s="27"/>
      <c r="H373" s="29" t="s">
        <v>125</v>
      </c>
      <c r="I373" s="28"/>
    </row>
    <row r="374" spans="1:9" ht="21.75" customHeight="1" x14ac:dyDescent="0.2">
      <c r="A374" s="24">
        <v>367</v>
      </c>
      <c r="B374" s="25"/>
      <c r="C374" s="26"/>
      <c r="D374" s="27"/>
      <c r="E374" s="28"/>
      <c r="F374" s="27"/>
      <c r="G374" s="27"/>
      <c r="H374" s="29" t="s">
        <v>125</v>
      </c>
      <c r="I374" s="28"/>
    </row>
    <row r="375" spans="1:9" ht="21.75" customHeight="1" x14ac:dyDescent="0.2">
      <c r="A375" s="24">
        <v>368</v>
      </c>
      <c r="B375" s="25"/>
      <c r="C375" s="26"/>
      <c r="D375" s="27"/>
      <c r="E375" s="28"/>
      <c r="F375" s="27"/>
      <c r="G375" s="27"/>
      <c r="H375" s="29" t="s">
        <v>125</v>
      </c>
      <c r="I375" s="28"/>
    </row>
    <row r="376" spans="1:9" ht="21.75" customHeight="1" x14ac:dyDescent="0.2">
      <c r="A376" s="24">
        <v>369</v>
      </c>
      <c r="B376" s="25"/>
      <c r="C376" s="26"/>
      <c r="D376" s="27"/>
      <c r="E376" s="28"/>
      <c r="F376" s="27"/>
      <c r="G376" s="27"/>
      <c r="H376" s="29" t="s">
        <v>125</v>
      </c>
      <c r="I376" s="28"/>
    </row>
    <row r="377" spans="1:9" ht="21.75" customHeight="1" x14ac:dyDescent="0.2">
      <c r="A377" s="24">
        <v>370</v>
      </c>
      <c r="B377" s="25"/>
      <c r="C377" s="26"/>
      <c r="D377" s="27"/>
      <c r="E377" s="28"/>
      <c r="F377" s="27"/>
      <c r="G377" s="27"/>
      <c r="H377" s="29" t="s">
        <v>125</v>
      </c>
      <c r="I377" s="28"/>
    </row>
    <row r="378" spans="1:9" ht="21.75" customHeight="1" x14ac:dyDescent="0.2">
      <c r="A378" s="24">
        <v>371</v>
      </c>
      <c r="B378" s="25"/>
      <c r="C378" s="26"/>
      <c r="D378" s="27"/>
      <c r="E378" s="28"/>
      <c r="F378" s="27"/>
      <c r="G378" s="27"/>
      <c r="H378" s="29" t="s">
        <v>125</v>
      </c>
      <c r="I378" s="28"/>
    </row>
    <row r="379" spans="1:9" ht="21.75" customHeight="1" x14ac:dyDescent="0.2">
      <c r="A379" s="24">
        <v>372</v>
      </c>
      <c r="B379" s="25"/>
      <c r="C379" s="26"/>
      <c r="D379" s="27"/>
      <c r="E379" s="28"/>
      <c r="F379" s="27"/>
      <c r="G379" s="27"/>
      <c r="H379" s="29" t="s">
        <v>125</v>
      </c>
      <c r="I379" s="28"/>
    </row>
    <row r="380" spans="1:9" ht="21.75" customHeight="1" x14ac:dyDescent="0.2">
      <c r="A380" s="24">
        <v>373</v>
      </c>
      <c r="B380" s="25"/>
      <c r="C380" s="26"/>
      <c r="D380" s="27"/>
      <c r="E380" s="28"/>
      <c r="F380" s="27"/>
      <c r="G380" s="27"/>
      <c r="H380" s="29" t="s">
        <v>125</v>
      </c>
      <c r="I380" s="28"/>
    </row>
    <row r="381" spans="1:9" ht="21.75" customHeight="1" x14ac:dyDescent="0.2">
      <c r="A381" s="24">
        <v>374</v>
      </c>
      <c r="B381" s="25"/>
      <c r="C381" s="26"/>
      <c r="D381" s="27"/>
      <c r="E381" s="28"/>
      <c r="F381" s="27"/>
      <c r="G381" s="27"/>
      <c r="H381" s="29" t="s">
        <v>125</v>
      </c>
      <c r="I381" s="28"/>
    </row>
    <row r="382" spans="1:9" ht="21.75" customHeight="1" x14ac:dyDescent="0.2">
      <c r="A382" s="24">
        <v>375</v>
      </c>
      <c r="B382" s="25"/>
      <c r="C382" s="26"/>
      <c r="D382" s="27"/>
      <c r="E382" s="28"/>
      <c r="F382" s="27"/>
      <c r="G382" s="27"/>
      <c r="H382" s="29" t="s">
        <v>125</v>
      </c>
      <c r="I382" s="28"/>
    </row>
    <row r="383" spans="1:9" ht="21.75" customHeight="1" x14ac:dyDescent="0.2">
      <c r="A383" s="24">
        <v>376</v>
      </c>
      <c r="B383" s="25"/>
      <c r="C383" s="26"/>
      <c r="D383" s="27"/>
      <c r="E383" s="28"/>
      <c r="F383" s="27"/>
      <c r="G383" s="27"/>
      <c r="H383" s="29" t="s">
        <v>125</v>
      </c>
      <c r="I383" s="28"/>
    </row>
    <row r="384" spans="1:9" ht="21.75" customHeight="1" x14ac:dyDescent="0.2">
      <c r="A384" s="24">
        <v>377</v>
      </c>
      <c r="B384" s="25"/>
      <c r="C384" s="26"/>
      <c r="D384" s="27"/>
      <c r="E384" s="28"/>
      <c r="F384" s="27"/>
      <c r="G384" s="27"/>
      <c r="H384" s="29" t="s">
        <v>125</v>
      </c>
      <c r="I384" s="28"/>
    </row>
    <row r="385" spans="1:9" ht="21.75" customHeight="1" x14ac:dyDescent="0.2">
      <c r="A385" s="24">
        <v>378</v>
      </c>
      <c r="B385" s="25"/>
      <c r="C385" s="26"/>
      <c r="D385" s="27"/>
      <c r="E385" s="28"/>
      <c r="F385" s="27"/>
      <c r="G385" s="27"/>
      <c r="H385" s="29" t="s">
        <v>125</v>
      </c>
      <c r="I385" s="28"/>
    </row>
    <row r="386" spans="1:9" ht="21.75" customHeight="1" x14ac:dyDescent="0.2">
      <c r="A386" s="24">
        <v>379</v>
      </c>
      <c r="B386" s="25"/>
      <c r="C386" s="26"/>
      <c r="D386" s="27"/>
      <c r="E386" s="28"/>
      <c r="F386" s="27"/>
      <c r="G386" s="27"/>
      <c r="H386" s="29" t="s">
        <v>125</v>
      </c>
      <c r="I386" s="28"/>
    </row>
    <row r="387" spans="1:9" ht="21.75" customHeight="1" x14ac:dyDescent="0.2">
      <c r="A387" s="24">
        <v>380</v>
      </c>
      <c r="B387" s="30"/>
      <c r="C387" s="31"/>
      <c r="D387" s="32"/>
      <c r="E387" s="33"/>
      <c r="F387" s="32"/>
      <c r="G387" s="32"/>
      <c r="H387" s="34" t="s">
        <v>125</v>
      </c>
      <c r="I387" s="33"/>
    </row>
    <row r="388" spans="1:9" ht="21.75" customHeight="1" x14ac:dyDescent="0.2">
      <c r="A388" s="24">
        <v>381</v>
      </c>
      <c r="B388" s="25"/>
      <c r="C388" s="26"/>
      <c r="D388" s="27"/>
      <c r="E388" s="28"/>
      <c r="F388" s="27"/>
      <c r="G388" s="27"/>
      <c r="H388" s="29" t="s">
        <v>125</v>
      </c>
      <c r="I388" s="28"/>
    </row>
    <row r="389" spans="1:9" ht="21.75" customHeight="1" x14ac:dyDescent="0.2">
      <c r="A389" s="24">
        <v>382</v>
      </c>
      <c r="B389" s="25"/>
      <c r="C389" s="26"/>
      <c r="D389" s="27"/>
      <c r="E389" s="28"/>
      <c r="F389" s="27"/>
      <c r="G389" s="27"/>
      <c r="H389" s="29" t="s">
        <v>125</v>
      </c>
      <c r="I389" s="28"/>
    </row>
    <row r="390" spans="1:9" ht="21.75" customHeight="1" x14ac:dyDescent="0.2">
      <c r="A390" s="24">
        <v>383</v>
      </c>
      <c r="B390" s="25"/>
      <c r="C390" s="26"/>
      <c r="D390" s="27"/>
      <c r="E390" s="28"/>
      <c r="F390" s="27"/>
      <c r="G390" s="27"/>
      <c r="H390" s="29" t="s">
        <v>125</v>
      </c>
      <c r="I390" s="28"/>
    </row>
    <row r="391" spans="1:9" ht="21.75" customHeight="1" x14ac:dyDescent="0.2">
      <c r="A391" s="24">
        <v>384</v>
      </c>
      <c r="B391" s="25"/>
      <c r="C391" s="26"/>
      <c r="D391" s="27"/>
      <c r="E391" s="28"/>
      <c r="F391" s="27"/>
      <c r="G391" s="27"/>
      <c r="H391" s="29" t="s">
        <v>125</v>
      </c>
      <c r="I391" s="28"/>
    </row>
    <row r="392" spans="1:9" ht="21.75" customHeight="1" x14ac:dyDescent="0.2">
      <c r="A392" s="24">
        <v>385</v>
      </c>
      <c r="B392" s="25"/>
      <c r="C392" s="26"/>
      <c r="D392" s="27"/>
      <c r="E392" s="28"/>
      <c r="F392" s="27"/>
      <c r="G392" s="27"/>
      <c r="H392" s="29" t="s">
        <v>125</v>
      </c>
      <c r="I392" s="28"/>
    </row>
    <row r="393" spans="1:9" ht="21.75" customHeight="1" x14ac:dyDescent="0.2">
      <c r="A393" s="24">
        <v>386</v>
      </c>
      <c r="B393" s="25"/>
      <c r="C393" s="26"/>
      <c r="D393" s="27"/>
      <c r="E393" s="28"/>
      <c r="F393" s="27"/>
      <c r="G393" s="27"/>
      <c r="H393" s="29" t="s">
        <v>125</v>
      </c>
      <c r="I393" s="28"/>
    </row>
    <row r="394" spans="1:9" ht="21.75" customHeight="1" x14ac:dyDescent="0.2">
      <c r="A394" s="24">
        <v>387</v>
      </c>
      <c r="B394" s="25"/>
      <c r="C394" s="26"/>
      <c r="D394" s="27"/>
      <c r="E394" s="28"/>
      <c r="F394" s="27"/>
      <c r="G394" s="27"/>
      <c r="H394" s="29" t="s">
        <v>125</v>
      </c>
      <c r="I394" s="28"/>
    </row>
    <row r="395" spans="1:9" ht="21.75" customHeight="1" x14ac:dyDescent="0.2">
      <c r="A395" s="24">
        <v>388</v>
      </c>
      <c r="B395" s="25"/>
      <c r="C395" s="26"/>
      <c r="D395" s="27"/>
      <c r="E395" s="28"/>
      <c r="F395" s="27"/>
      <c r="G395" s="27"/>
      <c r="H395" s="29" t="s">
        <v>125</v>
      </c>
      <c r="I395" s="28"/>
    </row>
    <row r="396" spans="1:9" ht="21.75" customHeight="1" x14ac:dyDescent="0.2">
      <c r="A396" s="24">
        <v>389</v>
      </c>
      <c r="B396" s="25"/>
      <c r="C396" s="26"/>
      <c r="D396" s="27"/>
      <c r="E396" s="28"/>
      <c r="F396" s="27"/>
      <c r="G396" s="27"/>
      <c r="H396" s="29" t="s">
        <v>125</v>
      </c>
      <c r="I396" s="28"/>
    </row>
    <row r="397" spans="1:9" ht="21.75" customHeight="1" x14ac:dyDescent="0.2">
      <c r="A397" s="24">
        <v>390</v>
      </c>
      <c r="B397" s="25"/>
      <c r="C397" s="26"/>
      <c r="D397" s="27"/>
      <c r="E397" s="28"/>
      <c r="F397" s="27"/>
      <c r="G397" s="27"/>
      <c r="H397" s="29" t="s">
        <v>125</v>
      </c>
      <c r="I397" s="28"/>
    </row>
    <row r="398" spans="1:9" ht="21.75" customHeight="1" x14ac:dyDescent="0.2">
      <c r="A398" s="24">
        <v>391</v>
      </c>
      <c r="B398" s="25"/>
      <c r="C398" s="26"/>
      <c r="D398" s="27"/>
      <c r="E398" s="28"/>
      <c r="F398" s="27"/>
      <c r="G398" s="27"/>
      <c r="H398" s="29" t="s">
        <v>125</v>
      </c>
      <c r="I398" s="28"/>
    </row>
    <row r="399" spans="1:9" ht="21.75" customHeight="1" x14ac:dyDescent="0.2">
      <c r="A399" s="24">
        <v>392</v>
      </c>
      <c r="B399" s="25"/>
      <c r="C399" s="26"/>
      <c r="D399" s="27"/>
      <c r="E399" s="28"/>
      <c r="F399" s="27"/>
      <c r="G399" s="27"/>
      <c r="H399" s="29" t="s">
        <v>125</v>
      </c>
      <c r="I399" s="28"/>
    </row>
    <row r="400" spans="1:9" ht="21.75" customHeight="1" x14ac:dyDescent="0.2">
      <c r="A400" s="24">
        <v>393</v>
      </c>
      <c r="B400" s="25"/>
      <c r="C400" s="26"/>
      <c r="D400" s="27"/>
      <c r="E400" s="28"/>
      <c r="F400" s="27"/>
      <c r="G400" s="27"/>
      <c r="H400" s="29" t="s">
        <v>125</v>
      </c>
      <c r="I400" s="28"/>
    </row>
    <row r="401" spans="1:9" ht="21.75" customHeight="1" x14ac:dyDescent="0.2">
      <c r="A401" s="24">
        <v>394</v>
      </c>
      <c r="B401" s="25"/>
      <c r="C401" s="26"/>
      <c r="D401" s="27"/>
      <c r="E401" s="28"/>
      <c r="F401" s="27"/>
      <c r="G401" s="27"/>
      <c r="H401" s="29" t="s">
        <v>125</v>
      </c>
      <c r="I401" s="28"/>
    </row>
    <row r="402" spans="1:9" ht="21.75" customHeight="1" x14ac:dyDescent="0.2">
      <c r="A402" s="24">
        <v>395</v>
      </c>
      <c r="B402" s="25"/>
      <c r="C402" s="26"/>
      <c r="D402" s="27"/>
      <c r="E402" s="28"/>
      <c r="F402" s="27"/>
      <c r="G402" s="27"/>
      <c r="H402" s="29" t="s">
        <v>125</v>
      </c>
      <c r="I402" s="28"/>
    </row>
    <row r="403" spans="1:9" ht="21.75" customHeight="1" x14ac:dyDescent="0.2">
      <c r="A403" s="24">
        <v>396</v>
      </c>
      <c r="B403" s="25"/>
      <c r="C403" s="26"/>
      <c r="D403" s="27"/>
      <c r="E403" s="28"/>
      <c r="F403" s="27"/>
      <c r="G403" s="27"/>
      <c r="H403" s="29" t="s">
        <v>125</v>
      </c>
      <c r="I403" s="28"/>
    </row>
    <row r="404" spans="1:9" ht="21.75" customHeight="1" x14ac:dyDescent="0.2">
      <c r="A404" s="24">
        <v>397</v>
      </c>
      <c r="B404" s="25"/>
      <c r="C404" s="26"/>
      <c r="D404" s="27"/>
      <c r="E404" s="28"/>
      <c r="F404" s="27"/>
      <c r="G404" s="27"/>
      <c r="H404" s="29" t="s">
        <v>125</v>
      </c>
      <c r="I404" s="28"/>
    </row>
    <row r="405" spans="1:9" ht="21.75" customHeight="1" x14ac:dyDescent="0.2">
      <c r="A405" s="24">
        <v>398</v>
      </c>
      <c r="B405" s="25"/>
      <c r="C405" s="26"/>
      <c r="D405" s="27"/>
      <c r="E405" s="28"/>
      <c r="F405" s="27"/>
      <c r="G405" s="27"/>
      <c r="H405" s="29" t="s">
        <v>125</v>
      </c>
      <c r="I405" s="28"/>
    </row>
    <row r="406" spans="1:9" ht="21.75" customHeight="1" x14ac:dyDescent="0.2">
      <c r="A406" s="24">
        <v>399</v>
      </c>
      <c r="B406" s="25"/>
      <c r="C406" s="26"/>
      <c r="D406" s="27"/>
      <c r="E406" s="28"/>
      <c r="F406" s="27"/>
      <c r="G406" s="27"/>
      <c r="H406" s="29" t="s">
        <v>125</v>
      </c>
      <c r="I406" s="28"/>
    </row>
    <row r="407" spans="1:9" ht="21.75" customHeight="1" x14ac:dyDescent="0.2">
      <c r="A407" s="24">
        <v>400</v>
      </c>
      <c r="B407" s="25"/>
      <c r="C407" s="26"/>
      <c r="D407" s="27"/>
      <c r="E407" s="28"/>
      <c r="F407" s="27"/>
      <c r="G407" s="27"/>
      <c r="H407" s="29" t="s">
        <v>125</v>
      </c>
      <c r="I407" s="28"/>
    </row>
    <row r="408" spans="1:9" ht="21.75" customHeight="1" x14ac:dyDescent="0.2">
      <c r="A408" s="24">
        <v>401</v>
      </c>
      <c r="B408" s="25"/>
      <c r="C408" s="26"/>
      <c r="D408" s="27"/>
      <c r="E408" s="28"/>
      <c r="F408" s="27"/>
      <c r="G408" s="27"/>
      <c r="H408" s="29" t="s">
        <v>125</v>
      </c>
      <c r="I408" s="28"/>
    </row>
    <row r="409" spans="1:9" ht="21.75" customHeight="1" x14ac:dyDescent="0.2">
      <c r="A409" s="24">
        <v>402</v>
      </c>
      <c r="B409" s="25"/>
      <c r="C409" s="26"/>
      <c r="D409" s="27"/>
      <c r="E409" s="28"/>
      <c r="F409" s="27"/>
      <c r="G409" s="27"/>
      <c r="H409" s="29" t="s">
        <v>125</v>
      </c>
      <c r="I409" s="28"/>
    </row>
    <row r="410" spans="1:9" ht="21.75" customHeight="1" x14ac:dyDescent="0.2">
      <c r="A410" s="24">
        <v>403</v>
      </c>
      <c r="B410" s="25"/>
      <c r="C410" s="26"/>
      <c r="D410" s="27"/>
      <c r="E410" s="28"/>
      <c r="F410" s="27"/>
      <c r="G410" s="27"/>
      <c r="H410" s="29" t="s">
        <v>125</v>
      </c>
      <c r="I410" s="28"/>
    </row>
    <row r="411" spans="1:9" ht="21.75" customHeight="1" x14ac:dyDescent="0.2">
      <c r="A411" s="24">
        <v>404</v>
      </c>
      <c r="B411" s="30"/>
      <c r="C411" s="31"/>
      <c r="D411" s="32"/>
      <c r="E411" s="33"/>
      <c r="F411" s="32"/>
      <c r="G411" s="32"/>
      <c r="H411" s="34" t="s">
        <v>125</v>
      </c>
      <c r="I411" s="33"/>
    </row>
    <row r="412" spans="1:9" s="20" customFormat="1" ht="33" customHeight="1" x14ac:dyDescent="0.2">
      <c r="A412" s="24">
        <v>405</v>
      </c>
      <c r="B412" s="25"/>
      <c r="C412" s="26"/>
      <c r="D412" s="27"/>
      <c r="E412" s="28"/>
      <c r="F412" s="27"/>
      <c r="G412" s="27"/>
      <c r="H412" s="29" t="s">
        <v>125</v>
      </c>
      <c r="I412" s="28"/>
    </row>
    <row r="413" spans="1:9" s="20" customFormat="1" ht="33" customHeight="1" x14ac:dyDescent="0.2">
      <c r="A413" s="24">
        <v>406</v>
      </c>
      <c r="B413" s="25"/>
      <c r="C413" s="26"/>
      <c r="D413" s="27"/>
      <c r="E413" s="28"/>
      <c r="F413" s="27"/>
      <c r="G413" s="27"/>
      <c r="H413" s="29" t="s">
        <v>125</v>
      </c>
      <c r="I413" s="28"/>
    </row>
    <row r="414" spans="1:9" s="20" customFormat="1" ht="33" customHeight="1" x14ac:dyDescent="0.2">
      <c r="A414" s="24">
        <v>407</v>
      </c>
      <c r="B414" s="25"/>
      <c r="C414" s="26"/>
      <c r="D414" s="27"/>
      <c r="E414" s="28"/>
      <c r="F414" s="27"/>
      <c r="G414" s="27"/>
      <c r="H414" s="29" t="s">
        <v>125</v>
      </c>
      <c r="I414" s="28"/>
    </row>
    <row r="415" spans="1:9" s="20" customFormat="1" ht="33" customHeight="1" x14ac:dyDescent="0.2">
      <c r="A415" s="24">
        <v>408</v>
      </c>
      <c r="B415" s="25"/>
      <c r="C415" s="26"/>
      <c r="D415" s="27"/>
      <c r="E415" s="28"/>
      <c r="F415" s="27"/>
      <c r="G415" s="27"/>
      <c r="H415" s="29" t="s">
        <v>125</v>
      </c>
      <c r="I415" s="28"/>
    </row>
    <row r="416" spans="1:9" s="20" customFormat="1" ht="33" customHeight="1" x14ac:dyDescent="0.2">
      <c r="A416" s="24">
        <v>409</v>
      </c>
      <c r="B416" s="25"/>
      <c r="C416" s="26"/>
      <c r="D416" s="27"/>
      <c r="E416" s="28"/>
      <c r="F416" s="27"/>
      <c r="G416" s="27"/>
      <c r="H416" s="29" t="s">
        <v>125</v>
      </c>
      <c r="I416" s="28"/>
    </row>
    <row r="417" spans="1:9" s="20" customFormat="1" ht="33" customHeight="1" x14ac:dyDescent="0.2">
      <c r="A417" s="24">
        <v>410</v>
      </c>
      <c r="B417" s="25"/>
      <c r="C417" s="26"/>
      <c r="D417" s="27"/>
      <c r="E417" s="28"/>
      <c r="F417" s="27"/>
      <c r="G417" s="27"/>
      <c r="H417" s="29" t="s">
        <v>125</v>
      </c>
      <c r="I417" s="28"/>
    </row>
    <row r="418" spans="1:9" s="20" customFormat="1" ht="33" customHeight="1" x14ac:dyDescent="0.2">
      <c r="A418" s="24">
        <v>411</v>
      </c>
      <c r="B418" s="25"/>
      <c r="C418" s="26"/>
      <c r="D418" s="27"/>
      <c r="E418" s="28"/>
      <c r="F418" s="27"/>
      <c r="G418" s="27"/>
      <c r="H418" s="29" t="s">
        <v>125</v>
      </c>
      <c r="I418" s="28"/>
    </row>
    <row r="419" spans="1:9" s="20" customFormat="1" ht="33" customHeight="1" x14ac:dyDescent="0.2">
      <c r="A419" s="24">
        <v>412</v>
      </c>
      <c r="B419" s="25"/>
      <c r="C419" s="26"/>
      <c r="D419" s="27"/>
      <c r="E419" s="28"/>
      <c r="F419" s="27"/>
      <c r="G419" s="27"/>
      <c r="H419" s="29" t="s">
        <v>125</v>
      </c>
      <c r="I419" s="28"/>
    </row>
    <row r="420" spans="1:9" s="20" customFormat="1" ht="33" customHeight="1" x14ac:dyDescent="0.2">
      <c r="A420" s="24">
        <v>413</v>
      </c>
      <c r="B420" s="25"/>
      <c r="C420" s="26"/>
      <c r="D420" s="27"/>
      <c r="E420" s="28"/>
      <c r="F420" s="27"/>
      <c r="G420" s="27"/>
      <c r="H420" s="29" t="s">
        <v>125</v>
      </c>
      <c r="I420" s="28"/>
    </row>
    <row r="421" spans="1:9" s="20" customFormat="1" ht="33" customHeight="1" x14ac:dyDescent="0.2">
      <c r="A421" s="24">
        <v>414</v>
      </c>
      <c r="B421" s="25"/>
      <c r="C421" s="26"/>
      <c r="D421" s="27"/>
      <c r="E421" s="28"/>
      <c r="F421" s="27"/>
      <c r="G421" s="27"/>
      <c r="H421" s="29" t="s">
        <v>125</v>
      </c>
      <c r="I421" s="28"/>
    </row>
    <row r="422" spans="1:9" s="20" customFormat="1" ht="33" customHeight="1" x14ac:dyDescent="0.2">
      <c r="A422" s="24">
        <v>415</v>
      </c>
      <c r="B422" s="25"/>
      <c r="C422" s="26"/>
      <c r="D422" s="27"/>
      <c r="E422" s="28"/>
      <c r="F422" s="27"/>
      <c r="G422" s="27"/>
      <c r="H422" s="29" t="s">
        <v>125</v>
      </c>
      <c r="I422" s="28"/>
    </row>
    <row r="423" spans="1:9" s="20" customFormat="1" ht="33" customHeight="1" x14ac:dyDescent="0.2">
      <c r="A423" s="24">
        <v>416</v>
      </c>
      <c r="B423" s="25"/>
      <c r="C423" s="26"/>
      <c r="D423" s="27"/>
      <c r="E423" s="28"/>
      <c r="F423" s="27"/>
      <c r="G423" s="27"/>
      <c r="H423" s="29" t="s">
        <v>125</v>
      </c>
      <c r="I423" s="28"/>
    </row>
    <row r="424" spans="1:9" s="20" customFormat="1" ht="33" customHeight="1" x14ac:dyDescent="0.2">
      <c r="A424" s="24">
        <v>417</v>
      </c>
      <c r="B424" s="25"/>
      <c r="C424" s="26"/>
      <c r="D424" s="27"/>
      <c r="E424" s="28"/>
      <c r="F424" s="27"/>
      <c r="G424" s="27"/>
      <c r="H424" s="29" t="s">
        <v>125</v>
      </c>
      <c r="I424" s="28"/>
    </row>
    <row r="425" spans="1:9" s="20" customFormat="1" ht="33" customHeight="1" x14ac:dyDescent="0.2">
      <c r="A425" s="24">
        <v>418</v>
      </c>
      <c r="B425" s="25"/>
      <c r="C425" s="26"/>
      <c r="D425" s="27"/>
      <c r="E425" s="28"/>
      <c r="F425" s="27"/>
      <c r="G425" s="27"/>
      <c r="H425" s="29" t="s">
        <v>125</v>
      </c>
      <c r="I425" s="28"/>
    </row>
    <row r="426" spans="1:9" s="20" customFormat="1" ht="33" customHeight="1" x14ac:dyDescent="0.2">
      <c r="A426" s="24">
        <v>419</v>
      </c>
      <c r="B426" s="25"/>
      <c r="C426" s="26"/>
      <c r="D426" s="27"/>
      <c r="E426" s="28"/>
      <c r="F426" s="27"/>
      <c r="G426" s="27"/>
      <c r="H426" s="29" t="s">
        <v>125</v>
      </c>
      <c r="I426" s="28"/>
    </row>
    <row r="427" spans="1:9" s="20" customFormat="1" ht="33" customHeight="1" x14ac:dyDescent="0.2">
      <c r="A427" s="24">
        <v>420</v>
      </c>
      <c r="B427" s="25"/>
      <c r="C427" s="26"/>
      <c r="D427" s="27"/>
      <c r="E427" s="28"/>
      <c r="F427" s="27"/>
      <c r="G427" s="27"/>
      <c r="H427" s="29" t="s">
        <v>125</v>
      </c>
      <c r="I427" s="28"/>
    </row>
    <row r="428" spans="1:9" s="20" customFormat="1" ht="33" customHeight="1" x14ac:dyDescent="0.2">
      <c r="A428" s="24">
        <v>421</v>
      </c>
      <c r="B428" s="25"/>
      <c r="C428" s="26"/>
      <c r="D428" s="27"/>
      <c r="E428" s="28"/>
      <c r="F428" s="27"/>
      <c r="G428" s="27"/>
      <c r="H428" s="29" t="s">
        <v>125</v>
      </c>
      <c r="I428" s="28"/>
    </row>
    <row r="429" spans="1:9" s="20" customFormat="1" ht="33" customHeight="1" x14ac:dyDescent="0.2">
      <c r="A429" s="24">
        <v>422</v>
      </c>
      <c r="B429" s="25"/>
      <c r="C429" s="26"/>
      <c r="D429" s="27"/>
      <c r="E429" s="28"/>
      <c r="F429" s="27"/>
      <c r="G429" s="27"/>
      <c r="H429" s="29" t="s">
        <v>125</v>
      </c>
      <c r="I429" s="28"/>
    </row>
    <row r="430" spans="1:9" s="20" customFormat="1" ht="33" customHeight="1" x14ac:dyDescent="0.2">
      <c r="A430" s="24">
        <v>423</v>
      </c>
      <c r="B430" s="25"/>
      <c r="C430" s="26"/>
      <c r="D430" s="27"/>
      <c r="E430" s="28"/>
      <c r="F430" s="27"/>
      <c r="G430" s="27"/>
      <c r="H430" s="29" t="s">
        <v>125</v>
      </c>
      <c r="I430" s="28"/>
    </row>
    <row r="431" spans="1:9" s="20" customFormat="1" ht="33" customHeight="1" x14ac:dyDescent="0.2">
      <c r="A431" s="24">
        <v>424</v>
      </c>
      <c r="B431" s="25"/>
      <c r="C431" s="26"/>
      <c r="D431" s="27"/>
      <c r="E431" s="28"/>
      <c r="F431" s="27"/>
      <c r="G431" s="27"/>
      <c r="H431" s="29" t="s">
        <v>125</v>
      </c>
      <c r="I431" s="28"/>
    </row>
    <row r="432" spans="1:9" s="20" customFormat="1" ht="33" customHeight="1" x14ac:dyDescent="0.2">
      <c r="A432" s="24">
        <v>425</v>
      </c>
      <c r="B432" s="25"/>
      <c r="C432" s="26"/>
      <c r="D432" s="27"/>
      <c r="E432" s="28"/>
      <c r="F432" s="27"/>
      <c r="G432" s="27"/>
      <c r="H432" s="29" t="s">
        <v>125</v>
      </c>
      <c r="I432" s="28"/>
    </row>
    <row r="433" spans="1:9" s="20" customFormat="1" ht="33" customHeight="1" x14ac:dyDescent="0.2">
      <c r="A433" s="24">
        <v>426</v>
      </c>
      <c r="B433" s="25"/>
      <c r="C433" s="26"/>
      <c r="D433" s="27"/>
      <c r="E433" s="28"/>
      <c r="F433" s="27"/>
      <c r="G433" s="27"/>
      <c r="H433" s="29" t="s">
        <v>125</v>
      </c>
      <c r="I433" s="28"/>
    </row>
    <row r="434" spans="1:9" s="20" customFormat="1" ht="33" customHeight="1" x14ac:dyDescent="0.2">
      <c r="A434" s="24">
        <v>427</v>
      </c>
      <c r="B434" s="25"/>
      <c r="C434" s="26"/>
      <c r="D434" s="27"/>
      <c r="E434" s="28"/>
      <c r="F434" s="27"/>
      <c r="G434" s="27"/>
      <c r="H434" s="29" t="s">
        <v>125</v>
      </c>
      <c r="I434" s="28"/>
    </row>
    <row r="435" spans="1:9" s="20" customFormat="1" ht="33" customHeight="1" x14ac:dyDescent="0.2">
      <c r="A435" s="24">
        <v>428</v>
      </c>
      <c r="B435" s="25"/>
      <c r="C435" s="26"/>
      <c r="D435" s="27"/>
      <c r="E435" s="28"/>
      <c r="F435" s="27"/>
      <c r="G435" s="27"/>
      <c r="H435" s="29" t="s">
        <v>125</v>
      </c>
      <c r="I435" s="28"/>
    </row>
    <row r="436" spans="1:9" s="20" customFormat="1" ht="33" customHeight="1" x14ac:dyDescent="0.2">
      <c r="A436" s="24">
        <v>429</v>
      </c>
      <c r="B436" s="25"/>
      <c r="C436" s="26"/>
      <c r="D436" s="27"/>
      <c r="E436" s="28"/>
      <c r="F436" s="27"/>
      <c r="G436" s="27"/>
      <c r="H436" s="29" t="s">
        <v>125</v>
      </c>
      <c r="I436" s="28"/>
    </row>
    <row r="437" spans="1:9" s="20" customFormat="1" ht="33" customHeight="1" x14ac:dyDescent="0.2">
      <c r="A437" s="24">
        <v>430</v>
      </c>
      <c r="B437" s="25"/>
      <c r="C437" s="26"/>
      <c r="D437" s="27"/>
      <c r="E437" s="28"/>
      <c r="F437" s="27"/>
      <c r="G437" s="27"/>
      <c r="H437" s="29" t="s">
        <v>125</v>
      </c>
      <c r="I437" s="28"/>
    </row>
    <row r="438" spans="1:9" s="20" customFormat="1" ht="33" customHeight="1" x14ac:dyDescent="0.2">
      <c r="A438" s="24">
        <v>431</v>
      </c>
      <c r="B438" s="25"/>
      <c r="C438" s="26"/>
      <c r="D438" s="27"/>
      <c r="E438" s="28"/>
      <c r="F438" s="27"/>
      <c r="G438" s="27"/>
      <c r="H438" s="29" t="s">
        <v>125</v>
      </c>
      <c r="I438" s="28"/>
    </row>
    <row r="439" spans="1:9" s="20" customFormat="1" ht="33" customHeight="1" x14ac:dyDescent="0.2">
      <c r="A439" s="24">
        <v>432</v>
      </c>
      <c r="B439" s="25"/>
      <c r="C439" s="26"/>
      <c r="D439" s="27"/>
      <c r="E439" s="28"/>
      <c r="F439" s="27"/>
      <c r="G439" s="27"/>
      <c r="H439" s="29" t="s">
        <v>125</v>
      </c>
      <c r="I439" s="28"/>
    </row>
    <row r="440" spans="1:9" s="20" customFormat="1" ht="33" customHeight="1" x14ac:dyDescent="0.2">
      <c r="A440" s="24">
        <v>433</v>
      </c>
      <c r="B440" s="25"/>
      <c r="C440" s="26"/>
      <c r="D440" s="27"/>
      <c r="E440" s="28"/>
      <c r="F440" s="27"/>
      <c r="G440" s="27"/>
      <c r="H440" s="29" t="s">
        <v>125</v>
      </c>
      <c r="I440" s="28"/>
    </row>
    <row r="441" spans="1:9" s="20" customFormat="1" ht="33" customHeight="1" x14ac:dyDescent="0.2">
      <c r="A441" s="24">
        <v>434</v>
      </c>
      <c r="B441" s="25"/>
      <c r="C441" s="26"/>
      <c r="D441" s="27"/>
      <c r="E441" s="28"/>
      <c r="F441" s="27"/>
      <c r="G441" s="27"/>
      <c r="H441" s="29" t="s">
        <v>125</v>
      </c>
      <c r="I441" s="28"/>
    </row>
    <row r="442" spans="1:9" s="20" customFormat="1" ht="33" customHeight="1" x14ac:dyDescent="0.2">
      <c r="A442" s="24">
        <v>435</v>
      </c>
      <c r="B442" s="25"/>
      <c r="C442" s="26"/>
      <c r="D442" s="27"/>
      <c r="E442" s="28"/>
      <c r="F442" s="27"/>
      <c r="G442" s="27"/>
      <c r="H442" s="29" t="s">
        <v>125</v>
      </c>
      <c r="I442" s="28"/>
    </row>
    <row r="443" spans="1:9" s="20" customFormat="1" ht="33" customHeight="1" x14ac:dyDescent="0.2">
      <c r="A443" s="24">
        <v>436</v>
      </c>
      <c r="B443" s="25"/>
      <c r="C443" s="26"/>
      <c r="D443" s="27"/>
      <c r="E443" s="28"/>
      <c r="F443" s="27"/>
      <c r="G443" s="27"/>
      <c r="H443" s="29" t="s">
        <v>125</v>
      </c>
      <c r="I443" s="28"/>
    </row>
    <row r="444" spans="1:9" s="20" customFormat="1" ht="33" customHeight="1" x14ac:dyDescent="0.2">
      <c r="A444" s="24">
        <v>437</v>
      </c>
      <c r="B444" s="25"/>
      <c r="C444" s="26"/>
      <c r="D444" s="27"/>
      <c r="E444" s="28"/>
      <c r="F444" s="27"/>
      <c r="G444" s="27"/>
      <c r="H444" s="29" t="s">
        <v>125</v>
      </c>
      <c r="I444" s="28"/>
    </row>
    <row r="445" spans="1:9" s="20" customFormat="1" ht="33" customHeight="1" x14ac:dyDescent="0.2">
      <c r="A445" s="24">
        <v>438</v>
      </c>
      <c r="B445" s="25"/>
      <c r="C445" s="26"/>
      <c r="D445" s="27"/>
      <c r="E445" s="28"/>
      <c r="F445" s="27"/>
      <c r="G445" s="27"/>
      <c r="H445" s="29" t="s">
        <v>125</v>
      </c>
      <c r="I445" s="28"/>
    </row>
    <row r="446" spans="1:9" s="20" customFormat="1" ht="33" customHeight="1" x14ac:dyDescent="0.2">
      <c r="A446" s="24">
        <v>439</v>
      </c>
      <c r="B446" s="25"/>
      <c r="C446" s="26"/>
      <c r="D446" s="27"/>
      <c r="E446" s="28"/>
      <c r="F446" s="27"/>
      <c r="G446" s="27"/>
      <c r="H446" s="29" t="s">
        <v>125</v>
      </c>
      <c r="I446" s="28"/>
    </row>
    <row r="447" spans="1:9" s="20" customFormat="1" ht="33" customHeight="1" x14ac:dyDescent="0.2">
      <c r="A447" s="24">
        <v>440</v>
      </c>
      <c r="B447" s="25"/>
      <c r="C447" s="26"/>
      <c r="D447" s="27"/>
      <c r="E447" s="28"/>
      <c r="F447" s="27"/>
      <c r="G447" s="27"/>
      <c r="H447" s="29" t="s">
        <v>125</v>
      </c>
      <c r="I447" s="28"/>
    </row>
    <row r="448" spans="1:9" s="20" customFormat="1" ht="33" customHeight="1" x14ac:dyDescent="0.2">
      <c r="A448" s="24">
        <v>441</v>
      </c>
      <c r="B448" s="25"/>
      <c r="C448" s="26"/>
      <c r="D448" s="27"/>
      <c r="E448" s="28"/>
      <c r="F448" s="27"/>
      <c r="G448" s="27"/>
      <c r="H448" s="29" t="s">
        <v>125</v>
      </c>
      <c r="I448" s="28"/>
    </row>
    <row r="449" spans="1:9" s="20" customFormat="1" ht="33" customHeight="1" x14ac:dyDescent="0.2">
      <c r="A449" s="24">
        <v>442</v>
      </c>
      <c r="B449" s="25"/>
      <c r="C449" s="26"/>
      <c r="D449" s="27"/>
      <c r="E449" s="28"/>
      <c r="F449" s="27"/>
      <c r="G449" s="27"/>
      <c r="H449" s="29" t="s">
        <v>125</v>
      </c>
      <c r="I449" s="28"/>
    </row>
    <row r="450" spans="1:9" s="20" customFormat="1" ht="33" customHeight="1" x14ac:dyDescent="0.2">
      <c r="A450" s="24">
        <v>443</v>
      </c>
      <c r="B450" s="25"/>
      <c r="C450" s="26"/>
      <c r="D450" s="27"/>
      <c r="E450" s="28"/>
      <c r="F450" s="27"/>
      <c r="G450" s="27"/>
      <c r="H450" s="29" t="s">
        <v>125</v>
      </c>
      <c r="I450" s="28"/>
    </row>
    <row r="451" spans="1:9" s="20" customFormat="1" ht="33" customHeight="1" x14ac:dyDescent="0.2">
      <c r="A451" s="24">
        <v>444</v>
      </c>
      <c r="B451" s="25"/>
      <c r="C451" s="26"/>
      <c r="D451" s="27"/>
      <c r="E451" s="28"/>
      <c r="F451" s="27"/>
      <c r="G451" s="27"/>
      <c r="H451" s="29" t="s">
        <v>125</v>
      </c>
      <c r="I451" s="28"/>
    </row>
    <row r="452" spans="1:9" s="20" customFormat="1" ht="33" customHeight="1" x14ac:dyDescent="0.2">
      <c r="A452" s="24">
        <v>445</v>
      </c>
      <c r="B452" s="25"/>
      <c r="C452" s="26"/>
      <c r="D452" s="27"/>
      <c r="E452" s="28"/>
      <c r="F452" s="27"/>
      <c r="G452" s="27"/>
      <c r="H452" s="29" t="s">
        <v>125</v>
      </c>
      <c r="I452" s="28"/>
    </row>
    <row r="453" spans="1:9" s="20" customFormat="1" ht="33" customHeight="1" x14ac:dyDescent="0.2">
      <c r="A453" s="24">
        <v>446</v>
      </c>
      <c r="B453" s="25"/>
      <c r="C453" s="26"/>
      <c r="D453" s="27"/>
      <c r="E453" s="28"/>
      <c r="F453" s="27"/>
      <c r="G453" s="27"/>
      <c r="H453" s="29" t="s">
        <v>125</v>
      </c>
      <c r="I453" s="28"/>
    </row>
    <row r="454" spans="1:9" s="20" customFormat="1" ht="33" customHeight="1" x14ac:dyDescent="0.2">
      <c r="A454" s="24">
        <v>447</v>
      </c>
      <c r="B454" s="25"/>
      <c r="C454" s="26"/>
      <c r="D454" s="27"/>
      <c r="E454" s="28"/>
      <c r="F454" s="27"/>
      <c r="G454" s="27"/>
      <c r="H454" s="29" t="s">
        <v>125</v>
      </c>
      <c r="I454" s="28"/>
    </row>
    <row r="455" spans="1:9" s="20" customFormat="1" ht="33" customHeight="1" x14ac:dyDescent="0.2">
      <c r="A455" s="24">
        <v>448</v>
      </c>
      <c r="B455" s="25"/>
      <c r="C455" s="26"/>
      <c r="D455" s="27"/>
      <c r="E455" s="28"/>
      <c r="F455" s="27"/>
      <c r="G455" s="27"/>
      <c r="H455" s="29" t="s">
        <v>125</v>
      </c>
      <c r="I455" s="28"/>
    </row>
    <row r="456" spans="1:9" s="20" customFormat="1" ht="33" customHeight="1" x14ac:dyDescent="0.2">
      <c r="A456" s="24">
        <v>449</v>
      </c>
      <c r="B456" s="25"/>
      <c r="C456" s="26"/>
      <c r="D456" s="27"/>
      <c r="E456" s="28"/>
      <c r="F456" s="27"/>
      <c r="G456" s="27"/>
      <c r="H456" s="29" t="s">
        <v>125</v>
      </c>
      <c r="I456" s="28"/>
    </row>
    <row r="457" spans="1:9" s="20" customFormat="1" ht="33" customHeight="1" x14ac:dyDescent="0.2">
      <c r="A457" s="24">
        <v>450</v>
      </c>
      <c r="B457" s="25"/>
      <c r="C457" s="26"/>
      <c r="D457" s="27"/>
      <c r="E457" s="28"/>
      <c r="F457" s="27"/>
      <c r="G457" s="27"/>
      <c r="H457" s="29" t="s">
        <v>125</v>
      </c>
      <c r="I457" s="28"/>
    </row>
    <row r="458" spans="1:9" s="20" customFormat="1" ht="33" customHeight="1" x14ac:dyDescent="0.2">
      <c r="A458" s="24">
        <v>451</v>
      </c>
      <c r="B458" s="25"/>
      <c r="C458" s="26"/>
      <c r="D458" s="27"/>
      <c r="E458" s="28"/>
      <c r="F458" s="27"/>
      <c r="G458" s="27"/>
      <c r="H458" s="29" t="s">
        <v>125</v>
      </c>
      <c r="I458" s="28"/>
    </row>
    <row r="459" spans="1:9" s="20" customFormat="1" ht="33" customHeight="1" x14ac:dyDescent="0.2">
      <c r="A459" s="24">
        <v>452</v>
      </c>
      <c r="B459" s="25"/>
      <c r="C459" s="26"/>
      <c r="D459" s="27"/>
      <c r="E459" s="28"/>
      <c r="F459" s="27"/>
      <c r="G459" s="27"/>
      <c r="H459" s="29" t="s">
        <v>125</v>
      </c>
      <c r="I459" s="28"/>
    </row>
    <row r="460" spans="1:9" s="20" customFormat="1" ht="33" customHeight="1" x14ac:dyDescent="0.2">
      <c r="A460" s="24">
        <v>453</v>
      </c>
      <c r="B460" s="25"/>
      <c r="C460" s="26"/>
      <c r="D460" s="27"/>
      <c r="E460" s="28"/>
      <c r="F460" s="27"/>
      <c r="G460" s="27"/>
      <c r="H460" s="29" t="s">
        <v>125</v>
      </c>
      <c r="I460" s="28"/>
    </row>
    <row r="461" spans="1:9" s="20" customFormat="1" ht="33" customHeight="1" x14ac:dyDescent="0.2">
      <c r="A461" s="24">
        <v>454</v>
      </c>
      <c r="B461" s="25"/>
      <c r="C461" s="26"/>
      <c r="D461" s="27"/>
      <c r="E461" s="28"/>
      <c r="F461" s="27"/>
      <c r="G461" s="27"/>
      <c r="H461" s="29" t="s">
        <v>125</v>
      </c>
      <c r="I461" s="28"/>
    </row>
    <row r="462" spans="1:9" s="20" customFormat="1" ht="33" customHeight="1" x14ac:dyDescent="0.2">
      <c r="A462" s="24">
        <v>455</v>
      </c>
      <c r="B462" s="25"/>
      <c r="C462" s="26"/>
      <c r="D462" s="27"/>
      <c r="E462" s="28"/>
      <c r="F462" s="27"/>
      <c r="G462" s="27"/>
      <c r="H462" s="29" t="s">
        <v>125</v>
      </c>
      <c r="I462" s="28"/>
    </row>
    <row r="463" spans="1:9" s="20" customFormat="1" ht="33" customHeight="1" x14ac:dyDescent="0.2">
      <c r="A463" s="24">
        <v>456</v>
      </c>
      <c r="B463" s="25"/>
      <c r="C463" s="26"/>
      <c r="D463" s="27"/>
      <c r="E463" s="28"/>
      <c r="F463" s="27"/>
      <c r="G463" s="27"/>
      <c r="H463" s="29" t="s">
        <v>125</v>
      </c>
      <c r="I463" s="28"/>
    </row>
    <row r="464" spans="1:9" s="20" customFormat="1" ht="33" customHeight="1" x14ac:dyDescent="0.2">
      <c r="A464" s="24">
        <v>457</v>
      </c>
      <c r="B464" s="25"/>
      <c r="C464" s="26"/>
      <c r="D464" s="27"/>
      <c r="E464" s="28"/>
      <c r="F464" s="27"/>
      <c r="G464" s="27"/>
      <c r="H464" s="29" t="s">
        <v>125</v>
      </c>
      <c r="I464" s="28"/>
    </row>
    <row r="465" spans="1:9" s="20" customFormat="1" ht="33" customHeight="1" x14ac:dyDescent="0.2">
      <c r="A465" s="24">
        <v>458</v>
      </c>
      <c r="B465" s="25"/>
      <c r="C465" s="26"/>
      <c r="D465" s="27"/>
      <c r="E465" s="28"/>
      <c r="F465" s="27"/>
      <c r="G465" s="27"/>
      <c r="H465" s="29" t="s">
        <v>125</v>
      </c>
      <c r="I465" s="28"/>
    </row>
    <row r="466" spans="1:9" ht="21.75" customHeight="1" x14ac:dyDescent="0.2">
      <c r="A466" s="24">
        <v>459</v>
      </c>
      <c r="B466" s="25"/>
      <c r="C466" s="26"/>
      <c r="D466" s="27"/>
      <c r="E466" s="28"/>
      <c r="F466" s="27"/>
      <c r="G466" s="27"/>
      <c r="H466" s="29" t="s">
        <v>125</v>
      </c>
      <c r="I466" s="28"/>
    </row>
    <row r="467" spans="1:9" ht="21.75" customHeight="1" x14ac:dyDescent="0.2">
      <c r="A467" s="24">
        <v>460</v>
      </c>
      <c r="B467" s="25"/>
      <c r="C467" s="26"/>
      <c r="D467" s="27"/>
      <c r="E467" s="28"/>
      <c r="F467" s="27"/>
      <c r="G467" s="27"/>
      <c r="H467" s="29" t="s">
        <v>125</v>
      </c>
      <c r="I467" s="28"/>
    </row>
    <row r="468" spans="1:9" ht="21.75" customHeight="1" x14ac:dyDescent="0.2">
      <c r="A468" s="24">
        <v>461</v>
      </c>
      <c r="B468" s="25"/>
      <c r="C468" s="26"/>
      <c r="D468" s="27"/>
      <c r="E468" s="28"/>
      <c r="F468" s="27"/>
      <c r="G468" s="27"/>
      <c r="H468" s="29" t="s">
        <v>125</v>
      </c>
      <c r="I468" s="28"/>
    </row>
    <row r="469" spans="1:9" ht="21.75" customHeight="1" x14ac:dyDescent="0.2">
      <c r="A469" s="24">
        <v>462</v>
      </c>
      <c r="B469" s="25"/>
      <c r="C469" s="26"/>
      <c r="D469" s="27"/>
      <c r="E469" s="28"/>
      <c r="F469" s="27"/>
      <c r="G469" s="27"/>
      <c r="H469" s="29" t="s">
        <v>125</v>
      </c>
      <c r="I469" s="28"/>
    </row>
    <row r="470" spans="1:9" ht="21.75" customHeight="1" x14ac:dyDescent="0.2">
      <c r="A470" s="24">
        <v>463</v>
      </c>
      <c r="B470" s="25"/>
      <c r="C470" s="26"/>
      <c r="D470" s="27"/>
      <c r="E470" s="28"/>
      <c r="F470" s="27"/>
      <c r="G470" s="27"/>
      <c r="H470" s="29" t="s">
        <v>125</v>
      </c>
      <c r="I470" s="28"/>
    </row>
    <row r="471" spans="1:9" ht="21.75" customHeight="1" x14ac:dyDescent="0.2">
      <c r="A471" s="24">
        <v>464</v>
      </c>
      <c r="B471" s="25"/>
      <c r="C471" s="26"/>
      <c r="D471" s="27"/>
      <c r="E471" s="28"/>
      <c r="F471" s="27"/>
      <c r="G471" s="27"/>
      <c r="H471" s="29" t="s">
        <v>125</v>
      </c>
      <c r="I471" s="28"/>
    </row>
    <row r="472" spans="1:9" ht="21.75" customHeight="1" x14ac:dyDescent="0.2">
      <c r="A472" s="24">
        <v>465</v>
      </c>
      <c r="B472" s="25"/>
      <c r="C472" s="26"/>
      <c r="D472" s="27"/>
      <c r="E472" s="28"/>
      <c r="F472" s="27"/>
      <c r="G472" s="27"/>
      <c r="H472" s="29" t="s">
        <v>125</v>
      </c>
      <c r="I472" s="28"/>
    </row>
    <row r="473" spans="1:9" ht="21.75" customHeight="1" x14ac:dyDescent="0.2">
      <c r="A473" s="24">
        <v>466</v>
      </c>
      <c r="B473" s="25"/>
      <c r="C473" s="26"/>
      <c r="D473" s="27"/>
      <c r="E473" s="28"/>
      <c r="F473" s="27"/>
      <c r="G473" s="27"/>
      <c r="H473" s="29" t="s">
        <v>125</v>
      </c>
      <c r="I473" s="28"/>
    </row>
    <row r="474" spans="1:9" ht="21.75" customHeight="1" x14ac:dyDescent="0.2">
      <c r="A474" s="24">
        <v>467</v>
      </c>
      <c r="B474" s="25"/>
      <c r="C474" s="26"/>
      <c r="D474" s="27"/>
      <c r="E474" s="28"/>
      <c r="F474" s="27"/>
      <c r="G474" s="27"/>
      <c r="H474" s="29" t="s">
        <v>125</v>
      </c>
      <c r="I474" s="28"/>
    </row>
    <row r="475" spans="1:9" ht="21.75" customHeight="1" x14ac:dyDescent="0.2">
      <c r="A475" s="24">
        <v>468</v>
      </c>
      <c r="B475" s="25"/>
      <c r="C475" s="26"/>
      <c r="D475" s="27"/>
      <c r="E475" s="28"/>
      <c r="F475" s="27"/>
      <c r="G475" s="27"/>
      <c r="H475" s="29" t="s">
        <v>125</v>
      </c>
      <c r="I475" s="28"/>
    </row>
    <row r="476" spans="1:9" ht="21.75" customHeight="1" x14ac:dyDescent="0.2">
      <c r="A476" s="24">
        <v>469</v>
      </c>
      <c r="B476" s="25"/>
      <c r="C476" s="26"/>
      <c r="D476" s="27"/>
      <c r="E476" s="28"/>
      <c r="F476" s="27"/>
      <c r="G476" s="27"/>
      <c r="H476" s="29" t="s">
        <v>125</v>
      </c>
      <c r="I476" s="28"/>
    </row>
    <row r="477" spans="1:9" ht="21.75" customHeight="1" x14ac:dyDescent="0.2">
      <c r="A477" s="24">
        <v>470</v>
      </c>
      <c r="B477" s="25"/>
      <c r="C477" s="26"/>
      <c r="D477" s="27"/>
      <c r="E477" s="28"/>
      <c r="F477" s="27"/>
      <c r="G477" s="27"/>
      <c r="H477" s="29" t="s">
        <v>125</v>
      </c>
      <c r="I477" s="28"/>
    </row>
    <row r="478" spans="1:9" ht="21.75" customHeight="1" x14ac:dyDescent="0.2">
      <c r="A478" s="24">
        <v>471</v>
      </c>
      <c r="B478" s="25"/>
      <c r="C478" s="26"/>
      <c r="D478" s="27"/>
      <c r="E478" s="28"/>
      <c r="F478" s="27"/>
      <c r="G478" s="27"/>
      <c r="H478" s="29" t="s">
        <v>125</v>
      </c>
      <c r="I478" s="28"/>
    </row>
    <row r="479" spans="1:9" ht="21.75" customHeight="1" x14ac:dyDescent="0.2">
      <c r="A479" s="24">
        <v>472</v>
      </c>
      <c r="B479" s="25"/>
      <c r="C479" s="26"/>
      <c r="D479" s="27"/>
      <c r="E479" s="28"/>
      <c r="F479" s="27"/>
      <c r="G479" s="27"/>
      <c r="H479" s="29" t="s">
        <v>125</v>
      </c>
      <c r="I479" s="28"/>
    </row>
    <row r="480" spans="1:9" ht="21.75" customHeight="1" x14ac:dyDescent="0.2">
      <c r="A480" s="24">
        <v>473</v>
      </c>
      <c r="B480" s="25"/>
      <c r="C480" s="26"/>
      <c r="D480" s="27"/>
      <c r="E480" s="28"/>
      <c r="F480" s="27"/>
      <c r="G480" s="27"/>
      <c r="H480" s="29" t="s">
        <v>125</v>
      </c>
      <c r="I480" s="28"/>
    </row>
    <row r="481" spans="1:9" ht="21.75" customHeight="1" x14ac:dyDescent="0.2">
      <c r="A481" s="24">
        <v>474</v>
      </c>
      <c r="B481" s="25"/>
      <c r="C481" s="26"/>
      <c r="D481" s="27"/>
      <c r="E481" s="28"/>
      <c r="F481" s="27"/>
      <c r="G481" s="27"/>
      <c r="H481" s="29" t="s">
        <v>125</v>
      </c>
      <c r="I481" s="28"/>
    </row>
    <row r="482" spans="1:9" ht="21.75" customHeight="1" x14ac:dyDescent="0.2">
      <c r="A482" s="24">
        <v>475</v>
      </c>
      <c r="B482" s="25"/>
      <c r="C482" s="26"/>
      <c r="D482" s="27"/>
      <c r="E482" s="28"/>
      <c r="F482" s="27"/>
      <c r="G482" s="27"/>
      <c r="H482" s="29" t="s">
        <v>125</v>
      </c>
      <c r="I482" s="28"/>
    </row>
    <row r="483" spans="1:9" ht="21.75" customHeight="1" x14ac:dyDescent="0.2">
      <c r="A483" s="24">
        <v>476</v>
      </c>
      <c r="B483" s="25"/>
      <c r="C483" s="26"/>
      <c r="D483" s="27"/>
      <c r="E483" s="28"/>
      <c r="F483" s="27"/>
      <c r="G483" s="27"/>
      <c r="H483" s="29" t="s">
        <v>125</v>
      </c>
      <c r="I483" s="28"/>
    </row>
    <row r="484" spans="1:9" ht="21.75" customHeight="1" x14ac:dyDescent="0.2">
      <c r="A484" s="24">
        <v>477</v>
      </c>
      <c r="B484" s="25"/>
      <c r="C484" s="26"/>
      <c r="D484" s="27"/>
      <c r="E484" s="28"/>
      <c r="F484" s="27"/>
      <c r="G484" s="27"/>
      <c r="H484" s="29" t="s">
        <v>125</v>
      </c>
      <c r="I484" s="28"/>
    </row>
    <row r="485" spans="1:9" ht="21.75" customHeight="1" x14ac:dyDescent="0.2">
      <c r="A485" s="24">
        <v>478</v>
      </c>
      <c r="B485" s="25"/>
      <c r="C485" s="26"/>
      <c r="D485" s="27"/>
      <c r="E485" s="28"/>
      <c r="F485" s="27"/>
      <c r="G485" s="27"/>
      <c r="H485" s="29" t="s">
        <v>125</v>
      </c>
      <c r="I485" s="28"/>
    </row>
    <row r="486" spans="1:9" ht="21.75" customHeight="1" x14ac:dyDescent="0.2">
      <c r="A486" s="24">
        <v>479</v>
      </c>
      <c r="B486" s="25"/>
      <c r="C486" s="26"/>
      <c r="D486" s="27"/>
      <c r="E486" s="28"/>
      <c r="F486" s="27"/>
      <c r="G486" s="27"/>
      <c r="H486" s="29" t="s">
        <v>125</v>
      </c>
      <c r="I486" s="28"/>
    </row>
    <row r="487" spans="1:9" ht="21.75" customHeight="1" x14ac:dyDescent="0.2">
      <c r="A487" s="24">
        <v>480</v>
      </c>
      <c r="B487" s="25"/>
      <c r="C487" s="26"/>
      <c r="D487" s="27"/>
      <c r="E487" s="28"/>
      <c r="F487" s="27"/>
      <c r="G487" s="27"/>
      <c r="H487" s="29" t="s">
        <v>125</v>
      </c>
      <c r="I487" s="28"/>
    </row>
    <row r="488" spans="1:9" ht="21.75" customHeight="1" x14ac:dyDescent="0.2">
      <c r="A488" s="24">
        <v>481</v>
      </c>
      <c r="B488" s="30"/>
      <c r="C488" s="31"/>
      <c r="D488" s="32"/>
      <c r="E488" s="33"/>
      <c r="F488" s="32"/>
      <c r="G488" s="32"/>
      <c r="H488" s="34" t="s">
        <v>125</v>
      </c>
      <c r="I488" s="33"/>
    </row>
    <row r="489" spans="1:9" ht="21.75" customHeight="1" x14ac:dyDescent="0.2">
      <c r="A489" s="24">
        <v>482</v>
      </c>
      <c r="B489" s="25"/>
      <c r="C489" s="26"/>
      <c r="D489" s="27"/>
      <c r="E489" s="28"/>
      <c r="F489" s="27"/>
      <c r="G489" s="27"/>
      <c r="H489" s="29" t="s">
        <v>125</v>
      </c>
      <c r="I489" s="28"/>
    </row>
    <row r="490" spans="1:9" ht="21.75" customHeight="1" x14ac:dyDescent="0.2">
      <c r="A490" s="24">
        <v>483</v>
      </c>
      <c r="B490" s="25"/>
      <c r="C490" s="26"/>
      <c r="D490" s="27"/>
      <c r="E490" s="28"/>
      <c r="F490" s="27"/>
      <c r="G490" s="27"/>
      <c r="H490" s="29" t="s">
        <v>125</v>
      </c>
      <c r="I490" s="28"/>
    </row>
    <row r="491" spans="1:9" ht="21.75" customHeight="1" x14ac:dyDescent="0.2">
      <c r="A491" s="24">
        <v>484</v>
      </c>
      <c r="B491" s="25"/>
      <c r="C491" s="26"/>
      <c r="D491" s="27"/>
      <c r="E491" s="28"/>
      <c r="F491" s="27"/>
      <c r="G491" s="27"/>
      <c r="H491" s="29" t="s">
        <v>125</v>
      </c>
      <c r="I491" s="28"/>
    </row>
    <row r="492" spans="1:9" ht="21.75" customHeight="1" x14ac:dyDescent="0.2">
      <c r="A492" s="24">
        <v>485</v>
      </c>
      <c r="B492" s="25"/>
      <c r="C492" s="26"/>
      <c r="D492" s="27"/>
      <c r="E492" s="28"/>
      <c r="F492" s="27"/>
      <c r="G492" s="27"/>
      <c r="H492" s="29" t="s">
        <v>125</v>
      </c>
      <c r="I492" s="28"/>
    </row>
    <row r="493" spans="1:9" ht="21.75" customHeight="1" x14ac:dyDescent="0.2">
      <c r="A493" s="24">
        <v>486</v>
      </c>
      <c r="B493" s="25"/>
      <c r="C493" s="26"/>
      <c r="D493" s="27"/>
      <c r="E493" s="28"/>
      <c r="F493" s="27"/>
      <c r="G493" s="27"/>
      <c r="H493" s="29" t="s">
        <v>125</v>
      </c>
      <c r="I493" s="28"/>
    </row>
    <row r="494" spans="1:9" ht="21.75" customHeight="1" x14ac:dyDescent="0.2">
      <c r="A494" s="24">
        <v>487</v>
      </c>
      <c r="B494" s="25"/>
      <c r="C494" s="26"/>
      <c r="D494" s="27"/>
      <c r="E494" s="28"/>
      <c r="F494" s="27"/>
      <c r="G494" s="27"/>
      <c r="H494" s="29" t="s">
        <v>125</v>
      </c>
      <c r="I494" s="28"/>
    </row>
    <row r="495" spans="1:9" ht="21.75" customHeight="1" x14ac:dyDescent="0.2">
      <c r="A495" s="24">
        <v>488</v>
      </c>
      <c r="B495" s="25"/>
      <c r="C495" s="26"/>
      <c r="D495" s="27"/>
      <c r="E495" s="28"/>
      <c r="F495" s="27"/>
      <c r="G495" s="27"/>
      <c r="H495" s="29" t="s">
        <v>125</v>
      </c>
      <c r="I495" s="28"/>
    </row>
    <row r="496" spans="1:9" ht="21.75" customHeight="1" x14ac:dyDescent="0.2">
      <c r="A496" s="24">
        <v>489</v>
      </c>
      <c r="B496" s="25"/>
      <c r="C496" s="26"/>
      <c r="D496" s="27"/>
      <c r="E496" s="28"/>
      <c r="F496" s="27"/>
      <c r="G496" s="27"/>
      <c r="H496" s="29" t="s">
        <v>125</v>
      </c>
      <c r="I496" s="28"/>
    </row>
    <row r="497" spans="1:9" ht="21.75" customHeight="1" x14ac:dyDescent="0.2">
      <c r="A497" s="24">
        <v>490</v>
      </c>
      <c r="B497" s="25"/>
      <c r="C497" s="26"/>
      <c r="D497" s="27"/>
      <c r="E497" s="28"/>
      <c r="F497" s="27"/>
      <c r="G497" s="27"/>
      <c r="H497" s="29" t="s">
        <v>125</v>
      </c>
      <c r="I497" s="28"/>
    </row>
    <row r="498" spans="1:9" ht="21.75" customHeight="1" x14ac:dyDescent="0.2">
      <c r="A498" s="24">
        <v>491</v>
      </c>
      <c r="B498" s="25"/>
      <c r="C498" s="26"/>
      <c r="D498" s="27"/>
      <c r="E498" s="28"/>
      <c r="F498" s="27"/>
      <c r="G498" s="27"/>
      <c r="H498" s="29" t="s">
        <v>125</v>
      </c>
      <c r="I498" s="28"/>
    </row>
    <row r="499" spans="1:9" ht="21.75" customHeight="1" x14ac:dyDescent="0.2">
      <c r="A499" s="24">
        <v>492</v>
      </c>
      <c r="B499" s="25"/>
      <c r="C499" s="26"/>
      <c r="D499" s="27"/>
      <c r="E499" s="28"/>
      <c r="F499" s="27"/>
      <c r="G499" s="27"/>
      <c r="H499" s="29" t="s">
        <v>125</v>
      </c>
      <c r="I499" s="28"/>
    </row>
    <row r="500" spans="1:9" ht="21.75" customHeight="1" x14ac:dyDescent="0.2">
      <c r="A500" s="24">
        <v>493</v>
      </c>
      <c r="B500" s="25"/>
      <c r="C500" s="26"/>
      <c r="D500" s="27"/>
      <c r="E500" s="28"/>
      <c r="F500" s="27"/>
      <c r="G500" s="27"/>
      <c r="H500" s="29" t="s">
        <v>125</v>
      </c>
      <c r="I500" s="28"/>
    </row>
    <row r="501" spans="1:9" ht="21.75" customHeight="1" x14ac:dyDescent="0.2">
      <c r="A501" s="24">
        <v>494</v>
      </c>
      <c r="B501" s="25"/>
      <c r="C501" s="26"/>
      <c r="D501" s="27"/>
      <c r="E501" s="28"/>
      <c r="F501" s="27"/>
      <c r="G501" s="27"/>
      <c r="H501" s="29" t="s">
        <v>125</v>
      </c>
      <c r="I501" s="28"/>
    </row>
    <row r="502" spans="1:9" ht="21.75" customHeight="1" x14ac:dyDescent="0.2">
      <c r="A502" s="24">
        <v>495</v>
      </c>
      <c r="B502" s="25"/>
      <c r="C502" s="26"/>
      <c r="D502" s="27"/>
      <c r="E502" s="28"/>
      <c r="F502" s="27"/>
      <c r="G502" s="27"/>
      <c r="H502" s="29" t="s">
        <v>125</v>
      </c>
      <c r="I502" s="28"/>
    </row>
    <row r="503" spans="1:9" ht="21.75" customHeight="1" x14ac:dyDescent="0.2">
      <c r="A503" s="24">
        <v>496</v>
      </c>
      <c r="B503" s="25"/>
      <c r="C503" s="26"/>
      <c r="D503" s="27"/>
      <c r="E503" s="28"/>
      <c r="F503" s="27"/>
      <c r="G503" s="27"/>
      <c r="H503" s="29" t="s">
        <v>125</v>
      </c>
      <c r="I503" s="28"/>
    </row>
    <row r="504" spans="1:9" ht="21.75" customHeight="1" x14ac:dyDescent="0.2">
      <c r="A504" s="24">
        <v>497</v>
      </c>
      <c r="B504" s="25"/>
      <c r="C504" s="26"/>
      <c r="D504" s="27"/>
      <c r="E504" s="28"/>
      <c r="F504" s="27"/>
      <c r="G504" s="27"/>
      <c r="H504" s="29" t="s">
        <v>125</v>
      </c>
      <c r="I504" s="28"/>
    </row>
    <row r="505" spans="1:9" ht="21.75" customHeight="1" x14ac:dyDescent="0.2">
      <c r="A505" s="24">
        <v>498</v>
      </c>
      <c r="B505" s="25"/>
      <c r="C505" s="26"/>
      <c r="D505" s="27"/>
      <c r="E505" s="28"/>
      <c r="F505" s="27"/>
      <c r="G505" s="27"/>
      <c r="H505" s="29" t="s">
        <v>125</v>
      </c>
      <c r="I505" s="28"/>
    </row>
    <row r="506" spans="1:9" ht="21.75" customHeight="1" x14ac:dyDescent="0.2">
      <c r="A506" s="24">
        <v>499</v>
      </c>
      <c r="B506" s="25"/>
      <c r="C506" s="26"/>
      <c r="D506" s="27"/>
      <c r="E506" s="28"/>
      <c r="F506" s="27"/>
      <c r="G506" s="27"/>
      <c r="H506" s="29" t="s">
        <v>125</v>
      </c>
      <c r="I506" s="28"/>
    </row>
    <row r="507" spans="1:9" ht="21.75" customHeight="1" x14ac:dyDescent="0.2">
      <c r="A507" s="24">
        <v>500</v>
      </c>
      <c r="B507" s="25"/>
      <c r="C507" s="26"/>
      <c r="D507" s="27"/>
      <c r="E507" s="28"/>
      <c r="F507" s="27"/>
      <c r="G507" s="27"/>
      <c r="H507" s="29" t="s">
        <v>125</v>
      </c>
      <c r="I507" s="28"/>
    </row>
    <row r="508" spans="1:9" ht="21.75" customHeight="1" x14ac:dyDescent="0.2">
      <c r="A508" s="24">
        <v>501</v>
      </c>
      <c r="B508" s="25"/>
      <c r="C508" s="26"/>
      <c r="D508" s="27"/>
      <c r="E508" s="28"/>
      <c r="F508" s="27"/>
      <c r="G508" s="27"/>
      <c r="H508" s="29" t="s">
        <v>125</v>
      </c>
      <c r="I508" s="28"/>
    </row>
    <row r="509" spans="1:9" ht="21.75" customHeight="1" x14ac:dyDescent="0.2">
      <c r="A509" s="24">
        <v>502</v>
      </c>
      <c r="B509" s="25"/>
      <c r="C509" s="26"/>
      <c r="D509" s="27"/>
      <c r="E509" s="28"/>
      <c r="F509" s="27"/>
      <c r="G509" s="27"/>
      <c r="H509" s="29" t="s">
        <v>125</v>
      </c>
      <c r="I509" s="28"/>
    </row>
    <row r="510" spans="1:9" ht="21.75" customHeight="1" x14ac:dyDescent="0.2">
      <c r="A510" s="24">
        <v>503</v>
      </c>
      <c r="B510" s="25"/>
      <c r="C510" s="26"/>
      <c r="D510" s="27"/>
      <c r="E510" s="28"/>
      <c r="F510" s="27"/>
      <c r="G510" s="27"/>
      <c r="H510" s="29" t="s">
        <v>125</v>
      </c>
      <c r="I510" s="28"/>
    </row>
    <row r="511" spans="1:9" ht="21.75" customHeight="1" x14ac:dyDescent="0.2">
      <c r="A511" s="24">
        <v>504</v>
      </c>
      <c r="B511" s="25"/>
      <c r="C511" s="26"/>
      <c r="D511" s="27"/>
      <c r="E511" s="28"/>
      <c r="F511" s="27"/>
      <c r="G511" s="27"/>
      <c r="H511" s="29" t="s">
        <v>125</v>
      </c>
      <c r="I511" s="28"/>
    </row>
    <row r="512" spans="1:9" ht="21.75" customHeight="1" x14ac:dyDescent="0.2">
      <c r="A512" s="24">
        <v>505</v>
      </c>
      <c r="B512" s="30"/>
      <c r="C512" s="31"/>
      <c r="D512" s="32"/>
      <c r="E512" s="33"/>
      <c r="F512" s="32"/>
      <c r="G512" s="32"/>
      <c r="H512" s="34" t="s">
        <v>125</v>
      </c>
      <c r="I512" s="33"/>
    </row>
    <row r="513" spans="1:9" s="20" customFormat="1" ht="33" customHeight="1" x14ac:dyDescent="0.2">
      <c r="A513" s="24">
        <v>506</v>
      </c>
      <c r="B513" s="25"/>
      <c r="C513" s="26"/>
      <c r="D513" s="27"/>
      <c r="E513" s="28"/>
      <c r="F513" s="27"/>
      <c r="G513" s="27"/>
      <c r="H513" s="29" t="s">
        <v>125</v>
      </c>
      <c r="I513" s="28"/>
    </row>
    <row r="514" spans="1:9" s="20" customFormat="1" ht="33" customHeight="1" x14ac:dyDescent="0.2">
      <c r="A514" s="24">
        <v>507</v>
      </c>
      <c r="B514" s="25"/>
      <c r="C514" s="26"/>
      <c r="D514" s="27"/>
      <c r="E514" s="28"/>
      <c r="F514" s="27"/>
      <c r="G514" s="27"/>
      <c r="H514" s="29" t="s">
        <v>125</v>
      </c>
      <c r="I514" s="28"/>
    </row>
    <row r="515" spans="1:9" s="20" customFormat="1" ht="33" customHeight="1" x14ac:dyDescent="0.2">
      <c r="A515" s="24">
        <v>508</v>
      </c>
      <c r="B515" s="25"/>
      <c r="C515" s="26"/>
      <c r="D515" s="27"/>
      <c r="E515" s="28"/>
      <c r="F515" s="27"/>
      <c r="G515" s="27"/>
      <c r="H515" s="29" t="s">
        <v>125</v>
      </c>
      <c r="I515" s="28"/>
    </row>
    <row r="516" spans="1:9" s="20" customFormat="1" ht="33" customHeight="1" x14ac:dyDescent="0.2">
      <c r="A516" s="24">
        <v>509</v>
      </c>
      <c r="B516" s="25"/>
      <c r="C516" s="26"/>
      <c r="D516" s="27"/>
      <c r="E516" s="28"/>
      <c r="F516" s="27"/>
      <c r="G516" s="27"/>
      <c r="H516" s="29" t="s">
        <v>125</v>
      </c>
      <c r="I516" s="28"/>
    </row>
    <row r="517" spans="1:9" s="20" customFormat="1" ht="33" customHeight="1" x14ac:dyDescent="0.2">
      <c r="A517" s="24">
        <v>510</v>
      </c>
      <c r="B517" s="25"/>
      <c r="C517" s="26"/>
      <c r="D517" s="27"/>
      <c r="E517" s="28"/>
      <c r="F517" s="27"/>
      <c r="G517" s="27"/>
      <c r="H517" s="29" t="s">
        <v>125</v>
      </c>
      <c r="I517" s="28"/>
    </row>
    <row r="518" spans="1:9" s="20" customFormat="1" ht="33" customHeight="1" x14ac:dyDescent="0.2">
      <c r="A518" s="24">
        <v>511</v>
      </c>
      <c r="B518" s="25"/>
      <c r="C518" s="26"/>
      <c r="D518" s="27"/>
      <c r="E518" s="28"/>
      <c r="F518" s="27"/>
      <c r="G518" s="27"/>
      <c r="H518" s="29" t="s">
        <v>125</v>
      </c>
      <c r="I518" s="28"/>
    </row>
    <row r="519" spans="1:9" s="20" customFormat="1" ht="33" customHeight="1" x14ac:dyDescent="0.2">
      <c r="A519" s="24">
        <v>512</v>
      </c>
      <c r="B519" s="25"/>
      <c r="C519" s="26"/>
      <c r="D519" s="27"/>
      <c r="E519" s="28"/>
      <c r="F519" s="27"/>
      <c r="G519" s="27"/>
      <c r="H519" s="29" t="s">
        <v>125</v>
      </c>
      <c r="I519" s="28"/>
    </row>
    <row r="520" spans="1:9" s="20" customFormat="1" ht="33" customHeight="1" x14ac:dyDescent="0.2">
      <c r="A520" s="24">
        <v>513</v>
      </c>
      <c r="B520" s="25"/>
      <c r="C520" s="26"/>
      <c r="D520" s="27"/>
      <c r="E520" s="28"/>
      <c r="F520" s="27"/>
      <c r="G520" s="27"/>
      <c r="H520" s="29" t="s">
        <v>125</v>
      </c>
      <c r="I520" s="28"/>
    </row>
    <row r="521" spans="1:9" s="20" customFormat="1" ht="33" customHeight="1" x14ac:dyDescent="0.2">
      <c r="A521" s="24">
        <v>514</v>
      </c>
      <c r="B521" s="25"/>
      <c r="C521" s="26"/>
      <c r="D521" s="27"/>
      <c r="E521" s="28"/>
      <c r="F521" s="27"/>
      <c r="G521" s="27"/>
      <c r="H521" s="29" t="s">
        <v>125</v>
      </c>
      <c r="I521" s="28"/>
    </row>
    <row r="522" spans="1:9" s="20" customFormat="1" ht="33" customHeight="1" x14ac:dyDescent="0.2">
      <c r="A522" s="24">
        <v>515</v>
      </c>
      <c r="B522" s="25"/>
      <c r="C522" s="26"/>
      <c r="D522" s="27"/>
      <c r="E522" s="28"/>
      <c r="F522" s="27"/>
      <c r="G522" s="27"/>
      <c r="H522" s="29" t="s">
        <v>125</v>
      </c>
      <c r="I522" s="28"/>
    </row>
    <row r="523" spans="1:9" s="20" customFormat="1" ht="33" customHeight="1" x14ac:dyDescent="0.2">
      <c r="A523" s="24">
        <v>516</v>
      </c>
      <c r="B523" s="25"/>
      <c r="C523" s="26"/>
      <c r="D523" s="27"/>
      <c r="E523" s="28"/>
      <c r="F523" s="27"/>
      <c r="G523" s="27"/>
      <c r="H523" s="29" t="s">
        <v>125</v>
      </c>
      <c r="I523" s="28"/>
    </row>
    <row r="524" spans="1:9" s="20" customFormat="1" ht="33" customHeight="1" x14ac:dyDescent="0.2">
      <c r="A524" s="24">
        <v>517</v>
      </c>
      <c r="B524" s="25"/>
      <c r="C524" s="26"/>
      <c r="D524" s="27"/>
      <c r="E524" s="28"/>
      <c r="F524" s="27"/>
      <c r="G524" s="27"/>
      <c r="H524" s="29" t="s">
        <v>125</v>
      </c>
      <c r="I524" s="28"/>
    </row>
    <row r="525" spans="1:9" s="20" customFormat="1" ht="33" customHeight="1" x14ac:dyDescent="0.2">
      <c r="A525" s="24">
        <v>518</v>
      </c>
      <c r="B525" s="25"/>
      <c r="C525" s="26"/>
      <c r="D525" s="27"/>
      <c r="E525" s="28"/>
      <c r="F525" s="27"/>
      <c r="G525" s="27"/>
      <c r="H525" s="29" t="s">
        <v>125</v>
      </c>
      <c r="I525" s="28"/>
    </row>
    <row r="526" spans="1:9" s="20" customFormat="1" ht="33" customHeight="1" x14ac:dyDescent="0.2">
      <c r="A526" s="24">
        <v>519</v>
      </c>
      <c r="B526" s="25"/>
      <c r="C526" s="26"/>
      <c r="D526" s="27"/>
      <c r="E526" s="28"/>
      <c r="F526" s="27"/>
      <c r="G526" s="27"/>
      <c r="H526" s="29" t="s">
        <v>125</v>
      </c>
      <c r="I526" s="28"/>
    </row>
    <row r="527" spans="1:9" s="20" customFormat="1" ht="33" customHeight="1" x14ac:dyDescent="0.2">
      <c r="A527" s="24">
        <v>520</v>
      </c>
      <c r="B527" s="25"/>
      <c r="C527" s="26"/>
      <c r="D527" s="27"/>
      <c r="E527" s="28"/>
      <c r="F527" s="27"/>
      <c r="G527" s="27"/>
      <c r="H527" s="29" t="s">
        <v>125</v>
      </c>
      <c r="I527" s="28"/>
    </row>
    <row r="528" spans="1:9" s="20" customFormat="1" ht="33" customHeight="1" x14ac:dyDescent="0.2">
      <c r="A528" s="24">
        <v>521</v>
      </c>
      <c r="B528" s="25"/>
      <c r="C528" s="26"/>
      <c r="D528" s="27"/>
      <c r="E528" s="28"/>
      <c r="F528" s="27"/>
      <c r="G528" s="27"/>
      <c r="H528" s="29" t="s">
        <v>125</v>
      </c>
      <c r="I528" s="28"/>
    </row>
    <row r="529" spans="1:9" s="20" customFormat="1" ht="33" customHeight="1" x14ac:dyDescent="0.2">
      <c r="A529" s="24">
        <v>522</v>
      </c>
      <c r="B529" s="25"/>
      <c r="C529" s="26"/>
      <c r="D529" s="27"/>
      <c r="E529" s="28"/>
      <c r="F529" s="27"/>
      <c r="G529" s="27"/>
      <c r="H529" s="29" t="s">
        <v>125</v>
      </c>
      <c r="I529" s="28"/>
    </row>
    <row r="530" spans="1:9" s="20" customFormat="1" ht="33" customHeight="1" x14ac:dyDescent="0.2">
      <c r="A530" s="24">
        <v>523</v>
      </c>
      <c r="B530" s="25"/>
      <c r="C530" s="26"/>
      <c r="D530" s="27"/>
      <c r="E530" s="28"/>
      <c r="F530" s="27"/>
      <c r="G530" s="27"/>
      <c r="H530" s="29" t="s">
        <v>125</v>
      </c>
      <c r="I530" s="28"/>
    </row>
    <row r="531" spans="1:9" s="20" customFormat="1" ht="33" customHeight="1" x14ac:dyDescent="0.2">
      <c r="A531" s="24">
        <v>524</v>
      </c>
      <c r="B531" s="25"/>
      <c r="C531" s="26"/>
      <c r="D531" s="27"/>
      <c r="E531" s="28"/>
      <c r="F531" s="27"/>
      <c r="G531" s="27"/>
      <c r="H531" s="29" t="s">
        <v>125</v>
      </c>
      <c r="I531" s="28"/>
    </row>
    <row r="532" spans="1:9" s="20" customFormat="1" ht="33" customHeight="1" x14ac:dyDescent="0.2">
      <c r="A532" s="24">
        <v>525</v>
      </c>
      <c r="B532" s="25"/>
      <c r="C532" s="26"/>
      <c r="D532" s="27"/>
      <c r="E532" s="28"/>
      <c r="F532" s="27"/>
      <c r="G532" s="27"/>
      <c r="H532" s="29" t="s">
        <v>125</v>
      </c>
      <c r="I532" s="28"/>
    </row>
    <row r="533" spans="1:9" s="20" customFormat="1" ht="33" customHeight="1" x14ac:dyDescent="0.2">
      <c r="A533" s="24">
        <v>526</v>
      </c>
      <c r="B533" s="25"/>
      <c r="C533" s="26"/>
      <c r="D533" s="27"/>
      <c r="E533" s="28"/>
      <c r="F533" s="27"/>
      <c r="G533" s="27"/>
      <c r="H533" s="29" t="s">
        <v>125</v>
      </c>
      <c r="I533" s="28"/>
    </row>
    <row r="534" spans="1:9" s="20" customFormat="1" ht="33" customHeight="1" x14ac:dyDescent="0.2">
      <c r="A534" s="24">
        <v>527</v>
      </c>
      <c r="B534" s="25"/>
      <c r="C534" s="26"/>
      <c r="D534" s="27"/>
      <c r="E534" s="28"/>
      <c r="F534" s="27"/>
      <c r="G534" s="27"/>
      <c r="H534" s="29" t="s">
        <v>125</v>
      </c>
      <c r="I534" s="28"/>
    </row>
    <row r="535" spans="1:9" s="20" customFormat="1" ht="33" customHeight="1" x14ac:dyDescent="0.2">
      <c r="A535" s="24">
        <v>528</v>
      </c>
      <c r="B535" s="25"/>
      <c r="C535" s="26"/>
      <c r="D535" s="27"/>
      <c r="E535" s="28"/>
      <c r="F535" s="27"/>
      <c r="G535" s="27"/>
      <c r="H535" s="29" t="s">
        <v>125</v>
      </c>
      <c r="I535" s="28"/>
    </row>
    <row r="536" spans="1:9" s="20" customFormat="1" ht="33" customHeight="1" x14ac:dyDescent="0.2">
      <c r="A536" s="24">
        <v>529</v>
      </c>
      <c r="B536" s="25"/>
      <c r="C536" s="26"/>
      <c r="D536" s="27"/>
      <c r="E536" s="28"/>
      <c r="F536" s="27"/>
      <c r="G536" s="27"/>
      <c r="H536" s="29" t="s">
        <v>125</v>
      </c>
      <c r="I536" s="28"/>
    </row>
    <row r="537" spans="1:9" s="20" customFormat="1" ht="33" customHeight="1" x14ac:dyDescent="0.2">
      <c r="A537" s="24">
        <v>530</v>
      </c>
      <c r="B537" s="25"/>
      <c r="C537" s="26"/>
      <c r="D537" s="27"/>
      <c r="E537" s="28"/>
      <c r="F537" s="27"/>
      <c r="G537" s="27"/>
      <c r="H537" s="29" t="s">
        <v>125</v>
      </c>
      <c r="I537" s="28"/>
    </row>
    <row r="538" spans="1:9" s="20" customFormat="1" ht="33" customHeight="1" x14ac:dyDescent="0.2">
      <c r="A538" s="24">
        <v>531</v>
      </c>
      <c r="B538" s="25"/>
      <c r="C538" s="26"/>
      <c r="D538" s="27"/>
      <c r="E538" s="28"/>
      <c r="F538" s="27"/>
      <c r="G538" s="27"/>
      <c r="H538" s="29" t="s">
        <v>125</v>
      </c>
      <c r="I538" s="28"/>
    </row>
    <row r="539" spans="1:9" s="20" customFormat="1" ht="33" customHeight="1" x14ac:dyDescent="0.2">
      <c r="A539" s="24">
        <v>532</v>
      </c>
      <c r="B539" s="25"/>
      <c r="C539" s="26"/>
      <c r="D539" s="27"/>
      <c r="E539" s="28"/>
      <c r="F539" s="27"/>
      <c r="G539" s="27"/>
      <c r="H539" s="29" t="s">
        <v>125</v>
      </c>
      <c r="I539" s="28"/>
    </row>
    <row r="540" spans="1:9" s="20" customFormat="1" ht="33" customHeight="1" x14ac:dyDescent="0.2">
      <c r="A540" s="24">
        <v>533</v>
      </c>
      <c r="B540" s="25"/>
      <c r="C540" s="26"/>
      <c r="D540" s="27"/>
      <c r="E540" s="28"/>
      <c r="F540" s="27"/>
      <c r="G540" s="27"/>
      <c r="H540" s="29" t="s">
        <v>125</v>
      </c>
      <c r="I540" s="28"/>
    </row>
    <row r="541" spans="1:9" s="20" customFormat="1" ht="33" customHeight="1" x14ac:dyDescent="0.2">
      <c r="A541" s="24">
        <v>534</v>
      </c>
      <c r="B541" s="25"/>
      <c r="C541" s="26"/>
      <c r="D541" s="27"/>
      <c r="E541" s="28"/>
      <c r="F541" s="27"/>
      <c r="G541" s="27"/>
      <c r="H541" s="29" t="s">
        <v>125</v>
      </c>
      <c r="I541" s="28"/>
    </row>
    <row r="542" spans="1:9" s="20" customFormat="1" ht="33" customHeight="1" x14ac:dyDescent="0.2">
      <c r="A542" s="24">
        <v>535</v>
      </c>
      <c r="B542" s="25"/>
      <c r="C542" s="26"/>
      <c r="D542" s="27"/>
      <c r="E542" s="28"/>
      <c r="F542" s="27"/>
      <c r="G542" s="27"/>
      <c r="H542" s="29" t="s">
        <v>125</v>
      </c>
      <c r="I542" s="28"/>
    </row>
    <row r="543" spans="1:9" s="20" customFormat="1" ht="33" customHeight="1" x14ac:dyDescent="0.2">
      <c r="A543" s="24">
        <v>536</v>
      </c>
      <c r="B543" s="25"/>
      <c r="C543" s="26"/>
      <c r="D543" s="27"/>
      <c r="E543" s="28"/>
      <c r="F543" s="27"/>
      <c r="G543" s="27"/>
      <c r="H543" s="29" t="s">
        <v>125</v>
      </c>
      <c r="I543" s="28"/>
    </row>
    <row r="544" spans="1:9" s="20" customFormat="1" ht="33" customHeight="1" x14ac:dyDescent="0.2">
      <c r="A544" s="24">
        <v>537</v>
      </c>
      <c r="B544" s="25"/>
      <c r="C544" s="26"/>
      <c r="D544" s="27"/>
      <c r="E544" s="28"/>
      <c r="F544" s="27"/>
      <c r="G544" s="27"/>
      <c r="H544" s="29" t="s">
        <v>125</v>
      </c>
      <c r="I544" s="28"/>
    </row>
    <row r="545" spans="1:9" s="20" customFormat="1" ht="33" customHeight="1" x14ac:dyDescent="0.2">
      <c r="A545" s="24">
        <v>538</v>
      </c>
      <c r="B545" s="25"/>
      <c r="C545" s="26"/>
      <c r="D545" s="27"/>
      <c r="E545" s="28"/>
      <c r="F545" s="27"/>
      <c r="G545" s="27"/>
      <c r="H545" s="29" t="s">
        <v>125</v>
      </c>
      <c r="I545" s="28"/>
    </row>
    <row r="546" spans="1:9" s="20" customFormat="1" ht="33" customHeight="1" x14ac:dyDescent="0.2">
      <c r="A546" s="24">
        <v>539</v>
      </c>
      <c r="B546" s="25"/>
      <c r="C546" s="26"/>
      <c r="D546" s="27"/>
      <c r="E546" s="28"/>
      <c r="F546" s="27"/>
      <c r="G546" s="27"/>
      <c r="H546" s="29" t="s">
        <v>125</v>
      </c>
      <c r="I546" s="28"/>
    </row>
    <row r="547" spans="1:9" s="20" customFormat="1" ht="33" customHeight="1" x14ac:dyDescent="0.2">
      <c r="A547" s="24">
        <v>540</v>
      </c>
      <c r="B547" s="25"/>
      <c r="C547" s="26"/>
      <c r="D547" s="27"/>
      <c r="E547" s="28"/>
      <c r="F547" s="27"/>
      <c r="G547" s="27"/>
      <c r="H547" s="29" t="s">
        <v>125</v>
      </c>
      <c r="I547" s="28"/>
    </row>
    <row r="548" spans="1:9" s="20" customFormat="1" ht="33" customHeight="1" x14ac:dyDescent="0.2">
      <c r="A548" s="24">
        <v>541</v>
      </c>
      <c r="B548" s="25"/>
      <c r="C548" s="26"/>
      <c r="D548" s="27"/>
      <c r="E548" s="28"/>
      <c r="F548" s="27"/>
      <c r="G548" s="27"/>
      <c r="H548" s="29" t="s">
        <v>125</v>
      </c>
      <c r="I548" s="28"/>
    </row>
    <row r="549" spans="1:9" s="20" customFormat="1" ht="33" customHeight="1" x14ac:dyDescent="0.2">
      <c r="A549" s="24">
        <v>542</v>
      </c>
      <c r="B549" s="25"/>
      <c r="C549" s="26"/>
      <c r="D549" s="27"/>
      <c r="E549" s="28"/>
      <c r="F549" s="27"/>
      <c r="G549" s="27"/>
      <c r="H549" s="29" t="s">
        <v>125</v>
      </c>
      <c r="I549" s="28"/>
    </row>
    <row r="550" spans="1:9" s="20" customFormat="1" ht="33" customHeight="1" x14ac:dyDescent="0.2">
      <c r="A550" s="24">
        <v>543</v>
      </c>
      <c r="B550" s="25"/>
      <c r="C550" s="26"/>
      <c r="D550" s="27"/>
      <c r="E550" s="28"/>
      <c r="F550" s="27"/>
      <c r="G550" s="27"/>
      <c r="H550" s="29" t="s">
        <v>125</v>
      </c>
      <c r="I550" s="28"/>
    </row>
    <row r="551" spans="1:9" s="20" customFormat="1" ht="33" customHeight="1" x14ac:dyDescent="0.2">
      <c r="A551" s="24">
        <v>544</v>
      </c>
      <c r="B551" s="25"/>
      <c r="C551" s="26"/>
      <c r="D551" s="27"/>
      <c r="E551" s="28"/>
      <c r="F551" s="27"/>
      <c r="G551" s="27"/>
      <c r="H551" s="29" t="s">
        <v>125</v>
      </c>
      <c r="I551" s="28"/>
    </row>
    <row r="552" spans="1:9" s="20" customFormat="1" ht="33" customHeight="1" x14ac:dyDescent="0.2">
      <c r="A552" s="24">
        <v>545</v>
      </c>
      <c r="B552" s="25"/>
      <c r="C552" s="26"/>
      <c r="D552" s="27"/>
      <c r="E552" s="28"/>
      <c r="F552" s="27"/>
      <c r="G552" s="27"/>
      <c r="H552" s="29" t="s">
        <v>125</v>
      </c>
      <c r="I552" s="28"/>
    </row>
    <row r="553" spans="1:9" s="20" customFormat="1" ht="33" customHeight="1" x14ac:dyDescent="0.2">
      <c r="A553" s="56">
        <v>546</v>
      </c>
      <c r="B553" s="30"/>
      <c r="C553" s="57"/>
      <c r="D553" s="33"/>
      <c r="E553" s="33"/>
      <c r="F553" s="33"/>
      <c r="G553" s="33"/>
      <c r="H553" s="34" t="s">
        <v>125</v>
      </c>
      <c r="I553" s="33"/>
    </row>
    <row r="554" spans="1:9" s="20" customFormat="1" ht="33" customHeight="1" x14ac:dyDescent="0.2">
      <c r="A554" s="56">
        <v>547</v>
      </c>
      <c r="B554" s="30"/>
      <c r="C554" s="57"/>
      <c r="D554" s="33"/>
      <c r="E554" s="33"/>
      <c r="F554" s="33"/>
      <c r="G554" s="33"/>
      <c r="H554" s="34" t="s">
        <v>125</v>
      </c>
      <c r="I554" s="33"/>
    </row>
    <row r="555" spans="1:9" s="20" customFormat="1" ht="33" customHeight="1" x14ac:dyDescent="0.2">
      <c r="A555" s="56">
        <v>548</v>
      </c>
      <c r="B555" s="30"/>
      <c r="C555" s="57"/>
      <c r="D555" s="33"/>
      <c r="E555" s="33"/>
      <c r="F555" s="33"/>
      <c r="G555" s="33"/>
      <c r="H555" s="34" t="s">
        <v>125</v>
      </c>
      <c r="I555" s="33"/>
    </row>
    <row r="556" spans="1:9" s="20" customFormat="1" ht="33" customHeight="1" x14ac:dyDescent="0.2">
      <c r="A556" s="56">
        <v>549</v>
      </c>
      <c r="B556" s="30"/>
      <c r="C556" s="57"/>
      <c r="D556" s="33"/>
      <c r="E556" s="33"/>
      <c r="F556" s="33"/>
      <c r="G556" s="33"/>
      <c r="H556" s="34" t="s">
        <v>125</v>
      </c>
      <c r="I556" s="33"/>
    </row>
    <row r="557" spans="1:9" s="20" customFormat="1" ht="33" customHeight="1" x14ac:dyDescent="0.2">
      <c r="A557" s="56">
        <v>550</v>
      </c>
      <c r="B557" s="30"/>
      <c r="C557" s="57"/>
      <c r="D557" s="33"/>
      <c r="E557" s="33"/>
      <c r="F557" s="33"/>
      <c r="G557" s="33"/>
      <c r="H557" s="34" t="s">
        <v>125</v>
      </c>
      <c r="I557" s="33"/>
    </row>
    <row r="558" spans="1:9" s="20" customFormat="1" ht="33" customHeight="1" x14ac:dyDescent="0.2">
      <c r="A558" s="56">
        <v>551</v>
      </c>
      <c r="B558" s="30"/>
      <c r="C558" s="57"/>
      <c r="D558" s="33"/>
      <c r="E558" s="33"/>
      <c r="F558" s="33"/>
      <c r="G558" s="33"/>
      <c r="H558" s="34" t="s">
        <v>125</v>
      </c>
      <c r="I558" s="33"/>
    </row>
    <row r="559" spans="1:9" s="20" customFormat="1" ht="33" customHeight="1" x14ac:dyDescent="0.2">
      <c r="A559" s="56">
        <v>552</v>
      </c>
      <c r="B559" s="30"/>
      <c r="C559" s="57"/>
      <c r="D559" s="33"/>
      <c r="E559" s="33"/>
      <c r="F559" s="33"/>
      <c r="G559" s="33"/>
      <c r="H559" s="34" t="s">
        <v>125</v>
      </c>
      <c r="I559" s="33"/>
    </row>
    <row r="560" spans="1:9" s="20" customFormat="1" ht="33" customHeight="1" x14ac:dyDescent="0.2">
      <c r="A560" s="56">
        <v>553</v>
      </c>
      <c r="B560" s="30"/>
      <c r="C560" s="57"/>
      <c r="D560" s="33"/>
      <c r="E560" s="33"/>
      <c r="F560" s="33"/>
      <c r="G560" s="33"/>
      <c r="H560" s="34" t="s">
        <v>125</v>
      </c>
      <c r="I560" s="33"/>
    </row>
    <row r="561" spans="1:9" s="20" customFormat="1" ht="33" customHeight="1" x14ac:dyDescent="0.2">
      <c r="A561" s="56">
        <v>554</v>
      </c>
      <c r="B561" s="30"/>
      <c r="C561" s="57"/>
      <c r="D561" s="33"/>
      <c r="E561" s="33"/>
      <c r="F561" s="33"/>
      <c r="G561" s="33"/>
      <c r="H561" s="34" t="s">
        <v>125</v>
      </c>
      <c r="I561" s="33"/>
    </row>
    <row r="562" spans="1:9" s="20" customFormat="1" ht="33" customHeight="1" x14ac:dyDescent="0.2">
      <c r="A562" s="56">
        <v>555</v>
      </c>
      <c r="B562" s="30"/>
      <c r="C562" s="57"/>
      <c r="D562" s="33"/>
      <c r="E562" s="33"/>
      <c r="F562" s="33"/>
      <c r="G562" s="33"/>
      <c r="H562" s="34" t="s">
        <v>125</v>
      </c>
      <c r="I562" s="33"/>
    </row>
    <row r="563" spans="1:9" s="20" customFormat="1" ht="33" customHeight="1" x14ac:dyDescent="0.2">
      <c r="A563" s="56">
        <v>556</v>
      </c>
      <c r="B563" s="30"/>
      <c r="C563" s="57"/>
      <c r="D563" s="33"/>
      <c r="E563" s="33"/>
      <c r="F563" s="33"/>
      <c r="G563" s="33"/>
      <c r="H563" s="34" t="s">
        <v>125</v>
      </c>
      <c r="I563" s="33"/>
    </row>
    <row r="564" spans="1:9" s="20" customFormat="1" ht="33" customHeight="1" x14ac:dyDescent="0.2">
      <c r="A564" s="56">
        <v>557</v>
      </c>
      <c r="B564" s="30"/>
      <c r="C564" s="57"/>
      <c r="D564" s="33"/>
      <c r="E564" s="33"/>
      <c r="F564" s="33"/>
      <c r="G564" s="33"/>
      <c r="H564" s="34" t="s">
        <v>125</v>
      </c>
      <c r="I564" s="33"/>
    </row>
    <row r="565" spans="1:9" s="20" customFormat="1" ht="33" customHeight="1" x14ac:dyDescent="0.2">
      <c r="A565" s="56">
        <v>558</v>
      </c>
      <c r="B565" s="30"/>
      <c r="C565" s="57"/>
      <c r="D565" s="33"/>
      <c r="E565" s="33"/>
      <c r="F565" s="33"/>
      <c r="G565" s="33"/>
      <c r="H565" s="34" t="s">
        <v>125</v>
      </c>
      <c r="I565" s="33"/>
    </row>
    <row r="566" spans="1:9" s="20" customFormat="1" ht="33" customHeight="1" x14ac:dyDescent="0.2">
      <c r="A566" s="56">
        <v>559</v>
      </c>
      <c r="B566" s="30"/>
      <c r="C566" s="57"/>
      <c r="D566" s="33"/>
      <c r="E566" s="33"/>
      <c r="F566" s="33"/>
      <c r="G566" s="33"/>
      <c r="H566" s="34" t="s">
        <v>125</v>
      </c>
      <c r="I566" s="33"/>
    </row>
    <row r="567" spans="1:9" ht="21.75" customHeight="1" x14ac:dyDescent="0.2">
      <c r="A567" s="56">
        <v>560</v>
      </c>
      <c r="B567" s="30"/>
      <c r="C567" s="57"/>
      <c r="D567" s="33"/>
      <c r="E567" s="33"/>
      <c r="F567" s="33"/>
      <c r="G567" s="33"/>
      <c r="H567" s="34" t="s">
        <v>125</v>
      </c>
      <c r="I567" s="33"/>
    </row>
    <row r="568" spans="1:9" ht="21.75" customHeight="1" x14ac:dyDescent="0.2">
      <c r="A568" s="56">
        <v>561</v>
      </c>
      <c r="B568" s="30"/>
      <c r="C568" s="57"/>
      <c r="D568" s="33"/>
      <c r="E568" s="33"/>
      <c r="F568" s="33"/>
      <c r="G568" s="33"/>
      <c r="H568" s="34" t="s">
        <v>125</v>
      </c>
      <c r="I568" s="33"/>
    </row>
    <row r="569" spans="1:9" ht="21.75" customHeight="1" x14ac:dyDescent="0.2">
      <c r="A569" s="56">
        <v>562</v>
      </c>
      <c r="B569" s="30"/>
      <c r="C569" s="57"/>
      <c r="D569" s="33"/>
      <c r="E569" s="33"/>
      <c r="F569" s="33"/>
      <c r="G569" s="33"/>
      <c r="H569" s="34" t="s">
        <v>125</v>
      </c>
      <c r="I569" s="33"/>
    </row>
    <row r="570" spans="1:9" ht="21.75" customHeight="1" x14ac:dyDescent="0.2">
      <c r="A570" s="56">
        <v>563</v>
      </c>
      <c r="B570" s="30"/>
      <c r="C570" s="57"/>
      <c r="D570" s="33"/>
      <c r="E570" s="33"/>
      <c r="F570" s="33"/>
      <c r="G570" s="33"/>
      <c r="H570" s="34" t="s">
        <v>125</v>
      </c>
      <c r="I570" s="33"/>
    </row>
    <row r="571" spans="1:9" ht="21.75" customHeight="1" x14ac:dyDescent="0.2">
      <c r="A571" s="56">
        <v>564</v>
      </c>
      <c r="B571" s="30"/>
      <c r="C571" s="57"/>
      <c r="D571" s="33"/>
      <c r="E571" s="33"/>
      <c r="F571" s="33"/>
      <c r="G571" s="33"/>
      <c r="H571" s="34" t="s">
        <v>125</v>
      </c>
      <c r="I571" s="33"/>
    </row>
    <row r="572" spans="1:9" ht="21.75" customHeight="1" x14ac:dyDescent="0.2">
      <c r="A572" s="56">
        <v>565</v>
      </c>
      <c r="B572" s="30"/>
      <c r="C572" s="57"/>
      <c r="D572" s="33"/>
      <c r="E572" s="33"/>
      <c r="F572" s="33"/>
      <c r="G572" s="33"/>
      <c r="H572" s="34" t="s">
        <v>125</v>
      </c>
      <c r="I572" s="33"/>
    </row>
    <row r="573" spans="1:9" ht="21.75" customHeight="1" x14ac:dyDescent="0.2">
      <c r="A573" s="56">
        <v>566</v>
      </c>
      <c r="B573" s="30"/>
      <c r="C573" s="57"/>
      <c r="D573" s="33"/>
      <c r="E573" s="33"/>
      <c r="F573" s="33"/>
      <c r="G573" s="33"/>
      <c r="H573" s="34" t="s">
        <v>125</v>
      </c>
      <c r="I573" s="33"/>
    </row>
    <row r="574" spans="1:9" ht="21.75" customHeight="1" x14ac:dyDescent="0.2">
      <c r="A574" s="56">
        <v>567</v>
      </c>
      <c r="B574" s="30"/>
      <c r="C574" s="57"/>
      <c r="D574" s="33"/>
      <c r="E574" s="33"/>
      <c r="F574" s="33"/>
      <c r="G574" s="33"/>
      <c r="H574" s="34" t="s">
        <v>125</v>
      </c>
      <c r="I574" s="33"/>
    </row>
    <row r="575" spans="1:9" ht="21.75" customHeight="1" x14ac:dyDescent="0.2">
      <c r="A575" s="56">
        <v>568</v>
      </c>
      <c r="B575" s="30"/>
      <c r="C575" s="57"/>
      <c r="D575" s="33"/>
      <c r="E575" s="33"/>
      <c r="F575" s="33"/>
      <c r="G575" s="33"/>
      <c r="H575" s="34" t="s">
        <v>125</v>
      </c>
      <c r="I575" s="33"/>
    </row>
    <row r="576" spans="1:9" ht="21.75" customHeight="1" x14ac:dyDescent="0.2">
      <c r="A576" s="56">
        <v>569</v>
      </c>
      <c r="B576" s="30"/>
      <c r="C576" s="57"/>
      <c r="D576" s="33"/>
      <c r="E576" s="33"/>
      <c r="F576" s="33"/>
      <c r="G576" s="33"/>
      <c r="H576" s="34" t="s">
        <v>125</v>
      </c>
      <c r="I576" s="33"/>
    </row>
    <row r="577" spans="1:9" ht="21.75" customHeight="1" x14ac:dyDescent="0.2">
      <c r="A577" s="56">
        <v>570</v>
      </c>
      <c r="B577" s="30"/>
      <c r="C577" s="57"/>
      <c r="D577" s="33"/>
      <c r="E577" s="33"/>
      <c r="F577" s="33"/>
      <c r="G577" s="33"/>
      <c r="H577" s="34" t="s">
        <v>125</v>
      </c>
      <c r="I577" s="33"/>
    </row>
    <row r="578" spans="1:9" ht="21.75" customHeight="1" x14ac:dyDescent="0.2">
      <c r="A578" s="56">
        <v>571</v>
      </c>
      <c r="B578" s="30"/>
      <c r="C578" s="57"/>
      <c r="D578" s="33"/>
      <c r="E578" s="33"/>
      <c r="F578" s="33"/>
      <c r="G578" s="33"/>
      <c r="H578" s="34" t="s">
        <v>125</v>
      </c>
      <c r="I578" s="33"/>
    </row>
    <row r="579" spans="1:9" ht="21.75" customHeight="1" x14ac:dyDescent="0.2">
      <c r="A579" s="56">
        <v>572</v>
      </c>
      <c r="B579" s="30"/>
      <c r="C579" s="57"/>
      <c r="D579" s="33"/>
      <c r="E579" s="33"/>
      <c r="F579" s="33"/>
      <c r="G579" s="33"/>
      <c r="H579" s="34" t="s">
        <v>125</v>
      </c>
      <c r="I579" s="33"/>
    </row>
    <row r="580" spans="1:9" ht="21.75" customHeight="1" x14ac:dyDescent="0.2">
      <c r="A580" s="56">
        <v>573</v>
      </c>
      <c r="B580" s="30"/>
      <c r="C580" s="57"/>
      <c r="D580" s="33"/>
      <c r="E580" s="33"/>
      <c r="F580" s="33"/>
      <c r="G580" s="33"/>
      <c r="H580" s="34" t="s">
        <v>125</v>
      </c>
      <c r="I580" s="33"/>
    </row>
    <row r="581" spans="1:9" ht="21.75" customHeight="1" x14ac:dyDescent="0.2">
      <c r="A581" s="56">
        <v>574</v>
      </c>
      <c r="B581" s="30"/>
      <c r="C581" s="57"/>
      <c r="D581" s="33"/>
      <c r="E581" s="33"/>
      <c r="F581" s="33"/>
      <c r="G581" s="33"/>
      <c r="H581" s="34" t="s">
        <v>125</v>
      </c>
      <c r="I581" s="33"/>
    </row>
    <row r="582" spans="1:9" ht="21.75" customHeight="1" x14ac:dyDescent="0.2">
      <c r="A582" s="56">
        <v>575</v>
      </c>
      <c r="B582" s="30"/>
      <c r="C582" s="57"/>
      <c r="D582" s="33"/>
      <c r="E582" s="33"/>
      <c r="F582" s="33"/>
      <c r="G582" s="33"/>
      <c r="H582" s="34" t="s">
        <v>125</v>
      </c>
      <c r="I582" s="33"/>
    </row>
    <row r="583" spans="1:9" ht="21.75" customHeight="1" x14ac:dyDescent="0.2">
      <c r="A583" s="56">
        <v>576</v>
      </c>
      <c r="B583" s="30"/>
      <c r="C583" s="57"/>
      <c r="D583" s="33"/>
      <c r="E583" s="33"/>
      <c r="F583" s="33"/>
      <c r="G583" s="33"/>
      <c r="H583" s="34" t="s">
        <v>125</v>
      </c>
      <c r="I583" s="33"/>
    </row>
    <row r="584" spans="1:9" ht="21.75" customHeight="1" x14ac:dyDescent="0.2">
      <c r="A584" s="56">
        <v>577</v>
      </c>
      <c r="B584" s="30"/>
      <c r="C584" s="57"/>
      <c r="D584" s="33"/>
      <c r="E584" s="33"/>
      <c r="F584" s="33"/>
      <c r="G584" s="33"/>
      <c r="H584" s="34" t="s">
        <v>125</v>
      </c>
      <c r="I584" s="33"/>
    </row>
    <row r="585" spans="1:9" ht="21.75" customHeight="1" x14ac:dyDescent="0.2">
      <c r="A585" s="56">
        <v>578</v>
      </c>
      <c r="B585" s="30"/>
      <c r="C585" s="57"/>
      <c r="D585" s="33"/>
      <c r="E585" s="33"/>
      <c r="F585" s="33"/>
      <c r="G585" s="33"/>
      <c r="H585" s="34" t="s">
        <v>125</v>
      </c>
      <c r="I585" s="33"/>
    </row>
    <row r="586" spans="1:9" ht="21.75" customHeight="1" x14ac:dyDescent="0.2">
      <c r="A586" s="56">
        <v>579</v>
      </c>
      <c r="B586" s="30"/>
      <c r="C586" s="57"/>
      <c r="D586" s="33"/>
      <c r="E586" s="33"/>
      <c r="F586" s="33"/>
      <c r="G586" s="33"/>
      <c r="H586" s="34" t="s">
        <v>125</v>
      </c>
      <c r="I586" s="33"/>
    </row>
    <row r="587" spans="1:9" ht="21.75" customHeight="1" x14ac:dyDescent="0.2">
      <c r="A587" s="56">
        <v>580</v>
      </c>
      <c r="B587" s="30"/>
      <c r="C587" s="57"/>
      <c r="D587" s="33"/>
      <c r="E587" s="33"/>
      <c r="F587" s="33"/>
      <c r="G587" s="33"/>
      <c r="H587" s="34" t="s">
        <v>125</v>
      </c>
      <c r="I587" s="33"/>
    </row>
    <row r="588" spans="1:9" ht="21.75" customHeight="1" x14ac:dyDescent="0.2">
      <c r="A588" s="56">
        <v>581</v>
      </c>
      <c r="B588" s="30"/>
      <c r="C588" s="57"/>
      <c r="D588" s="33"/>
      <c r="E588" s="33"/>
      <c r="F588" s="33"/>
      <c r="G588" s="33"/>
      <c r="H588" s="34" t="s">
        <v>125</v>
      </c>
      <c r="I588" s="33"/>
    </row>
    <row r="589" spans="1:9" ht="21.75" customHeight="1" x14ac:dyDescent="0.2">
      <c r="A589" s="56">
        <v>582</v>
      </c>
      <c r="B589" s="30"/>
      <c r="C589" s="57"/>
      <c r="D589" s="33"/>
      <c r="E589" s="33"/>
      <c r="F589" s="33"/>
      <c r="G589" s="33"/>
      <c r="H589" s="34" t="s">
        <v>125</v>
      </c>
      <c r="I589" s="33"/>
    </row>
    <row r="590" spans="1:9" ht="21.75" customHeight="1" x14ac:dyDescent="0.2">
      <c r="A590" s="56">
        <v>583</v>
      </c>
      <c r="B590" s="30"/>
      <c r="C590" s="57"/>
      <c r="D590" s="33"/>
      <c r="E590" s="33"/>
      <c r="F590" s="33"/>
      <c r="G590" s="33"/>
      <c r="H590" s="34" t="s">
        <v>125</v>
      </c>
      <c r="I590" s="33"/>
    </row>
    <row r="591" spans="1:9" ht="21.75" customHeight="1" x14ac:dyDescent="0.2">
      <c r="A591" s="56">
        <v>584</v>
      </c>
      <c r="B591" s="30"/>
      <c r="C591" s="57"/>
      <c r="D591" s="33"/>
      <c r="E591" s="33"/>
      <c r="F591" s="33"/>
      <c r="G591" s="33"/>
      <c r="H591" s="34" t="s">
        <v>125</v>
      </c>
      <c r="I591" s="33"/>
    </row>
    <row r="592" spans="1:9" ht="21.75" customHeight="1" x14ac:dyDescent="0.2">
      <c r="A592" s="56">
        <v>585</v>
      </c>
      <c r="B592" s="30"/>
      <c r="C592" s="57"/>
      <c r="D592" s="33"/>
      <c r="E592" s="33"/>
      <c r="F592" s="33"/>
      <c r="G592" s="33"/>
      <c r="H592" s="34" t="s">
        <v>125</v>
      </c>
      <c r="I592" s="33"/>
    </row>
    <row r="593" spans="1:9" ht="21.75" customHeight="1" x14ac:dyDescent="0.2">
      <c r="A593" s="56">
        <v>586</v>
      </c>
      <c r="B593" s="30"/>
      <c r="C593" s="57"/>
      <c r="D593" s="33"/>
      <c r="E593" s="33"/>
      <c r="F593" s="33"/>
      <c r="G593" s="33"/>
      <c r="H593" s="34" t="s">
        <v>125</v>
      </c>
      <c r="I593" s="33"/>
    </row>
    <row r="594" spans="1:9" ht="21.75" customHeight="1" x14ac:dyDescent="0.2">
      <c r="A594" s="56">
        <v>587</v>
      </c>
      <c r="B594" s="30"/>
      <c r="C594" s="57"/>
      <c r="D594" s="33"/>
      <c r="E594" s="33"/>
      <c r="F594" s="33"/>
      <c r="G594" s="33"/>
      <c r="H594" s="34" t="s">
        <v>125</v>
      </c>
      <c r="I594" s="33"/>
    </row>
    <row r="595" spans="1:9" ht="21.75" customHeight="1" x14ac:dyDescent="0.2">
      <c r="A595" s="56">
        <v>588</v>
      </c>
      <c r="B595" s="30"/>
      <c r="C595" s="57"/>
      <c r="D595" s="33"/>
      <c r="E595" s="33"/>
      <c r="F595" s="33"/>
      <c r="G595" s="33"/>
      <c r="H595" s="34" t="s">
        <v>125</v>
      </c>
      <c r="I595" s="33"/>
    </row>
    <row r="596" spans="1:9" ht="21.75" customHeight="1" x14ac:dyDescent="0.2">
      <c r="A596" s="56">
        <v>589</v>
      </c>
      <c r="B596" s="30"/>
      <c r="C596" s="57"/>
      <c r="D596" s="33"/>
      <c r="E596" s="33"/>
      <c r="F596" s="33"/>
      <c r="G596" s="33"/>
      <c r="H596" s="34" t="s">
        <v>125</v>
      </c>
      <c r="I596" s="33"/>
    </row>
    <row r="597" spans="1:9" ht="21.75" customHeight="1" x14ac:dyDescent="0.2">
      <c r="A597" s="56">
        <v>590</v>
      </c>
      <c r="B597" s="30"/>
      <c r="C597" s="57"/>
      <c r="D597" s="33"/>
      <c r="E597" s="33"/>
      <c r="F597" s="33"/>
      <c r="G597" s="33"/>
      <c r="H597" s="34" t="s">
        <v>125</v>
      </c>
      <c r="I597" s="33"/>
    </row>
    <row r="598" spans="1:9" ht="21.75" customHeight="1" x14ac:dyDescent="0.2">
      <c r="A598" s="56">
        <v>591</v>
      </c>
      <c r="B598" s="30"/>
      <c r="C598" s="57"/>
      <c r="D598" s="33"/>
      <c r="E598" s="33"/>
      <c r="F598" s="33"/>
      <c r="G598" s="33"/>
      <c r="H598" s="34" t="s">
        <v>125</v>
      </c>
      <c r="I598" s="33"/>
    </row>
    <row r="599" spans="1:9" ht="21.75" customHeight="1" x14ac:dyDescent="0.2">
      <c r="A599" s="56">
        <v>592</v>
      </c>
      <c r="B599" s="30"/>
      <c r="C599" s="57"/>
      <c r="D599" s="33"/>
      <c r="E599" s="33"/>
      <c r="F599" s="33"/>
      <c r="G599" s="33"/>
      <c r="H599" s="34" t="s">
        <v>125</v>
      </c>
      <c r="I599" s="33"/>
    </row>
    <row r="600" spans="1:9" ht="21.75" customHeight="1" x14ac:dyDescent="0.2">
      <c r="A600" s="56">
        <v>593</v>
      </c>
      <c r="B600" s="30"/>
      <c r="C600" s="57"/>
      <c r="D600" s="33"/>
      <c r="E600" s="33"/>
      <c r="F600" s="33"/>
      <c r="G600" s="33"/>
      <c r="H600" s="34" t="s">
        <v>125</v>
      </c>
      <c r="I600" s="33"/>
    </row>
    <row r="601" spans="1:9" ht="21.75" customHeight="1" x14ac:dyDescent="0.2">
      <c r="A601" s="56">
        <v>594</v>
      </c>
      <c r="B601" s="30"/>
      <c r="C601" s="57"/>
      <c r="D601" s="33"/>
      <c r="E601" s="33"/>
      <c r="F601" s="33"/>
      <c r="G601" s="33"/>
      <c r="H601" s="34" t="s">
        <v>125</v>
      </c>
      <c r="I601" s="33"/>
    </row>
    <row r="602" spans="1:9" ht="21.75" customHeight="1" x14ac:dyDescent="0.2">
      <c r="A602" s="56">
        <v>595</v>
      </c>
      <c r="B602" s="30"/>
      <c r="C602" s="57"/>
      <c r="D602" s="33"/>
      <c r="E602" s="33"/>
      <c r="F602" s="33"/>
      <c r="G602" s="33"/>
      <c r="H602" s="34" t="s">
        <v>125</v>
      </c>
      <c r="I602" s="33"/>
    </row>
    <row r="603" spans="1:9" ht="21.75" customHeight="1" x14ac:dyDescent="0.2">
      <c r="A603" s="56">
        <v>596</v>
      </c>
      <c r="B603" s="30"/>
      <c r="C603" s="57"/>
      <c r="D603" s="33"/>
      <c r="E603" s="33"/>
      <c r="F603" s="33"/>
      <c r="G603" s="33"/>
      <c r="H603" s="34" t="s">
        <v>125</v>
      </c>
      <c r="I603" s="33"/>
    </row>
    <row r="604" spans="1:9" ht="21.75" customHeight="1" x14ac:dyDescent="0.2">
      <c r="A604" s="56">
        <v>597</v>
      </c>
      <c r="B604" s="30"/>
      <c r="C604" s="57"/>
      <c r="D604" s="33"/>
      <c r="E604" s="33"/>
      <c r="F604" s="33"/>
      <c r="G604" s="33"/>
      <c r="H604" s="34" t="s">
        <v>125</v>
      </c>
      <c r="I604" s="33"/>
    </row>
    <row r="605" spans="1:9" ht="21.75" customHeight="1" x14ac:dyDescent="0.2">
      <c r="A605" s="56">
        <v>598</v>
      </c>
      <c r="B605" s="30"/>
      <c r="C605" s="57"/>
      <c r="D605" s="33"/>
      <c r="E605" s="33"/>
      <c r="F605" s="33"/>
      <c r="G605" s="33"/>
      <c r="H605" s="34" t="s">
        <v>125</v>
      </c>
      <c r="I605" s="33"/>
    </row>
    <row r="606" spans="1:9" ht="21.75" customHeight="1" x14ac:dyDescent="0.2">
      <c r="A606" s="56">
        <v>599</v>
      </c>
      <c r="B606" s="30"/>
      <c r="C606" s="57"/>
      <c r="D606" s="33"/>
      <c r="E606" s="33"/>
      <c r="F606" s="33"/>
      <c r="G606" s="33"/>
      <c r="H606" s="34" t="s">
        <v>125</v>
      </c>
      <c r="I606" s="33"/>
    </row>
    <row r="607" spans="1:9" ht="21.75" customHeight="1" x14ac:dyDescent="0.2">
      <c r="A607" s="56">
        <v>600</v>
      </c>
      <c r="B607" s="30"/>
      <c r="C607" s="57"/>
      <c r="D607" s="33"/>
      <c r="E607" s="33"/>
      <c r="F607" s="33"/>
      <c r="G607" s="33"/>
      <c r="H607" s="34" t="s">
        <v>125</v>
      </c>
      <c r="I607" s="33"/>
    </row>
    <row r="608" spans="1:9" ht="21.75" customHeight="1" x14ac:dyDescent="0.2">
      <c r="A608" s="56">
        <v>601</v>
      </c>
      <c r="B608" s="30"/>
      <c r="C608" s="57"/>
      <c r="D608" s="33"/>
      <c r="E608" s="33"/>
      <c r="F608" s="33"/>
      <c r="G608" s="33"/>
      <c r="H608" s="34" t="s">
        <v>125</v>
      </c>
      <c r="I608" s="33"/>
    </row>
    <row r="609" spans="1:9" ht="21.75" customHeight="1" x14ac:dyDescent="0.2">
      <c r="A609" s="56">
        <v>602</v>
      </c>
      <c r="B609" s="30"/>
      <c r="C609" s="57"/>
      <c r="D609" s="33"/>
      <c r="E609" s="33"/>
      <c r="F609" s="33"/>
      <c r="G609" s="33"/>
      <c r="H609" s="34" t="s">
        <v>125</v>
      </c>
      <c r="I609" s="33"/>
    </row>
    <row r="610" spans="1:9" ht="21.75" customHeight="1" x14ac:dyDescent="0.2">
      <c r="A610" s="56">
        <v>603</v>
      </c>
      <c r="B610" s="30"/>
      <c r="C610" s="57"/>
      <c r="D610" s="33"/>
      <c r="E610" s="33"/>
      <c r="F610" s="33"/>
      <c r="G610" s="33"/>
      <c r="H610" s="34" t="s">
        <v>125</v>
      </c>
      <c r="I610" s="33"/>
    </row>
    <row r="611" spans="1:9" ht="21.75" customHeight="1" x14ac:dyDescent="0.2">
      <c r="A611" s="56">
        <v>604</v>
      </c>
      <c r="B611" s="30"/>
      <c r="C611" s="57"/>
      <c r="D611" s="33"/>
      <c r="E611" s="33"/>
      <c r="F611" s="33"/>
      <c r="G611" s="33"/>
      <c r="H611" s="34" t="s">
        <v>125</v>
      </c>
      <c r="I611" s="33"/>
    </row>
    <row r="612" spans="1:9" ht="21.75" customHeight="1" x14ac:dyDescent="0.2">
      <c r="A612" s="56">
        <v>605</v>
      </c>
      <c r="B612" s="30"/>
      <c r="C612" s="57"/>
      <c r="D612" s="33"/>
      <c r="E612" s="33"/>
      <c r="F612" s="33"/>
      <c r="G612" s="33"/>
      <c r="H612" s="34" t="s">
        <v>125</v>
      </c>
      <c r="I612" s="33"/>
    </row>
    <row r="613" spans="1:9" ht="21.75" customHeight="1" x14ac:dyDescent="0.2">
      <c r="A613" s="56">
        <v>606</v>
      </c>
      <c r="B613" s="30"/>
      <c r="C613" s="57"/>
      <c r="D613" s="33"/>
      <c r="E613" s="33"/>
      <c r="F613" s="33"/>
      <c r="G613" s="33"/>
      <c r="H613" s="34" t="s">
        <v>125</v>
      </c>
      <c r="I613" s="33"/>
    </row>
    <row r="614" spans="1:9" ht="21.75" customHeight="1" x14ac:dyDescent="0.2">
      <c r="A614" s="56">
        <v>607</v>
      </c>
      <c r="B614" s="30"/>
      <c r="C614" s="57"/>
      <c r="D614" s="33"/>
      <c r="E614" s="33"/>
      <c r="F614" s="33"/>
      <c r="G614" s="33"/>
      <c r="H614" s="34" t="s">
        <v>125</v>
      </c>
      <c r="I614" s="33"/>
    </row>
    <row r="615" spans="1:9" ht="21.75" customHeight="1" x14ac:dyDescent="0.2">
      <c r="A615" s="56">
        <v>608</v>
      </c>
      <c r="B615" s="30"/>
      <c r="C615" s="57"/>
      <c r="D615" s="33"/>
      <c r="E615" s="33"/>
      <c r="F615" s="33"/>
      <c r="G615" s="33"/>
      <c r="H615" s="34" t="s">
        <v>125</v>
      </c>
      <c r="I615" s="33"/>
    </row>
    <row r="616" spans="1:9" ht="21.75" customHeight="1" x14ac:dyDescent="0.2">
      <c r="A616" s="56">
        <v>609</v>
      </c>
      <c r="B616" s="30"/>
      <c r="C616" s="57"/>
      <c r="D616" s="33"/>
      <c r="E616" s="33"/>
      <c r="F616" s="33"/>
      <c r="G616" s="33"/>
      <c r="H616" s="34" t="s">
        <v>125</v>
      </c>
      <c r="I616" s="33"/>
    </row>
    <row r="617" spans="1:9" ht="21.75" customHeight="1" x14ac:dyDescent="0.2">
      <c r="A617" s="56">
        <v>610</v>
      </c>
      <c r="B617" s="30"/>
      <c r="C617" s="57"/>
      <c r="D617" s="33"/>
      <c r="E617" s="33"/>
      <c r="F617" s="33"/>
      <c r="G617" s="33"/>
      <c r="H617" s="34" t="s">
        <v>125</v>
      </c>
      <c r="I617" s="33"/>
    </row>
    <row r="618" spans="1:9" ht="21.75" customHeight="1" x14ac:dyDescent="0.2">
      <c r="E618" s="35">
        <f ca="1">SUM(E8:E617)</f>
        <v>324392.63999999996</v>
      </c>
      <c r="G618" s="35">
        <f ca="1">SUM(G8:G617)</f>
        <v>614380</v>
      </c>
      <c r="I618" s="35">
        <f ca="1">SUM(I8:I617)</f>
        <v>289987.36000000004</v>
      </c>
    </row>
    <row r="620" spans="1:9" ht="19.149999999999999" customHeight="1" x14ac:dyDescent="0.2">
      <c r="A620" s="36" t="s">
        <v>126</v>
      </c>
      <c r="E620" s="37">
        <f ca="1">G618</f>
        <v>614380</v>
      </c>
      <c r="F620" s="36" t="s">
        <v>127</v>
      </c>
    </row>
    <row r="621" spans="1:9" ht="19.149999999999999" customHeight="1" x14ac:dyDescent="0.2">
      <c r="A621" s="36" t="s">
        <v>128</v>
      </c>
      <c r="E621" s="37">
        <f ca="1">E618</f>
        <v>324392.63999999996</v>
      </c>
      <c r="F621" s="36" t="s">
        <v>127</v>
      </c>
    </row>
    <row r="623" spans="1:9" ht="19.149999999999999" customHeight="1" x14ac:dyDescent="0.2">
      <c r="A623" s="36" t="s">
        <v>129</v>
      </c>
      <c r="E623" s="37" t="s">
        <v>130</v>
      </c>
      <c r="F623" s="36"/>
    </row>
  </sheetData>
  <mergeCells count="4">
    <mergeCell ref="A1:I1"/>
    <mergeCell ref="A2:I2"/>
    <mergeCell ref="C4:I4"/>
    <mergeCell ref="C5:I5"/>
  </mergeCells>
  <pageMargins left="0.39370078740157483" right="0.39370078740157483" top="0.39370078740157483" bottom="0.39370078740157483" header="0.39370078740157483" footer="0.39370078740157483"/>
  <pageSetup paperSize="9" fitToHeight="0" pageOrder="overThenDown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E7DC9-E02D-483C-8187-1D16DDEBAB44}">
  <sheetPr codeName="Лист4"/>
  <dimension ref="A2:M34"/>
  <sheetViews>
    <sheetView zoomScale="80" zoomScaleNormal="80" workbookViewId="0">
      <selection activeCell="F6" sqref="F6"/>
    </sheetView>
  </sheetViews>
  <sheetFormatPr defaultColWidth="9.140625" defaultRowHeight="12.75" x14ac:dyDescent="0.25"/>
  <cols>
    <col min="1" max="1" width="22.42578125" style="38" customWidth="1"/>
    <col min="2" max="2" width="12.7109375" style="38" customWidth="1"/>
    <col min="3" max="3" width="11.42578125" style="38" customWidth="1"/>
    <col min="4" max="4" width="14.140625" style="38" customWidth="1"/>
    <col min="5" max="6" width="14" style="38" bestFit="1" customWidth="1"/>
    <col min="7" max="219" width="9.140625" style="38"/>
    <col min="220" max="220" width="22.42578125" style="38" customWidth="1"/>
    <col min="221" max="221" width="12.7109375" style="38" customWidth="1"/>
    <col min="222" max="222" width="11.42578125" style="38" customWidth="1"/>
    <col min="223" max="223" width="14.140625" style="38" customWidth="1"/>
    <col min="224" max="225" width="14" style="38" bestFit="1" customWidth="1"/>
    <col min="226" max="226" width="15" style="38" customWidth="1"/>
    <col min="227" max="227" width="11.85546875" style="38" bestFit="1" customWidth="1"/>
    <col min="228" max="230" width="9.140625" style="38"/>
    <col min="231" max="231" width="48.140625" style="38" customWidth="1"/>
    <col min="232" max="475" width="9.140625" style="38"/>
    <col min="476" max="476" width="22.42578125" style="38" customWidth="1"/>
    <col min="477" max="477" width="12.7109375" style="38" customWidth="1"/>
    <col min="478" max="478" width="11.42578125" style="38" customWidth="1"/>
    <col min="479" max="479" width="14.140625" style="38" customWidth="1"/>
    <col min="480" max="481" width="14" style="38" bestFit="1" customWidth="1"/>
    <col min="482" max="482" width="15" style="38" customWidth="1"/>
    <col min="483" max="483" width="11.85546875" style="38" bestFit="1" customWidth="1"/>
    <col min="484" max="486" width="9.140625" style="38"/>
    <col min="487" max="487" width="48.140625" style="38" customWidth="1"/>
    <col min="488" max="731" width="9.140625" style="38"/>
    <col min="732" max="732" width="22.42578125" style="38" customWidth="1"/>
    <col min="733" max="733" width="12.7109375" style="38" customWidth="1"/>
    <col min="734" max="734" width="11.42578125" style="38" customWidth="1"/>
    <col min="735" max="735" width="14.140625" style="38" customWidth="1"/>
    <col min="736" max="737" width="14" style="38" bestFit="1" customWidth="1"/>
    <col min="738" max="738" width="15" style="38" customWidth="1"/>
    <col min="739" max="739" width="11.85546875" style="38" bestFit="1" customWidth="1"/>
    <col min="740" max="742" width="9.140625" style="38"/>
    <col min="743" max="743" width="48.140625" style="38" customWidth="1"/>
    <col min="744" max="987" width="9.140625" style="38"/>
    <col min="988" max="988" width="22.42578125" style="38" customWidth="1"/>
    <col min="989" max="989" width="12.7109375" style="38" customWidth="1"/>
    <col min="990" max="990" width="11.42578125" style="38" customWidth="1"/>
    <col min="991" max="991" width="14.140625" style="38" customWidth="1"/>
    <col min="992" max="993" width="14" style="38" bestFit="1" customWidth="1"/>
    <col min="994" max="994" width="15" style="38" customWidth="1"/>
    <col min="995" max="995" width="11.85546875" style="38" bestFit="1" customWidth="1"/>
    <col min="996" max="998" width="9.140625" style="38"/>
    <col min="999" max="999" width="48.140625" style="38" customWidth="1"/>
    <col min="1000" max="1243" width="9.140625" style="38"/>
    <col min="1244" max="1244" width="22.42578125" style="38" customWidth="1"/>
    <col min="1245" max="1245" width="12.7109375" style="38" customWidth="1"/>
    <col min="1246" max="1246" width="11.42578125" style="38" customWidth="1"/>
    <col min="1247" max="1247" width="14.140625" style="38" customWidth="1"/>
    <col min="1248" max="1249" width="14" style="38" bestFit="1" customWidth="1"/>
    <col min="1250" max="1250" width="15" style="38" customWidth="1"/>
    <col min="1251" max="1251" width="11.85546875" style="38" bestFit="1" customWidth="1"/>
    <col min="1252" max="1254" width="9.140625" style="38"/>
    <col min="1255" max="1255" width="48.140625" style="38" customWidth="1"/>
    <col min="1256" max="1499" width="9.140625" style="38"/>
    <col min="1500" max="1500" width="22.42578125" style="38" customWidth="1"/>
    <col min="1501" max="1501" width="12.7109375" style="38" customWidth="1"/>
    <col min="1502" max="1502" width="11.42578125" style="38" customWidth="1"/>
    <col min="1503" max="1503" width="14.140625" style="38" customWidth="1"/>
    <col min="1504" max="1505" width="14" style="38" bestFit="1" customWidth="1"/>
    <col min="1506" max="1506" width="15" style="38" customWidth="1"/>
    <col min="1507" max="1507" width="11.85546875" style="38" bestFit="1" customWidth="1"/>
    <col min="1508" max="1510" width="9.140625" style="38"/>
    <col min="1511" max="1511" width="48.140625" style="38" customWidth="1"/>
    <col min="1512" max="1755" width="9.140625" style="38"/>
    <col min="1756" max="1756" width="22.42578125" style="38" customWidth="1"/>
    <col min="1757" max="1757" width="12.7109375" style="38" customWidth="1"/>
    <col min="1758" max="1758" width="11.42578125" style="38" customWidth="1"/>
    <col min="1759" max="1759" width="14.140625" style="38" customWidth="1"/>
    <col min="1760" max="1761" width="14" style="38" bestFit="1" customWidth="1"/>
    <col min="1762" max="1762" width="15" style="38" customWidth="1"/>
    <col min="1763" max="1763" width="11.85546875" style="38" bestFit="1" customWidth="1"/>
    <col min="1764" max="1766" width="9.140625" style="38"/>
    <col min="1767" max="1767" width="48.140625" style="38" customWidth="1"/>
    <col min="1768" max="2011" width="9.140625" style="38"/>
    <col min="2012" max="2012" width="22.42578125" style="38" customWidth="1"/>
    <col min="2013" max="2013" width="12.7109375" style="38" customWidth="1"/>
    <col min="2014" max="2014" width="11.42578125" style="38" customWidth="1"/>
    <col min="2015" max="2015" width="14.140625" style="38" customWidth="1"/>
    <col min="2016" max="2017" width="14" style="38" bestFit="1" customWidth="1"/>
    <col min="2018" max="2018" width="15" style="38" customWidth="1"/>
    <col min="2019" max="2019" width="11.85546875" style="38" bestFit="1" customWidth="1"/>
    <col min="2020" max="2022" width="9.140625" style="38"/>
    <col min="2023" max="2023" width="48.140625" style="38" customWidth="1"/>
    <col min="2024" max="2267" width="9.140625" style="38"/>
    <col min="2268" max="2268" width="22.42578125" style="38" customWidth="1"/>
    <col min="2269" max="2269" width="12.7109375" style="38" customWidth="1"/>
    <col min="2270" max="2270" width="11.42578125" style="38" customWidth="1"/>
    <col min="2271" max="2271" width="14.140625" style="38" customWidth="1"/>
    <col min="2272" max="2273" width="14" style="38" bestFit="1" customWidth="1"/>
    <col min="2274" max="2274" width="15" style="38" customWidth="1"/>
    <col min="2275" max="2275" width="11.85546875" style="38" bestFit="1" customWidth="1"/>
    <col min="2276" max="2278" width="9.140625" style="38"/>
    <col min="2279" max="2279" width="48.140625" style="38" customWidth="1"/>
    <col min="2280" max="2523" width="9.140625" style="38"/>
    <col min="2524" max="2524" width="22.42578125" style="38" customWidth="1"/>
    <col min="2525" max="2525" width="12.7109375" style="38" customWidth="1"/>
    <col min="2526" max="2526" width="11.42578125" style="38" customWidth="1"/>
    <col min="2527" max="2527" width="14.140625" style="38" customWidth="1"/>
    <col min="2528" max="2529" width="14" style="38" bestFit="1" customWidth="1"/>
    <col min="2530" max="2530" width="15" style="38" customWidth="1"/>
    <col min="2531" max="2531" width="11.85546875" style="38" bestFit="1" customWidth="1"/>
    <col min="2532" max="2534" width="9.140625" style="38"/>
    <col min="2535" max="2535" width="48.140625" style="38" customWidth="1"/>
    <col min="2536" max="2779" width="9.140625" style="38"/>
    <col min="2780" max="2780" width="22.42578125" style="38" customWidth="1"/>
    <col min="2781" max="2781" width="12.7109375" style="38" customWidth="1"/>
    <col min="2782" max="2782" width="11.42578125" style="38" customWidth="1"/>
    <col min="2783" max="2783" width="14.140625" style="38" customWidth="1"/>
    <col min="2784" max="2785" width="14" style="38" bestFit="1" customWidth="1"/>
    <col min="2786" max="2786" width="15" style="38" customWidth="1"/>
    <col min="2787" max="2787" width="11.85546875" style="38" bestFit="1" customWidth="1"/>
    <col min="2788" max="2790" width="9.140625" style="38"/>
    <col min="2791" max="2791" width="48.140625" style="38" customWidth="1"/>
    <col min="2792" max="3035" width="9.140625" style="38"/>
    <col min="3036" max="3036" width="22.42578125" style="38" customWidth="1"/>
    <col min="3037" max="3037" width="12.7109375" style="38" customWidth="1"/>
    <col min="3038" max="3038" width="11.42578125" style="38" customWidth="1"/>
    <col min="3039" max="3039" width="14.140625" style="38" customWidth="1"/>
    <col min="3040" max="3041" width="14" style="38" bestFit="1" customWidth="1"/>
    <col min="3042" max="3042" width="15" style="38" customWidth="1"/>
    <col min="3043" max="3043" width="11.85546875" style="38" bestFit="1" customWidth="1"/>
    <col min="3044" max="3046" width="9.140625" style="38"/>
    <col min="3047" max="3047" width="48.140625" style="38" customWidth="1"/>
    <col min="3048" max="3291" width="9.140625" style="38"/>
    <col min="3292" max="3292" width="22.42578125" style="38" customWidth="1"/>
    <col min="3293" max="3293" width="12.7109375" style="38" customWidth="1"/>
    <col min="3294" max="3294" width="11.42578125" style="38" customWidth="1"/>
    <col min="3295" max="3295" width="14.140625" style="38" customWidth="1"/>
    <col min="3296" max="3297" width="14" style="38" bestFit="1" customWidth="1"/>
    <col min="3298" max="3298" width="15" style="38" customWidth="1"/>
    <col min="3299" max="3299" width="11.85546875" style="38" bestFit="1" customWidth="1"/>
    <col min="3300" max="3302" width="9.140625" style="38"/>
    <col min="3303" max="3303" width="48.140625" style="38" customWidth="1"/>
    <col min="3304" max="3547" width="9.140625" style="38"/>
    <col min="3548" max="3548" width="22.42578125" style="38" customWidth="1"/>
    <col min="3549" max="3549" width="12.7109375" style="38" customWidth="1"/>
    <col min="3550" max="3550" width="11.42578125" style="38" customWidth="1"/>
    <col min="3551" max="3551" width="14.140625" style="38" customWidth="1"/>
    <col min="3552" max="3553" width="14" style="38" bestFit="1" customWidth="1"/>
    <col min="3554" max="3554" width="15" style="38" customWidth="1"/>
    <col min="3555" max="3555" width="11.85546875" style="38" bestFit="1" customWidth="1"/>
    <col min="3556" max="3558" width="9.140625" style="38"/>
    <col min="3559" max="3559" width="48.140625" style="38" customWidth="1"/>
    <col min="3560" max="3803" width="9.140625" style="38"/>
    <col min="3804" max="3804" width="22.42578125" style="38" customWidth="1"/>
    <col min="3805" max="3805" width="12.7109375" style="38" customWidth="1"/>
    <col min="3806" max="3806" width="11.42578125" style="38" customWidth="1"/>
    <col min="3807" max="3807" width="14.140625" style="38" customWidth="1"/>
    <col min="3808" max="3809" width="14" style="38" bestFit="1" customWidth="1"/>
    <col min="3810" max="3810" width="15" style="38" customWidth="1"/>
    <col min="3811" max="3811" width="11.85546875" style="38" bestFit="1" customWidth="1"/>
    <col min="3812" max="3814" width="9.140625" style="38"/>
    <col min="3815" max="3815" width="48.140625" style="38" customWidth="1"/>
    <col min="3816" max="4059" width="9.140625" style="38"/>
    <col min="4060" max="4060" width="22.42578125" style="38" customWidth="1"/>
    <col min="4061" max="4061" width="12.7109375" style="38" customWidth="1"/>
    <col min="4062" max="4062" width="11.42578125" style="38" customWidth="1"/>
    <col min="4063" max="4063" width="14.140625" style="38" customWidth="1"/>
    <col min="4064" max="4065" width="14" style="38" bestFit="1" customWidth="1"/>
    <col min="4066" max="4066" width="15" style="38" customWidth="1"/>
    <col min="4067" max="4067" width="11.85546875" style="38" bestFit="1" customWidth="1"/>
    <col min="4068" max="4070" width="9.140625" style="38"/>
    <col min="4071" max="4071" width="48.140625" style="38" customWidth="1"/>
    <col min="4072" max="4315" width="9.140625" style="38"/>
    <col min="4316" max="4316" width="22.42578125" style="38" customWidth="1"/>
    <col min="4317" max="4317" width="12.7109375" style="38" customWidth="1"/>
    <col min="4318" max="4318" width="11.42578125" style="38" customWidth="1"/>
    <col min="4319" max="4319" width="14.140625" style="38" customWidth="1"/>
    <col min="4320" max="4321" width="14" style="38" bestFit="1" customWidth="1"/>
    <col min="4322" max="4322" width="15" style="38" customWidth="1"/>
    <col min="4323" max="4323" width="11.85546875" style="38" bestFit="1" customWidth="1"/>
    <col min="4324" max="4326" width="9.140625" style="38"/>
    <col min="4327" max="4327" width="48.140625" style="38" customWidth="1"/>
    <col min="4328" max="4571" width="9.140625" style="38"/>
    <col min="4572" max="4572" width="22.42578125" style="38" customWidth="1"/>
    <col min="4573" max="4573" width="12.7109375" style="38" customWidth="1"/>
    <col min="4574" max="4574" width="11.42578125" style="38" customWidth="1"/>
    <col min="4575" max="4575" width="14.140625" style="38" customWidth="1"/>
    <col min="4576" max="4577" width="14" style="38" bestFit="1" customWidth="1"/>
    <col min="4578" max="4578" width="15" style="38" customWidth="1"/>
    <col min="4579" max="4579" width="11.85546875" style="38" bestFit="1" customWidth="1"/>
    <col min="4580" max="4582" width="9.140625" style="38"/>
    <col min="4583" max="4583" width="48.140625" style="38" customWidth="1"/>
    <col min="4584" max="4827" width="9.140625" style="38"/>
    <col min="4828" max="4828" width="22.42578125" style="38" customWidth="1"/>
    <col min="4829" max="4829" width="12.7109375" style="38" customWidth="1"/>
    <col min="4830" max="4830" width="11.42578125" style="38" customWidth="1"/>
    <col min="4831" max="4831" width="14.140625" style="38" customWidth="1"/>
    <col min="4832" max="4833" width="14" style="38" bestFit="1" customWidth="1"/>
    <col min="4834" max="4834" width="15" style="38" customWidth="1"/>
    <col min="4835" max="4835" width="11.85546875" style="38" bestFit="1" customWidth="1"/>
    <col min="4836" max="4838" width="9.140625" style="38"/>
    <col min="4839" max="4839" width="48.140625" style="38" customWidth="1"/>
    <col min="4840" max="5083" width="9.140625" style="38"/>
    <col min="5084" max="5084" width="22.42578125" style="38" customWidth="1"/>
    <col min="5085" max="5085" width="12.7109375" style="38" customWidth="1"/>
    <col min="5086" max="5086" width="11.42578125" style="38" customWidth="1"/>
    <col min="5087" max="5087" width="14.140625" style="38" customWidth="1"/>
    <col min="5088" max="5089" width="14" style="38" bestFit="1" customWidth="1"/>
    <col min="5090" max="5090" width="15" style="38" customWidth="1"/>
    <col min="5091" max="5091" width="11.85546875" style="38" bestFit="1" customWidth="1"/>
    <col min="5092" max="5094" width="9.140625" style="38"/>
    <col min="5095" max="5095" width="48.140625" style="38" customWidth="1"/>
    <col min="5096" max="5339" width="9.140625" style="38"/>
    <col min="5340" max="5340" width="22.42578125" style="38" customWidth="1"/>
    <col min="5341" max="5341" width="12.7109375" style="38" customWidth="1"/>
    <col min="5342" max="5342" width="11.42578125" style="38" customWidth="1"/>
    <col min="5343" max="5343" width="14.140625" style="38" customWidth="1"/>
    <col min="5344" max="5345" width="14" style="38" bestFit="1" customWidth="1"/>
    <col min="5346" max="5346" width="15" style="38" customWidth="1"/>
    <col min="5347" max="5347" width="11.85546875" style="38" bestFit="1" customWidth="1"/>
    <col min="5348" max="5350" width="9.140625" style="38"/>
    <col min="5351" max="5351" width="48.140625" style="38" customWidth="1"/>
    <col min="5352" max="5595" width="9.140625" style="38"/>
    <col min="5596" max="5596" width="22.42578125" style="38" customWidth="1"/>
    <col min="5597" max="5597" width="12.7109375" style="38" customWidth="1"/>
    <col min="5598" max="5598" width="11.42578125" style="38" customWidth="1"/>
    <col min="5599" max="5599" width="14.140625" style="38" customWidth="1"/>
    <col min="5600" max="5601" width="14" style="38" bestFit="1" customWidth="1"/>
    <col min="5602" max="5602" width="15" style="38" customWidth="1"/>
    <col min="5603" max="5603" width="11.85546875" style="38" bestFit="1" customWidth="1"/>
    <col min="5604" max="5606" width="9.140625" style="38"/>
    <col min="5607" max="5607" width="48.140625" style="38" customWidth="1"/>
    <col min="5608" max="5851" width="9.140625" style="38"/>
    <col min="5852" max="5852" width="22.42578125" style="38" customWidth="1"/>
    <col min="5853" max="5853" width="12.7109375" style="38" customWidth="1"/>
    <col min="5854" max="5854" width="11.42578125" style="38" customWidth="1"/>
    <col min="5855" max="5855" width="14.140625" style="38" customWidth="1"/>
    <col min="5856" max="5857" width="14" style="38" bestFit="1" customWidth="1"/>
    <col min="5858" max="5858" width="15" style="38" customWidth="1"/>
    <col min="5859" max="5859" width="11.85546875" style="38" bestFit="1" customWidth="1"/>
    <col min="5860" max="5862" width="9.140625" style="38"/>
    <col min="5863" max="5863" width="48.140625" style="38" customWidth="1"/>
    <col min="5864" max="6107" width="9.140625" style="38"/>
    <col min="6108" max="6108" width="22.42578125" style="38" customWidth="1"/>
    <col min="6109" max="6109" width="12.7109375" style="38" customWidth="1"/>
    <col min="6110" max="6110" width="11.42578125" style="38" customWidth="1"/>
    <col min="6111" max="6111" width="14.140625" style="38" customWidth="1"/>
    <col min="6112" max="6113" width="14" style="38" bestFit="1" customWidth="1"/>
    <col min="6114" max="6114" width="15" style="38" customWidth="1"/>
    <col min="6115" max="6115" width="11.85546875" style="38" bestFit="1" customWidth="1"/>
    <col min="6116" max="6118" width="9.140625" style="38"/>
    <col min="6119" max="6119" width="48.140625" style="38" customWidth="1"/>
    <col min="6120" max="6363" width="9.140625" style="38"/>
    <col min="6364" max="6364" width="22.42578125" style="38" customWidth="1"/>
    <col min="6365" max="6365" width="12.7109375" style="38" customWidth="1"/>
    <col min="6366" max="6366" width="11.42578125" style="38" customWidth="1"/>
    <col min="6367" max="6367" width="14.140625" style="38" customWidth="1"/>
    <col min="6368" max="6369" width="14" style="38" bestFit="1" customWidth="1"/>
    <col min="6370" max="6370" width="15" style="38" customWidth="1"/>
    <col min="6371" max="6371" width="11.85546875" style="38" bestFit="1" customWidth="1"/>
    <col min="6372" max="6374" width="9.140625" style="38"/>
    <col min="6375" max="6375" width="48.140625" style="38" customWidth="1"/>
    <col min="6376" max="6619" width="9.140625" style="38"/>
    <col min="6620" max="6620" width="22.42578125" style="38" customWidth="1"/>
    <col min="6621" max="6621" width="12.7109375" style="38" customWidth="1"/>
    <col min="6622" max="6622" width="11.42578125" style="38" customWidth="1"/>
    <col min="6623" max="6623" width="14.140625" style="38" customWidth="1"/>
    <col min="6624" max="6625" width="14" style="38" bestFit="1" customWidth="1"/>
    <col min="6626" max="6626" width="15" style="38" customWidth="1"/>
    <col min="6627" max="6627" width="11.85546875" style="38" bestFit="1" customWidth="1"/>
    <col min="6628" max="6630" width="9.140625" style="38"/>
    <col min="6631" max="6631" width="48.140625" style="38" customWidth="1"/>
    <col min="6632" max="6875" width="9.140625" style="38"/>
    <col min="6876" max="6876" width="22.42578125" style="38" customWidth="1"/>
    <col min="6877" max="6877" width="12.7109375" style="38" customWidth="1"/>
    <col min="6878" max="6878" width="11.42578125" style="38" customWidth="1"/>
    <col min="6879" max="6879" width="14.140625" style="38" customWidth="1"/>
    <col min="6880" max="6881" width="14" style="38" bestFit="1" customWidth="1"/>
    <col min="6882" max="6882" width="15" style="38" customWidth="1"/>
    <col min="6883" max="6883" width="11.85546875" style="38" bestFit="1" customWidth="1"/>
    <col min="6884" max="6886" width="9.140625" style="38"/>
    <col min="6887" max="6887" width="48.140625" style="38" customWidth="1"/>
    <col min="6888" max="7131" width="9.140625" style="38"/>
    <col min="7132" max="7132" width="22.42578125" style="38" customWidth="1"/>
    <col min="7133" max="7133" width="12.7109375" style="38" customWidth="1"/>
    <col min="7134" max="7134" width="11.42578125" style="38" customWidth="1"/>
    <col min="7135" max="7135" width="14.140625" style="38" customWidth="1"/>
    <col min="7136" max="7137" width="14" style="38" bestFit="1" customWidth="1"/>
    <col min="7138" max="7138" width="15" style="38" customWidth="1"/>
    <col min="7139" max="7139" width="11.85546875" style="38" bestFit="1" customWidth="1"/>
    <col min="7140" max="7142" width="9.140625" style="38"/>
    <col min="7143" max="7143" width="48.140625" style="38" customWidth="1"/>
    <col min="7144" max="7387" width="9.140625" style="38"/>
    <col min="7388" max="7388" width="22.42578125" style="38" customWidth="1"/>
    <col min="7389" max="7389" width="12.7109375" style="38" customWidth="1"/>
    <col min="7390" max="7390" width="11.42578125" style="38" customWidth="1"/>
    <col min="7391" max="7391" width="14.140625" style="38" customWidth="1"/>
    <col min="7392" max="7393" width="14" style="38" bestFit="1" customWidth="1"/>
    <col min="7394" max="7394" width="15" style="38" customWidth="1"/>
    <col min="7395" max="7395" width="11.85546875" style="38" bestFit="1" customWidth="1"/>
    <col min="7396" max="7398" width="9.140625" style="38"/>
    <col min="7399" max="7399" width="48.140625" style="38" customWidth="1"/>
    <col min="7400" max="7643" width="9.140625" style="38"/>
    <col min="7644" max="7644" width="22.42578125" style="38" customWidth="1"/>
    <col min="7645" max="7645" width="12.7109375" style="38" customWidth="1"/>
    <col min="7646" max="7646" width="11.42578125" style="38" customWidth="1"/>
    <col min="7647" max="7647" width="14.140625" style="38" customWidth="1"/>
    <col min="7648" max="7649" width="14" style="38" bestFit="1" customWidth="1"/>
    <col min="7650" max="7650" width="15" style="38" customWidth="1"/>
    <col min="7651" max="7651" width="11.85546875" style="38" bestFit="1" customWidth="1"/>
    <col min="7652" max="7654" width="9.140625" style="38"/>
    <col min="7655" max="7655" width="48.140625" style="38" customWidth="1"/>
    <col min="7656" max="7899" width="9.140625" style="38"/>
    <col min="7900" max="7900" width="22.42578125" style="38" customWidth="1"/>
    <col min="7901" max="7901" width="12.7109375" style="38" customWidth="1"/>
    <col min="7902" max="7902" width="11.42578125" style="38" customWidth="1"/>
    <col min="7903" max="7903" width="14.140625" style="38" customWidth="1"/>
    <col min="7904" max="7905" width="14" style="38" bestFit="1" customWidth="1"/>
    <col min="7906" max="7906" width="15" style="38" customWidth="1"/>
    <col min="7907" max="7907" width="11.85546875" style="38" bestFit="1" customWidth="1"/>
    <col min="7908" max="7910" width="9.140625" style="38"/>
    <col min="7911" max="7911" width="48.140625" style="38" customWidth="1"/>
    <col min="7912" max="8155" width="9.140625" style="38"/>
    <col min="8156" max="8156" width="22.42578125" style="38" customWidth="1"/>
    <col min="8157" max="8157" width="12.7109375" style="38" customWidth="1"/>
    <col min="8158" max="8158" width="11.42578125" style="38" customWidth="1"/>
    <col min="8159" max="8159" width="14.140625" style="38" customWidth="1"/>
    <col min="8160" max="8161" width="14" style="38" bestFit="1" customWidth="1"/>
    <col min="8162" max="8162" width="15" style="38" customWidth="1"/>
    <col min="8163" max="8163" width="11.85546875" style="38" bestFit="1" customWidth="1"/>
    <col min="8164" max="8166" width="9.140625" style="38"/>
    <col min="8167" max="8167" width="48.140625" style="38" customWidth="1"/>
    <col min="8168" max="8411" width="9.140625" style="38"/>
    <col min="8412" max="8412" width="22.42578125" style="38" customWidth="1"/>
    <col min="8413" max="8413" width="12.7109375" style="38" customWidth="1"/>
    <col min="8414" max="8414" width="11.42578125" style="38" customWidth="1"/>
    <col min="8415" max="8415" width="14.140625" style="38" customWidth="1"/>
    <col min="8416" max="8417" width="14" style="38" bestFit="1" customWidth="1"/>
    <col min="8418" max="8418" width="15" style="38" customWidth="1"/>
    <col min="8419" max="8419" width="11.85546875" style="38" bestFit="1" customWidth="1"/>
    <col min="8420" max="8422" width="9.140625" style="38"/>
    <col min="8423" max="8423" width="48.140625" style="38" customWidth="1"/>
    <col min="8424" max="8667" width="9.140625" style="38"/>
    <col min="8668" max="8668" width="22.42578125" style="38" customWidth="1"/>
    <col min="8669" max="8669" width="12.7109375" style="38" customWidth="1"/>
    <col min="8670" max="8670" width="11.42578125" style="38" customWidth="1"/>
    <col min="8671" max="8671" width="14.140625" style="38" customWidth="1"/>
    <col min="8672" max="8673" width="14" style="38" bestFit="1" customWidth="1"/>
    <col min="8674" max="8674" width="15" style="38" customWidth="1"/>
    <col min="8675" max="8675" width="11.85546875" style="38" bestFit="1" customWidth="1"/>
    <col min="8676" max="8678" width="9.140625" style="38"/>
    <col min="8679" max="8679" width="48.140625" style="38" customWidth="1"/>
    <col min="8680" max="8923" width="9.140625" style="38"/>
    <col min="8924" max="8924" width="22.42578125" style="38" customWidth="1"/>
    <col min="8925" max="8925" width="12.7109375" style="38" customWidth="1"/>
    <col min="8926" max="8926" width="11.42578125" style="38" customWidth="1"/>
    <col min="8927" max="8927" width="14.140625" style="38" customWidth="1"/>
    <col min="8928" max="8929" width="14" style="38" bestFit="1" customWidth="1"/>
    <col min="8930" max="8930" width="15" style="38" customWidth="1"/>
    <col min="8931" max="8931" width="11.85546875" style="38" bestFit="1" customWidth="1"/>
    <col min="8932" max="8934" width="9.140625" style="38"/>
    <col min="8935" max="8935" width="48.140625" style="38" customWidth="1"/>
    <col min="8936" max="9179" width="9.140625" style="38"/>
    <col min="9180" max="9180" width="22.42578125" style="38" customWidth="1"/>
    <col min="9181" max="9181" width="12.7109375" style="38" customWidth="1"/>
    <col min="9182" max="9182" width="11.42578125" style="38" customWidth="1"/>
    <col min="9183" max="9183" width="14.140625" style="38" customWidth="1"/>
    <col min="9184" max="9185" width="14" style="38" bestFit="1" customWidth="1"/>
    <col min="9186" max="9186" width="15" style="38" customWidth="1"/>
    <col min="9187" max="9187" width="11.85546875" style="38" bestFit="1" customWidth="1"/>
    <col min="9188" max="9190" width="9.140625" style="38"/>
    <col min="9191" max="9191" width="48.140625" style="38" customWidth="1"/>
    <col min="9192" max="9435" width="9.140625" style="38"/>
    <col min="9436" max="9436" width="22.42578125" style="38" customWidth="1"/>
    <col min="9437" max="9437" width="12.7109375" style="38" customWidth="1"/>
    <col min="9438" max="9438" width="11.42578125" style="38" customWidth="1"/>
    <col min="9439" max="9439" width="14.140625" style="38" customWidth="1"/>
    <col min="9440" max="9441" width="14" style="38" bestFit="1" customWidth="1"/>
    <col min="9442" max="9442" width="15" style="38" customWidth="1"/>
    <col min="9443" max="9443" width="11.85546875" style="38" bestFit="1" customWidth="1"/>
    <col min="9444" max="9446" width="9.140625" style="38"/>
    <col min="9447" max="9447" width="48.140625" style="38" customWidth="1"/>
    <col min="9448" max="9691" width="9.140625" style="38"/>
    <col min="9692" max="9692" width="22.42578125" style="38" customWidth="1"/>
    <col min="9693" max="9693" width="12.7109375" style="38" customWidth="1"/>
    <col min="9694" max="9694" width="11.42578125" style="38" customWidth="1"/>
    <col min="9695" max="9695" width="14.140625" style="38" customWidth="1"/>
    <col min="9696" max="9697" width="14" style="38" bestFit="1" customWidth="1"/>
    <col min="9698" max="9698" width="15" style="38" customWidth="1"/>
    <col min="9699" max="9699" width="11.85546875" style="38" bestFit="1" customWidth="1"/>
    <col min="9700" max="9702" width="9.140625" style="38"/>
    <col min="9703" max="9703" width="48.140625" style="38" customWidth="1"/>
    <col min="9704" max="9947" width="9.140625" style="38"/>
    <col min="9948" max="9948" width="22.42578125" style="38" customWidth="1"/>
    <col min="9949" max="9949" width="12.7109375" style="38" customWidth="1"/>
    <col min="9950" max="9950" width="11.42578125" style="38" customWidth="1"/>
    <col min="9951" max="9951" width="14.140625" style="38" customWidth="1"/>
    <col min="9952" max="9953" width="14" style="38" bestFit="1" customWidth="1"/>
    <col min="9954" max="9954" width="15" style="38" customWidth="1"/>
    <col min="9955" max="9955" width="11.85546875" style="38" bestFit="1" customWidth="1"/>
    <col min="9956" max="9958" width="9.140625" style="38"/>
    <col min="9959" max="9959" width="48.140625" style="38" customWidth="1"/>
    <col min="9960" max="10203" width="9.140625" style="38"/>
    <col min="10204" max="10204" width="22.42578125" style="38" customWidth="1"/>
    <col min="10205" max="10205" width="12.7109375" style="38" customWidth="1"/>
    <col min="10206" max="10206" width="11.42578125" style="38" customWidth="1"/>
    <col min="10207" max="10207" width="14.140625" style="38" customWidth="1"/>
    <col min="10208" max="10209" width="14" style="38" bestFit="1" customWidth="1"/>
    <col min="10210" max="10210" width="15" style="38" customWidth="1"/>
    <col min="10211" max="10211" width="11.85546875" style="38" bestFit="1" customWidth="1"/>
    <col min="10212" max="10214" width="9.140625" style="38"/>
    <col min="10215" max="10215" width="48.140625" style="38" customWidth="1"/>
    <col min="10216" max="10459" width="9.140625" style="38"/>
    <col min="10460" max="10460" width="22.42578125" style="38" customWidth="1"/>
    <col min="10461" max="10461" width="12.7109375" style="38" customWidth="1"/>
    <col min="10462" max="10462" width="11.42578125" style="38" customWidth="1"/>
    <col min="10463" max="10463" width="14.140625" style="38" customWidth="1"/>
    <col min="10464" max="10465" width="14" style="38" bestFit="1" customWidth="1"/>
    <col min="10466" max="10466" width="15" style="38" customWidth="1"/>
    <col min="10467" max="10467" width="11.85546875" style="38" bestFit="1" customWidth="1"/>
    <col min="10468" max="10470" width="9.140625" style="38"/>
    <col min="10471" max="10471" width="48.140625" style="38" customWidth="1"/>
    <col min="10472" max="10715" width="9.140625" style="38"/>
    <col min="10716" max="10716" width="22.42578125" style="38" customWidth="1"/>
    <col min="10717" max="10717" width="12.7109375" style="38" customWidth="1"/>
    <col min="10718" max="10718" width="11.42578125" style="38" customWidth="1"/>
    <col min="10719" max="10719" width="14.140625" style="38" customWidth="1"/>
    <col min="10720" max="10721" width="14" style="38" bestFit="1" customWidth="1"/>
    <col min="10722" max="10722" width="15" style="38" customWidth="1"/>
    <col min="10723" max="10723" width="11.85546875" style="38" bestFit="1" customWidth="1"/>
    <col min="10724" max="10726" width="9.140625" style="38"/>
    <col min="10727" max="10727" width="48.140625" style="38" customWidth="1"/>
    <col min="10728" max="10971" width="9.140625" style="38"/>
    <col min="10972" max="10972" width="22.42578125" style="38" customWidth="1"/>
    <col min="10973" max="10973" width="12.7109375" style="38" customWidth="1"/>
    <col min="10974" max="10974" width="11.42578125" style="38" customWidth="1"/>
    <col min="10975" max="10975" width="14.140625" style="38" customWidth="1"/>
    <col min="10976" max="10977" width="14" style="38" bestFit="1" customWidth="1"/>
    <col min="10978" max="10978" width="15" style="38" customWidth="1"/>
    <col min="10979" max="10979" width="11.85546875" style="38" bestFit="1" customWidth="1"/>
    <col min="10980" max="10982" width="9.140625" style="38"/>
    <col min="10983" max="10983" width="48.140625" style="38" customWidth="1"/>
    <col min="10984" max="11227" width="9.140625" style="38"/>
    <col min="11228" max="11228" width="22.42578125" style="38" customWidth="1"/>
    <col min="11229" max="11229" width="12.7109375" style="38" customWidth="1"/>
    <col min="11230" max="11230" width="11.42578125" style="38" customWidth="1"/>
    <col min="11231" max="11231" width="14.140625" style="38" customWidth="1"/>
    <col min="11232" max="11233" width="14" style="38" bestFit="1" customWidth="1"/>
    <col min="11234" max="11234" width="15" style="38" customWidth="1"/>
    <col min="11235" max="11235" width="11.85546875" style="38" bestFit="1" customWidth="1"/>
    <col min="11236" max="11238" width="9.140625" style="38"/>
    <col min="11239" max="11239" width="48.140625" style="38" customWidth="1"/>
    <col min="11240" max="11483" width="9.140625" style="38"/>
    <col min="11484" max="11484" width="22.42578125" style="38" customWidth="1"/>
    <col min="11485" max="11485" width="12.7109375" style="38" customWidth="1"/>
    <col min="11486" max="11486" width="11.42578125" style="38" customWidth="1"/>
    <col min="11487" max="11487" width="14.140625" style="38" customWidth="1"/>
    <col min="11488" max="11489" width="14" style="38" bestFit="1" customWidth="1"/>
    <col min="11490" max="11490" width="15" style="38" customWidth="1"/>
    <col min="11491" max="11491" width="11.85546875" style="38" bestFit="1" customWidth="1"/>
    <col min="11492" max="11494" width="9.140625" style="38"/>
    <col min="11495" max="11495" width="48.140625" style="38" customWidth="1"/>
    <col min="11496" max="11739" width="9.140625" style="38"/>
    <col min="11740" max="11740" width="22.42578125" style="38" customWidth="1"/>
    <col min="11741" max="11741" width="12.7109375" style="38" customWidth="1"/>
    <col min="11742" max="11742" width="11.42578125" style="38" customWidth="1"/>
    <col min="11743" max="11743" width="14.140625" style="38" customWidth="1"/>
    <col min="11744" max="11745" width="14" style="38" bestFit="1" customWidth="1"/>
    <col min="11746" max="11746" width="15" style="38" customWidth="1"/>
    <col min="11747" max="11747" width="11.85546875" style="38" bestFit="1" customWidth="1"/>
    <col min="11748" max="11750" width="9.140625" style="38"/>
    <col min="11751" max="11751" width="48.140625" style="38" customWidth="1"/>
    <col min="11752" max="11995" width="9.140625" style="38"/>
    <col min="11996" max="11996" width="22.42578125" style="38" customWidth="1"/>
    <col min="11997" max="11997" width="12.7109375" style="38" customWidth="1"/>
    <col min="11998" max="11998" width="11.42578125" style="38" customWidth="1"/>
    <col min="11999" max="11999" width="14.140625" style="38" customWidth="1"/>
    <col min="12000" max="12001" width="14" style="38" bestFit="1" customWidth="1"/>
    <col min="12002" max="12002" width="15" style="38" customWidth="1"/>
    <col min="12003" max="12003" width="11.85546875" style="38" bestFit="1" customWidth="1"/>
    <col min="12004" max="12006" width="9.140625" style="38"/>
    <col min="12007" max="12007" width="48.140625" style="38" customWidth="1"/>
    <col min="12008" max="12251" width="9.140625" style="38"/>
    <col min="12252" max="12252" width="22.42578125" style="38" customWidth="1"/>
    <col min="12253" max="12253" width="12.7109375" style="38" customWidth="1"/>
    <col min="12254" max="12254" width="11.42578125" style="38" customWidth="1"/>
    <col min="12255" max="12255" width="14.140625" style="38" customWidth="1"/>
    <col min="12256" max="12257" width="14" style="38" bestFit="1" customWidth="1"/>
    <col min="12258" max="12258" width="15" style="38" customWidth="1"/>
    <col min="12259" max="12259" width="11.85546875" style="38" bestFit="1" customWidth="1"/>
    <col min="12260" max="12262" width="9.140625" style="38"/>
    <col min="12263" max="12263" width="48.140625" style="38" customWidth="1"/>
    <col min="12264" max="12507" width="9.140625" style="38"/>
    <col min="12508" max="12508" width="22.42578125" style="38" customWidth="1"/>
    <col min="12509" max="12509" width="12.7109375" style="38" customWidth="1"/>
    <col min="12510" max="12510" width="11.42578125" style="38" customWidth="1"/>
    <col min="12511" max="12511" width="14.140625" style="38" customWidth="1"/>
    <col min="12512" max="12513" width="14" style="38" bestFit="1" customWidth="1"/>
    <col min="12514" max="12514" width="15" style="38" customWidth="1"/>
    <col min="12515" max="12515" width="11.85546875" style="38" bestFit="1" customWidth="1"/>
    <col min="12516" max="12518" width="9.140625" style="38"/>
    <col min="12519" max="12519" width="48.140625" style="38" customWidth="1"/>
    <col min="12520" max="12763" width="9.140625" style="38"/>
    <col min="12764" max="12764" width="22.42578125" style="38" customWidth="1"/>
    <col min="12765" max="12765" width="12.7109375" style="38" customWidth="1"/>
    <col min="12766" max="12766" width="11.42578125" style="38" customWidth="1"/>
    <col min="12767" max="12767" width="14.140625" style="38" customWidth="1"/>
    <col min="12768" max="12769" width="14" style="38" bestFit="1" customWidth="1"/>
    <col min="12770" max="12770" width="15" style="38" customWidth="1"/>
    <col min="12771" max="12771" width="11.85546875" style="38" bestFit="1" customWidth="1"/>
    <col min="12772" max="12774" width="9.140625" style="38"/>
    <col min="12775" max="12775" width="48.140625" style="38" customWidth="1"/>
    <col min="12776" max="13019" width="9.140625" style="38"/>
    <col min="13020" max="13020" width="22.42578125" style="38" customWidth="1"/>
    <col min="13021" max="13021" width="12.7109375" style="38" customWidth="1"/>
    <col min="13022" max="13022" width="11.42578125" style="38" customWidth="1"/>
    <col min="13023" max="13023" width="14.140625" style="38" customWidth="1"/>
    <col min="13024" max="13025" width="14" style="38" bestFit="1" customWidth="1"/>
    <col min="13026" max="13026" width="15" style="38" customWidth="1"/>
    <col min="13027" max="13027" width="11.85546875" style="38" bestFit="1" customWidth="1"/>
    <col min="13028" max="13030" width="9.140625" style="38"/>
    <col min="13031" max="13031" width="48.140625" style="38" customWidth="1"/>
    <col min="13032" max="13275" width="9.140625" style="38"/>
    <col min="13276" max="13276" width="22.42578125" style="38" customWidth="1"/>
    <col min="13277" max="13277" width="12.7109375" style="38" customWidth="1"/>
    <col min="13278" max="13278" width="11.42578125" style="38" customWidth="1"/>
    <col min="13279" max="13279" width="14.140625" style="38" customWidth="1"/>
    <col min="13280" max="13281" width="14" style="38" bestFit="1" customWidth="1"/>
    <col min="13282" max="13282" width="15" style="38" customWidth="1"/>
    <col min="13283" max="13283" width="11.85546875" style="38" bestFit="1" customWidth="1"/>
    <col min="13284" max="13286" width="9.140625" style="38"/>
    <col min="13287" max="13287" width="48.140625" style="38" customWidth="1"/>
    <col min="13288" max="13531" width="9.140625" style="38"/>
    <col min="13532" max="13532" width="22.42578125" style="38" customWidth="1"/>
    <col min="13533" max="13533" width="12.7109375" style="38" customWidth="1"/>
    <col min="13534" max="13534" width="11.42578125" style="38" customWidth="1"/>
    <col min="13535" max="13535" width="14.140625" style="38" customWidth="1"/>
    <col min="13536" max="13537" width="14" style="38" bestFit="1" customWidth="1"/>
    <col min="13538" max="13538" width="15" style="38" customWidth="1"/>
    <col min="13539" max="13539" width="11.85546875" style="38" bestFit="1" customWidth="1"/>
    <col min="13540" max="13542" width="9.140625" style="38"/>
    <col min="13543" max="13543" width="48.140625" style="38" customWidth="1"/>
    <col min="13544" max="13787" width="9.140625" style="38"/>
    <col min="13788" max="13788" width="22.42578125" style="38" customWidth="1"/>
    <col min="13789" max="13789" width="12.7109375" style="38" customWidth="1"/>
    <col min="13790" max="13790" width="11.42578125" style="38" customWidth="1"/>
    <col min="13791" max="13791" width="14.140625" style="38" customWidth="1"/>
    <col min="13792" max="13793" width="14" style="38" bestFit="1" customWidth="1"/>
    <col min="13794" max="13794" width="15" style="38" customWidth="1"/>
    <col min="13795" max="13795" width="11.85546875" style="38" bestFit="1" customWidth="1"/>
    <col min="13796" max="13798" width="9.140625" style="38"/>
    <col min="13799" max="13799" width="48.140625" style="38" customWidth="1"/>
    <col min="13800" max="14043" width="9.140625" style="38"/>
    <col min="14044" max="14044" width="22.42578125" style="38" customWidth="1"/>
    <col min="14045" max="14045" width="12.7109375" style="38" customWidth="1"/>
    <col min="14046" max="14046" width="11.42578125" style="38" customWidth="1"/>
    <col min="14047" max="14047" width="14.140625" style="38" customWidth="1"/>
    <col min="14048" max="14049" width="14" style="38" bestFit="1" customWidth="1"/>
    <col min="14050" max="14050" width="15" style="38" customWidth="1"/>
    <col min="14051" max="14051" width="11.85546875" style="38" bestFit="1" customWidth="1"/>
    <col min="14052" max="14054" width="9.140625" style="38"/>
    <col min="14055" max="14055" width="48.140625" style="38" customWidth="1"/>
    <col min="14056" max="14299" width="9.140625" style="38"/>
    <col min="14300" max="14300" width="22.42578125" style="38" customWidth="1"/>
    <col min="14301" max="14301" width="12.7109375" style="38" customWidth="1"/>
    <col min="14302" max="14302" width="11.42578125" style="38" customWidth="1"/>
    <col min="14303" max="14303" width="14.140625" style="38" customWidth="1"/>
    <col min="14304" max="14305" width="14" style="38" bestFit="1" customWidth="1"/>
    <col min="14306" max="14306" width="15" style="38" customWidth="1"/>
    <col min="14307" max="14307" width="11.85546875" style="38" bestFit="1" customWidth="1"/>
    <col min="14308" max="14310" width="9.140625" style="38"/>
    <col min="14311" max="14311" width="48.140625" style="38" customWidth="1"/>
    <col min="14312" max="14555" width="9.140625" style="38"/>
    <col min="14556" max="14556" width="22.42578125" style="38" customWidth="1"/>
    <col min="14557" max="14557" width="12.7109375" style="38" customWidth="1"/>
    <col min="14558" max="14558" width="11.42578125" style="38" customWidth="1"/>
    <col min="14559" max="14559" width="14.140625" style="38" customWidth="1"/>
    <col min="14560" max="14561" width="14" style="38" bestFit="1" customWidth="1"/>
    <col min="14562" max="14562" width="15" style="38" customWidth="1"/>
    <col min="14563" max="14563" width="11.85546875" style="38" bestFit="1" customWidth="1"/>
    <col min="14564" max="14566" width="9.140625" style="38"/>
    <col min="14567" max="14567" width="48.140625" style="38" customWidth="1"/>
    <col min="14568" max="14811" width="9.140625" style="38"/>
    <col min="14812" max="14812" width="22.42578125" style="38" customWidth="1"/>
    <col min="14813" max="14813" width="12.7109375" style="38" customWidth="1"/>
    <col min="14814" max="14814" width="11.42578125" style="38" customWidth="1"/>
    <col min="14815" max="14815" width="14.140625" style="38" customWidth="1"/>
    <col min="14816" max="14817" width="14" style="38" bestFit="1" customWidth="1"/>
    <col min="14818" max="14818" width="15" style="38" customWidth="1"/>
    <col min="14819" max="14819" width="11.85546875" style="38" bestFit="1" customWidth="1"/>
    <col min="14820" max="14822" width="9.140625" style="38"/>
    <col min="14823" max="14823" width="48.140625" style="38" customWidth="1"/>
    <col min="14824" max="15067" width="9.140625" style="38"/>
    <col min="15068" max="15068" width="22.42578125" style="38" customWidth="1"/>
    <col min="15069" max="15069" width="12.7109375" style="38" customWidth="1"/>
    <col min="15070" max="15070" width="11.42578125" style="38" customWidth="1"/>
    <col min="15071" max="15071" width="14.140625" style="38" customWidth="1"/>
    <col min="15072" max="15073" width="14" style="38" bestFit="1" customWidth="1"/>
    <col min="15074" max="15074" width="15" style="38" customWidth="1"/>
    <col min="15075" max="15075" width="11.85546875" style="38" bestFit="1" customWidth="1"/>
    <col min="15076" max="15078" width="9.140625" style="38"/>
    <col min="15079" max="15079" width="48.140625" style="38" customWidth="1"/>
    <col min="15080" max="15323" width="9.140625" style="38"/>
    <col min="15324" max="15324" width="22.42578125" style="38" customWidth="1"/>
    <col min="15325" max="15325" width="12.7109375" style="38" customWidth="1"/>
    <col min="15326" max="15326" width="11.42578125" style="38" customWidth="1"/>
    <col min="15327" max="15327" width="14.140625" style="38" customWidth="1"/>
    <col min="15328" max="15329" width="14" style="38" bestFit="1" customWidth="1"/>
    <col min="15330" max="15330" width="15" style="38" customWidth="1"/>
    <col min="15331" max="15331" width="11.85546875" style="38" bestFit="1" customWidth="1"/>
    <col min="15332" max="15334" width="9.140625" style="38"/>
    <col min="15335" max="15335" width="48.140625" style="38" customWidth="1"/>
    <col min="15336" max="15579" width="9.140625" style="38"/>
    <col min="15580" max="15580" width="22.42578125" style="38" customWidth="1"/>
    <col min="15581" max="15581" width="12.7109375" style="38" customWidth="1"/>
    <col min="15582" max="15582" width="11.42578125" style="38" customWidth="1"/>
    <col min="15583" max="15583" width="14.140625" style="38" customWidth="1"/>
    <col min="15584" max="15585" width="14" style="38" bestFit="1" customWidth="1"/>
    <col min="15586" max="15586" width="15" style="38" customWidth="1"/>
    <col min="15587" max="15587" width="11.85546875" style="38" bestFit="1" customWidth="1"/>
    <col min="15588" max="15590" width="9.140625" style="38"/>
    <col min="15591" max="15591" width="48.140625" style="38" customWidth="1"/>
    <col min="15592" max="15835" width="9.140625" style="38"/>
    <col min="15836" max="15836" width="22.42578125" style="38" customWidth="1"/>
    <col min="15837" max="15837" width="12.7109375" style="38" customWidth="1"/>
    <col min="15838" max="15838" width="11.42578125" style="38" customWidth="1"/>
    <col min="15839" max="15839" width="14.140625" style="38" customWidth="1"/>
    <col min="15840" max="15841" width="14" style="38" bestFit="1" customWidth="1"/>
    <col min="15842" max="15842" width="15" style="38" customWidth="1"/>
    <col min="15843" max="15843" width="11.85546875" style="38" bestFit="1" customWidth="1"/>
    <col min="15844" max="15846" width="9.140625" style="38"/>
    <col min="15847" max="15847" width="48.140625" style="38" customWidth="1"/>
    <col min="15848" max="16091" width="9.140625" style="38"/>
    <col min="16092" max="16092" width="22.42578125" style="38" customWidth="1"/>
    <col min="16093" max="16093" width="12.7109375" style="38" customWidth="1"/>
    <col min="16094" max="16094" width="11.42578125" style="38" customWidth="1"/>
    <col min="16095" max="16095" width="14.140625" style="38" customWidth="1"/>
    <col min="16096" max="16097" width="14" style="38" bestFit="1" customWidth="1"/>
    <col min="16098" max="16098" width="15" style="38" customWidth="1"/>
    <col min="16099" max="16099" width="11.85546875" style="38" bestFit="1" customWidth="1"/>
    <col min="16100" max="16102" width="9.140625" style="38"/>
    <col min="16103" max="16103" width="48.140625" style="38" customWidth="1"/>
    <col min="16104" max="16384" width="9.140625" style="38"/>
  </cols>
  <sheetData>
    <row r="2" spans="1:13" ht="20.25" x14ac:dyDescent="0.25">
      <c r="A2" s="86" t="s">
        <v>131</v>
      </c>
      <c r="B2" s="86"/>
      <c r="C2" s="86"/>
      <c r="D2" s="86"/>
      <c r="E2" s="86"/>
      <c r="F2" s="86"/>
    </row>
    <row r="3" spans="1:13" ht="18.75" x14ac:dyDescent="0.25">
      <c r="A3" s="87" t="s">
        <v>132</v>
      </c>
      <c r="B3" s="87"/>
      <c r="C3" s="87"/>
      <c r="D3" s="87"/>
      <c r="E3" s="87"/>
      <c r="F3" s="87"/>
    </row>
    <row r="4" spans="1:13" ht="15.75" x14ac:dyDescent="0.25">
      <c r="A4" s="88" t="str">
        <f>"Период реализации: "&amp;TEXT(ПериодС,"дд.ММ.гггг")&amp;" по "&amp;TEXT(ПериодПо,"дд.ММ.гггг")</f>
        <v>Период реализации: 18.07.2022 по 24.07.2022</v>
      </c>
      <c r="B4" s="88"/>
      <c r="C4" s="88"/>
      <c r="D4" s="88"/>
      <c r="E4" s="88"/>
      <c r="F4" s="88"/>
    </row>
    <row r="5" spans="1:13" x14ac:dyDescent="0.25">
      <c r="A5" s="39"/>
    </row>
    <row r="6" spans="1:13" x14ac:dyDescent="0.25">
      <c r="A6" s="39" t="s">
        <v>133</v>
      </c>
      <c r="F6" s="40">
        <f ca="1">TODAY()</f>
        <v>44774</v>
      </c>
      <c r="M6" s="55"/>
    </row>
    <row r="7" spans="1:13" x14ac:dyDescent="0.25">
      <c r="A7" s="39"/>
    </row>
    <row r="8" spans="1:13" ht="15.75" customHeight="1" x14ac:dyDescent="0.25">
      <c r="A8" s="89" t="s">
        <v>134</v>
      </c>
      <c r="B8" s="89"/>
      <c r="C8" s="89"/>
      <c r="D8" s="89"/>
      <c r="E8" s="89"/>
      <c r="F8" s="89"/>
    </row>
    <row r="9" spans="1:13" ht="15.75" customHeight="1" x14ac:dyDescent="0.25">
      <c r="A9" s="89"/>
      <c r="B9" s="89"/>
      <c r="C9" s="89"/>
      <c r="D9" s="89"/>
      <c r="E9" s="89"/>
      <c r="F9" s="89"/>
    </row>
    <row r="10" spans="1:13" ht="37.5" customHeight="1" x14ac:dyDescent="0.25">
      <c r="A10" s="89"/>
      <c r="B10" s="89"/>
      <c r="C10" s="89"/>
      <c r="D10" s="89"/>
      <c r="E10" s="89"/>
      <c r="F10" s="89"/>
    </row>
    <row r="11" spans="1:13" ht="12" customHeight="1" x14ac:dyDescent="0.25">
      <c r="A11" s="41"/>
      <c r="B11" s="42"/>
      <c r="C11" s="42"/>
      <c r="D11" s="42"/>
      <c r="E11" s="42"/>
      <c r="F11" s="42"/>
    </row>
    <row r="12" spans="1:13" ht="27" customHeight="1" x14ac:dyDescent="0.25">
      <c r="A12" s="42"/>
      <c r="B12" s="42"/>
      <c r="C12" s="43"/>
      <c r="D12" s="43"/>
      <c r="E12" s="43"/>
      <c r="F12" s="43"/>
    </row>
    <row r="13" spans="1:13" x14ac:dyDescent="0.25">
      <c r="A13" s="44" t="s">
        <v>135</v>
      </c>
      <c r="B13" s="39"/>
      <c r="C13" s="39"/>
      <c r="D13" s="39"/>
      <c r="E13" s="45">
        <f ca="1">ОТЧЕТ!G618</f>
        <v>614380</v>
      </c>
      <c r="F13" s="46" t="s">
        <v>127</v>
      </c>
    </row>
    <row r="14" spans="1:13" ht="15" x14ac:dyDescent="0.25">
      <c r="A14" s="84" t="str" cm="1">
        <f t="array" aca="1" ref="A14" ca="1">СуммаПрописью(E13)</f>
        <v>Шестьсот четырнадцать тысяч триста восемьдесят рублей 00 копеек</v>
      </c>
      <c r="B14" s="85"/>
      <c r="C14" s="85"/>
      <c r="D14" s="85"/>
      <c r="E14" s="85"/>
      <c r="F14" s="85"/>
    </row>
    <row r="15" spans="1:13" ht="15.75" customHeight="1" x14ac:dyDescent="0.25">
      <c r="A15" s="39"/>
      <c r="B15" s="39"/>
      <c r="C15" s="39"/>
      <c r="D15" s="39"/>
      <c r="E15" s="39"/>
      <c r="F15" s="39"/>
    </row>
    <row r="16" spans="1:13" ht="15.75" customHeight="1" x14ac:dyDescent="0.25">
      <c r="A16" s="47" t="s">
        <v>136</v>
      </c>
      <c r="B16" s="39"/>
      <c r="C16" s="45">
        <f ca="1">ОТЧЕТ!I618</f>
        <v>289987.36000000004</v>
      </c>
      <c r="D16" s="39" t="s">
        <v>127</v>
      </c>
      <c r="E16" s="39"/>
      <c r="F16" s="39"/>
    </row>
    <row r="17" spans="1:6" ht="15.75" customHeight="1" x14ac:dyDescent="0.25">
      <c r="A17" s="84" t="str" cm="1">
        <f t="array" aca="1" ref="A17" ca="1">СуммаПрописью(C16)</f>
        <v>Двести восемьдесят девять тысяч девятьсот восемьдесят семь рублей 36 копеек</v>
      </c>
      <c r="B17" s="85"/>
      <c r="C17" s="85"/>
      <c r="D17" s="85"/>
      <c r="E17" s="85"/>
      <c r="F17" s="85"/>
    </row>
    <row r="18" spans="1:6" ht="15" customHeight="1" x14ac:dyDescent="0.25">
      <c r="A18" s="48"/>
      <c r="B18" s="39"/>
      <c r="C18" s="39"/>
      <c r="D18" s="39"/>
      <c r="E18" s="39"/>
      <c r="F18" s="39"/>
    </row>
    <row r="19" spans="1:6" s="51" customFormat="1" ht="15" customHeight="1" x14ac:dyDescent="0.25">
      <c r="A19" s="90" t="s">
        <v>137</v>
      </c>
      <c r="B19" s="85"/>
      <c r="C19" s="85"/>
      <c r="D19" s="85"/>
      <c r="E19" s="49">
        <f ca="1">ОТЧЕТ!E618</f>
        <v>324392.63999999996</v>
      </c>
      <c r="F19" s="50" t="s">
        <v>127</v>
      </c>
    </row>
    <row r="20" spans="1:6" ht="15" customHeight="1" x14ac:dyDescent="0.25">
      <c r="A20" s="84" t="str" cm="1">
        <f t="array" aca="1" ref="A20" ca="1">СуммаПрописью(E19)</f>
        <v>Триста двадцать четыре тысячи триста девяносто два рубля 64 копейки</v>
      </c>
      <c r="B20" s="85"/>
      <c r="C20" s="85"/>
      <c r="D20" s="85"/>
      <c r="E20" s="85"/>
      <c r="F20" s="85"/>
    </row>
    <row r="21" spans="1:6" x14ac:dyDescent="0.25">
      <c r="A21" s="42"/>
      <c r="B21" s="42"/>
      <c r="C21" s="42"/>
      <c r="D21" s="42"/>
      <c r="E21" s="42"/>
      <c r="F21" s="42"/>
    </row>
    <row r="22" spans="1:6" ht="15.75" customHeight="1" x14ac:dyDescent="0.25">
      <c r="A22" s="89" t="s">
        <v>138</v>
      </c>
      <c r="B22" s="89"/>
      <c r="C22" s="89"/>
      <c r="D22" s="89"/>
      <c r="E22" s="89"/>
      <c r="F22" s="89"/>
    </row>
    <row r="23" spans="1:6" ht="15.75" customHeight="1" x14ac:dyDescent="0.25">
      <c r="A23" s="89"/>
      <c r="B23" s="89"/>
      <c r="C23" s="89"/>
      <c r="D23" s="89"/>
      <c r="E23" s="89"/>
      <c r="F23" s="89"/>
    </row>
    <row r="24" spans="1:6" x14ac:dyDescent="0.25">
      <c r="A24" s="39"/>
    </row>
    <row r="25" spans="1:6" x14ac:dyDescent="0.25">
      <c r="A25" s="52" t="s">
        <v>115</v>
      </c>
      <c r="C25" s="44" t="s">
        <v>117</v>
      </c>
      <c r="D25" s="52"/>
      <c r="E25" s="52"/>
    </row>
    <row r="26" spans="1:6" x14ac:dyDescent="0.25">
      <c r="A26" s="52"/>
      <c r="C26" s="52"/>
      <c r="D26" s="52"/>
      <c r="E26" s="52"/>
    </row>
    <row r="27" spans="1:6" x14ac:dyDescent="0.25">
      <c r="A27" s="52" t="s">
        <v>139</v>
      </c>
      <c r="C27" s="90" t="s">
        <v>140</v>
      </c>
      <c r="D27" s="90"/>
      <c r="E27" s="90"/>
      <c r="F27" s="90"/>
    </row>
    <row r="28" spans="1:6" ht="25.5" x14ac:dyDescent="0.25">
      <c r="A28" s="53" t="s">
        <v>141</v>
      </c>
      <c r="C28" s="89" t="s">
        <v>129</v>
      </c>
      <c r="D28" s="89"/>
      <c r="E28" s="54"/>
    </row>
    <row r="30" spans="1:6" x14ac:dyDescent="0.25">
      <c r="A30" s="54" t="s">
        <v>142</v>
      </c>
      <c r="C30" s="54" t="s">
        <v>142</v>
      </c>
      <c r="D30" s="54"/>
      <c r="E30" s="54"/>
    </row>
    <row r="31" spans="1:6" x14ac:dyDescent="0.25">
      <c r="A31" s="54"/>
    </row>
    <row r="32" spans="1:6" x14ac:dyDescent="0.25">
      <c r="A32" s="54"/>
    </row>
    <row r="33" spans="1:1" x14ac:dyDescent="0.25">
      <c r="A33" s="54"/>
    </row>
    <row r="34" spans="1:1" x14ac:dyDescent="0.25">
      <c r="A34" s="55"/>
    </row>
  </sheetData>
  <mergeCells count="11">
    <mergeCell ref="A19:D19"/>
    <mergeCell ref="A20:F20"/>
    <mergeCell ref="A22:F23"/>
    <mergeCell ref="C27:F27"/>
    <mergeCell ref="C28:D28"/>
    <mergeCell ref="A17:F17"/>
    <mergeCell ref="A2:F2"/>
    <mergeCell ref="A3:F3"/>
    <mergeCell ref="A4:F4"/>
    <mergeCell ref="A8:F10"/>
    <mergeCell ref="A14:F14"/>
  </mergeCells>
  <pageMargins left="0.31496062992125984" right="0.31496062992125984" top="0.55118110236220474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9</vt:i4>
      </vt:variant>
    </vt:vector>
  </HeadingPairs>
  <TitlesOfParts>
    <vt:vector size="13" baseType="lpstr">
      <vt:lpstr>Handler</vt:lpstr>
      <vt:lpstr>Загрузка</vt:lpstr>
      <vt:lpstr>ОТЧЕТ</vt:lpstr>
      <vt:lpstr>АКТ</vt:lpstr>
      <vt:lpstr>Месяц</vt:lpstr>
      <vt:lpstr>ОтчетКомитентуОт</vt:lpstr>
      <vt:lpstr>папкаОтчетов</vt:lpstr>
      <vt:lpstr>ПериодПо</vt:lpstr>
      <vt:lpstr>ПериодПоВнутриМесяца</vt:lpstr>
      <vt:lpstr>ПериодС</vt:lpstr>
      <vt:lpstr>ПрошлаяНедПериодПо</vt:lpstr>
      <vt:lpstr>ПрошлаяНедПериодС</vt:lpstr>
      <vt:lpstr>путьОтчета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2022-08-01T11:31:44Z</dcterms:modified>
</cp:coreProperties>
</file>