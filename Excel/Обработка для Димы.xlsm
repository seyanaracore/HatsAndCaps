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228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BUH\Desktop\"/>
    </mc:Choice>
  </mc:AlternateContent>
  <xr:revisionPtr revIDLastSave="0" documentId="13_ncr:1_{72B440CC-78BF-40EE-A5BF-431D1CA42A13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Данные" sheetId="1" r:id="rId1"/>
    <sheet name="Итог" sheetId="2" r:id="rId2"/>
    <sheet name="Настройки" sheetId="3" r:id="rId3"/>
  </sheets>
  <functionGroups builtInGroupCount="19"/>
  <definedNames>
    <definedName name="СопоставлениеДанные">Настройки!$A$3:$A$9</definedName>
    <definedName name="ФормулыКолонок">Настройки!$C$3:$C$5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5" i="3" l="1"/>
  <c r="D5" i="3"/>
  <c r="C4" i="3"/>
  <c r="C3" i="3"/>
  <c r="D4" i="3"/>
  <c r="D3" i="3"/>
</calcChain>
</file>

<file path=xl/sharedStrings.xml><?xml version="1.0" encoding="utf-8"?>
<sst xmlns="http://schemas.openxmlformats.org/spreadsheetml/2006/main" count="421" uniqueCount="109">
  <si>
    <t>N</t>
  </si>
  <si>
    <t>Артикул</t>
  </si>
  <si>
    <t>Артикул П.</t>
  </si>
  <si>
    <t>Штрихкод</t>
  </si>
  <si>
    <t>Номенклатура</t>
  </si>
  <si>
    <t>Цена продажи</t>
  </si>
  <si>
    <t>Характеристика</t>
  </si>
  <si>
    <t>Продано</t>
  </si>
  <si>
    <t>Цена комитента</t>
  </si>
  <si>
    <t>Сумма комитента</t>
  </si>
  <si>
    <t>Сумма продажи</t>
  </si>
  <si>
    <t>Сумма вознаграждения</t>
  </si>
  <si>
    <t>Дата</t>
  </si>
  <si>
    <t>Покупатель</t>
  </si>
  <si>
    <t>04-009-49</t>
  </si>
  <si>
    <t>04-009-49-55</t>
  </si>
  <si>
    <t>Панама HANNA HATS арт. Walking 832 (бежевый / темно-серый) {L005P}</t>
  </si>
  <si>
    <t>55 S</t>
  </si>
  <si>
    <t>01.01.0001 0:00:00</t>
  </si>
  <si>
    <t>46-015-19</t>
  </si>
  <si>
    <t>46-015-19-00</t>
  </si>
  <si>
    <t>Берет LE BERET FRANCAIS арт. VINTAGE NEGUA (голубой) {light blue}</t>
  </si>
  <si>
    <t>ONE</t>
  </si>
  <si>
    <t>81-004-09</t>
  </si>
  <si>
    <t>81-004-09-59</t>
  </si>
  <si>
    <t>Шляпа HERMAN арт. MAC CARTHY (черный) {black}</t>
  </si>
  <si>
    <t>59 L</t>
  </si>
  <si>
    <t>02-480-95</t>
  </si>
  <si>
    <t>02-480-95-00</t>
  </si>
  <si>
    <t>Бейсболка STETSON арт. 7751177 TRUCKER CAP FREE SPIRIT (синий / белый) {2}</t>
  </si>
  <si>
    <t>81-036-08</t>
  </si>
  <si>
    <t>81-036-08-57</t>
  </si>
  <si>
    <t>Панама HERMAN арт. CREEK (серый) {grey}</t>
  </si>
  <si>
    <t>57 M</t>
  </si>
  <si>
    <t>95-067-09</t>
  </si>
  <si>
    <t>95-067-09-56</t>
  </si>
  <si>
    <t>Кепка FREDRIKSON арт. 3190-624/91 (черный) {624/91}</t>
  </si>
  <si>
    <t>56 S/M</t>
  </si>
  <si>
    <t>94-011-09</t>
  </si>
  <si>
    <t>94-011-09-60</t>
  </si>
  <si>
    <t>Бейсболка FLEXFIT арт. 6277 (черный) {black}</t>
  </si>
  <si>
    <t>60 L/XL</t>
  </si>
  <si>
    <t>91-263-14</t>
  </si>
  <si>
    <t>91-263-14-00</t>
  </si>
  <si>
    <t>Бейсболка GOORIN BROTHERS арт. 101-0205 (коричневый / синий) {roy}</t>
  </si>
  <si>
    <t>91-445-17</t>
  </si>
  <si>
    <t>91-445-17-00</t>
  </si>
  <si>
    <t>Бейсболка GOORIN BROTHERS арт. 101-0552 (белый) {ivo}</t>
  </si>
  <si>
    <t>91-258-16</t>
  </si>
  <si>
    <t>91-258-16-00</t>
  </si>
  <si>
    <t>Бейсболка GOORIN BROTHERS арт. 101-0099 (темно-синий) {nvy}</t>
  </si>
  <si>
    <t>91-573-09</t>
  </si>
  <si>
    <t>91-573-09-00</t>
  </si>
  <si>
    <t>Бейсболка GOORIN BROTHERS арт. 101-1151 (черный) {blk}</t>
  </si>
  <si>
    <t>91-452-17</t>
  </si>
  <si>
    <t>91-452-17-00</t>
  </si>
  <si>
    <t>Бейсболка GOORIN BROTHERS арт. 101-2711 (белый) {whi}</t>
  </si>
  <si>
    <t>91-263-03</t>
  </si>
  <si>
    <t>91-263-03-00</t>
  </si>
  <si>
    <t>Бейсболка GOORIN BROTHERS арт. 101-0205 (оливковый) {oli}</t>
  </si>
  <si>
    <t>80-794-06</t>
  </si>
  <si>
    <t>80-794-06-57</t>
  </si>
  <si>
    <t>Бейсболка HERMAN арт. CASSICAN (синий) {blue}</t>
  </si>
  <si>
    <t>16-705-14</t>
  </si>
  <si>
    <t>16-705-14-00</t>
  </si>
  <si>
    <t>Бейсболка GOORIN BROTHERS арт. 101-2747 (коричневый) {bro}</t>
  </si>
  <si>
    <t>91-506-09</t>
  </si>
  <si>
    <t>91-506-09-00</t>
  </si>
  <si>
    <t>Бейсболка GOORIN BROTHERS арт. 101-0640 (черный) {blk}</t>
  </si>
  <si>
    <t>80-794-13</t>
  </si>
  <si>
    <t>80-794-13-57</t>
  </si>
  <si>
    <t>Бейсболка HERMAN арт. CASSICAN (рыжий) {tobacco}</t>
  </si>
  <si>
    <t>36-103-09</t>
  </si>
  <si>
    <t>36-103-09-00</t>
  </si>
  <si>
    <t>Бейсболка 47 BRAND арт. HVIN-MVP01WBV Boston Bruins NHL (черный) {bk33}</t>
  </si>
  <si>
    <t>36-011-48</t>
  </si>
  <si>
    <t>36-011-48-00</t>
  </si>
  <si>
    <t>Бейсболка 47 BRAND арт. B-CLZOE17WBP New York Yankees MLB (черный / белый) {bkb}</t>
  </si>
  <si>
    <t>Арт</t>
  </si>
  <si>
    <t>Группа</t>
  </si>
  <si>
    <t>Бренд</t>
  </si>
  <si>
    <t>Наименование</t>
  </si>
  <si>
    <t>Размер</t>
  </si>
  <si>
    <t>Кол-во</t>
  </si>
  <si>
    <t>Сбс</t>
  </si>
  <si>
    <t>Сумм Сбс</t>
  </si>
  <si>
    <t>Цена</t>
  </si>
  <si>
    <t>Сумма</t>
  </si>
  <si>
    <t>Панама</t>
  </si>
  <si>
    <t>Логист</t>
  </si>
  <si>
    <t>Возн.ВБ</t>
  </si>
  <si>
    <t>HANNA HATS</t>
  </si>
  <si>
    <t>Сопоставление</t>
  </si>
  <si>
    <t>Данные</t>
  </si>
  <si>
    <t>Итог</t>
  </si>
  <si>
    <t>Формулы</t>
  </si>
  <si>
    <t>Название колонки</t>
  </si>
  <si>
    <t>Формула</t>
  </si>
  <si>
    <t>Берет</t>
  </si>
  <si>
    <t>LE BERET FRANCAIS</t>
  </si>
  <si>
    <t>Шляпа</t>
  </si>
  <si>
    <t>HERMAN</t>
  </si>
  <si>
    <t>Бейсболка</t>
  </si>
  <si>
    <t>STETSON</t>
  </si>
  <si>
    <t>Кепка</t>
  </si>
  <si>
    <t>FREDRIKSON</t>
  </si>
  <si>
    <t>FLEXFIT</t>
  </si>
  <si>
    <t>GOORIN BROTHERS</t>
  </si>
  <si>
    <t>47 BRAND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</si>
</sst>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10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8"/>
      <name val="Arial"/>
      <family val="2"/>
    </font>
    <font>
      <sz val="8"/>
      <color indexed="59"/>
      <name val="Arial"/>
      <family val="2"/>
    </font>
    <font>
      <sz val="8"/>
      <color indexed="8"/>
      <name val="Arial"/>
      <family val="2"/>
    </font>
    <font>
      <b/>
      <sz val="11"/>
      <color rgb="FFFF0000"/>
      <name val="Arial"/>
      <family val="2"/>
      <charset val="204"/>
    </font>
    <font>
      <sz val="8"/>
      <name val="Arial"/>
      <family val="2"/>
      <charset val="204"/>
    </font>
    <font>
      <b/>
      <sz val="9"/>
      <name val="Arial"/>
      <family val="2"/>
      <charset val="204"/>
    </font>
    <font>
      <b/>
      <sz val="10"/>
      <name val="Arial"/>
      <family val="2"/>
      <charset val="204"/>
    </font>
    <font>
      <sz val="8"/>
      <color theme="1"/>
      <name val="Arial"/>
      <family val="2"/>
      <charset val="204"/>
    </font>
  </fonts>
  <fills count="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thin">
        <color indexed="60"/>
      </left>
      <right style="thin">
        <color indexed="60"/>
      </right>
      <top style="thin">
        <color indexed="60"/>
      </top>
      <bottom style="thin">
        <color indexed="6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0"/>
      </left>
      <right style="thin">
        <color indexed="60"/>
      </right>
      <top/>
      <bottom style="thin">
        <color indexed="60"/>
      </bottom>
      <diagonal/>
    </border>
    <border>
      <left style="thin">
        <color indexed="60"/>
      </left>
      <right/>
      <top/>
      <bottom style="thin">
        <color indexed="60"/>
      </bottom>
      <diagonal/>
    </border>
    <border>
      <left/>
      <right style="thin">
        <color indexed="60"/>
      </right>
      <top/>
      <bottom style="thin">
        <color indexed="60"/>
      </bottom>
      <diagonal/>
    </border>
  </borders>
  <cellStyleXfs count="2">
    <xf numFmtId="0" fontId="0" fillId="0" borderId="0"/>
    <xf numFmtId="0" fontId="2" fillId="0" borderId="0"/>
  </cellStyleXfs>
  <cellXfs count="20">
    <xf numFmtId="0" fontId="0" fillId="0" borderId="0" xfId="0"/>
    <xf numFmtId="0" fontId="3" fillId="2" borderId="1" xfId="1" applyFont="1" applyFill="1" applyBorder="1" applyAlignment="1">
      <alignment horizontal="left" vertical="top"/>
    </xf>
    <xf numFmtId="1" fontId="4" fillId="2" borderId="1" xfId="1" applyNumberFormat="1" applyFont="1" applyFill="1" applyBorder="1" applyAlignment="1">
      <alignment horizontal="right" vertical="top"/>
    </xf>
    <xf numFmtId="0" fontId="4" fillId="2" borderId="1" xfId="1" applyFont="1" applyFill="1" applyBorder="1" applyAlignment="1">
      <alignment horizontal="left" vertical="top"/>
    </xf>
    <xf numFmtId="4" fontId="4" fillId="2" borderId="1" xfId="1" applyNumberFormat="1" applyFont="1" applyFill="1" applyBorder="1" applyAlignment="1">
      <alignment horizontal="right" vertical="top"/>
    </xf>
    <xf numFmtId="164" fontId="4" fillId="2" borderId="1" xfId="1" applyNumberFormat="1" applyFont="1" applyFill="1" applyBorder="1" applyAlignment="1">
      <alignment horizontal="right" vertical="top"/>
    </xf>
    <xf numFmtId="2" fontId="4" fillId="2" borderId="1" xfId="1" applyNumberFormat="1" applyFont="1" applyFill="1" applyBorder="1" applyAlignment="1">
      <alignment horizontal="right" vertical="top"/>
    </xf>
    <xf numFmtId="0" fontId="4" fillId="3" borderId="1" xfId="1" applyFont="1" applyFill="1" applyBorder="1" applyAlignment="1">
      <alignment horizontal="left" vertical="top"/>
    </xf>
    <xf numFmtId="4" fontId="4" fillId="3" borderId="1" xfId="1" applyNumberFormat="1" applyFont="1" applyFill="1" applyBorder="1" applyAlignment="1">
      <alignment horizontal="right" vertical="top"/>
    </xf>
    <xf numFmtId="164" fontId="4" fillId="3" borderId="1" xfId="1" applyNumberFormat="1" applyFont="1" applyFill="1" applyBorder="1" applyAlignment="1">
      <alignment horizontal="right" vertical="top"/>
    </xf>
    <xf numFmtId="2" fontId="4" fillId="3" borderId="1" xfId="1" applyNumberFormat="1" applyFont="1" applyFill="1" applyBorder="1" applyAlignment="1">
      <alignment horizontal="right" vertical="top"/>
    </xf>
    <xf numFmtId="0" fontId="8" fillId="2" borderId="4" xfId="1" applyFont="1" applyFill="1" applyBorder="1" applyAlignment="1">
      <alignment horizontal="center" vertical="center"/>
    </xf>
    <xf numFmtId="0" fontId="8" fillId="2" borderId="5" xfId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6" fillId="2" borderId="3" xfId="1" applyFont="1" applyFill="1" applyBorder="1" applyAlignment="1">
      <alignment vertical="center"/>
    </xf>
    <xf numFmtId="0" fontId="7" fillId="2" borderId="3" xfId="1" applyFont="1" applyFill="1" applyBorder="1" applyAlignment="1">
      <alignment vertical="center"/>
    </xf>
    <xf numFmtId="0" fontId="5" fillId="0" borderId="2" xfId="0" applyFont="1" applyBorder="1" applyAlignment="1">
      <alignment horizontal="center" vertical="center"/>
    </xf>
    <xf numFmtId="0" fontId="9" fillId="0" borderId="2" xfId="0" applyFont="1" applyBorder="1" applyAlignment="1">
      <alignment horizontal="left" vertical="center"/>
    </xf>
    <xf numFmtId="0" fontId="9" fillId="0" borderId="0" xfId="0" applyFont="1" applyAlignment="1">
      <alignment horizontal="left" vertical="center"/>
    </xf>
    <xf numFmtId="0" fontId="0" fillId="0" borderId="0" xfId="0" applyFont="1" applyAlignment="1">
      <alignment horizontal="center"/>
    </xf>
  </cellXfs>
  <cellStyles count="2">
    <cellStyle name="Обычный" xfId="0" builtinId="0"/>
    <cellStyle name="Обычный_Данные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190500</xdr:colOff>
          <xdr:row>1</xdr:row>
          <xdr:rowOff>47625</xdr:rowOff>
        </xdr:from>
        <xdr:to>
          <xdr:col>16</xdr:col>
          <xdr:colOff>19050</xdr:colOff>
          <xdr:row>2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N35"/>
  <sheetViews>
    <sheetView workbookViewId="0">
      <selection activeCell="G12" sqref="G12"/>
    </sheetView>
  </sheetViews>
  <sheetFormatPr defaultRowHeight="15" x14ac:dyDescent="0.25"/>
  <cols>
    <col min="4" max="4" width="12.140625" bestFit="1" customWidth="1"/>
    <col min="5" max="5" width="62.85546875" bestFit="1" customWidth="1"/>
  </cols>
  <sheetData>
    <row r="1" spans="1:14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</row>
    <row r="2" spans="1:14" x14ac:dyDescent="0.25">
      <c r="A2" s="2">
        <v>1</v>
      </c>
      <c r="B2" s="7" t="s">
        <v>14</v>
      </c>
      <c r="C2" s="7" t="s">
        <v>15</v>
      </c>
      <c r="D2" s="2">
        <v>2077199047381</v>
      </c>
      <c r="E2" s="7" t="s">
        <v>16</v>
      </c>
      <c r="F2" s="4">
        <v>5391.75</v>
      </c>
      <c r="G2" s="7" t="s">
        <v>17</v>
      </c>
      <c r="H2" s="9">
        <v>-1</v>
      </c>
      <c r="I2" s="4">
        <v>5391.75</v>
      </c>
      <c r="J2" s="4">
        <v>-5391.75</v>
      </c>
      <c r="K2" s="8">
        <v>-4863.8500000000004</v>
      </c>
      <c r="L2" s="10">
        <v>527.9</v>
      </c>
      <c r="M2" s="3" t="s">
        <v>18</v>
      </c>
      <c r="N2" s="3"/>
    </row>
    <row r="3" spans="1:14" x14ac:dyDescent="0.25">
      <c r="A3" s="2">
        <v>2</v>
      </c>
      <c r="B3" s="7" t="s">
        <v>14</v>
      </c>
      <c r="C3" s="7" t="s">
        <v>15</v>
      </c>
      <c r="D3" s="2">
        <v>2077199047381</v>
      </c>
      <c r="E3" s="7" t="s">
        <v>16</v>
      </c>
      <c r="F3" s="4">
        <v>5391.75</v>
      </c>
      <c r="G3" s="7" t="s">
        <v>17</v>
      </c>
      <c r="H3" s="9">
        <v>1</v>
      </c>
      <c r="I3" s="4">
        <v>5391.75</v>
      </c>
      <c r="J3" s="4">
        <v>5391.75</v>
      </c>
      <c r="K3" s="8">
        <v>4863.8500000000004</v>
      </c>
      <c r="L3" s="10">
        <v>-527.9</v>
      </c>
      <c r="M3" s="3" t="s">
        <v>18</v>
      </c>
      <c r="N3" s="3"/>
    </row>
    <row r="4" spans="1:14" x14ac:dyDescent="0.25">
      <c r="A4" s="2">
        <v>3</v>
      </c>
      <c r="B4" s="3" t="s">
        <v>19</v>
      </c>
      <c r="C4" s="3" t="s">
        <v>20</v>
      </c>
      <c r="D4" s="2">
        <v>2077199125164</v>
      </c>
      <c r="E4" s="3" t="s">
        <v>21</v>
      </c>
      <c r="F4" s="4">
        <v>5897.69</v>
      </c>
      <c r="G4" s="3" t="s">
        <v>22</v>
      </c>
      <c r="H4" s="5">
        <v>1</v>
      </c>
      <c r="I4" s="4">
        <v>5897.69</v>
      </c>
      <c r="J4" s="4">
        <v>5897.69</v>
      </c>
      <c r="K4" s="4">
        <v>6974</v>
      </c>
      <c r="L4" s="4">
        <v>1076.32</v>
      </c>
      <c r="M4" s="3" t="s">
        <v>18</v>
      </c>
      <c r="N4" s="3"/>
    </row>
    <row r="5" spans="1:14" x14ac:dyDescent="0.25">
      <c r="A5" s="2">
        <v>4</v>
      </c>
      <c r="B5" s="3" t="s">
        <v>23</v>
      </c>
      <c r="C5" s="3" t="s">
        <v>24</v>
      </c>
      <c r="D5" s="2">
        <v>2077199057250</v>
      </c>
      <c r="E5" s="3" t="s">
        <v>25</v>
      </c>
      <c r="F5" s="4">
        <v>7618.12</v>
      </c>
      <c r="G5" s="3" t="s">
        <v>26</v>
      </c>
      <c r="H5" s="5">
        <v>1</v>
      </c>
      <c r="I5" s="4">
        <v>7618.12</v>
      </c>
      <c r="J5" s="4">
        <v>7618.12</v>
      </c>
      <c r="K5" s="4">
        <v>7887</v>
      </c>
      <c r="L5" s="6">
        <v>268.88</v>
      </c>
      <c r="M5" s="3" t="s">
        <v>18</v>
      </c>
      <c r="N5" s="3"/>
    </row>
    <row r="6" spans="1:14" x14ac:dyDescent="0.25">
      <c r="A6" s="2">
        <v>5</v>
      </c>
      <c r="B6" s="3" t="s">
        <v>23</v>
      </c>
      <c r="C6" s="3" t="s">
        <v>24</v>
      </c>
      <c r="D6" s="2">
        <v>2077199057250</v>
      </c>
      <c r="E6" s="3" t="s">
        <v>25</v>
      </c>
      <c r="F6" s="4">
        <v>7618.12</v>
      </c>
      <c r="G6" s="3" t="s">
        <v>26</v>
      </c>
      <c r="H6" s="5">
        <v>-1</v>
      </c>
      <c r="I6" s="4">
        <v>7618.12</v>
      </c>
      <c r="J6" s="4">
        <v>-7618.12</v>
      </c>
      <c r="K6" s="4">
        <v>-7887</v>
      </c>
      <c r="L6" s="6">
        <v>-268.88</v>
      </c>
      <c r="M6" s="3" t="s">
        <v>18</v>
      </c>
      <c r="N6" s="3"/>
    </row>
    <row r="7" spans="1:14" x14ac:dyDescent="0.25">
      <c r="A7" s="2">
        <v>6</v>
      </c>
      <c r="B7" s="3" t="s">
        <v>27</v>
      </c>
      <c r="C7" s="3" t="s">
        <v>28</v>
      </c>
      <c r="D7" s="2">
        <v>2077199091377</v>
      </c>
      <c r="E7" s="3" t="s">
        <v>29</v>
      </c>
      <c r="F7" s="4">
        <v>4838.62</v>
      </c>
      <c r="G7" s="3" t="s">
        <v>22</v>
      </c>
      <c r="H7" s="5">
        <v>-1</v>
      </c>
      <c r="I7" s="4">
        <v>4838.62</v>
      </c>
      <c r="J7" s="4">
        <v>-4838.62</v>
      </c>
      <c r="K7" s="4">
        <v>-5692.5</v>
      </c>
      <c r="L7" s="6">
        <v>-853.88</v>
      </c>
      <c r="M7" s="3" t="s">
        <v>18</v>
      </c>
      <c r="N7" s="3"/>
    </row>
    <row r="8" spans="1:14" x14ac:dyDescent="0.25">
      <c r="A8" s="2">
        <v>7</v>
      </c>
      <c r="B8" s="3" t="s">
        <v>27</v>
      </c>
      <c r="C8" s="3" t="s">
        <v>28</v>
      </c>
      <c r="D8" s="2">
        <v>2077199091377</v>
      </c>
      <c r="E8" s="3" t="s">
        <v>29</v>
      </c>
      <c r="F8" s="4">
        <v>4838.62</v>
      </c>
      <c r="G8" s="3" t="s">
        <v>22</v>
      </c>
      <c r="H8" s="5">
        <v>1</v>
      </c>
      <c r="I8" s="4">
        <v>4838.62</v>
      </c>
      <c r="J8" s="4">
        <v>4838.62</v>
      </c>
      <c r="K8" s="4">
        <v>5692.5</v>
      </c>
      <c r="L8" s="6">
        <v>853.88</v>
      </c>
      <c r="M8" s="3" t="s">
        <v>18</v>
      </c>
      <c r="N8" s="3"/>
    </row>
    <row r="9" spans="1:14" x14ac:dyDescent="0.25">
      <c r="A9" s="2">
        <v>8</v>
      </c>
      <c r="B9" s="3" t="s">
        <v>30</v>
      </c>
      <c r="C9" s="3" t="s">
        <v>31</v>
      </c>
      <c r="D9" s="2">
        <v>2077199101762</v>
      </c>
      <c r="E9" s="3" t="s">
        <v>32</v>
      </c>
      <c r="F9" s="4">
        <v>2522.67</v>
      </c>
      <c r="G9" s="3" t="s">
        <v>33</v>
      </c>
      <c r="H9" s="5">
        <v>1</v>
      </c>
      <c r="I9" s="4">
        <v>2522.67</v>
      </c>
      <c r="J9" s="4">
        <v>2522.67</v>
      </c>
      <c r="K9" s="4">
        <v>2249.25</v>
      </c>
      <c r="L9" s="6">
        <v>-273.42</v>
      </c>
      <c r="M9" s="3" t="s">
        <v>18</v>
      </c>
      <c r="N9" s="3"/>
    </row>
    <row r="10" spans="1:14" x14ac:dyDescent="0.25">
      <c r="A10" s="2">
        <v>9</v>
      </c>
      <c r="B10" s="3" t="s">
        <v>34</v>
      </c>
      <c r="C10" s="3" t="s">
        <v>35</v>
      </c>
      <c r="D10" s="2">
        <v>2077199141690</v>
      </c>
      <c r="E10" s="3" t="s">
        <v>36</v>
      </c>
      <c r="F10" s="4">
        <v>2703.52</v>
      </c>
      <c r="G10" s="3" t="s">
        <v>37</v>
      </c>
      <c r="H10" s="5">
        <v>1</v>
      </c>
      <c r="I10" s="4">
        <v>2703.52</v>
      </c>
      <c r="J10" s="4">
        <v>2703.52</v>
      </c>
      <c r="K10" s="4">
        <v>2909.19</v>
      </c>
      <c r="L10" s="6">
        <v>205.67</v>
      </c>
      <c r="M10" s="3" t="s">
        <v>18</v>
      </c>
      <c r="N10" s="3"/>
    </row>
    <row r="11" spans="1:14" x14ac:dyDescent="0.25">
      <c r="A11" s="2">
        <v>10</v>
      </c>
      <c r="B11" s="3" t="s">
        <v>38</v>
      </c>
      <c r="C11" s="3" t="s">
        <v>39</v>
      </c>
      <c r="D11" s="2">
        <v>2077199146770</v>
      </c>
      <c r="E11" s="3" t="s">
        <v>40</v>
      </c>
      <c r="F11" s="4">
        <v>1594.65</v>
      </c>
      <c r="G11" s="3" t="s">
        <v>41</v>
      </c>
      <c r="H11" s="5">
        <v>1</v>
      </c>
      <c r="I11" s="4">
        <v>1594.65</v>
      </c>
      <c r="J11" s="4">
        <v>1594.65</v>
      </c>
      <c r="K11" s="4">
        <v>1889.07</v>
      </c>
      <c r="L11" s="6">
        <v>294.42</v>
      </c>
      <c r="M11" s="3" t="s">
        <v>18</v>
      </c>
      <c r="N11" s="3"/>
    </row>
    <row r="12" spans="1:14" x14ac:dyDescent="0.25">
      <c r="A12" s="2">
        <v>11</v>
      </c>
      <c r="B12" s="3" t="s">
        <v>42</v>
      </c>
      <c r="C12" s="3" t="s">
        <v>43</v>
      </c>
      <c r="D12" s="2">
        <v>2000009054729</v>
      </c>
      <c r="E12" s="3" t="s">
        <v>44</v>
      </c>
      <c r="F12" s="4">
        <v>3385.12</v>
      </c>
      <c r="G12" s="3" t="s">
        <v>22</v>
      </c>
      <c r="H12" s="5">
        <v>1</v>
      </c>
      <c r="I12" s="4">
        <v>3385.12</v>
      </c>
      <c r="J12" s="4">
        <v>3385.12</v>
      </c>
      <c r="K12" s="4">
        <v>3743.55</v>
      </c>
      <c r="L12" s="6">
        <v>358.43</v>
      </c>
      <c r="M12" s="3" t="s">
        <v>18</v>
      </c>
      <c r="N12" s="3"/>
    </row>
    <row r="13" spans="1:14" x14ac:dyDescent="0.25">
      <c r="A13" s="2">
        <v>12</v>
      </c>
      <c r="B13" s="3" t="s">
        <v>42</v>
      </c>
      <c r="C13" s="3" t="s">
        <v>43</v>
      </c>
      <c r="D13" s="2">
        <v>2000009054729</v>
      </c>
      <c r="E13" s="3" t="s">
        <v>44</v>
      </c>
      <c r="F13" s="4">
        <v>3385.12</v>
      </c>
      <c r="G13" s="3" t="s">
        <v>22</v>
      </c>
      <c r="H13" s="5">
        <v>-1</v>
      </c>
      <c r="I13" s="4">
        <v>3385.12</v>
      </c>
      <c r="J13" s="4">
        <v>-3385.12</v>
      </c>
      <c r="K13" s="4">
        <v>-3743.55</v>
      </c>
      <c r="L13" s="6">
        <v>-358.43</v>
      </c>
      <c r="M13" s="3" t="s">
        <v>18</v>
      </c>
      <c r="N13" s="3"/>
    </row>
    <row r="14" spans="1:14" x14ac:dyDescent="0.25">
      <c r="A14" s="2">
        <v>13</v>
      </c>
      <c r="B14" s="3" t="s">
        <v>45</v>
      </c>
      <c r="C14" s="3" t="s">
        <v>46</v>
      </c>
      <c r="D14" s="2">
        <v>2077199059384</v>
      </c>
      <c r="E14" s="3" t="s">
        <v>47</v>
      </c>
      <c r="F14" s="4">
        <v>3385.12</v>
      </c>
      <c r="G14" s="3" t="s">
        <v>22</v>
      </c>
      <c r="H14" s="5">
        <v>1</v>
      </c>
      <c r="I14" s="4">
        <v>3385.12</v>
      </c>
      <c r="J14" s="4">
        <v>3385.12</v>
      </c>
      <c r="K14" s="4">
        <v>3504.6</v>
      </c>
      <c r="L14" s="6">
        <v>119.48</v>
      </c>
      <c r="M14" s="3" t="s">
        <v>18</v>
      </c>
      <c r="N14" s="3"/>
    </row>
    <row r="15" spans="1:14" x14ac:dyDescent="0.25">
      <c r="A15" s="2">
        <v>14</v>
      </c>
      <c r="B15" s="3" t="s">
        <v>45</v>
      </c>
      <c r="C15" s="3" t="s">
        <v>46</v>
      </c>
      <c r="D15" s="2">
        <v>2077199059384</v>
      </c>
      <c r="E15" s="3" t="s">
        <v>47</v>
      </c>
      <c r="F15" s="4">
        <v>3385.12</v>
      </c>
      <c r="G15" s="3" t="s">
        <v>22</v>
      </c>
      <c r="H15" s="5">
        <v>-1</v>
      </c>
      <c r="I15" s="4">
        <v>3385.12</v>
      </c>
      <c r="J15" s="4">
        <v>-3385.12</v>
      </c>
      <c r="K15" s="4">
        <v>-3504.6</v>
      </c>
      <c r="L15" s="6">
        <v>-119.48</v>
      </c>
      <c r="M15" s="3" t="s">
        <v>18</v>
      </c>
      <c r="N15" s="3"/>
    </row>
    <row r="16" spans="1:14" x14ac:dyDescent="0.25">
      <c r="A16" s="2">
        <v>15</v>
      </c>
      <c r="B16" s="3" t="s">
        <v>48</v>
      </c>
      <c r="C16" s="3" t="s">
        <v>49</v>
      </c>
      <c r="D16" s="2">
        <v>2070000003972</v>
      </c>
      <c r="E16" s="3" t="s">
        <v>50</v>
      </c>
      <c r="F16" s="4">
        <v>2205.4499999999998</v>
      </c>
      <c r="G16" s="3" t="s">
        <v>22</v>
      </c>
      <c r="H16" s="5">
        <v>-1</v>
      </c>
      <c r="I16" s="4">
        <v>2205.4499999999998</v>
      </c>
      <c r="J16" s="4">
        <v>-2205.4499999999998</v>
      </c>
      <c r="K16" s="4">
        <v>-2262</v>
      </c>
      <c r="L16" s="6">
        <v>-56.56</v>
      </c>
      <c r="M16" s="3" t="s">
        <v>18</v>
      </c>
      <c r="N16" s="3"/>
    </row>
    <row r="17" spans="1:14" x14ac:dyDescent="0.25">
      <c r="A17" s="2">
        <v>16</v>
      </c>
      <c r="B17" s="3" t="s">
        <v>48</v>
      </c>
      <c r="C17" s="3" t="s">
        <v>49</v>
      </c>
      <c r="D17" s="2">
        <v>2070000003972</v>
      </c>
      <c r="E17" s="3" t="s">
        <v>50</v>
      </c>
      <c r="F17" s="4">
        <v>2205.4499999999998</v>
      </c>
      <c r="G17" s="3" t="s">
        <v>22</v>
      </c>
      <c r="H17" s="5">
        <v>1</v>
      </c>
      <c r="I17" s="4">
        <v>2205.4499999999998</v>
      </c>
      <c r="J17" s="4">
        <v>2205.4499999999998</v>
      </c>
      <c r="K17" s="4">
        <v>2262</v>
      </c>
      <c r="L17" s="6">
        <v>56.56</v>
      </c>
      <c r="M17" s="3" t="s">
        <v>18</v>
      </c>
      <c r="N17" s="3"/>
    </row>
    <row r="18" spans="1:14" x14ac:dyDescent="0.25">
      <c r="A18" s="2">
        <v>17</v>
      </c>
      <c r="B18" s="3" t="s">
        <v>51</v>
      </c>
      <c r="C18" s="3" t="s">
        <v>52</v>
      </c>
      <c r="D18" s="2">
        <v>2077199094446</v>
      </c>
      <c r="E18" s="3" t="s">
        <v>53</v>
      </c>
      <c r="F18" s="6">
        <v>395.67</v>
      </c>
      <c r="G18" s="3" t="s">
        <v>22</v>
      </c>
      <c r="H18" s="5">
        <v>-1</v>
      </c>
      <c r="I18" s="6">
        <v>395.67</v>
      </c>
      <c r="J18" s="6">
        <v>-395.67</v>
      </c>
      <c r="K18" s="6">
        <v>-465.5</v>
      </c>
      <c r="L18" s="6">
        <v>-69.83</v>
      </c>
      <c r="M18" s="3" t="s">
        <v>18</v>
      </c>
      <c r="N18" s="3"/>
    </row>
    <row r="19" spans="1:14" x14ac:dyDescent="0.25">
      <c r="A19" s="2">
        <v>18</v>
      </c>
      <c r="B19" s="3" t="s">
        <v>51</v>
      </c>
      <c r="C19" s="3" t="s">
        <v>52</v>
      </c>
      <c r="D19" s="2">
        <v>2077199094446</v>
      </c>
      <c r="E19" s="3" t="s">
        <v>53</v>
      </c>
      <c r="F19" s="6">
        <v>395.67</v>
      </c>
      <c r="G19" s="3" t="s">
        <v>22</v>
      </c>
      <c r="H19" s="5">
        <v>1</v>
      </c>
      <c r="I19" s="6">
        <v>395.67</v>
      </c>
      <c r="J19" s="6">
        <v>395.67</v>
      </c>
      <c r="K19" s="6">
        <v>465.5</v>
      </c>
      <c r="L19" s="6">
        <v>69.83</v>
      </c>
      <c r="M19" s="3" t="s">
        <v>18</v>
      </c>
      <c r="N19" s="3"/>
    </row>
    <row r="20" spans="1:14" x14ac:dyDescent="0.25">
      <c r="A20" s="2">
        <v>19</v>
      </c>
      <c r="B20" s="3" t="s">
        <v>54</v>
      </c>
      <c r="C20" s="3" t="s">
        <v>55</v>
      </c>
      <c r="D20" s="2">
        <v>2077199074332</v>
      </c>
      <c r="E20" s="3" t="s">
        <v>56</v>
      </c>
      <c r="F20" s="6">
        <v>424.86</v>
      </c>
      <c r="G20" s="3" t="s">
        <v>22</v>
      </c>
      <c r="H20" s="5">
        <v>-1</v>
      </c>
      <c r="I20" s="6">
        <v>424.86</v>
      </c>
      <c r="J20" s="6">
        <v>-424.86</v>
      </c>
      <c r="K20" s="6">
        <v>-465.5</v>
      </c>
      <c r="L20" s="6">
        <v>-40.64</v>
      </c>
      <c r="M20" s="3" t="s">
        <v>18</v>
      </c>
      <c r="N20" s="3"/>
    </row>
    <row r="21" spans="1:14" x14ac:dyDescent="0.25">
      <c r="A21" s="2">
        <v>20</v>
      </c>
      <c r="B21" s="3" t="s">
        <v>54</v>
      </c>
      <c r="C21" s="3" t="s">
        <v>55</v>
      </c>
      <c r="D21" s="2">
        <v>2077199074332</v>
      </c>
      <c r="E21" s="3" t="s">
        <v>56</v>
      </c>
      <c r="F21" s="6">
        <v>424.86</v>
      </c>
      <c r="G21" s="3" t="s">
        <v>22</v>
      </c>
      <c r="H21" s="5">
        <v>1</v>
      </c>
      <c r="I21" s="6">
        <v>424.86</v>
      </c>
      <c r="J21" s="6">
        <v>424.86</v>
      </c>
      <c r="K21" s="6">
        <v>465.5</v>
      </c>
      <c r="L21" s="6">
        <v>40.64</v>
      </c>
      <c r="M21" s="3" t="s">
        <v>18</v>
      </c>
      <c r="N21" s="3"/>
    </row>
    <row r="22" spans="1:14" x14ac:dyDescent="0.25">
      <c r="A22" s="2">
        <v>21</v>
      </c>
      <c r="B22" s="3" t="s">
        <v>57</v>
      </c>
      <c r="C22" s="3" t="s">
        <v>58</v>
      </c>
      <c r="D22" s="2">
        <v>2070000008212</v>
      </c>
      <c r="E22" s="3" t="s">
        <v>59</v>
      </c>
      <c r="F22" s="4">
        <v>3385.12</v>
      </c>
      <c r="G22" s="3" t="s">
        <v>22</v>
      </c>
      <c r="H22" s="5">
        <v>-1</v>
      </c>
      <c r="I22" s="4">
        <v>3385.12</v>
      </c>
      <c r="J22" s="4">
        <v>-3385.12</v>
      </c>
      <c r="K22" s="4">
        <v>-3743.55</v>
      </c>
      <c r="L22" s="6">
        <v>-358.43</v>
      </c>
      <c r="M22" s="3" t="s">
        <v>18</v>
      </c>
      <c r="N22" s="3"/>
    </row>
    <row r="23" spans="1:14" x14ac:dyDescent="0.25">
      <c r="A23" s="2">
        <v>22</v>
      </c>
      <c r="B23" s="3" t="s">
        <v>57</v>
      </c>
      <c r="C23" s="3" t="s">
        <v>58</v>
      </c>
      <c r="D23" s="2">
        <v>2070000008212</v>
      </c>
      <c r="E23" s="3" t="s">
        <v>59</v>
      </c>
      <c r="F23" s="4">
        <v>3385.12</v>
      </c>
      <c r="G23" s="3" t="s">
        <v>22</v>
      </c>
      <c r="H23" s="5">
        <v>1</v>
      </c>
      <c r="I23" s="4">
        <v>3385.12</v>
      </c>
      <c r="J23" s="4">
        <v>3385.12</v>
      </c>
      <c r="K23" s="4">
        <v>3743.55</v>
      </c>
      <c r="L23" s="6">
        <v>358.43</v>
      </c>
      <c r="M23" s="3" t="s">
        <v>18</v>
      </c>
      <c r="N23" s="3"/>
    </row>
    <row r="24" spans="1:14" x14ac:dyDescent="0.25">
      <c r="A24" s="2">
        <v>23</v>
      </c>
      <c r="B24" s="3" t="s">
        <v>60</v>
      </c>
      <c r="C24" s="3" t="s">
        <v>61</v>
      </c>
      <c r="D24" s="2">
        <v>2077199052828</v>
      </c>
      <c r="E24" s="3" t="s">
        <v>62</v>
      </c>
      <c r="F24" s="6">
        <v>457.73</v>
      </c>
      <c r="G24" s="3" t="s">
        <v>33</v>
      </c>
      <c r="H24" s="5">
        <v>1</v>
      </c>
      <c r="I24" s="6">
        <v>457.73</v>
      </c>
      <c r="J24" s="6">
        <v>457.73</v>
      </c>
      <c r="K24" s="6">
        <v>505</v>
      </c>
      <c r="L24" s="6">
        <v>47.27</v>
      </c>
      <c r="M24" s="3" t="s">
        <v>18</v>
      </c>
      <c r="N24" s="3"/>
    </row>
    <row r="25" spans="1:14" x14ac:dyDescent="0.25">
      <c r="A25" s="2">
        <v>24</v>
      </c>
      <c r="B25" s="3" t="s">
        <v>60</v>
      </c>
      <c r="C25" s="3" t="s">
        <v>61</v>
      </c>
      <c r="D25" s="2">
        <v>2077199052828</v>
      </c>
      <c r="E25" s="3" t="s">
        <v>62</v>
      </c>
      <c r="F25" s="6">
        <v>457.73</v>
      </c>
      <c r="G25" s="3" t="s">
        <v>33</v>
      </c>
      <c r="H25" s="5">
        <v>-1</v>
      </c>
      <c r="I25" s="6">
        <v>457.73</v>
      </c>
      <c r="J25" s="6">
        <v>-457.73</v>
      </c>
      <c r="K25" s="6">
        <v>-505</v>
      </c>
      <c r="L25" s="6">
        <v>-47.27</v>
      </c>
      <c r="M25" s="3" t="s">
        <v>18</v>
      </c>
      <c r="N25" s="3"/>
    </row>
    <row r="26" spans="1:14" x14ac:dyDescent="0.25">
      <c r="A26" s="2">
        <v>25</v>
      </c>
      <c r="B26" s="3" t="s">
        <v>63</v>
      </c>
      <c r="C26" s="3" t="s">
        <v>64</v>
      </c>
      <c r="D26" s="2">
        <v>2070000001053</v>
      </c>
      <c r="E26" s="3" t="s">
        <v>65</v>
      </c>
      <c r="F26" s="4">
        <v>3385.12</v>
      </c>
      <c r="G26" s="3" t="s">
        <v>22</v>
      </c>
      <c r="H26" s="5">
        <v>-1</v>
      </c>
      <c r="I26" s="4">
        <v>3385.12</v>
      </c>
      <c r="J26" s="4">
        <v>-3385.12</v>
      </c>
      <c r="K26" s="4">
        <v>-3703.73</v>
      </c>
      <c r="L26" s="6">
        <v>-318.61</v>
      </c>
      <c r="M26" s="3" t="s">
        <v>18</v>
      </c>
      <c r="N26" s="3"/>
    </row>
    <row r="27" spans="1:14" x14ac:dyDescent="0.25">
      <c r="A27" s="2">
        <v>26</v>
      </c>
      <c r="B27" s="3" t="s">
        <v>63</v>
      </c>
      <c r="C27" s="3" t="s">
        <v>64</v>
      </c>
      <c r="D27" s="2">
        <v>2070000001053</v>
      </c>
      <c r="E27" s="3" t="s">
        <v>65</v>
      </c>
      <c r="F27" s="4">
        <v>3385.12</v>
      </c>
      <c r="G27" s="3" t="s">
        <v>22</v>
      </c>
      <c r="H27" s="5">
        <v>1</v>
      </c>
      <c r="I27" s="4">
        <v>3385.12</v>
      </c>
      <c r="J27" s="4">
        <v>3385.12</v>
      </c>
      <c r="K27" s="4">
        <v>3703.73</v>
      </c>
      <c r="L27" s="6">
        <v>318.61</v>
      </c>
      <c r="M27" s="3" t="s">
        <v>18</v>
      </c>
      <c r="N27" s="3"/>
    </row>
    <row r="28" spans="1:14" x14ac:dyDescent="0.25">
      <c r="A28" s="2">
        <v>27</v>
      </c>
      <c r="B28" s="3" t="s">
        <v>66</v>
      </c>
      <c r="C28" s="3" t="s">
        <v>67</v>
      </c>
      <c r="D28" s="2">
        <v>2077199074400</v>
      </c>
      <c r="E28" s="3" t="s">
        <v>68</v>
      </c>
      <c r="F28" s="6">
        <v>395.67</v>
      </c>
      <c r="G28" s="3" t="s">
        <v>22</v>
      </c>
      <c r="H28" s="5">
        <v>-1</v>
      </c>
      <c r="I28" s="6">
        <v>395.67</v>
      </c>
      <c r="J28" s="6">
        <v>-395.67</v>
      </c>
      <c r="K28" s="6">
        <v>-465.5</v>
      </c>
      <c r="L28" s="6">
        <v>-69.83</v>
      </c>
      <c r="M28" s="3" t="s">
        <v>18</v>
      </c>
      <c r="N28" s="3"/>
    </row>
    <row r="29" spans="1:14" x14ac:dyDescent="0.25">
      <c r="A29" s="2">
        <v>28</v>
      </c>
      <c r="B29" s="3" t="s">
        <v>66</v>
      </c>
      <c r="C29" s="3" t="s">
        <v>67</v>
      </c>
      <c r="D29" s="2">
        <v>2077199074400</v>
      </c>
      <c r="E29" s="3" t="s">
        <v>68</v>
      </c>
      <c r="F29" s="6">
        <v>395.67</v>
      </c>
      <c r="G29" s="3" t="s">
        <v>22</v>
      </c>
      <c r="H29" s="5">
        <v>1</v>
      </c>
      <c r="I29" s="6">
        <v>395.67</v>
      </c>
      <c r="J29" s="6">
        <v>395.67</v>
      </c>
      <c r="K29" s="6">
        <v>465.5</v>
      </c>
      <c r="L29" s="6">
        <v>69.83</v>
      </c>
      <c r="M29" s="3" t="s">
        <v>18</v>
      </c>
      <c r="N29" s="3"/>
    </row>
    <row r="30" spans="1:14" x14ac:dyDescent="0.25">
      <c r="A30" s="2">
        <v>29</v>
      </c>
      <c r="B30" s="3" t="s">
        <v>69</v>
      </c>
      <c r="C30" s="3" t="s">
        <v>70</v>
      </c>
      <c r="D30" s="2">
        <v>2077199052880</v>
      </c>
      <c r="E30" s="3" t="s">
        <v>71</v>
      </c>
      <c r="F30" s="6">
        <v>429.25</v>
      </c>
      <c r="G30" s="3" t="s">
        <v>33</v>
      </c>
      <c r="H30" s="5">
        <v>1</v>
      </c>
      <c r="I30" s="6">
        <v>429.25</v>
      </c>
      <c r="J30" s="6">
        <v>429.25</v>
      </c>
      <c r="K30" s="6">
        <v>505</v>
      </c>
      <c r="L30" s="6">
        <v>75.760000000000005</v>
      </c>
      <c r="M30" s="3" t="s">
        <v>18</v>
      </c>
      <c r="N30" s="3"/>
    </row>
    <row r="31" spans="1:14" x14ac:dyDescent="0.25">
      <c r="A31" s="2">
        <v>30</v>
      </c>
      <c r="B31" s="3" t="s">
        <v>69</v>
      </c>
      <c r="C31" s="3" t="s">
        <v>70</v>
      </c>
      <c r="D31" s="2">
        <v>2077199052880</v>
      </c>
      <c r="E31" s="3" t="s">
        <v>71</v>
      </c>
      <c r="F31" s="6">
        <v>429.25</v>
      </c>
      <c r="G31" s="3" t="s">
        <v>33</v>
      </c>
      <c r="H31" s="5">
        <v>-1</v>
      </c>
      <c r="I31" s="6">
        <v>429.25</v>
      </c>
      <c r="J31" s="6">
        <v>-429.25</v>
      </c>
      <c r="K31" s="6">
        <v>-505</v>
      </c>
      <c r="L31" s="6">
        <v>-75.760000000000005</v>
      </c>
      <c r="M31" s="3" t="s">
        <v>18</v>
      </c>
      <c r="N31" s="3"/>
    </row>
    <row r="32" spans="1:14" x14ac:dyDescent="0.25">
      <c r="A32" s="2">
        <v>31</v>
      </c>
      <c r="B32" s="3" t="s">
        <v>72</v>
      </c>
      <c r="C32" s="3" t="s">
        <v>73</v>
      </c>
      <c r="D32" s="2">
        <v>2077199133084</v>
      </c>
      <c r="E32" s="3" t="s">
        <v>74</v>
      </c>
      <c r="F32" s="4">
        <v>3042</v>
      </c>
      <c r="G32" s="3" t="s">
        <v>22</v>
      </c>
      <c r="H32" s="5">
        <v>-1</v>
      </c>
      <c r="I32" s="4">
        <v>3042</v>
      </c>
      <c r="J32" s="4">
        <v>-3042</v>
      </c>
      <c r="K32" s="4">
        <v>-3900</v>
      </c>
      <c r="L32" s="6">
        <v>-858</v>
      </c>
      <c r="M32" s="3" t="s">
        <v>18</v>
      </c>
      <c r="N32" s="3"/>
    </row>
    <row r="33" spans="1:14" x14ac:dyDescent="0.25">
      <c r="A33" s="2">
        <v>32</v>
      </c>
      <c r="B33" s="3" t="s">
        <v>72</v>
      </c>
      <c r="C33" s="3" t="s">
        <v>73</v>
      </c>
      <c r="D33" s="2">
        <v>2077199133084</v>
      </c>
      <c r="E33" s="3" t="s">
        <v>74</v>
      </c>
      <c r="F33" s="4">
        <v>3042</v>
      </c>
      <c r="G33" s="3" t="s">
        <v>22</v>
      </c>
      <c r="H33" s="5">
        <v>1</v>
      </c>
      <c r="I33" s="4">
        <v>3042</v>
      </c>
      <c r="J33" s="4">
        <v>3042</v>
      </c>
      <c r="K33" s="4">
        <v>3900</v>
      </c>
      <c r="L33" s="6">
        <v>858</v>
      </c>
      <c r="M33" s="3" t="s">
        <v>18</v>
      </c>
      <c r="N33" s="3"/>
    </row>
    <row r="34" spans="1:14" x14ac:dyDescent="0.25">
      <c r="A34" s="2">
        <v>33</v>
      </c>
      <c r="B34" s="3" t="s">
        <v>75</v>
      </c>
      <c r="C34" s="3" t="s">
        <v>76</v>
      </c>
      <c r="D34" s="2">
        <v>2077199131592</v>
      </c>
      <c r="E34" s="3" t="s">
        <v>77</v>
      </c>
      <c r="F34" s="4">
        <v>3391.5</v>
      </c>
      <c r="G34" s="3" t="s">
        <v>22</v>
      </c>
      <c r="H34" s="5">
        <v>1</v>
      </c>
      <c r="I34" s="4">
        <v>3391.5</v>
      </c>
      <c r="J34" s="4">
        <v>3391.5</v>
      </c>
      <c r="K34" s="4">
        <v>3790.5</v>
      </c>
      <c r="L34" s="6">
        <v>399</v>
      </c>
      <c r="M34" s="3" t="s">
        <v>18</v>
      </c>
      <c r="N34" s="3"/>
    </row>
    <row r="35" spans="1:14" x14ac:dyDescent="0.25">
      <c r="A35" s="2">
        <v>34</v>
      </c>
      <c r="B35" s="3" t="s">
        <v>75</v>
      </c>
      <c r="C35" s="3" t="s">
        <v>76</v>
      </c>
      <c r="D35" s="2">
        <v>2077199131592</v>
      </c>
      <c r="E35" s="3" t="s">
        <v>77</v>
      </c>
      <c r="F35" s="4">
        <v>3391.5</v>
      </c>
      <c r="G35" s="3" t="s">
        <v>22</v>
      </c>
      <c r="H35" s="5">
        <v>-1</v>
      </c>
      <c r="I35" s="4">
        <v>3391.5</v>
      </c>
      <c r="J35" s="4">
        <v>-3391.5</v>
      </c>
      <c r="K35" s="4">
        <v>-3790.5</v>
      </c>
      <c r="L35" s="6">
        <v>-399</v>
      </c>
      <c r="M35" s="3" t="s">
        <v>18</v>
      </c>
      <c r="N35" s="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Перенос">
                <anchor moveWithCells="1" sizeWithCells="1">
                  <from>
                    <xdr:col>14</xdr:col>
                    <xdr:colOff>190500</xdr:colOff>
                    <xdr:row>1</xdr:row>
                    <xdr:rowOff>47625</xdr:rowOff>
                  </from>
                  <to>
                    <xdr:col>16</xdr:col>
                    <xdr:colOff>19050</xdr:colOff>
                    <xdr:row>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M35"/>
  <sheetViews>
    <sheetView tabSelected="1" workbookViewId="0">
      <selection activeCell="G11" sqref="G11"/>
    </sheetView>
  </sheetViews>
  <sheetFormatPr defaultRowHeight="15" x14ac:dyDescent="0.25"/>
  <cols>
    <col min="1" max="1" width="8.140625" style="18" bestFit="1" customWidth="1"/>
    <col min="2" max="2" width="10.42578125" style="18" bestFit="1" customWidth="1"/>
    <col min="3" max="3" width="8.28515625" style="18" bestFit="1" customWidth="1"/>
    <col min="4" max="4" width="10.7109375" style="18" bestFit="1" customWidth="1"/>
    <col min="5" max="5" width="55.5703125" style="18" bestFit="1" customWidth="1"/>
    <col min="6" max="6" width="8.7109375" style="18" bestFit="1" customWidth="1"/>
    <col min="7" max="7" width="8.28515625" style="18" bestFit="1" customWidth="1"/>
    <col min="8" max="8" width="5" style="18" bestFit="1" customWidth="1"/>
    <col min="9" max="9" width="11.28515625" style="18" bestFit="1" customWidth="1"/>
    <col min="10" max="10" width="7" style="18" bestFit="1" customWidth="1"/>
    <col min="11" max="11" width="7.85546875" style="18" bestFit="1" customWidth="1"/>
    <col min="12" max="12" width="8" style="18" bestFit="1" customWidth="1"/>
    <col min="13" max="13" width="9.85546875" style="18" bestFit="1" customWidth="1"/>
  </cols>
  <sheetData>
    <row r="1" spans="1:13" s="19" customFormat="1" ht="21.75" customHeight="1" x14ac:dyDescent="0.25">
      <c r="A1" s="16" t="s">
        <v>78</v>
      </c>
      <c r="B1" s="16" t="s">
        <v>1</v>
      </c>
      <c r="C1" s="16" t="s">
        <v>79</v>
      </c>
      <c r="D1" s="16" t="s">
        <v>80</v>
      </c>
      <c r="E1" s="16" t="s">
        <v>81</v>
      </c>
      <c r="F1" s="16" t="s">
        <v>82</v>
      </c>
      <c r="G1" s="16" t="s">
        <v>83</v>
      </c>
      <c r="H1" s="16" t="s">
        <v>84</v>
      </c>
      <c r="I1" s="16" t="s">
        <v>85</v>
      </c>
      <c r="J1" s="16" t="s">
        <v>86</v>
      </c>
      <c r="K1" s="16" t="s">
        <v>87</v>
      </c>
      <c r="L1" s="16" t="s">
        <v>89</v>
      </c>
      <c r="M1" s="16" t="s">
        <v>90</v>
      </c>
    </row>
    <row r="2" spans="1:13" x14ac:dyDescent="0.25">
      <c r="A2" s="17" t="s">
        <v>14</v>
      </c>
      <c r="B2" s="17" t="s">
        <v>15</v>
      </c>
      <c r="C2" s="17" t="s">
        <v>88</v>
      </c>
      <c r="D2" s="17" t="s">
        <v>91</v>
      </c>
      <c r="E2" s="17" t="s">
        <v>16</v>
      </c>
      <c r="F2" s="17" t="s">
        <v>17</v>
      </c>
      <c r="G2" s="17">
        <v>-1</v>
      </c>
      <c r="H2" s="17"/>
      <c r="I2" s="17"/>
      <c r="J2" s="17">
        <v>4863.8500000000004</v>
      </c>
      <c r="K2" s="17">
        <v>-4863.8500000000004</v>
      </c>
      <c r="L2" s="17"/>
      <c r="M2" s="17">
        <v>527.9</v>
      </c>
    </row>
    <row r="3" spans="1:13" x14ac:dyDescent="0.25">
      <c r="A3" s="17" t="s">
        <v>14</v>
      </c>
      <c r="B3" s="17" t="s">
        <v>15</v>
      </c>
      <c r="C3" s="17" t="s">
        <v>88</v>
      </c>
      <c r="D3" s="17" t="s">
        <v>91</v>
      </c>
      <c r="E3" s="17" t="s">
        <v>16</v>
      </c>
      <c r="F3" s="17" t="s">
        <v>17</v>
      </c>
      <c r="G3" s="17">
        <v>1</v>
      </c>
      <c r="H3" s="17"/>
      <c r="I3" s="17"/>
      <c r="J3" s="17">
        <v>4863.8500000000004</v>
      </c>
      <c r="K3" s="17">
        <v>4863.8500000000004</v>
      </c>
      <c r="L3" s="17"/>
      <c r="M3" s="17">
        <v>-527.9</v>
      </c>
    </row>
    <row r="4" spans="1:13" x14ac:dyDescent="0.25">
      <c r="A4" s="17" t="s">
        <v>19</v>
      </c>
      <c r="B4" s="17" t="s">
        <v>20</v>
      </c>
      <c r="C4" s="17" t="s">
        <v>98</v>
      </c>
      <c r="D4" s="17" t="s">
        <v>99</v>
      </c>
      <c r="E4" s="17" t="s">
        <v>21</v>
      </c>
      <c r="F4" s="17" t="s">
        <v>22</v>
      </c>
      <c r="G4" s="17">
        <v>1</v>
      </c>
      <c r="H4" s="17"/>
      <c r="I4" s="17"/>
      <c r="J4" s="17">
        <v>6974</v>
      </c>
      <c r="K4" s="17">
        <v>6974</v>
      </c>
      <c r="L4" s="17"/>
      <c r="M4" s="17">
        <v>1076.32</v>
      </c>
    </row>
    <row r="5" spans="1:13" x14ac:dyDescent="0.25">
      <c r="A5" s="17" t="s">
        <v>23</v>
      </c>
      <c r="B5" s="17" t="s">
        <v>24</v>
      </c>
      <c r="C5" s="17" t="s">
        <v>100</v>
      </c>
      <c r="D5" s="17" t="s">
        <v>101</v>
      </c>
      <c r="E5" s="17" t="s">
        <v>25</v>
      </c>
      <c r="F5" s="17" t="s">
        <v>26</v>
      </c>
      <c r="G5" s="17">
        <v>1</v>
      </c>
      <c r="H5" s="17"/>
      <c r="I5" s="17"/>
      <c r="J5" s="17">
        <v>7887</v>
      </c>
      <c r="K5" s="17">
        <v>7887</v>
      </c>
      <c r="L5" s="17"/>
      <c r="M5" s="17">
        <v>268.88</v>
      </c>
    </row>
    <row r="6" spans="1:13" x14ac:dyDescent="0.25">
      <c r="A6" s="17" t="s">
        <v>23</v>
      </c>
      <c r="B6" s="17" t="s">
        <v>24</v>
      </c>
      <c r="C6" s="17" t="s">
        <v>100</v>
      </c>
      <c r="D6" s="17" t="s">
        <v>101</v>
      </c>
      <c r="E6" s="17" t="s">
        <v>25</v>
      </c>
      <c r="F6" s="17" t="s">
        <v>26</v>
      </c>
      <c r="G6" s="17">
        <v>-1</v>
      </c>
      <c r="H6" s="17"/>
      <c r="I6" s="17"/>
      <c r="J6" s="17">
        <v>7887</v>
      </c>
      <c r="K6" s="17">
        <v>-7887</v>
      </c>
      <c r="L6" s="17"/>
      <c r="M6" s="17">
        <v>-268.88</v>
      </c>
    </row>
    <row r="7" spans="1:13" x14ac:dyDescent="0.25">
      <c r="A7" s="17" t="s">
        <v>27</v>
      </c>
      <c r="B7" s="17" t="s">
        <v>28</v>
      </c>
      <c r="C7" s="17" t="s">
        <v>102</v>
      </c>
      <c r="D7" s="17" t="s">
        <v>103</v>
      </c>
      <c r="E7" s="17" t="s">
        <v>29</v>
      </c>
      <c r="F7" s="17" t="s">
        <v>22</v>
      </c>
      <c r="G7" s="17">
        <v>-1</v>
      </c>
      <c r="H7" s="17"/>
      <c r="I7" s="17"/>
      <c r="J7" s="17">
        <v>5692.5</v>
      </c>
      <c r="K7" s="17">
        <v>-5692.5</v>
      </c>
      <c r="L7" s="17"/>
      <c r="M7" s="17">
        <v>-853.88</v>
      </c>
    </row>
    <row r="8" spans="1:13" x14ac:dyDescent="0.25">
      <c r="A8" s="17" t="s">
        <v>27</v>
      </c>
      <c r="B8" s="17" t="s">
        <v>28</v>
      </c>
      <c r="C8" s="17" t="s">
        <v>102</v>
      </c>
      <c r="D8" s="17" t="s">
        <v>103</v>
      </c>
      <c r="E8" s="17" t="s">
        <v>29</v>
      </c>
      <c r="F8" s="17" t="s">
        <v>22</v>
      </c>
      <c r="G8" s="17">
        <v>1</v>
      </c>
      <c r="H8" s="17"/>
      <c r="I8" s="17"/>
      <c r="J8" s="17">
        <v>5692.5</v>
      </c>
      <c r="K8" s="17">
        <v>5692.5</v>
      </c>
      <c r="L8" s="17"/>
      <c r="M8" s="17">
        <v>853.88</v>
      </c>
    </row>
    <row r="9" spans="1:13" x14ac:dyDescent="0.25">
      <c r="A9" s="17" t="s">
        <v>30</v>
      </c>
      <c r="B9" s="17" t="s">
        <v>31</v>
      </c>
      <c r="C9" s="17" t="s">
        <v>88</v>
      </c>
      <c r="D9" s="17" t="s">
        <v>101</v>
      </c>
      <c r="E9" s="17" t="s">
        <v>32</v>
      </c>
      <c r="F9" s="17" t="s">
        <v>33</v>
      </c>
      <c r="G9" s="17">
        <v>1</v>
      </c>
      <c r="H9" s="17"/>
      <c r="I9" s="17"/>
      <c r="J9" s="17">
        <v>2249.25</v>
      </c>
      <c r="K9" s="17">
        <v>2249.25</v>
      </c>
      <c r="L9" s="17"/>
      <c r="M9" s="17">
        <v>-273.42</v>
      </c>
    </row>
    <row r="10" spans="1:13" x14ac:dyDescent="0.25">
      <c r="A10" s="17" t="s">
        <v>34</v>
      </c>
      <c r="B10" s="17" t="s">
        <v>35</v>
      </c>
      <c r="C10" s="17" t="s">
        <v>104</v>
      </c>
      <c r="D10" s="17" t="s">
        <v>105</v>
      </c>
      <c r="E10" s="17" t="s">
        <v>36</v>
      </c>
      <c r="F10" s="17" t="s">
        <v>37</v>
      </c>
      <c r="G10" s="17">
        <v>1</v>
      </c>
      <c r="H10" s="17"/>
      <c r="I10" s="17"/>
      <c r="J10" s="17">
        <v>2909.19</v>
      </c>
      <c r="K10" s="17">
        <v>2909.19</v>
      </c>
      <c r="L10" s="17"/>
      <c r="M10" s="17">
        <v>205.67</v>
      </c>
    </row>
    <row r="11" spans="1:13" x14ac:dyDescent="0.25">
      <c r="A11" s="17" t="s">
        <v>38</v>
      </c>
      <c r="B11" s="17" t="s">
        <v>39</v>
      </c>
      <c r="C11" s="17" t="s">
        <v>102</v>
      </c>
      <c r="D11" s="17" t="s">
        <v>106</v>
      </c>
      <c r="E11" s="17" t="s">
        <v>40</v>
      </c>
      <c r="F11" s="17" t="s">
        <v>41</v>
      </c>
      <c r="G11" s="17">
        <v>1</v>
      </c>
      <c r="H11" s="17"/>
      <c r="I11" s="17"/>
      <c r="J11" s="17">
        <v>1889.07</v>
      </c>
      <c r="K11" s="17">
        <v>1889.07</v>
      </c>
      <c r="L11" s="17"/>
      <c r="M11" s="17">
        <v>294.42</v>
      </c>
    </row>
    <row r="12" spans="1:13" x14ac:dyDescent="0.25">
      <c r="A12" s="17" t="s">
        <v>42</v>
      </c>
      <c r="B12" s="17" t="s">
        <v>43</v>
      </c>
      <c r="C12" s="17" t="s">
        <v>102</v>
      </c>
      <c r="D12" s="17" t="s">
        <v>107</v>
      </c>
      <c r="E12" s="17" t="s">
        <v>44</v>
      </c>
      <c r="F12" s="17" t="s">
        <v>22</v>
      </c>
      <c r="G12" s="17">
        <v>1</v>
      </c>
      <c r="H12" s="17"/>
      <c r="I12" s="17"/>
      <c r="J12" s="17">
        <v>3743.55</v>
      </c>
      <c r="K12" s="17">
        <v>3743.55</v>
      </c>
      <c r="L12" s="17"/>
      <c r="M12" s="17">
        <v>358.43</v>
      </c>
    </row>
    <row r="13" spans="1:13" x14ac:dyDescent="0.25">
      <c r="A13" s="17" t="s">
        <v>42</v>
      </c>
      <c r="B13" s="17" t="s">
        <v>43</v>
      </c>
      <c r="C13" s="17" t="s">
        <v>102</v>
      </c>
      <c r="D13" s="17" t="s">
        <v>107</v>
      </c>
      <c r="E13" s="17" t="s">
        <v>44</v>
      </c>
      <c r="F13" s="17" t="s">
        <v>22</v>
      </c>
      <c r="G13" s="17">
        <v>-1</v>
      </c>
      <c r="H13" s="17"/>
      <c r="I13" s="17"/>
      <c r="J13" s="17">
        <v>3743.55</v>
      </c>
      <c r="K13" s="17">
        <v>-3743.55</v>
      </c>
      <c r="L13" s="17"/>
      <c r="M13" s="17">
        <v>-358.43</v>
      </c>
    </row>
    <row r="14" spans="1:13" x14ac:dyDescent="0.25">
      <c r="A14" s="17" t="s">
        <v>45</v>
      </c>
      <c r="B14" s="17" t="s">
        <v>46</v>
      </c>
      <c r="C14" s="17" t="s">
        <v>102</v>
      </c>
      <c r="D14" s="17" t="s">
        <v>107</v>
      </c>
      <c r="E14" s="17" t="s">
        <v>47</v>
      </c>
      <c r="F14" s="17" t="s">
        <v>22</v>
      </c>
      <c r="G14" s="17">
        <v>1</v>
      </c>
      <c r="H14" s="17"/>
      <c r="I14" s="17"/>
      <c r="J14" s="17">
        <v>3504.6</v>
      </c>
      <c r="K14" s="17">
        <v>3504.6</v>
      </c>
      <c r="L14" s="17"/>
      <c r="M14" s="17">
        <v>119.48</v>
      </c>
    </row>
    <row r="15" spans="1:13" x14ac:dyDescent="0.25">
      <c r="A15" s="17" t="s">
        <v>45</v>
      </c>
      <c r="B15" s="17" t="s">
        <v>46</v>
      </c>
      <c r="C15" s="17" t="s">
        <v>102</v>
      </c>
      <c r="D15" s="17" t="s">
        <v>107</v>
      </c>
      <c r="E15" s="17" t="s">
        <v>47</v>
      </c>
      <c r="F15" s="17" t="s">
        <v>22</v>
      </c>
      <c r="G15" s="17">
        <v>-1</v>
      </c>
      <c r="H15" s="17"/>
      <c r="I15" s="17"/>
      <c r="J15" s="17">
        <v>3504.6</v>
      </c>
      <c r="K15" s="17">
        <v>-3504.6</v>
      </c>
      <c r="L15" s="17"/>
      <c r="M15" s="17">
        <v>-119.48</v>
      </c>
    </row>
    <row r="16" spans="1:13" x14ac:dyDescent="0.25">
      <c r="A16" s="17" t="s">
        <v>48</v>
      </c>
      <c r="B16" s="17" t="s">
        <v>49</v>
      </c>
      <c r="C16" s="17" t="s">
        <v>102</v>
      </c>
      <c r="D16" s="17" t="s">
        <v>107</v>
      </c>
      <c r="E16" s="17" t="s">
        <v>50</v>
      </c>
      <c r="F16" s="17" t="s">
        <v>22</v>
      </c>
      <c r="G16" s="17">
        <v>-1</v>
      </c>
      <c r="H16" s="17"/>
      <c r="I16" s="17"/>
      <c r="J16" s="17">
        <v>2262</v>
      </c>
      <c r="K16" s="17">
        <v>-2262</v>
      </c>
      <c r="L16" s="17"/>
      <c r="M16" s="17">
        <v>-56.56</v>
      </c>
    </row>
    <row r="17" spans="1:13" x14ac:dyDescent="0.25">
      <c r="A17" s="17" t="s">
        <v>48</v>
      </c>
      <c r="B17" s="17" t="s">
        <v>49</v>
      </c>
      <c r="C17" s="17" t="s">
        <v>102</v>
      </c>
      <c r="D17" s="17" t="s">
        <v>107</v>
      </c>
      <c r="E17" s="17" t="s">
        <v>50</v>
      </c>
      <c r="F17" s="17" t="s">
        <v>22</v>
      </c>
      <c r="G17" s="17">
        <v>1</v>
      </c>
      <c r="H17" s="17"/>
      <c r="I17" s="17"/>
      <c r="J17" s="17">
        <v>2262</v>
      </c>
      <c r="K17" s="17">
        <v>2262</v>
      </c>
      <c r="L17" s="17"/>
      <c r="M17" s="17">
        <v>56.56</v>
      </c>
    </row>
    <row r="18" spans="1:13" x14ac:dyDescent="0.25">
      <c r="A18" s="17" t="s">
        <v>51</v>
      </c>
      <c r="B18" s="17" t="s">
        <v>52</v>
      </c>
      <c r="C18" s="17" t="s">
        <v>102</v>
      </c>
      <c r="D18" s="17" t="s">
        <v>107</v>
      </c>
      <c r="E18" s="17" t="s">
        <v>53</v>
      </c>
      <c r="F18" s="17" t="s">
        <v>22</v>
      </c>
      <c r="G18" s="17">
        <v>-1</v>
      </c>
      <c r="H18" s="17"/>
      <c r="I18" s="17"/>
      <c r="J18" s="17">
        <v>465.5</v>
      </c>
      <c r="K18" s="17">
        <v>-465.5</v>
      </c>
      <c r="L18" s="17"/>
      <c r="M18" s="17">
        <v>-69.83</v>
      </c>
    </row>
    <row r="19" spans="1:13" x14ac:dyDescent="0.25">
      <c r="A19" s="17" t="s">
        <v>51</v>
      </c>
      <c r="B19" s="17" t="s">
        <v>52</v>
      </c>
      <c r="C19" s="17" t="s">
        <v>102</v>
      </c>
      <c r="D19" s="17" t="s">
        <v>107</v>
      </c>
      <c r="E19" s="17" t="s">
        <v>53</v>
      </c>
      <c r="F19" s="17" t="s">
        <v>22</v>
      </c>
      <c r="G19" s="17">
        <v>1</v>
      </c>
      <c r="H19" s="17"/>
      <c r="I19" s="17"/>
      <c r="J19" s="17">
        <v>465.5</v>
      </c>
      <c r="K19" s="17">
        <v>465.5</v>
      </c>
      <c r="L19" s="17"/>
      <c r="M19" s="17">
        <v>69.83</v>
      </c>
    </row>
    <row r="20" spans="1:13" x14ac:dyDescent="0.25">
      <c r="A20" s="17" t="s">
        <v>54</v>
      </c>
      <c r="B20" s="17" t="s">
        <v>55</v>
      </c>
      <c r="C20" s="17" t="s">
        <v>102</v>
      </c>
      <c r="D20" s="17" t="s">
        <v>107</v>
      </c>
      <c r="E20" s="17" t="s">
        <v>56</v>
      </c>
      <c r="F20" s="17" t="s">
        <v>22</v>
      </c>
      <c r="G20" s="17">
        <v>-1</v>
      </c>
      <c r="H20" s="17"/>
      <c r="I20" s="17"/>
      <c r="J20" s="17">
        <v>465.5</v>
      </c>
      <c r="K20" s="17">
        <v>-465.5</v>
      </c>
      <c r="L20" s="17"/>
      <c r="M20" s="17">
        <v>-40.64</v>
      </c>
    </row>
    <row r="21" spans="1:13" x14ac:dyDescent="0.25">
      <c r="A21" s="17" t="s">
        <v>54</v>
      </c>
      <c r="B21" s="17" t="s">
        <v>55</v>
      </c>
      <c r="C21" s="17" t="s">
        <v>102</v>
      </c>
      <c r="D21" s="17" t="s">
        <v>107</v>
      </c>
      <c r="E21" s="17" t="s">
        <v>56</v>
      </c>
      <c r="F21" s="17" t="s">
        <v>22</v>
      </c>
      <c r="G21" s="17">
        <v>1</v>
      </c>
      <c r="H21" s="17"/>
      <c r="I21" s="17"/>
      <c r="J21" s="17">
        <v>465.5</v>
      </c>
      <c r="K21" s="17">
        <v>465.5</v>
      </c>
      <c r="L21" s="17"/>
      <c r="M21" s="17">
        <v>40.64</v>
      </c>
    </row>
    <row r="22" spans="1:13" x14ac:dyDescent="0.25">
      <c r="A22" s="17" t="s">
        <v>57</v>
      </c>
      <c r="B22" s="17" t="s">
        <v>58</v>
      </c>
      <c r="C22" s="17" t="s">
        <v>102</v>
      </c>
      <c r="D22" s="17" t="s">
        <v>107</v>
      </c>
      <c r="E22" s="17" t="s">
        <v>59</v>
      </c>
      <c r="F22" s="17" t="s">
        <v>22</v>
      </c>
      <c r="G22" s="17">
        <v>-1</v>
      </c>
      <c r="H22" s="17"/>
      <c r="I22" s="17"/>
      <c r="J22" s="17">
        <v>3743.55</v>
      </c>
      <c r="K22" s="17">
        <v>-3743.55</v>
      </c>
      <c r="L22" s="17"/>
      <c r="M22" s="17">
        <v>-358.43</v>
      </c>
    </row>
    <row r="23" spans="1:13" x14ac:dyDescent="0.25">
      <c r="A23" s="17" t="s">
        <v>57</v>
      </c>
      <c r="B23" s="17" t="s">
        <v>58</v>
      </c>
      <c r="C23" s="17" t="s">
        <v>102</v>
      </c>
      <c r="D23" s="17" t="s">
        <v>107</v>
      </c>
      <c r="E23" s="17" t="s">
        <v>59</v>
      </c>
      <c r="F23" s="17" t="s">
        <v>22</v>
      </c>
      <c r="G23" s="17">
        <v>1</v>
      </c>
      <c r="H23" s="17"/>
      <c r="I23" s="17"/>
      <c r="J23" s="17">
        <v>3743.55</v>
      </c>
      <c r="K23" s="17">
        <v>3743.55</v>
      </c>
      <c r="L23" s="17"/>
      <c r="M23" s="17">
        <v>358.43</v>
      </c>
    </row>
    <row r="24" spans="1:13" x14ac:dyDescent="0.25">
      <c r="A24" s="17" t="s">
        <v>60</v>
      </c>
      <c r="B24" s="17" t="s">
        <v>61</v>
      </c>
      <c r="C24" s="17" t="s">
        <v>102</v>
      </c>
      <c r="D24" s="17" t="s">
        <v>101</v>
      </c>
      <c r="E24" s="17" t="s">
        <v>62</v>
      </c>
      <c r="F24" s="17" t="s">
        <v>33</v>
      </c>
      <c r="G24" s="17">
        <v>1</v>
      </c>
      <c r="H24" s="17"/>
      <c r="I24" s="17"/>
      <c r="J24" s="17">
        <v>505</v>
      </c>
      <c r="K24" s="17">
        <v>505</v>
      </c>
      <c r="L24" s="17"/>
      <c r="M24" s="17">
        <v>47.27</v>
      </c>
    </row>
    <row r="25" spans="1:13" x14ac:dyDescent="0.25">
      <c r="A25" s="17" t="s">
        <v>60</v>
      </c>
      <c r="B25" s="17" t="s">
        <v>61</v>
      </c>
      <c r="C25" s="17" t="s">
        <v>102</v>
      </c>
      <c r="D25" s="17" t="s">
        <v>101</v>
      </c>
      <c r="E25" s="17" t="s">
        <v>62</v>
      </c>
      <c r="F25" s="17" t="s">
        <v>33</v>
      </c>
      <c r="G25" s="17">
        <v>-1</v>
      </c>
      <c r="H25" s="17"/>
      <c r="I25" s="17"/>
      <c r="J25" s="17">
        <v>505</v>
      </c>
      <c r="K25" s="17">
        <v>-505</v>
      </c>
      <c r="L25" s="17"/>
      <c r="M25" s="17">
        <v>-47.27</v>
      </c>
    </row>
    <row r="26" spans="1:13" x14ac:dyDescent="0.25">
      <c r="A26" s="17" t="s">
        <v>63</v>
      </c>
      <c r="B26" s="17" t="s">
        <v>64</v>
      </c>
      <c r="C26" s="17" t="s">
        <v>102</v>
      </c>
      <c r="D26" s="17" t="s">
        <v>107</v>
      </c>
      <c r="E26" s="17" t="s">
        <v>65</v>
      </c>
      <c r="F26" s="17" t="s">
        <v>22</v>
      </c>
      <c r="G26" s="17">
        <v>-1</v>
      </c>
      <c r="H26" s="17"/>
      <c r="I26" s="17"/>
      <c r="J26" s="17">
        <v>3703.73</v>
      </c>
      <c r="K26" s="17">
        <v>-3703.73</v>
      </c>
      <c r="L26" s="17"/>
      <c r="M26" s="17">
        <v>-318.61</v>
      </c>
    </row>
    <row r="27" spans="1:13" x14ac:dyDescent="0.25">
      <c r="A27" s="17" t="s">
        <v>63</v>
      </c>
      <c r="B27" s="17" t="s">
        <v>64</v>
      </c>
      <c r="C27" s="17" t="s">
        <v>102</v>
      </c>
      <c r="D27" s="17" t="s">
        <v>107</v>
      </c>
      <c r="E27" s="17" t="s">
        <v>65</v>
      </c>
      <c r="F27" s="17" t="s">
        <v>22</v>
      </c>
      <c r="G27" s="17">
        <v>1</v>
      </c>
      <c r="H27" s="17"/>
      <c r="I27" s="17"/>
      <c r="J27" s="17">
        <v>3703.73</v>
      </c>
      <c r="K27" s="17">
        <v>3703.73</v>
      </c>
      <c r="L27" s="17"/>
      <c r="M27" s="17">
        <v>318.61</v>
      </c>
    </row>
    <row r="28" spans="1:13" x14ac:dyDescent="0.25">
      <c r="A28" s="17" t="s">
        <v>66</v>
      </c>
      <c r="B28" s="17" t="s">
        <v>67</v>
      </c>
      <c r="C28" s="17" t="s">
        <v>102</v>
      </c>
      <c r="D28" s="17" t="s">
        <v>107</v>
      </c>
      <c r="E28" s="17" t="s">
        <v>68</v>
      </c>
      <c r="F28" s="17" t="s">
        <v>22</v>
      </c>
      <c r="G28" s="17">
        <v>-1</v>
      </c>
      <c r="H28" s="17"/>
      <c r="I28" s="17"/>
      <c r="J28" s="17">
        <v>465.5</v>
      </c>
      <c r="K28" s="17">
        <v>-465.5</v>
      </c>
      <c r="L28" s="17"/>
      <c r="M28" s="17">
        <v>-69.83</v>
      </c>
    </row>
    <row r="29" spans="1:13" x14ac:dyDescent="0.25">
      <c r="A29" s="17" t="s">
        <v>66</v>
      </c>
      <c r="B29" s="17" t="s">
        <v>67</v>
      </c>
      <c r="C29" s="17" t="s">
        <v>102</v>
      </c>
      <c r="D29" s="17" t="s">
        <v>107</v>
      </c>
      <c r="E29" s="17" t="s">
        <v>68</v>
      </c>
      <c r="F29" s="17" t="s">
        <v>22</v>
      </c>
      <c r="G29" s="17">
        <v>1</v>
      </c>
      <c r="H29" s="17"/>
      <c r="I29" s="17"/>
      <c r="J29" s="17">
        <v>465.5</v>
      </c>
      <c r="K29" s="17">
        <v>465.5</v>
      </c>
      <c r="L29" s="17"/>
      <c r="M29" s="17">
        <v>69.83</v>
      </c>
    </row>
    <row r="30" spans="1:13" x14ac:dyDescent="0.25">
      <c r="A30" s="17" t="s">
        <v>69</v>
      </c>
      <c r="B30" s="17" t="s">
        <v>70</v>
      </c>
      <c r="C30" s="17" t="s">
        <v>102</v>
      </c>
      <c r="D30" s="17" t="s">
        <v>101</v>
      </c>
      <c r="E30" s="17" t="s">
        <v>71</v>
      </c>
      <c r="F30" s="17" t="s">
        <v>33</v>
      </c>
      <c r="G30" s="17">
        <v>1</v>
      </c>
      <c r="H30" s="17"/>
      <c r="I30" s="17"/>
      <c r="J30" s="17">
        <v>505</v>
      </c>
      <c r="K30" s="17">
        <v>505</v>
      </c>
      <c r="L30" s="17"/>
      <c r="M30" s="17">
        <v>75.760000000000005</v>
      </c>
    </row>
    <row r="31" spans="1:13" x14ac:dyDescent="0.25">
      <c r="A31" s="17" t="s">
        <v>69</v>
      </c>
      <c r="B31" s="17" t="s">
        <v>70</v>
      </c>
      <c r="C31" s="17" t="s">
        <v>102</v>
      </c>
      <c r="D31" s="17" t="s">
        <v>101</v>
      </c>
      <c r="E31" s="17" t="s">
        <v>71</v>
      </c>
      <c r="F31" s="17" t="s">
        <v>33</v>
      </c>
      <c r="G31" s="17">
        <v>-1</v>
      </c>
      <c r="H31" s="17"/>
      <c r="I31" s="17"/>
      <c r="J31" s="17">
        <v>505</v>
      </c>
      <c r="K31" s="17">
        <v>-505</v>
      </c>
      <c r="L31" s="17"/>
      <c r="M31" s="17">
        <v>-75.760000000000005</v>
      </c>
    </row>
    <row r="32" spans="1:13" x14ac:dyDescent="0.25">
      <c r="A32" s="17" t="s">
        <v>72</v>
      </c>
      <c r="B32" s="17" t="s">
        <v>73</v>
      </c>
      <c r="C32" s="17" t="s">
        <v>102</v>
      </c>
      <c r="D32" s="17" t="s">
        <v>108</v>
      </c>
      <c r="E32" s="17" t="s">
        <v>74</v>
      </c>
      <c r="F32" s="17" t="s">
        <v>22</v>
      </c>
      <c r="G32" s="17">
        <v>-1</v>
      </c>
      <c r="H32" s="17"/>
      <c r="I32" s="17"/>
      <c r="J32" s="17">
        <v>3900</v>
      </c>
      <c r="K32" s="17">
        <v>-3900</v>
      </c>
      <c r="L32" s="17"/>
      <c r="M32" s="17">
        <v>-858</v>
      </c>
    </row>
    <row r="33" spans="1:13" x14ac:dyDescent="0.25">
      <c r="A33" s="17" t="s">
        <v>72</v>
      </c>
      <c r="B33" s="17" t="s">
        <v>73</v>
      </c>
      <c r="C33" s="17" t="s">
        <v>102</v>
      </c>
      <c r="D33" s="17" t="s">
        <v>108</v>
      </c>
      <c r="E33" s="17" t="s">
        <v>74</v>
      </c>
      <c r="F33" s="17" t="s">
        <v>22</v>
      </c>
      <c r="G33" s="17">
        <v>1</v>
      </c>
      <c r="H33" s="17"/>
      <c r="I33" s="17"/>
      <c r="J33" s="17">
        <v>3900</v>
      </c>
      <c r="K33" s="17">
        <v>3900</v>
      </c>
      <c r="L33" s="17"/>
      <c r="M33" s="17">
        <v>858</v>
      </c>
    </row>
    <row r="34" spans="1:13" x14ac:dyDescent="0.25">
      <c r="A34" s="17" t="s">
        <v>75</v>
      </c>
      <c r="B34" s="17" t="s">
        <v>76</v>
      </c>
      <c r="C34" s="17" t="s">
        <v>102</v>
      </c>
      <c r="D34" s="17" t="s">
        <v>108</v>
      </c>
      <c r="E34" s="17" t="s">
        <v>77</v>
      </c>
      <c r="F34" s="17" t="s">
        <v>22</v>
      </c>
      <c r="G34" s="17">
        <v>1</v>
      </c>
      <c r="H34" s="17"/>
      <c r="I34" s="17"/>
      <c r="J34" s="17">
        <v>3790.5</v>
      </c>
      <c r="K34" s="17">
        <v>3790.5</v>
      </c>
      <c r="L34" s="17"/>
      <c r="M34" s="17">
        <v>399</v>
      </c>
    </row>
    <row r="35" spans="1:13" x14ac:dyDescent="0.25">
      <c r="A35" s="17" t="s">
        <v>75</v>
      </c>
      <c r="B35" s="17" t="s">
        <v>76</v>
      </c>
      <c r="C35" s="17" t="s">
        <v>102</v>
      </c>
      <c r="D35" s="17" t="s">
        <v>108</v>
      </c>
      <c r="E35" s="17" t="s">
        <v>77</v>
      </c>
      <c r="F35" s="17" t="s">
        <v>22</v>
      </c>
      <c r="G35" s="17">
        <v>-1</v>
      </c>
      <c r="H35" s="17"/>
      <c r="I35" s="17"/>
      <c r="J35" s="17">
        <v>3790.5</v>
      </c>
      <c r="K35" s="17">
        <v>-3790.5</v>
      </c>
      <c r="L35" s="17"/>
      <c r="M35" s="17">
        <v>-399</v>
      </c>
    </row>
  </sheetData>
  <pageMargins left="0.7" right="0.7" top="0.75" bottom="0.75" header="0.3" footer="0.3"/>
  <pageSetup paperSize="9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D9"/>
  <sheetViews>
    <sheetView showGridLines="0" workbookViewId="0">
      <selection activeCell="C16" sqref="C16"/>
    </sheetView>
  </sheetViews>
  <sheetFormatPr defaultRowHeight="15" x14ac:dyDescent="0.25"/>
  <cols>
    <col min="1" max="1" width="18.7109375" style="13" bestFit="1" customWidth="1"/>
    <col min="2" max="2" width="15" style="13" bestFit="1" customWidth="1"/>
    <col min="3" max="3" width="18" bestFit="1" customWidth="1"/>
    <col min="4" max="4" width="9.28515625" bestFit="1" customWidth="1"/>
  </cols>
  <sheetData>
    <row r="1" spans="1:4" x14ac:dyDescent="0.25">
      <c r="A1" s="11" t="s">
        <v>92</v>
      </c>
      <c r="B1" s="12"/>
      <c r="C1" s="11" t="s">
        <v>95</v>
      </c>
      <c r="D1" s="12"/>
    </row>
    <row r="2" spans="1:4" x14ac:dyDescent="0.25">
      <c r="A2" s="15" t="s">
        <v>93</v>
      </c>
      <c r="B2" s="15" t="s">
        <v>94</v>
      </c>
      <c r="C2" s="15" t="s">
        <v>96</v>
      </c>
      <c r="D2" s="15" t="s">
        <v>97</v>
      </c>
    </row>
    <row r="3" spans="1:4" x14ac:dyDescent="0.25">
      <c r="A3" s="14" t="s">
        <v>1</v>
      </c>
      <c r="B3" s="14" t="s">
        <v>78</v>
      </c>
      <c r="C3" s="14" t="str">
        <f>Итог!C1</f>
        <v>Группа</v>
      </c>
      <c r="D3" s="14" t="e">
        <f>getGroup(E2)</f>
        <v>#VALUE!</v>
      </c>
    </row>
    <row r="4" spans="1:4" x14ac:dyDescent="0.25">
      <c r="A4" s="14" t="s">
        <v>2</v>
      </c>
      <c r="B4" s="14" t="s">
        <v>1</v>
      </c>
      <c r="C4" s="14" t="str">
        <f>Итог!D1</f>
        <v>Бренд</v>
      </c>
      <c r="D4" s="14" t="e">
        <f>getBrand(E2)</f>
        <v>#VALUE!</v>
      </c>
    </row>
    <row r="5" spans="1:4" x14ac:dyDescent="0.25">
      <c r="A5" s="14" t="s">
        <v>4</v>
      </c>
      <c r="B5" s="14" t="s">
        <v>81</v>
      </c>
      <c r="C5" s="14" t="str">
        <f>Итог!J1</f>
        <v>Цена</v>
      </c>
      <c r="D5" s="14" t="e">
        <f>K2/G2</f>
        <v>#DIV/0!</v>
      </c>
    </row>
    <row r="6" spans="1:4" x14ac:dyDescent="0.25">
      <c r="A6" s="14" t="s">
        <v>6</v>
      </c>
      <c r="B6" s="14" t="s">
        <v>82</v>
      </c>
    </row>
    <row r="7" spans="1:4" x14ac:dyDescent="0.25">
      <c r="A7" s="14" t="s">
        <v>7</v>
      </c>
      <c r="B7" s="14" t="s">
        <v>83</v>
      </c>
    </row>
    <row r="8" spans="1:4" x14ac:dyDescent="0.25">
      <c r="A8" s="14" t="s">
        <v>10</v>
      </c>
      <c r="B8" s="14" t="s">
        <v>87</v>
      </c>
    </row>
    <row r="9" spans="1:4" x14ac:dyDescent="0.25">
      <c r="A9" s="14" t="s">
        <v>11</v>
      </c>
      <c r="B9" s="14" t="s">
        <v>90</v>
      </c>
    </row>
  </sheetData>
  <mergeCells count="2">
    <mergeCell ref="A1:B1"/>
    <mergeCell ref="C1:D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2</vt:i4>
      </vt:variant>
    </vt:vector>
  </HeadingPairs>
  <TitlesOfParts>
    <vt:vector size="5" baseType="lpstr">
      <vt:lpstr>Данные</vt:lpstr>
      <vt:lpstr>Итог</vt:lpstr>
      <vt:lpstr>Настройки</vt:lpstr>
      <vt:lpstr>СопоставлениеДанные</vt:lpstr>
      <vt:lpstr>ФормулыКолонок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Dmitry Semenov</dc:creator>
  <cp:lastModifiedBy>BUH</cp:lastModifiedBy>
  <dcterms:created xsi:type="dcterms:W3CDTF">2022-09-16T12:34:43Z</dcterms:created>
  <dcterms:modified xsi:type="dcterms:W3CDTF">2022-09-16T14:45:06Z</dcterms:modified>
</cp:coreProperties>
</file>