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C520F4EF-2B4D-44D1-B6DD-3F56CF9FD426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Форма!$G$1:$AV$401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01" i="42" l="1"/>
  <c r="R400" i="42"/>
  <c r="R399" i="42"/>
  <c r="R398" i="42"/>
  <c r="R397" i="42"/>
  <c r="R396" i="42"/>
  <c r="R395" i="42"/>
  <c r="R394" i="42"/>
  <c r="R393" i="42"/>
  <c r="R392" i="42"/>
  <c r="R391" i="42"/>
  <c r="R390" i="42"/>
  <c r="R389" i="42"/>
  <c r="R388" i="42"/>
  <c r="R387" i="42"/>
  <c r="R386" i="42"/>
  <c r="R385" i="42"/>
  <c r="R384" i="42"/>
  <c r="R383" i="42"/>
  <c r="R382" i="42"/>
  <c r="R381" i="42"/>
  <c r="R380" i="42"/>
  <c r="R379" i="42"/>
  <c r="R378" i="42"/>
  <c r="R377" i="42"/>
  <c r="R376" i="42"/>
  <c r="R375" i="42"/>
  <c r="R374" i="42"/>
  <c r="R373" i="42"/>
  <c r="R372" i="42"/>
  <c r="R371" i="42"/>
  <c r="R370" i="42"/>
  <c r="R369" i="42"/>
  <c r="R368" i="42"/>
  <c r="R367" i="42"/>
  <c r="R366" i="42"/>
  <c r="R365" i="42"/>
  <c r="R364" i="42"/>
  <c r="R363" i="42"/>
  <c r="R362" i="42"/>
  <c r="R361" i="42"/>
  <c r="R360" i="42"/>
  <c r="R359" i="42"/>
  <c r="R358" i="42"/>
  <c r="R357" i="42"/>
  <c r="R356" i="42"/>
  <c r="R355" i="42"/>
  <c r="R354" i="42"/>
  <c r="R353" i="42"/>
  <c r="R352" i="42"/>
  <c r="R351" i="42"/>
  <c r="R350" i="42"/>
  <c r="R349" i="42"/>
  <c r="R348" i="42"/>
  <c r="R347" i="42"/>
  <c r="R346" i="42"/>
  <c r="R345" i="42"/>
  <c r="R344" i="42"/>
  <c r="R343" i="42"/>
  <c r="R342" i="42"/>
  <c r="R341" i="42"/>
  <c r="R340" i="42"/>
  <c r="R339" i="42"/>
  <c r="R338" i="42"/>
  <c r="R337" i="42"/>
  <c r="R336" i="42"/>
  <c r="R335" i="42"/>
  <c r="R334" i="42"/>
  <c r="R333" i="42"/>
  <c r="R332" i="42"/>
  <c r="R331" i="42"/>
  <c r="R330" i="42"/>
  <c r="R329" i="42"/>
  <c r="R328" i="42"/>
  <c r="R327" i="42"/>
  <c r="R326" i="42"/>
  <c r="R325" i="42"/>
  <c r="R324" i="42"/>
  <c r="R323" i="42"/>
  <c r="R322" i="42"/>
  <c r="R321" i="42"/>
  <c r="R320" i="42"/>
  <c r="R319" i="42"/>
  <c r="R318" i="42"/>
  <c r="R317" i="42"/>
  <c r="R316" i="42"/>
  <c r="R315" i="42"/>
  <c r="R314" i="42"/>
  <c r="R313" i="42"/>
  <c r="R312" i="42"/>
  <c r="R311" i="42"/>
  <c r="R310" i="42"/>
  <c r="R309" i="42"/>
  <c r="R308" i="42"/>
  <c r="R307" i="42"/>
  <c r="R306" i="42"/>
  <c r="R305" i="42"/>
  <c r="R304" i="42"/>
  <c r="R303" i="42"/>
  <c r="R302" i="42"/>
  <c r="R301" i="42"/>
  <c r="R300" i="42"/>
  <c r="R299" i="42"/>
  <c r="R298" i="42"/>
  <c r="R297" i="42"/>
  <c r="R296" i="42"/>
  <c r="R295" i="42"/>
  <c r="R294" i="42"/>
  <c r="R293" i="42"/>
  <c r="R292" i="42"/>
  <c r="R291" i="42"/>
  <c r="R290" i="42"/>
  <c r="R289" i="42"/>
  <c r="R288" i="42"/>
  <c r="R287" i="42"/>
  <c r="R286" i="42"/>
  <c r="R285" i="42"/>
  <c r="R284" i="42"/>
  <c r="R283" i="42"/>
  <c r="R282" i="42"/>
  <c r="R281" i="42"/>
  <c r="R280" i="42"/>
  <c r="R279" i="42"/>
  <c r="R278" i="42"/>
  <c r="R277" i="42"/>
  <c r="R276" i="42"/>
  <c r="R275" i="42"/>
  <c r="R274" i="42"/>
  <c r="R273" i="42"/>
  <c r="R272" i="42"/>
  <c r="R271" i="42"/>
  <c r="R270" i="42"/>
  <c r="R269" i="42"/>
  <c r="R268" i="42"/>
  <c r="R267" i="42"/>
  <c r="R266" i="42"/>
  <c r="R265" i="42"/>
  <c r="R264" i="42"/>
  <c r="R263" i="42"/>
  <c r="R262" i="42"/>
  <c r="R261" i="42"/>
  <c r="R260" i="42"/>
  <c r="R259" i="42"/>
  <c r="R258" i="42"/>
  <c r="R257" i="42"/>
  <c r="R256" i="42"/>
  <c r="R255" i="42"/>
  <c r="R254" i="42"/>
  <c r="R253" i="42"/>
  <c r="R252" i="42"/>
  <c r="R251" i="42"/>
  <c r="R250" i="42"/>
  <c r="R249" i="42"/>
  <c r="R248" i="42"/>
  <c r="R247" i="42"/>
  <c r="R246" i="42"/>
  <c r="R245" i="42"/>
  <c r="R244" i="42"/>
  <c r="R243" i="42"/>
  <c r="R242" i="42"/>
  <c r="R241" i="42"/>
  <c r="R240" i="42"/>
  <c r="R239" i="42"/>
  <c r="R238" i="42"/>
  <c r="R237" i="42"/>
  <c r="R236" i="42"/>
  <c r="R235" i="42"/>
  <c r="R234" i="42"/>
  <c r="R233" i="42"/>
  <c r="R232" i="42"/>
  <c r="R231" i="42"/>
  <c r="R230" i="42"/>
  <c r="R229" i="42"/>
  <c r="R228" i="42"/>
  <c r="R227" i="42"/>
  <c r="R226" i="42"/>
  <c r="R225" i="42"/>
  <c r="R224" i="42"/>
  <c r="R223" i="42"/>
  <c r="R222" i="42"/>
  <c r="R221" i="42"/>
  <c r="R220" i="42"/>
  <c r="R219" i="42"/>
  <c r="R218" i="42"/>
  <c r="R217" i="42"/>
  <c r="R216" i="42"/>
  <c r="R215" i="42"/>
  <c r="R214" i="42"/>
  <c r="R213" i="42"/>
  <c r="R212" i="42"/>
  <c r="R211" i="42"/>
  <c r="R210" i="42"/>
  <c r="R209" i="42"/>
  <c r="R208" i="42"/>
  <c r="R207" i="42"/>
  <c r="R206" i="42"/>
  <c r="R205" i="42"/>
  <c r="R204" i="42"/>
  <c r="R203" i="42"/>
  <c r="R202" i="42"/>
  <c r="R201" i="42"/>
  <c r="R200" i="42"/>
  <c r="R199" i="42"/>
  <c r="R198" i="42"/>
  <c r="R197" i="42"/>
  <c r="R196" i="42"/>
  <c r="R195" i="42"/>
  <c r="R194" i="42"/>
  <c r="R193" i="42"/>
  <c r="R192" i="42"/>
  <c r="R191" i="42"/>
  <c r="R190" i="42"/>
  <c r="R189" i="42"/>
  <c r="R188" i="42"/>
  <c r="R187" i="42"/>
  <c r="R186" i="42"/>
  <c r="R185" i="42"/>
  <c r="R184" i="42"/>
  <c r="R183" i="42"/>
  <c r="R182" i="42"/>
  <c r="R181" i="42"/>
  <c r="R180" i="42"/>
  <c r="R179" i="42"/>
  <c r="R178" i="42"/>
  <c r="R177" i="42"/>
  <c r="R176" i="42"/>
  <c r="R175" i="42"/>
  <c r="R174" i="42"/>
  <c r="R173" i="42"/>
  <c r="R172" i="42"/>
  <c r="R171" i="42"/>
  <c r="R170" i="42"/>
  <c r="R169" i="42"/>
  <c r="R168" i="42"/>
  <c r="R167" i="42"/>
  <c r="R166" i="42"/>
  <c r="R165" i="42"/>
  <c r="R164" i="42"/>
  <c r="R163" i="42"/>
  <c r="R162" i="42"/>
  <c r="R161" i="42"/>
  <c r="R160" i="42"/>
  <c r="R159" i="42"/>
  <c r="R158" i="42"/>
  <c r="R157" i="42"/>
  <c r="R156" i="42"/>
  <c r="R155" i="42"/>
  <c r="R154" i="42"/>
  <c r="R153" i="42"/>
  <c r="R152" i="42"/>
  <c r="R151" i="42"/>
  <c r="R150" i="42"/>
  <c r="R149" i="42"/>
  <c r="R148" i="42"/>
  <c r="R147" i="42"/>
  <c r="R146" i="42"/>
  <c r="R145" i="42"/>
  <c r="R144" i="42"/>
  <c r="R143" i="42"/>
  <c r="R142" i="42"/>
  <c r="R141" i="42"/>
  <c r="R140" i="42"/>
  <c r="R139" i="42"/>
  <c r="R138" i="42"/>
  <c r="R137" i="42"/>
  <c r="R136" i="42"/>
  <c r="R135" i="42"/>
  <c r="R134" i="42"/>
  <c r="R133" i="42"/>
  <c r="R132" i="42"/>
  <c r="R131" i="42"/>
  <c r="R130" i="42"/>
  <c r="R129" i="42"/>
  <c r="R128" i="42"/>
  <c r="R127" i="42"/>
  <c r="R126" i="42"/>
  <c r="R125" i="42"/>
  <c r="R124" i="42"/>
  <c r="R123" i="42"/>
  <c r="R122" i="42"/>
  <c r="R121" i="42"/>
  <c r="R120" i="42"/>
  <c r="R119" i="42"/>
  <c r="R118" i="42"/>
  <c r="R117" i="42"/>
  <c r="R116" i="42"/>
  <c r="R115" i="42"/>
  <c r="R114" i="42"/>
  <c r="R113" i="42"/>
  <c r="R112" i="42"/>
  <c r="R111" i="42"/>
  <c r="R110" i="42"/>
  <c r="R109" i="42"/>
  <c r="R108" i="42"/>
  <c r="R107" i="42"/>
  <c r="R106" i="42"/>
  <c r="R105" i="42"/>
  <c r="R104" i="42"/>
  <c r="R103" i="42"/>
  <c r="R102" i="42"/>
  <c r="R101" i="42"/>
  <c r="R100" i="42"/>
  <c r="R99" i="42"/>
  <c r="R98" i="42"/>
  <c r="R97" i="42"/>
  <c r="R96" i="42"/>
  <c r="R95" i="42"/>
  <c r="R94" i="42"/>
  <c r="R93" i="42"/>
  <c r="R92" i="42"/>
  <c r="R91" i="42"/>
  <c r="R90" i="42"/>
  <c r="R89" i="42"/>
  <c r="R88" i="42"/>
  <c r="R87" i="42"/>
  <c r="R86" i="42"/>
  <c r="R85" i="42"/>
  <c r="R84" i="42"/>
  <c r="R83" i="42"/>
  <c r="R82" i="42"/>
  <c r="R81" i="42"/>
  <c r="R80" i="42"/>
  <c r="R79" i="42"/>
  <c r="R78" i="42"/>
  <c r="R77" i="42"/>
  <c r="R76" i="42"/>
  <c r="R75" i="42"/>
  <c r="R74" i="42"/>
  <c r="R73" i="42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51" i="42"/>
  <c r="R50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9" i="42"/>
  <c r="R8" i="42"/>
  <c r="R7" i="42"/>
  <c r="R6" i="42"/>
  <c r="R5" i="42"/>
  <c r="R4" i="42"/>
  <c r="R3" i="42"/>
  <c r="R2" i="42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1" i="39" a="1"/>
  <c r="R3" i="39" l="1"/>
  <c r="R11" i="39"/>
  <c r="R19" i="39"/>
  <c r="R27" i="39"/>
  <c r="R35" i="39"/>
  <c r="R43" i="39"/>
  <c r="R51" i="39"/>
  <c r="R59" i="39"/>
  <c r="R67" i="39"/>
  <c r="R75" i="39"/>
  <c r="R83" i="39"/>
  <c r="R91" i="39"/>
  <c r="R99" i="39"/>
  <c r="R107" i="39"/>
  <c r="R115" i="39"/>
  <c r="R123" i="39"/>
  <c r="R131" i="39"/>
  <c r="R139" i="39"/>
  <c r="R147" i="39"/>
  <c r="R155" i="39"/>
  <c r="R163" i="39"/>
  <c r="R171" i="39"/>
  <c r="R179" i="39"/>
  <c r="R187" i="39"/>
  <c r="R195" i="39"/>
  <c r="R203" i="39"/>
  <c r="R211" i="39"/>
  <c r="R219" i="39"/>
  <c r="R227" i="39"/>
  <c r="R235" i="39"/>
  <c r="R243" i="39"/>
  <c r="R251" i="39"/>
  <c r="R259" i="39"/>
  <c r="R267" i="39"/>
  <c r="R275" i="39"/>
  <c r="R283" i="39"/>
  <c r="R291" i="39"/>
  <c r="R299" i="39"/>
  <c r="R307" i="39"/>
  <c r="R315" i="39"/>
  <c r="R323" i="39"/>
  <c r="R331" i="39"/>
  <c r="R339" i="39"/>
  <c r="R347" i="39"/>
  <c r="R355" i="39"/>
  <c r="R363" i="39"/>
  <c r="R371" i="39"/>
  <c r="R379" i="39"/>
  <c r="R387" i="39"/>
  <c r="R395" i="39"/>
  <c r="R42" i="39"/>
  <c r="R146" i="39"/>
  <c r="R202" i="39"/>
  <c r="R258" i="39"/>
  <c r="R314" i="39"/>
  <c r="R354" i="39"/>
  <c r="R4" i="39"/>
  <c r="R12" i="39"/>
  <c r="R20" i="39"/>
  <c r="R28" i="39"/>
  <c r="R36" i="39"/>
  <c r="R44" i="39"/>
  <c r="R52" i="39"/>
  <c r="R60" i="39"/>
  <c r="R68" i="39"/>
  <c r="R76" i="39"/>
  <c r="R84" i="39"/>
  <c r="R92" i="39"/>
  <c r="R100" i="39"/>
  <c r="R108" i="39"/>
  <c r="R116" i="39"/>
  <c r="R124" i="39"/>
  <c r="R132" i="39"/>
  <c r="R140" i="39"/>
  <c r="R148" i="39"/>
  <c r="R156" i="39"/>
  <c r="R164" i="39"/>
  <c r="R172" i="39"/>
  <c r="R180" i="39"/>
  <c r="R188" i="39"/>
  <c r="R196" i="39"/>
  <c r="R204" i="39"/>
  <c r="R212" i="39"/>
  <c r="R220" i="39"/>
  <c r="R228" i="39"/>
  <c r="R236" i="39"/>
  <c r="R244" i="39"/>
  <c r="R252" i="39"/>
  <c r="R260" i="39"/>
  <c r="R268" i="39"/>
  <c r="R276" i="39"/>
  <c r="R284" i="39"/>
  <c r="R292" i="39"/>
  <c r="R300" i="39"/>
  <c r="R308" i="39"/>
  <c r="R316" i="39"/>
  <c r="R324" i="39"/>
  <c r="R332" i="39"/>
  <c r="R340" i="39"/>
  <c r="R348" i="39"/>
  <c r="R356" i="39"/>
  <c r="R364" i="39"/>
  <c r="R372" i="39"/>
  <c r="R380" i="39"/>
  <c r="R388" i="39"/>
  <c r="R396" i="39"/>
  <c r="R50" i="39"/>
  <c r="R210" i="39"/>
  <c r="R306" i="39"/>
  <c r="R370" i="39"/>
  <c r="R5" i="39"/>
  <c r="R13" i="39"/>
  <c r="R21" i="39"/>
  <c r="R29" i="39"/>
  <c r="R37" i="39"/>
  <c r="R45" i="39"/>
  <c r="R53" i="39"/>
  <c r="R61" i="39"/>
  <c r="R69" i="39"/>
  <c r="R77" i="39"/>
  <c r="R85" i="39"/>
  <c r="R93" i="39"/>
  <c r="R101" i="39"/>
  <c r="R109" i="39"/>
  <c r="R117" i="39"/>
  <c r="R125" i="39"/>
  <c r="R133" i="39"/>
  <c r="R141" i="39"/>
  <c r="R149" i="39"/>
  <c r="R157" i="39"/>
  <c r="R165" i="39"/>
  <c r="R173" i="39"/>
  <c r="R181" i="39"/>
  <c r="R189" i="39"/>
  <c r="R197" i="39"/>
  <c r="R205" i="39"/>
  <c r="R213" i="39"/>
  <c r="R221" i="39"/>
  <c r="R229" i="39"/>
  <c r="R237" i="39"/>
  <c r="R245" i="39"/>
  <c r="R253" i="39"/>
  <c r="R261" i="39"/>
  <c r="R269" i="39"/>
  <c r="R277" i="39"/>
  <c r="R285" i="39"/>
  <c r="R293" i="39"/>
  <c r="R301" i="39"/>
  <c r="R309" i="39"/>
  <c r="R317" i="39"/>
  <c r="R325" i="39"/>
  <c r="R333" i="39"/>
  <c r="R341" i="39"/>
  <c r="R349" i="39"/>
  <c r="R357" i="39"/>
  <c r="R365" i="39"/>
  <c r="R373" i="39"/>
  <c r="R381" i="39"/>
  <c r="R389" i="39"/>
  <c r="R397" i="39"/>
  <c r="R26" i="39"/>
  <c r="R154" i="39"/>
  <c r="R218" i="39"/>
  <c r="R274" i="39"/>
  <c r="R298" i="39"/>
  <c r="R346" i="39"/>
  <c r="R2" i="39"/>
  <c r="R6" i="39"/>
  <c r="AD6" i="39" s="1"/>
  <c r="R14" i="39"/>
  <c r="R22" i="39"/>
  <c r="R30" i="39"/>
  <c r="R38" i="39"/>
  <c r="R46" i="39"/>
  <c r="R54" i="39"/>
  <c r="R62" i="39"/>
  <c r="R70" i="39"/>
  <c r="R78" i="39"/>
  <c r="R86" i="39"/>
  <c r="R94" i="39"/>
  <c r="R102" i="39"/>
  <c r="R110" i="39"/>
  <c r="R118" i="39"/>
  <c r="R126" i="39"/>
  <c r="R134" i="39"/>
  <c r="R142" i="39"/>
  <c r="R150" i="39"/>
  <c r="R158" i="39"/>
  <c r="R166" i="39"/>
  <c r="R174" i="39"/>
  <c r="R182" i="39"/>
  <c r="R190" i="39"/>
  <c r="R198" i="39"/>
  <c r="R206" i="39"/>
  <c r="R214" i="39"/>
  <c r="R222" i="39"/>
  <c r="R230" i="39"/>
  <c r="R238" i="39"/>
  <c r="R246" i="39"/>
  <c r="R254" i="39"/>
  <c r="R262" i="39"/>
  <c r="R270" i="39"/>
  <c r="R278" i="39"/>
  <c r="R286" i="39"/>
  <c r="R294" i="39"/>
  <c r="R302" i="39"/>
  <c r="R310" i="39"/>
  <c r="R318" i="39"/>
  <c r="R326" i="39"/>
  <c r="R334" i="39"/>
  <c r="R342" i="39"/>
  <c r="R350" i="39"/>
  <c r="R358" i="39"/>
  <c r="R366" i="39"/>
  <c r="R374" i="39"/>
  <c r="R382" i="39"/>
  <c r="R390" i="39"/>
  <c r="R398" i="39"/>
  <c r="R18" i="39"/>
  <c r="R74" i="39"/>
  <c r="R90" i="39"/>
  <c r="R106" i="39"/>
  <c r="R122" i="39"/>
  <c r="R138" i="39"/>
  <c r="R162" i="39"/>
  <c r="R186" i="39"/>
  <c r="R226" i="39"/>
  <c r="R250" i="39"/>
  <c r="R282" i="39"/>
  <c r="R330" i="39"/>
  <c r="R378" i="39"/>
  <c r="R7" i="39"/>
  <c r="R15" i="39"/>
  <c r="R23" i="39"/>
  <c r="R31" i="39"/>
  <c r="R39" i="39"/>
  <c r="R47" i="39"/>
  <c r="R55" i="39"/>
  <c r="R63" i="39"/>
  <c r="R71" i="39"/>
  <c r="R79" i="39"/>
  <c r="R87" i="39"/>
  <c r="R95" i="39"/>
  <c r="R103" i="39"/>
  <c r="R111" i="39"/>
  <c r="R119" i="39"/>
  <c r="R127" i="39"/>
  <c r="R135" i="39"/>
  <c r="R143" i="39"/>
  <c r="R151" i="39"/>
  <c r="R159" i="39"/>
  <c r="R167" i="39"/>
  <c r="R175" i="39"/>
  <c r="R183" i="39"/>
  <c r="R191" i="39"/>
  <c r="R199" i="39"/>
  <c r="R207" i="39"/>
  <c r="R215" i="39"/>
  <c r="R223" i="39"/>
  <c r="R231" i="39"/>
  <c r="R239" i="39"/>
  <c r="R247" i="39"/>
  <c r="R255" i="39"/>
  <c r="R263" i="39"/>
  <c r="R271" i="39"/>
  <c r="R279" i="39"/>
  <c r="R287" i="39"/>
  <c r="R295" i="39"/>
  <c r="R303" i="39"/>
  <c r="R311" i="39"/>
  <c r="R319" i="39"/>
  <c r="R327" i="39"/>
  <c r="R335" i="39"/>
  <c r="R343" i="39"/>
  <c r="R351" i="39"/>
  <c r="R359" i="39"/>
  <c r="R367" i="39"/>
  <c r="R375" i="39"/>
  <c r="R383" i="39"/>
  <c r="R391" i="39"/>
  <c r="R399" i="39"/>
  <c r="R34" i="39"/>
  <c r="R170" i="39"/>
  <c r="R242" i="39"/>
  <c r="R322" i="39"/>
  <c r="R386" i="39"/>
  <c r="R8" i="39"/>
  <c r="R16" i="39"/>
  <c r="R24" i="39"/>
  <c r="R32" i="39"/>
  <c r="R40" i="39"/>
  <c r="R48" i="39"/>
  <c r="R56" i="39"/>
  <c r="R64" i="39"/>
  <c r="R72" i="39"/>
  <c r="R80" i="39"/>
  <c r="R88" i="39"/>
  <c r="R96" i="39"/>
  <c r="R104" i="39"/>
  <c r="R112" i="39"/>
  <c r="R120" i="39"/>
  <c r="R128" i="39"/>
  <c r="R136" i="39"/>
  <c r="R144" i="39"/>
  <c r="R152" i="39"/>
  <c r="R160" i="39"/>
  <c r="R168" i="39"/>
  <c r="R176" i="39"/>
  <c r="R184" i="39"/>
  <c r="R192" i="39"/>
  <c r="R200" i="39"/>
  <c r="R208" i="39"/>
  <c r="R216" i="39"/>
  <c r="R224" i="39"/>
  <c r="R232" i="39"/>
  <c r="R240" i="39"/>
  <c r="R248" i="39"/>
  <c r="R256" i="39"/>
  <c r="R264" i="39"/>
  <c r="R272" i="39"/>
  <c r="R280" i="39"/>
  <c r="R288" i="39"/>
  <c r="R296" i="39"/>
  <c r="R304" i="39"/>
  <c r="R312" i="39"/>
  <c r="R320" i="39"/>
  <c r="R328" i="39"/>
  <c r="R336" i="39"/>
  <c r="R344" i="39"/>
  <c r="R352" i="39"/>
  <c r="R360" i="39"/>
  <c r="R368" i="39"/>
  <c r="R376" i="39"/>
  <c r="R384" i="39"/>
  <c r="R392" i="39"/>
  <c r="R400" i="39"/>
  <c r="R58" i="39"/>
  <c r="R362" i="39"/>
  <c r="R9" i="39"/>
  <c r="AD9" i="39" s="1"/>
  <c r="R17" i="39"/>
  <c r="R25" i="39"/>
  <c r="R33" i="39"/>
  <c r="R41" i="39"/>
  <c r="R49" i="39"/>
  <c r="R57" i="39"/>
  <c r="R65" i="39"/>
  <c r="R73" i="39"/>
  <c r="R81" i="39"/>
  <c r="R89" i="39"/>
  <c r="R97" i="39"/>
  <c r="R105" i="39"/>
  <c r="R113" i="39"/>
  <c r="R121" i="39"/>
  <c r="R129" i="39"/>
  <c r="R137" i="39"/>
  <c r="R145" i="39"/>
  <c r="R153" i="39"/>
  <c r="R161" i="39"/>
  <c r="R169" i="39"/>
  <c r="R177" i="39"/>
  <c r="R185" i="39"/>
  <c r="R193" i="39"/>
  <c r="R201" i="39"/>
  <c r="R209" i="39"/>
  <c r="R217" i="39"/>
  <c r="R225" i="39"/>
  <c r="R233" i="39"/>
  <c r="R241" i="39"/>
  <c r="R249" i="39"/>
  <c r="R257" i="39"/>
  <c r="R265" i="39"/>
  <c r="R273" i="39"/>
  <c r="R281" i="39"/>
  <c r="R289" i="39"/>
  <c r="R297" i="39"/>
  <c r="R305" i="39"/>
  <c r="R313" i="39"/>
  <c r="R321" i="39"/>
  <c r="R329" i="39"/>
  <c r="R337" i="39"/>
  <c r="R345" i="39"/>
  <c r="R353" i="39"/>
  <c r="R361" i="39"/>
  <c r="R369" i="39"/>
  <c r="R377" i="39"/>
  <c r="R385" i="39"/>
  <c r="R393" i="39"/>
  <c r="R401" i="39"/>
  <c r="R10" i="39"/>
  <c r="AD10" i="39" s="1"/>
  <c r="R66" i="39"/>
  <c r="R82" i="39"/>
  <c r="R98" i="39"/>
  <c r="R114" i="39"/>
  <c r="R130" i="39"/>
  <c r="R178" i="39"/>
  <c r="R194" i="39"/>
  <c r="R234" i="39"/>
  <c r="R266" i="39"/>
  <c r="R290" i="39"/>
  <c r="R338" i="39"/>
  <c r="R394" i="39"/>
  <c r="AD4" i="39"/>
  <c r="AD116" i="39"/>
  <c r="AD5" i="39"/>
  <c r="AD117" i="39"/>
  <c r="AD7" i="39"/>
  <c r="AD8" i="39"/>
  <c r="AD11" i="39"/>
  <c r="AD2" i="39"/>
  <c r="AD3" i="39"/>
  <c r="AB2" i="39"/>
  <c r="Z1" i="39"/>
  <c r="A10" i="39"/>
  <c r="A18" i="39"/>
  <c r="A26" i="39"/>
  <c r="A34" i="39"/>
  <c r="A42" i="39"/>
  <c r="A50" i="39"/>
  <c r="A58" i="39"/>
  <c r="G58" i="39" s="1"/>
  <c r="A66" i="39"/>
  <c r="A74" i="39"/>
  <c r="A82" i="39"/>
  <c r="A90" i="39"/>
  <c r="A98" i="39"/>
  <c r="A106" i="39"/>
  <c r="A114" i="39"/>
  <c r="A122" i="39"/>
  <c r="K122" i="39" s="1"/>
  <c r="AJ122" i="39" s="1"/>
  <c r="A130" i="39"/>
  <c r="A138" i="39"/>
  <c r="A146" i="39"/>
  <c r="A154" i="39"/>
  <c r="A162" i="39"/>
  <c r="A170" i="39"/>
  <c r="A178" i="39"/>
  <c r="A186" i="39"/>
  <c r="N186" i="39" s="1"/>
  <c r="A194" i="39"/>
  <c r="A202" i="39"/>
  <c r="A210" i="39"/>
  <c r="A218" i="39"/>
  <c r="A226" i="39"/>
  <c r="A234" i="39"/>
  <c r="A242" i="39"/>
  <c r="A250" i="39"/>
  <c r="C250" i="39" s="1"/>
  <c r="A258" i="39"/>
  <c r="A266" i="39"/>
  <c r="A274" i="39"/>
  <c r="A282" i="39"/>
  <c r="A290" i="39"/>
  <c r="A298" i="39"/>
  <c r="A306" i="39"/>
  <c r="A314" i="39"/>
  <c r="O314" i="39" s="1"/>
  <c r="A322" i="39"/>
  <c r="A330" i="39"/>
  <c r="A338" i="39"/>
  <c r="A346" i="39"/>
  <c r="A354" i="39"/>
  <c r="A362" i="39"/>
  <c r="A370" i="39"/>
  <c r="A378" i="39"/>
  <c r="N378" i="39" s="1"/>
  <c r="A386" i="39"/>
  <c r="A394" i="39"/>
  <c r="A2" i="39"/>
  <c r="A31" i="39"/>
  <c r="A151" i="39"/>
  <c r="A183" i="39"/>
  <c r="A215" i="39"/>
  <c r="B215" i="39" s="1"/>
  <c r="A255" i="39"/>
  <c r="B255" i="39" s="1"/>
  <c r="A287" i="39"/>
  <c r="A319" i="39"/>
  <c r="A343" i="39"/>
  <c r="A383" i="39"/>
  <c r="A8" i="39"/>
  <c r="A72" i="39"/>
  <c r="A128" i="39"/>
  <c r="A160" i="39"/>
  <c r="I160" i="39" s="1"/>
  <c r="Y160" i="39" s="1"/>
  <c r="A184" i="39"/>
  <c r="A240" i="39"/>
  <c r="A296" i="39"/>
  <c r="A368" i="39"/>
  <c r="A9" i="39"/>
  <c r="A81" i="39"/>
  <c r="A113" i="39"/>
  <c r="A153" i="39"/>
  <c r="O153" i="39" s="1"/>
  <c r="A193" i="39"/>
  <c r="A257" i="39"/>
  <c r="A289" i="39"/>
  <c r="A329" i="39"/>
  <c r="A385" i="39"/>
  <c r="A3" i="39"/>
  <c r="B3" i="39" s="1"/>
  <c r="A11" i="39"/>
  <c r="B11" i="39" s="1"/>
  <c r="A19" i="39"/>
  <c r="B19" i="39" s="1"/>
  <c r="A27" i="39"/>
  <c r="B27" i="39" s="1"/>
  <c r="A35" i="39"/>
  <c r="A43" i="39"/>
  <c r="B43" i="39" s="1"/>
  <c r="A51" i="39"/>
  <c r="A59" i="39"/>
  <c r="B59" i="39" s="1"/>
  <c r="A67" i="39"/>
  <c r="B67" i="39" s="1"/>
  <c r="A75" i="39"/>
  <c r="B75" i="39" s="1"/>
  <c r="A83" i="39"/>
  <c r="B83" i="39" s="1"/>
  <c r="A91" i="39"/>
  <c r="B91" i="39" s="1"/>
  <c r="A99" i="39"/>
  <c r="A107" i="39"/>
  <c r="B107" i="39" s="1"/>
  <c r="A115" i="39"/>
  <c r="A123" i="39"/>
  <c r="B123" i="39" s="1"/>
  <c r="A131" i="39"/>
  <c r="B131" i="39" s="1"/>
  <c r="A139" i="39"/>
  <c r="B139" i="39" s="1"/>
  <c r="A147" i="39"/>
  <c r="B147" i="39" s="1"/>
  <c r="A155" i="39"/>
  <c r="A163" i="39"/>
  <c r="A171" i="39"/>
  <c r="B171" i="39" s="1"/>
  <c r="A179" i="39"/>
  <c r="B179" i="39" s="1"/>
  <c r="A187" i="39"/>
  <c r="B187" i="39" s="1"/>
  <c r="A195" i="39"/>
  <c r="B195" i="39" s="1"/>
  <c r="A203" i="39"/>
  <c r="B203" i="39" s="1"/>
  <c r="A211" i="39"/>
  <c r="B211" i="39" s="1"/>
  <c r="A219" i="39"/>
  <c r="A227" i="39"/>
  <c r="A235" i="39"/>
  <c r="B235" i="39" s="1"/>
  <c r="A243" i="39"/>
  <c r="A251" i="39"/>
  <c r="A259" i="39"/>
  <c r="A267" i="39"/>
  <c r="A275" i="39"/>
  <c r="O275" i="39" s="1"/>
  <c r="A283" i="39"/>
  <c r="A291" i="39"/>
  <c r="A299" i="39"/>
  <c r="A307" i="39"/>
  <c r="A315" i="39"/>
  <c r="A323" i="39"/>
  <c r="A331" i="39"/>
  <c r="A339" i="39"/>
  <c r="O339" i="39" s="1"/>
  <c r="A347" i="39"/>
  <c r="A355" i="39"/>
  <c r="A363" i="39"/>
  <c r="A371" i="39"/>
  <c r="A379" i="39"/>
  <c r="A387" i="39"/>
  <c r="B387" i="39" s="1"/>
  <c r="A395" i="39"/>
  <c r="A39" i="39"/>
  <c r="B39" i="39" s="1"/>
  <c r="A199" i="39"/>
  <c r="A271" i="39"/>
  <c r="A351" i="39"/>
  <c r="B351" i="39" s="1"/>
  <c r="A399" i="39"/>
  <c r="A32" i="39"/>
  <c r="A96" i="39"/>
  <c r="B96" i="39" s="1"/>
  <c r="A120" i="39"/>
  <c r="B120" i="39" s="1"/>
  <c r="A168" i="39"/>
  <c r="O168" i="39" s="1"/>
  <c r="A232" i="39"/>
  <c r="A280" i="39"/>
  <c r="A336" i="39"/>
  <c r="A384" i="39"/>
  <c r="A41" i="39"/>
  <c r="A129" i="39"/>
  <c r="A185" i="39"/>
  <c r="A241" i="39"/>
  <c r="B241" i="39" s="1"/>
  <c r="A297" i="39"/>
  <c r="A361" i="39"/>
  <c r="A4" i="39"/>
  <c r="B4" i="39" s="1"/>
  <c r="A12" i="39"/>
  <c r="B12" i="39" s="1"/>
  <c r="A20" i="39"/>
  <c r="B20" i="39" s="1"/>
  <c r="A28" i="39"/>
  <c r="B28" i="39" s="1"/>
  <c r="A36" i="39"/>
  <c r="B36" i="39" s="1"/>
  <c r="A44" i="39"/>
  <c r="B44" i="39" s="1"/>
  <c r="A52" i="39"/>
  <c r="B52" i="39" s="1"/>
  <c r="A60" i="39"/>
  <c r="A68" i="39"/>
  <c r="B68" i="39" s="1"/>
  <c r="A76" i="39"/>
  <c r="A84" i="39"/>
  <c r="B84" i="39" s="1"/>
  <c r="A92" i="39"/>
  <c r="B92" i="39" s="1"/>
  <c r="A100" i="39"/>
  <c r="B100" i="39" s="1"/>
  <c r="A108" i="39"/>
  <c r="E108" i="39" s="1"/>
  <c r="A116" i="39"/>
  <c r="A124" i="39"/>
  <c r="A132" i="39"/>
  <c r="B132" i="39" s="1"/>
  <c r="A140" i="39"/>
  <c r="A148" i="39"/>
  <c r="B148" i="39" s="1"/>
  <c r="A156" i="39"/>
  <c r="B156" i="39" s="1"/>
  <c r="A164" i="39"/>
  <c r="B164" i="39" s="1"/>
  <c r="A172" i="39"/>
  <c r="O172" i="39" s="1"/>
  <c r="A180" i="39"/>
  <c r="B180" i="39" s="1"/>
  <c r="A188" i="39"/>
  <c r="A196" i="39"/>
  <c r="B196" i="39" s="1"/>
  <c r="A204" i="39"/>
  <c r="A212" i="39"/>
  <c r="B212" i="39" s="1"/>
  <c r="A220" i="39"/>
  <c r="B220" i="39" s="1"/>
  <c r="A228" i="39"/>
  <c r="B228" i="39" s="1"/>
  <c r="A236" i="39"/>
  <c r="B236" i="39" s="1"/>
  <c r="A244" i="39"/>
  <c r="B244" i="39" s="1"/>
  <c r="A252" i="39"/>
  <c r="A260" i="39"/>
  <c r="B260" i="39" s="1"/>
  <c r="A268" i="39"/>
  <c r="A276" i="39"/>
  <c r="B276" i="39" s="1"/>
  <c r="A284" i="39"/>
  <c r="B284" i="39" s="1"/>
  <c r="A292" i="39"/>
  <c r="B292" i="39" s="1"/>
  <c r="A300" i="39"/>
  <c r="B300" i="39" s="1"/>
  <c r="A308" i="39"/>
  <c r="A316" i="39"/>
  <c r="A324" i="39"/>
  <c r="B324" i="39" s="1"/>
  <c r="A332" i="39"/>
  <c r="A340" i="39"/>
  <c r="B340" i="39" s="1"/>
  <c r="A348" i="39"/>
  <c r="B348" i="39" s="1"/>
  <c r="A356" i="39"/>
  <c r="B356" i="39" s="1"/>
  <c r="A364" i="39"/>
  <c r="N364" i="39" s="1"/>
  <c r="A372" i="39"/>
  <c r="A380" i="39"/>
  <c r="A388" i="39"/>
  <c r="B388" i="39" s="1"/>
  <c r="A396" i="39"/>
  <c r="B396" i="39" s="1"/>
  <c r="A47" i="39"/>
  <c r="B47" i="39" s="1"/>
  <c r="A231" i="39"/>
  <c r="B231" i="39" s="1"/>
  <c r="A311" i="39"/>
  <c r="B311" i="39" s="1"/>
  <c r="A375" i="39"/>
  <c r="O375" i="39" s="1"/>
  <c r="A24" i="39"/>
  <c r="B24" i="39" s="1"/>
  <c r="A64" i="39"/>
  <c r="A88" i="39"/>
  <c r="B88" i="39" s="1"/>
  <c r="A136" i="39"/>
  <c r="A200" i="39"/>
  <c r="B200" i="39" s="1"/>
  <c r="A256" i="39"/>
  <c r="B256" i="39" s="1"/>
  <c r="A288" i="39"/>
  <c r="B288" i="39" s="1"/>
  <c r="A328" i="39"/>
  <c r="O328" i="39" s="1"/>
  <c r="A360" i="39"/>
  <c r="A392" i="39"/>
  <c r="A33" i="39"/>
  <c r="A65" i="39"/>
  <c r="A97" i="39"/>
  <c r="A121" i="39"/>
  <c r="A161" i="39"/>
  <c r="A201" i="39"/>
  <c r="C201" i="39" s="1"/>
  <c r="A225" i="39"/>
  <c r="A273" i="39"/>
  <c r="A313" i="39"/>
  <c r="B313" i="39" s="1"/>
  <c r="A345" i="39"/>
  <c r="A377" i="39"/>
  <c r="A5" i="39"/>
  <c r="B5" i="39" s="1"/>
  <c r="A13" i="39"/>
  <c r="B13" i="39" s="1"/>
  <c r="A21" i="39"/>
  <c r="N21" i="39" s="1"/>
  <c r="A29" i="39"/>
  <c r="A37" i="39"/>
  <c r="A45" i="39"/>
  <c r="B45" i="39" s="1"/>
  <c r="A53" i="39"/>
  <c r="A61" i="39"/>
  <c r="B61" i="39" s="1"/>
  <c r="A69" i="39"/>
  <c r="B69" i="39" s="1"/>
  <c r="A77" i="39"/>
  <c r="B77" i="39" s="1"/>
  <c r="A85" i="39"/>
  <c r="J85" i="39" s="1"/>
  <c r="AM85" i="39" s="1"/>
  <c r="A93" i="39"/>
  <c r="A101" i="39"/>
  <c r="A109" i="39"/>
  <c r="B109" i="39" s="1"/>
  <c r="A117" i="39"/>
  <c r="A125" i="39"/>
  <c r="B125" i="39" s="1"/>
  <c r="A133" i="39"/>
  <c r="B133" i="39" s="1"/>
  <c r="A141" i="39"/>
  <c r="B141" i="39" s="1"/>
  <c r="A149" i="39"/>
  <c r="G149" i="39" s="1"/>
  <c r="A157" i="39"/>
  <c r="B157" i="39" s="1"/>
  <c r="A165" i="39"/>
  <c r="A173" i="39"/>
  <c r="B173" i="39" s="1"/>
  <c r="A181" i="39"/>
  <c r="B181" i="39" s="1"/>
  <c r="A189" i="39"/>
  <c r="B189" i="39" s="1"/>
  <c r="A197" i="39"/>
  <c r="B197" i="39" s="1"/>
  <c r="A205" i="39"/>
  <c r="B205" i="39" s="1"/>
  <c r="A213" i="39"/>
  <c r="B213" i="39" s="1"/>
  <c r="A221" i="39"/>
  <c r="A229" i="39"/>
  <c r="A237" i="39"/>
  <c r="B237" i="39" s="1"/>
  <c r="A245" i="39"/>
  <c r="A253" i="39"/>
  <c r="B253" i="39" s="1"/>
  <c r="A261" i="39"/>
  <c r="B261" i="39" s="1"/>
  <c r="A269" i="39"/>
  <c r="B269" i="39" s="1"/>
  <c r="A277" i="39"/>
  <c r="B277" i="39" s="1"/>
  <c r="A285" i="39"/>
  <c r="B285" i="39" s="1"/>
  <c r="A293" i="39"/>
  <c r="A301" i="39"/>
  <c r="B301" i="39" s="1"/>
  <c r="A309" i="39"/>
  <c r="A317" i="39"/>
  <c r="B317" i="39" s="1"/>
  <c r="A325" i="39"/>
  <c r="B325" i="39" s="1"/>
  <c r="A333" i="39"/>
  <c r="B333" i="39" s="1"/>
  <c r="A341" i="39"/>
  <c r="O341" i="39" s="1"/>
  <c r="A349" i="39"/>
  <c r="B349" i="39" s="1"/>
  <c r="A357" i="39"/>
  <c r="A365" i="39"/>
  <c r="B365" i="39" s="1"/>
  <c r="A373" i="39"/>
  <c r="B373" i="39" s="1"/>
  <c r="A381" i="39"/>
  <c r="B381" i="39" s="1"/>
  <c r="A389" i="39"/>
  <c r="B389" i="39" s="1"/>
  <c r="A397" i="39"/>
  <c r="B397" i="39" s="1"/>
  <c r="A15" i="39"/>
  <c r="N15" i="39" s="1"/>
  <c r="A159" i="39"/>
  <c r="A191" i="39"/>
  <c r="A223" i="39"/>
  <c r="B223" i="39" s="1"/>
  <c r="A247" i="39"/>
  <c r="A279" i="39"/>
  <c r="B279" i="39" s="1"/>
  <c r="A303" i="39"/>
  <c r="B303" i="39" s="1"/>
  <c r="A335" i="39"/>
  <c r="B335" i="39" s="1"/>
  <c r="A367" i="39"/>
  <c r="N367" i="39" s="1"/>
  <c r="A16" i="39"/>
  <c r="A56" i="39"/>
  <c r="A80" i="39"/>
  <c r="B80" i="39" s="1"/>
  <c r="A104" i="39"/>
  <c r="A152" i="39"/>
  <c r="B152" i="39" s="1"/>
  <c r="A208" i="39"/>
  <c r="O208" i="39" s="1"/>
  <c r="A216" i="39"/>
  <c r="B216" i="39" s="1"/>
  <c r="A264" i="39"/>
  <c r="O264" i="39" s="1"/>
  <c r="A312" i="39"/>
  <c r="A352" i="39"/>
  <c r="A400" i="39"/>
  <c r="B400" i="39" s="1"/>
  <c r="A17" i="39"/>
  <c r="A73" i="39"/>
  <c r="B73" i="39" s="1"/>
  <c r="A105" i="39"/>
  <c r="B105" i="39" s="1"/>
  <c r="A169" i="39"/>
  <c r="B169" i="39" s="1"/>
  <c r="A209" i="39"/>
  <c r="M209" i="39" s="1"/>
  <c r="AR209" i="39" s="1"/>
  <c r="A249" i="39"/>
  <c r="A305" i="39"/>
  <c r="A337" i="39"/>
  <c r="B337" i="39" s="1"/>
  <c r="A393" i="39"/>
  <c r="A6" i="39"/>
  <c r="B6" i="39" s="1"/>
  <c r="A14" i="39"/>
  <c r="N14" i="39" s="1"/>
  <c r="A22" i="39"/>
  <c r="B22" i="39" s="1"/>
  <c r="A30" i="39"/>
  <c r="B30" i="39" s="1"/>
  <c r="A38" i="39"/>
  <c r="A46" i="39"/>
  <c r="A54" i="39"/>
  <c r="B54" i="39" s="1"/>
  <c r="A62" i="39"/>
  <c r="A70" i="39"/>
  <c r="B70" i="39" s="1"/>
  <c r="A78" i="39"/>
  <c r="AT78" i="39" s="1"/>
  <c r="A86" i="39"/>
  <c r="B86" i="39" s="1"/>
  <c r="A94" i="39"/>
  <c r="B94" i="39" s="1"/>
  <c r="A102" i="39"/>
  <c r="A110" i="39"/>
  <c r="A118" i="39"/>
  <c r="B118" i="39" s="1"/>
  <c r="A126" i="39"/>
  <c r="A134" i="39"/>
  <c r="B134" i="39" s="1"/>
  <c r="A142" i="39"/>
  <c r="B142" i="39" s="1"/>
  <c r="A150" i="39"/>
  <c r="B150" i="39" s="1"/>
  <c r="A158" i="39"/>
  <c r="N158" i="39" s="1"/>
  <c r="A166" i="39"/>
  <c r="B166" i="39" s="1"/>
  <c r="A174" i="39"/>
  <c r="A182" i="39"/>
  <c r="B182" i="39" s="1"/>
  <c r="A190" i="39"/>
  <c r="A198" i="39"/>
  <c r="B198" i="39" s="1"/>
  <c r="A206" i="39"/>
  <c r="B206" i="39" s="1"/>
  <c r="A214" i="39"/>
  <c r="B214" i="39" s="1"/>
  <c r="A222" i="39"/>
  <c r="O222" i="39" s="1"/>
  <c r="A230" i="39"/>
  <c r="B230" i="39" s="1"/>
  <c r="A238" i="39"/>
  <c r="A246" i="39"/>
  <c r="B246" i="39" s="1"/>
  <c r="A254" i="39"/>
  <c r="A262" i="39"/>
  <c r="B262" i="39" s="1"/>
  <c r="A270" i="39"/>
  <c r="B270" i="39" s="1"/>
  <c r="A278" i="39"/>
  <c r="B278" i="39" s="1"/>
  <c r="A286" i="39"/>
  <c r="B286" i="39" s="1"/>
  <c r="A294" i="39"/>
  <c r="B294" i="39" s="1"/>
  <c r="A302" i="39"/>
  <c r="A310" i="39"/>
  <c r="B310" i="39" s="1"/>
  <c r="A318" i="39"/>
  <c r="A326" i="39"/>
  <c r="B326" i="39" s="1"/>
  <c r="A334" i="39"/>
  <c r="B334" i="39" s="1"/>
  <c r="A342" i="39"/>
  <c r="B342" i="39" s="1"/>
  <c r="A350" i="39"/>
  <c r="B350" i="39" s="1"/>
  <c r="A358" i="39"/>
  <c r="A366" i="39"/>
  <c r="A374" i="39"/>
  <c r="B374" i="39" s="1"/>
  <c r="A382" i="39"/>
  <c r="A390" i="39"/>
  <c r="B390" i="39" s="1"/>
  <c r="A398" i="39"/>
  <c r="B398" i="39" s="1"/>
  <c r="A7" i="39"/>
  <c r="B7" i="39" s="1"/>
  <c r="A55" i="39"/>
  <c r="O55" i="39" s="1"/>
  <c r="A63" i="39"/>
  <c r="A71" i="39"/>
  <c r="A79" i="39"/>
  <c r="B79" i="39" s="1"/>
  <c r="A87" i="39"/>
  <c r="A95" i="39"/>
  <c r="B95" i="39" s="1"/>
  <c r="A103" i="39"/>
  <c r="B103" i="39" s="1"/>
  <c r="A111" i="39"/>
  <c r="B111" i="39" s="1"/>
  <c r="A127" i="39"/>
  <c r="L127" i="39" s="1"/>
  <c r="AP127" i="39" s="1"/>
  <c r="A135" i="39"/>
  <c r="A143" i="39"/>
  <c r="A167" i="39"/>
  <c r="B167" i="39" s="1"/>
  <c r="A175" i="39"/>
  <c r="A207" i="39"/>
  <c r="B207" i="39" s="1"/>
  <c r="A239" i="39"/>
  <c r="N239" i="39" s="1"/>
  <c r="A263" i="39"/>
  <c r="B263" i="39" s="1"/>
  <c r="A295" i="39"/>
  <c r="B295" i="39" s="1"/>
  <c r="A327" i="39"/>
  <c r="A359" i="39"/>
  <c r="A391" i="39"/>
  <c r="B391" i="39" s="1"/>
  <c r="A40" i="39"/>
  <c r="A112" i="39"/>
  <c r="B112" i="39" s="1"/>
  <c r="A144" i="39"/>
  <c r="O144" i="39" s="1"/>
  <c r="A192" i="39"/>
  <c r="B192" i="39" s="1"/>
  <c r="A248" i="39"/>
  <c r="N248" i="39" s="1"/>
  <c r="A320" i="39"/>
  <c r="A376" i="39"/>
  <c r="A49" i="39"/>
  <c r="B49" i="39" s="1"/>
  <c r="A145" i="39"/>
  <c r="A217" i="39"/>
  <c r="B217" i="39" s="1"/>
  <c r="A265" i="39"/>
  <c r="B265" i="39" s="1"/>
  <c r="A353" i="39"/>
  <c r="B353" i="39" s="1"/>
  <c r="A23" i="39"/>
  <c r="B23" i="39" s="1"/>
  <c r="A119" i="39"/>
  <c r="A48" i="39"/>
  <c r="A176" i="39"/>
  <c r="B176" i="39" s="1"/>
  <c r="A224" i="39"/>
  <c r="A272" i="39"/>
  <c r="B272" i="39" s="1"/>
  <c r="A304" i="39"/>
  <c r="N304" i="39" s="1"/>
  <c r="A344" i="39"/>
  <c r="B344" i="39" s="1"/>
  <c r="A25" i="39"/>
  <c r="O25" i="39" s="1"/>
  <c r="A57" i="39"/>
  <c r="A89" i="39"/>
  <c r="A137" i="39"/>
  <c r="B137" i="39" s="1"/>
  <c r="A177" i="39"/>
  <c r="A233" i="39"/>
  <c r="B233" i="39" s="1"/>
  <c r="A281" i="39"/>
  <c r="B281" i="39" s="1"/>
  <c r="A321" i="39"/>
  <c r="B321" i="39" s="1"/>
  <c r="A369" i="39"/>
  <c r="O369" i="39" s="1"/>
  <c r="A401" i="39"/>
  <c r="B35" i="39"/>
  <c r="B51" i="39"/>
  <c r="B99" i="39"/>
  <c r="B115" i="39"/>
  <c r="B155" i="39"/>
  <c r="B163" i="39"/>
  <c r="B219" i="39"/>
  <c r="B227" i="39"/>
  <c r="B60" i="39"/>
  <c r="B76" i="39"/>
  <c r="B116" i="39"/>
  <c r="B124" i="39"/>
  <c r="B140" i="39"/>
  <c r="B188" i="39"/>
  <c r="B204" i="39"/>
  <c r="B252" i="39"/>
  <c r="B268" i="39"/>
  <c r="B308" i="39"/>
  <c r="B316" i="39"/>
  <c r="B332" i="39"/>
  <c r="B372" i="39"/>
  <c r="B380" i="39"/>
  <c r="B29" i="39"/>
  <c r="B37" i="39"/>
  <c r="B53" i="39"/>
  <c r="B93" i="39"/>
  <c r="B101" i="39"/>
  <c r="B117" i="39"/>
  <c r="B165" i="39"/>
  <c r="B221" i="39"/>
  <c r="B229" i="39"/>
  <c r="B245" i="39"/>
  <c r="B293" i="39"/>
  <c r="B309" i="39"/>
  <c r="B357" i="39"/>
  <c r="B38" i="39"/>
  <c r="B46" i="39"/>
  <c r="B62" i="39"/>
  <c r="B102" i="39"/>
  <c r="B110" i="39"/>
  <c r="B126" i="39"/>
  <c r="B174" i="39"/>
  <c r="B190" i="39"/>
  <c r="B238" i="39"/>
  <c r="B254" i="39"/>
  <c r="B302" i="39"/>
  <c r="B318" i="39"/>
  <c r="B358" i="39"/>
  <c r="B366" i="39"/>
  <c r="B382" i="39"/>
  <c r="B31" i="39"/>
  <c r="B63" i="39"/>
  <c r="B71" i="39"/>
  <c r="B87" i="39"/>
  <c r="B119" i="39"/>
  <c r="B135" i="39"/>
  <c r="B143" i="39"/>
  <c r="B151" i="39"/>
  <c r="B159" i="39"/>
  <c r="B175" i="39"/>
  <c r="B183" i="39"/>
  <c r="B191" i="39"/>
  <c r="B199" i="39"/>
  <c r="B247" i="39"/>
  <c r="B271" i="39"/>
  <c r="B287" i="39"/>
  <c r="B319" i="39"/>
  <c r="B327" i="39"/>
  <c r="B343" i="39"/>
  <c r="B359" i="39"/>
  <c r="B383" i="39"/>
  <c r="B399" i="39"/>
  <c r="B8" i="39"/>
  <c r="B16" i="39"/>
  <c r="B32" i="39"/>
  <c r="B40" i="39"/>
  <c r="B48" i="39"/>
  <c r="B56" i="39"/>
  <c r="B64" i="39"/>
  <c r="B72" i="39"/>
  <c r="B104" i="39"/>
  <c r="B128" i="39"/>
  <c r="B136" i="39"/>
  <c r="B184" i="39"/>
  <c r="B224" i="39"/>
  <c r="B232" i="39"/>
  <c r="B240" i="39"/>
  <c r="B280" i="39"/>
  <c r="B296" i="39"/>
  <c r="B312" i="39"/>
  <c r="B320" i="39"/>
  <c r="B336" i="39"/>
  <c r="B352" i="39"/>
  <c r="B360" i="39"/>
  <c r="B368" i="39"/>
  <c r="B376" i="39"/>
  <c r="B384" i="39"/>
  <c r="B392" i="39"/>
  <c r="B10" i="39"/>
  <c r="B18" i="39"/>
  <c r="B26" i="39"/>
  <c r="B34" i="39"/>
  <c r="B42" i="39"/>
  <c r="B50" i="39"/>
  <c r="B58" i="39"/>
  <c r="B66" i="39"/>
  <c r="B74" i="39"/>
  <c r="B82" i="39"/>
  <c r="B90" i="39"/>
  <c r="B98" i="39"/>
  <c r="B106" i="39"/>
  <c r="B114" i="39"/>
  <c r="B122" i="39"/>
  <c r="B130" i="39"/>
  <c r="B138" i="39"/>
  <c r="B146" i="39"/>
  <c r="B154" i="39"/>
  <c r="B162" i="39"/>
  <c r="B170" i="39"/>
  <c r="B178" i="39"/>
  <c r="B186" i="39"/>
  <c r="B194" i="39"/>
  <c r="B202" i="39"/>
  <c r="B210" i="39"/>
  <c r="B218" i="39"/>
  <c r="B226" i="39"/>
  <c r="B234" i="39"/>
  <c r="B242" i="39"/>
  <c r="B250" i="39"/>
  <c r="B258" i="39"/>
  <c r="B266" i="39"/>
  <c r="B274" i="39"/>
  <c r="B282" i="39"/>
  <c r="B290" i="39"/>
  <c r="B298" i="39"/>
  <c r="B306" i="39"/>
  <c r="B314" i="39"/>
  <c r="B322" i="39"/>
  <c r="B330" i="39"/>
  <c r="B338" i="39"/>
  <c r="B346" i="39"/>
  <c r="B354" i="39"/>
  <c r="B362" i="39"/>
  <c r="B370" i="39"/>
  <c r="B378" i="39"/>
  <c r="B386" i="39"/>
  <c r="B394" i="39"/>
  <c r="B2" i="39"/>
  <c r="B17" i="39"/>
  <c r="B81" i="39"/>
  <c r="B145" i="39"/>
  <c r="B257" i="39"/>
  <c r="B289" i="39"/>
  <c r="B385" i="39"/>
  <c r="B89" i="39"/>
  <c r="B259" i="39"/>
  <c r="B291" i="39"/>
  <c r="B323" i="39"/>
  <c r="B355" i="39"/>
  <c r="B267" i="39"/>
  <c r="B331" i="39"/>
  <c r="B395" i="39"/>
  <c r="B33" i="39"/>
  <c r="B97" i="39"/>
  <c r="B161" i="39"/>
  <c r="B225" i="39"/>
  <c r="B297" i="39"/>
  <c r="B329" i="39"/>
  <c r="B361" i="39"/>
  <c r="B393" i="39"/>
  <c r="B41" i="39"/>
  <c r="B299" i="39"/>
  <c r="B363" i="39"/>
  <c r="B113" i="39"/>
  <c r="B177" i="39"/>
  <c r="B273" i="39"/>
  <c r="B305" i="39"/>
  <c r="B401" i="39"/>
  <c r="B129" i="39"/>
  <c r="B249" i="39"/>
  <c r="B345" i="39"/>
  <c r="B251" i="39"/>
  <c r="B315" i="39"/>
  <c r="B379" i="39"/>
  <c r="B57" i="39"/>
  <c r="B121" i="39"/>
  <c r="B185" i="39"/>
  <c r="B243" i="39"/>
  <c r="B307" i="39"/>
  <c r="B339" i="39"/>
  <c r="B371" i="39"/>
  <c r="B65" i="39"/>
  <c r="B193" i="39"/>
  <c r="B377" i="39"/>
  <c r="B9" i="39"/>
  <c r="B283" i="39"/>
  <c r="B347" i="39"/>
  <c r="S4" i="39"/>
  <c r="S12" i="39"/>
  <c r="S20" i="39"/>
  <c r="S28" i="39"/>
  <c r="S36" i="39"/>
  <c r="S44" i="39"/>
  <c r="S52" i="39"/>
  <c r="S60" i="39"/>
  <c r="S68" i="39"/>
  <c r="S76" i="39"/>
  <c r="S84" i="39"/>
  <c r="S92" i="39"/>
  <c r="S100" i="39"/>
  <c r="S108" i="39"/>
  <c r="S116" i="39"/>
  <c r="S124" i="39"/>
  <c r="S132" i="39"/>
  <c r="S140" i="39"/>
  <c r="S148" i="39"/>
  <c r="S5" i="39"/>
  <c r="S13" i="39"/>
  <c r="S21" i="39"/>
  <c r="S6" i="39"/>
  <c r="S14" i="39"/>
  <c r="S22" i="39"/>
  <c r="S30" i="39"/>
  <c r="S38" i="39"/>
  <c r="S46" i="39"/>
  <c r="S54" i="39"/>
  <c r="S62" i="39"/>
  <c r="S70" i="39"/>
  <c r="S78" i="39"/>
  <c r="S86" i="39"/>
  <c r="S94" i="39"/>
  <c r="S102" i="39"/>
  <c r="S110" i="39"/>
  <c r="S118" i="39"/>
  <c r="S126" i="39"/>
  <c r="S134" i="39"/>
  <c r="S142" i="39"/>
  <c r="S150" i="39"/>
  <c r="S158" i="39"/>
  <c r="S166" i="39"/>
  <c r="S174" i="39"/>
  <c r="S182" i="39"/>
  <c r="S190" i="39"/>
  <c r="S198" i="39"/>
  <c r="S206" i="39"/>
  <c r="S214" i="39"/>
  <c r="S222" i="39"/>
  <c r="S230" i="39"/>
  <c r="S238" i="39"/>
  <c r="S246" i="39"/>
  <c r="S254" i="39"/>
  <c r="S262" i="39"/>
  <c r="S270" i="39"/>
  <c r="S278" i="39"/>
  <c r="S7" i="39"/>
  <c r="S15" i="39"/>
  <c r="S23" i="39"/>
  <c r="S31" i="39"/>
  <c r="S39" i="39"/>
  <c r="S47" i="39"/>
  <c r="S55" i="39"/>
  <c r="S63" i="39"/>
  <c r="S71" i="39"/>
  <c r="S79" i="39"/>
  <c r="S87" i="39"/>
  <c r="S95" i="39"/>
  <c r="S103" i="39"/>
  <c r="S111" i="39"/>
  <c r="S119" i="39"/>
  <c r="S127" i="39"/>
  <c r="S135" i="39"/>
  <c r="S143" i="39"/>
  <c r="S151" i="39"/>
  <c r="S159" i="39"/>
  <c r="S167" i="39"/>
  <c r="S175" i="39"/>
  <c r="S183" i="39"/>
  <c r="S191" i="39"/>
  <c r="S199" i="39"/>
  <c r="S207" i="39"/>
  <c r="S215" i="39"/>
  <c r="S223" i="39"/>
  <c r="S231" i="39"/>
  <c r="S239" i="39"/>
  <c r="S247" i="39"/>
  <c r="S255" i="39"/>
  <c r="S263" i="39"/>
  <c r="S271" i="39"/>
  <c r="S279" i="39"/>
  <c r="S8" i="39"/>
  <c r="S16" i="39"/>
  <c r="S24" i="39"/>
  <c r="S32" i="39"/>
  <c r="S40" i="39"/>
  <c r="S48" i="39"/>
  <c r="S56" i="39"/>
  <c r="S64" i="39"/>
  <c r="S10" i="39"/>
  <c r="S18" i="39"/>
  <c r="S26" i="39"/>
  <c r="S34" i="39"/>
  <c r="S42" i="39"/>
  <c r="S50" i="39"/>
  <c r="S58" i="39"/>
  <c r="S66" i="39"/>
  <c r="S74" i="39"/>
  <c r="S82" i="39"/>
  <c r="S90" i="39"/>
  <c r="S98" i="39"/>
  <c r="S106" i="39"/>
  <c r="S114" i="39"/>
  <c r="S122" i="39"/>
  <c r="S130" i="39"/>
  <c r="S138" i="39"/>
  <c r="S146" i="39"/>
  <c r="S154" i="39"/>
  <c r="S162" i="39"/>
  <c r="S170" i="39"/>
  <c r="S178" i="39"/>
  <c r="S186" i="39"/>
  <c r="S194" i="39"/>
  <c r="S202" i="39"/>
  <c r="S210" i="39"/>
  <c r="S218" i="39"/>
  <c r="S226" i="39"/>
  <c r="S234" i="39"/>
  <c r="S242" i="39"/>
  <c r="S250" i="39"/>
  <c r="S258" i="39"/>
  <c r="S266" i="39"/>
  <c r="S274" i="39"/>
  <c r="S282" i="39"/>
  <c r="S17" i="39"/>
  <c r="S41" i="39"/>
  <c r="S61" i="39"/>
  <c r="S80" i="39"/>
  <c r="S96" i="39"/>
  <c r="S112" i="39"/>
  <c r="S128" i="39"/>
  <c r="S144" i="39"/>
  <c r="S157" i="39"/>
  <c r="S171" i="39"/>
  <c r="S184" i="39"/>
  <c r="S196" i="39"/>
  <c r="S209" i="39"/>
  <c r="S221" i="39"/>
  <c r="S235" i="39"/>
  <c r="S248" i="39"/>
  <c r="S260" i="39"/>
  <c r="S273" i="39"/>
  <c r="S285" i="39"/>
  <c r="S293" i="39"/>
  <c r="S301" i="39"/>
  <c r="S309" i="39"/>
  <c r="S317" i="39"/>
  <c r="S325" i="39"/>
  <c r="S333" i="39"/>
  <c r="S341" i="39"/>
  <c r="S349" i="39"/>
  <c r="S357" i="39"/>
  <c r="S365" i="39"/>
  <c r="S373" i="39"/>
  <c r="S381" i="39"/>
  <c r="S389" i="39"/>
  <c r="S397" i="39"/>
  <c r="S316" i="39"/>
  <c r="S19" i="39"/>
  <c r="S43" i="39"/>
  <c r="S65" i="39"/>
  <c r="S81" i="39"/>
  <c r="S97" i="39"/>
  <c r="S113" i="39"/>
  <c r="S129" i="39"/>
  <c r="S145" i="39"/>
  <c r="S160" i="39"/>
  <c r="S172" i="39"/>
  <c r="S185" i="39"/>
  <c r="S197" i="39"/>
  <c r="S211" i="39"/>
  <c r="S224" i="39"/>
  <c r="S236" i="39"/>
  <c r="S249" i="39"/>
  <c r="S261" i="39"/>
  <c r="S275" i="39"/>
  <c r="S286" i="39"/>
  <c r="S294" i="39"/>
  <c r="S302" i="39"/>
  <c r="S310" i="39"/>
  <c r="S318" i="39"/>
  <c r="S326" i="39"/>
  <c r="S334" i="39"/>
  <c r="S342" i="39"/>
  <c r="S350" i="39"/>
  <c r="S358" i="39"/>
  <c r="S366" i="39"/>
  <c r="S374" i="39"/>
  <c r="S382" i="39"/>
  <c r="S390" i="39"/>
  <c r="S398" i="39"/>
  <c r="S49" i="39"/>
  <c r="S85" i="39"/>
  <c r="S117" i="39"/>
  <c r="S149" i="39"/>
  <c r="S176" i="39"/>
  <c r="S201" i="39"/>
  <c r="S227" i="39"/>
  <c r="S252" i="39"/>
  <c r="S277" i="39"/>
  <c r="S296" i="39"/>
  <c r="S320" i="39"/>
  <c r="S336" i="39"/>
  <c r="S352" i="39"/>
  <c r="S360" i="39"/>
  <c r="S376" i="39"/>
  <c r="S392" i="39"/>
  <c r="S195" i="39"/>
  <c r="S324" i="39"/>
  <c r="S25" i="39"/>
  <c r="S45" i="39"/>
  <c r="S67" i="39"/>
  <c r="S83" i="39"/>
  <c r="S99" i="39"/>
  <c r="S115" i="39"/>
  <c r="S131" i="39"/>
  <c r="S147" i="39"/>
  <c r="S161" i="39"/>
  <c r="S173" i="39"/>
  <c r="S187" i="39"/>
  <c r="S200" i="39"/>
  <c r="S212" i="39"/>
  <c r="S225" i="39"/>
  <c r="S237" i="39"/>
  <c r="S251" i="39"/>
  <c r="S264" i="39"/>
  <c r="S276" i="39"/>
  <c r="S287" i="39"/>
  <c r="S295" i="39"/>
  <c r="S303" i="39"/>
  <c r="S311" i="39"/>
  <c r="S319" i="39"/>
  <c r="S327" i="39"/>
  <c r="S335" i="39"/>
  <c r="S343" i="39"/>
  <c r="S351" i="39"/>
  <c r="S359" i="39"/>
  <c r="S367" i="39"/>
  <c r="S375" i="39"/>
  <c r="S383" i="39"/>
  <c r="S391" i="39"/>
  <c r="S399" i="39"/>
  <c r="S27" i="39"/>
  <c r="S69" i="39"/>
  <c r="S101" i="39"/>
  <c r="S133" i="39"/>
  <c r="S163" i="39"/>
  <c r="S188" i="39"/>
  <c r="S213" i="39"/>
  <c r="S240" i="39"/>
  <c r="S265" i="39"/>
  <c r="S288" i="39"/>
  <c r="S304" i="39"/>
  <c r="S312" i="39"/>
  <c r="S328" i="39"/>
  <c r="S344" i="39"/>
  <c r="S368" i="39"/>
  <c r="S384" i="39"/>
  <c r="S400" i="39"/>
  <c r="S259" i="39"/>
  <c r="S364" i="39"/>
  <c r="S29" i="39"/>
  <c r="S51" i="39"/>
  <c r="S72" i="39"/>
  <c r="S88" i="39"/>
  <c r="S104" i="39"/>
  <c r="S120" i="39"/>
  <c r="S136" i="39"/>
  <c r="S152" i="39"/>
  <c r="S164" i="39"/>
  <c r="S177" i="39"/>
  <c r="S189" i="39"/>
  <c r="S203" i="39"/>
  <c r="S216" i="39"/>
  <c r="S228" i="39"/>
  <c r="S241" i="39"/>
  <c r="S253" i="39"/>
  <c r="S267" i="39"/>
  <c r="S280" i="39"/>
  <c r="S289" i="39"/>
  <c r="S297" i="39"/>
  <c r="S305" i="39"/>
  <c r="S313" i="39"/>
  <c r="S321" i="39"/>
  <c r="S329" i="39"/>
  <c r="S337" i="39"/>
  <c r="S345" i="39"/>
  <c r="S353" i="39"/>
  <c r="S361" i="39"/>
  <c r="S369" i="39"/>
  <c r="S377" i="39"/>
  <c r="S385" i="39"/>
  <c r="S393" i="39"/>
  <c r="S401" i="39"/>
  <c r="S9" i="39"/>
  <c r="S57" i="39"/>
  <c r="S91" i="39"/>
  <c r="S123" i="39"/>
  <c r="S155" i="39"/>
  <c r="S180" i="39"/>
  <c r="S205" i="39"/>
  <c r="S232" i="39"/>
  <c r="S257" i="39"/>
  <c r="S269" i="39"/>
  <c r="S291" i="39"/>
  <c r="S307" i="39"/>
  <c r="S323" i="39"/>
  <c r="S339" i="39"/>
  <c r="S355" i="39"/>
  <c r="S371" i="39"/>
  <c r="S387" i="39"/>
  <c r="S59" i="39"/>
  <c r="S93" i="39"/>
  <c r="S125" i="39"/>
  <c r="S169" i="39"/>
  <c r="S208" i="39"/>
  <c r="S233" i="39"/>
  <c r="S272" i="39"/>
  <c r="S292" i="39"/>
  <c r="S308" i="39"/>
  <c r="S340" i="39"/>
  <c r="S356" i="39"/>
  <c r="S380" i="39"/>
  <c r="S396" i="39"/>
  <c r="S3" i="39"/>
  <c r="S33" i="39"/>
  <c r="S53" i="39"/>
  <c r="S73" i="39"/>
  <c r="S89" i="39"/>
  <c r="S105" i="39"/>
  <c r="S121" i="39"/>
  <c r="S137" i="39"/>
  <c r="S153" i="39"/>
  <c r="S165" i="39"/>
  <c r="S179" i="39"/>
  <c r="S192" i="39"/>
  <c r="S204" i="39"/>
  <c r="S217" i="39"/>
  <c r="S229" i="39"/>
  <c r="S243" i="39"/>
  <c r="S256" i="39"/>
  <c r="S268" i="39"/>
  <c r="S281" i="39"/>
  <c r="S290" i="39"/>
  <c r="S298" i="39"/>
  <c r="S306" i="39"/>
  <c r="S314" i="39"/>
  <c r="S322" i="39"/>
  <c r="S330" i="39"/>
  <c r="S338" i="39"/>
  <c r="S346" i="39"/>
  <c r="S354" i="39"/>
  <c r="S362" i="39"/>
  <c r="S370" i="39"/>
  <c r="S378" i="39"/>
  <c r="S386" i="39"/>
  <c r="S394" i="39"/>
  <c r="S2" i="39"/>
  <c r="S35" i="39"/>
  <c r="S75" i="39"/>
  <c r="S107" i="39"/>
  <c r="S139" i="39"/>
  <c r="S168" i="39"/>
  <c r="S193" i="39"/>
  <c r="S219" i="39"/>
  <c r="S244" i="39"/>
  <c r="S283" i="39"/>
  <c r="S299" i="39"/>
  <c r="S315" i="39"/>
  <c r="S331" i="39"/>
  <c r="S347" i="39"/>
  <c r="S363" i="39"/>
  <c r="S379" i="39"/>
  <c r="S395" i="39"/>
  <c r="S11" i="39"/>
  <c r="S37" i="39"/>
  <c r="S77" i="39"/>
  <c r="S109" i="39"/>
  <c r="S141" i="39"/>
  <c r="S156" i="39"/>
  <c r="S181" i="39"/>
  <c r="S220" i="39"/>
  <c r="S245" i="39"/>
  <c r="S284" i="39"/>
  <c r="S300" i="39"/>
  <c r="S332" i="39"/>
  <c r="S348" i="39"/>
  <c r="S372" i="39"/>
  <c r="S388" i="39"/>
  <c r="AB3" i="39"/>
  <c r="AB356" i="39"/>
  <c r="AD357" i="39"/>
  <c r="A25" i="43"/>
  <c r="N3" i="39"/>
  <c r="N11" i="39"/>
  <c r="N27" i="39"/>
  <c r="N35" i="39"/>
  <c r="N43" i="39"/>
  <c r="N51" i="39"/>
  <c r="N59" i="39"/>
  <c r="N67" i="39"/>
  <c r="N75" i="39"/>
  <c r="N91" i="39"/>
  <c r="N99" i="39"/>
  <c r="N107" i="39"/>
  <c r="N115" i="39"/>
  <c r="N123" i="39"/>
  <c r="N131" i="39"/>
  <c r="N139" i="39"/>
  <c r="N155" i="39"/>
  <c r="N163" i="39"/>
  <c r="N171" i="39"/>
  <c r="N179" i="39"/>
  <c r="N187" i="39"/>
  <c r="N195" i="39"/>
  <c r="N203" i="39"/>
  <c r="N219" i="39"/>
  <c r="N228" i="39"/>
  <c r="N244" i="39"/>
  <c r="N252" i="39"/>
  <c r="N260" i="39"/>
  <c r="N308" i="39"/>
  <c r="N316" i="39"/>
  <c r="N4" i="39"/>
  <c r="N12" i="39"/>
  <c r="N20" i="39"/>
  <c r="N28" i="39"/>
  <c r="N36" i="39"/>
  <c r="N52" i="39"/>
  <c r="N60" i="39"/>
  <c r="N68" i="39"/>
  <c r="N76" i="39"/>
  <c r="N84" i="39"/>
  <c r="N92" i="39"/>
  <c r="N100" i="39"/>
  <c r="N116" i="39"/>
  <c r="N124" i="39"/>
  <c r="N132" i="39"/>
  <c r="N140" i="39"/>
  <c r="N148" i="39"/>
  <c r="N156" i="39"/>
  <c r="N164" i="39"/>
  <c r="N180" i="39"/>
  <c r="N188" i="39"/>
  <c r="N196" i="39"/>
  <c r="N204" i="39"/>
  <c r="N212" i="39"/>
  <c r="N220" i="39"/>
  <c r="N229" i="39"/>
  <c r="N237" i="39"/>
  <c r="N245" i="39"/>
  <c r="N253" i="39"/>
  <c r="N261" i="39"/>
  <c r="N269" i="39"/>
  <c r="N277" i="39"/>
  <c r="N285" i="39"/>
  <c r="N293" i="39"/>
  <c r="N301" i="39"/>
  <c r="N309" i="39"/>
  <c r="N317" i="39"/>
  <c r="N325" i="39"/>
  <c r="N333" i="39"/>
  <c r="N341" i="39"/>
  <c r="N349" i="39"/>
  <c r="N357" i="39"/>
  <c r="N365" i="39"/>
  <c r="N373" i="39"/>
  <c r="N381" i="39"/>
  <c r="N389" i="39"/>
  <c r="N397" i="39"/>
  <c r="N5" i="39"/>
  <c r="N13" i="39"/>
  <c r="N29" i="39"/>
  <c r="N37" i="39"/>
  <c r="N45" i="39"/>
  <c r="N53" i="39"/>
  <c r="N61" i="39"/>
  <c r="N69" i="39"/>
  <c r="N77" i="39"/>
  <c r="N93" i="39"/>
  <c r="N101" i="39"/>
  <c r="N109" i="39"/>
  <c r="N117" i="39"/>
  <c r="N125" i="39"/>
  <c r="N133" i="39"/>
  <c r="N141" i="39"/>
  <c r="N157" i="39"/>
  <c r="N165" i="39"/>
  <c r="N173" i="39"/>
  <c r="N181" i="39"/>
  <c r="N189" i="39"/>
  <c r="N197" i="39"/>
  <c r="N205" i="39"/>
  <c r="N221" i="39"/>
  <c r="N230" i="39"/>
  <c r="N238" i="39"/>
  <c r="N246" i="39"/>
  <c r="N254" i="39"/>
  <c r="N262" i="39"/>
  <c r="N270" i="39"/>
  <c r="N278" i="39"/>
  <c r="N294" i="39"/>
  <c r="N302" i="39"/>
  <c r="N310" i="39"/>
  <c r="N318" i="39"/>
  <c r="N326" i="39"/>
  <c r="N334" i="39"/>
  <c r="N342" i="39"/>
  <c r="N358" i="39"/>
  <c r="N366" i="39"/>
  <c r="N374" i="39"/>
  <c r="N382" i="39"/>
  <c r="N390" i="39"/>
  <c r="N398" i="39"/>
  <c r="N251" i="39"/>
  <c r="N299" i="39"/>
  <c r="N347" i="39"/>
  <c r="N387" i="39"/>
  <c r="N284" i="39"/>
  <c r="N340" i="39"/>
  <c r="N380" i="39"/>
  <c r="N6" i="39"/>
  <c r="N22" i="39"/>
  <c r="N38" i="39"/>
  <c r="N46" i="39"/>
  <c r="N54" i="39"/>
  <c r="N62" i="39"/>
  <c r="N70" i="39"/>
  <c r="N86" i="39"/>
  <c r="N102" i="39"/>
  <c r="N110" i="39"/>
  <c r="N118" i="39"/>
  <c r="N126" i="39"/>
  <c r="N134" i="39"/>
  <c r="N150" i="39"/>
  <c r="N166" i="39"/>
  <c r="N174" i="39"/>
  <c r="N182" i="39"/>
  <c r="N190" i="39"/>
  <c r="N198" i="39"/>
  <c r="N214" i="39"/>
  <c r="N223" i="39"/>
  <c r="N231" i="39"/>
  <c r="N247" i="39"/>
  <c r="N263" i="39"/>
  <c r="N271" i="39"/>
  <c r="N279" i="39"/>
  <c r="N287" i="39"/>
  <c r="N311" i="39"/>
  <c r="N319" i="39"/>
  <c r="N327" i="39"/>
  <c r="N335" i="39"/>
  <c r="N343" i="39"/>
  <c r="N351" i="39"/>
  <c r="N359" i="39"/>
  <c r="N383" i="39"/>
  <c r="N391" i="39"/>
  <c r="N399" i="39"/>
  <c r="N26" i="39"/>
  <c r="N66" i="39"/>
  <c r="N106" i="39"/>
  <c r="N146" i="39"/>
  <c r="N170" i="39"/>
  <c r="N202" i="39"/>
  <c r="N227" i="39"/>
  <c r="N259" i="39"/>
  <c r="N291" i="39"/>
  <c r="N323" i="39"/>
  <c r="N363" i="39"/>
  <c r="N292" i="39"/>
  <c r="N332" i="39"/>
  <c r="N388" i="39"/>
  <c r="N7" i="39"/>
  <c r="N31" i="39"/>
  <c r="N39" i="39"/>
  <c r="N47" i="39"/>
  <c r="N63" i="39"/>
  <c r="N71" i="39"/>
  <c r="N79" i="39"/>
  <c r="N87" i="39"/>
  <c r="N95" i="39"/>
  <c r="N103" i="39"/>
  <c r="N111" i="39"/>
  <c r="N119" i="39"/>
  <c r="N135" i="39"/>
  <c r="N143" i="39"/>
  <c r="N151" i="39"/>
  <c r="N159" i="39"/>
  <c r="N167" i="39"/>
  <c r="N175" i="39"/>
  <c r="N183" i="39"/>
  <c r="N191" i="39"/>
  <c r="N199" i="39"/>
  <c r="N207" i="39"/>
  <c r="N215" i="39"/>
  <c r="N224" i="39"/>
  <c r="N232" i="39"/>
  <c r="N240" i="39"/>
  <c r="N256" i="39"/>
  <c r="N272" i="39"/>
  <c r="N280" i="39"/>
  <c r="N288" i="39"/>
  <c r="N296" i="39"/>
  <c r="N312" i="39"/>
  <c r="N320" i="39"/>
  <c r="N336" i="39"/>
  <c r="N344" i="39"/>
  <c r="N352" i="39"/>
  <c r="N360" i="39"/>
  <c r="N368" i="39"/>
  <c r="N376" i="39"/>
  <c r="N384" i="39"/>
  <c r="N392" i="39"/>
  <c r="N400" i="39"/>
  <c r="N18" i="39"/>
  <c r="N98" i="39"/>
  <c r="N138" i="39"/>
  <c r="N218" i="39"/>
  <c r="N267" i="39"/>
  <c r="N315" i="39"/>
  <c r="N355" i="39"/>
  <c r="N395" i="39"/>
  <c r="N268" i="39"/>
  <c r="N356" i="39"/>
  <c r="N8" i="39"/>
  <c r="N16" i="39"/>
  <c r="N24" i="39"/>
  <c r="N32" i="39"/>
  <c r="N40" i="39"/>
  <c r="N48" i="39"/>
  <c r="N56" i="39"/>
  <c r="N64" i="39"/>
  <c r="N72" i="39"/>
  <c r="N80" i="39"/>
  <c r="N88" i="39"/>
  <c r="N96" i="39"/>
  <c r="N104" i="39"/>
  <c r="N112" i="39"/>
  <c r="N120" i="39"/>
  <c r="N128" i="39"/>
  <c r="N136" i="39"/>
  <c r="N144" i="39"/>
  <c r="N152" i="39"/>
  <c r="N176" i="39"/>
  <c r="N184" i="39"/>
  <c r="N192" i="39"/>
  <c r="N200" i="39"/>
  <c r="N208" i="39"/>
  <c r="N216" i="39"/>
  <c r="N225" i="39"/>
  <c r="N233" i="39"/>
  <c r="N249" i="39"/>
  <c r="N257" i="39"/>
  <c r="N265" i="39"/>
  <c r="N273" i="39"/>
  <c r="N281" i="39"/>
  <c r="N289" i="39"/>
  <c r="N297" i="39"/>
  <c r="N305" i="39"/>
  <c r="N313" i="39"/>
  <c r="N321" i="39"/>
  <c r="N329" i="39"/>
  <c r="N337" i="39"/>
  <c r="N345" i="39"/>
  <c r="N353" i="39"/>
  <c r="N361" i="39"/>
  <c r="N377" i="39"/>
  <c r="N385" i="39"/>
  <c r="N393" i="39"/>
  <c r="N401" i="39"/>
  <c r="N354" i="39"/>
  <c r="N370" i="39"/>
  <c r="N394" i="39"/>
  <c r="N34" i="39"/>
  <c r="N50" i="39"/>
  <c r="N74" i="39"/>
  <c r="N90" i="39"/>
  <c r="N130" i="39"/>
  <c r="N162" i="39"/>
  <c r="N194" i="39"/>
  <c r="N235" i="39"/>
  <c r="N283" i="39"/>
  <c r="N331" i="39"/>
  <c r="N371" i="39"/>
  <c r="N324" i="39"/>
  <c r="N372" i="39"/>
  <c r="N9" i="39"/>
  <c r="N17" i="39"/>
  <c r="N25" i="39"/>
  <c r="N33" i="39"/>
  <c r="N41" i="39"/>
  <c r="N49" i="39"/>
  <c r="N57" i="39"/>
  <c r="N65" i="39"/>
  <c r="N73" i="39"/>
  <c r="N81" i="39"/>
  <c r="N89" i="39"/>
  <c r="N97" i="39"/>
  <c r="N105" i="39"/>
  <c r="N113" i="39"/>
  <c r="N121" i="39"/>
  <c r="N129" i="39"/>
  <c r="N137" i="39"/>
  <c r="N145" i="39"/>
  <c r="N153" i="39"/>
  <c r="N161" i="39"/>
  <c r="N169" i="39"/>
  <c r="N177" i="39"/>
  <c r="N185" i="39"/>
  <c r="N193" i="39"/>
  <c r="N217" i="39"/>
  <c r="N226" i="39"/>
  <c r="N234" i="39"/>
  <c r="N242" i="39"/>
  <c r="N258" i="39"/>
  <c r="N266" i="39"/>
  <c r="N274" i="39"/>
  <c r="N282" i="39"/>
  <c r="N290" i="39"/>
  <c r="N298" i="39"/>
  <c r="N306" i="39"/>
  <c r="N322" i="39"/>
  <c r="N330" i="39"/>
  <c r="N338" i="39"/>
  <c r="N346" i="39"/>
  <c r="N362" i="39"/>
  <c r="N386" i="39"/>
  <c r="N2" i="39"/>
  <c r="N10" i="39"/>
  <c r="N42" i="39"/>
  <c r="N82" i="39"/>
  <c r="N114" i="39"/>
  <c r="N154" i="39"/>
  <c r="N178" i="39"/>
  <c r="N210" i="39"/>
  <c r="N243" i="39"/>
  <c r="N307" i="39"/>
  <c r="N379" i="39"/>
  <c r="N276" i="39"/>
  <c r="N348" i="39"/>
  <c r="N396" i="39"/>
  <c r="O3" i="39"/>
  <c r="O7" i="39"/>
  <c r="O11" i="39"/>
  <c r="O19" i="39"/>
  <c r="O27" i="39"/>
  <c r="O31" i="39"/>
  <c r="O35" i="39"/>
  <c r="O43" i="39"/>
  <c r="O47" i="39"/>
  <c r="O51" i="39"/>
  <c r="O59" i="39"/>
  <c r="O63" i="39"/>
  <c r="O67" i="39"/>
  <c r="O71" i="39"/>
  <c r="O75" i="39"/>
  <c r="O79" i="39"/>
  <c r="O83" i="39"/>
  <c r="O87" i="39"/>
  <c r="O91" i="39"/>
  <c r="O95" i="39"/>
  <c r="O99" i="39"/>
  <c r="O103" i="39"/>
  <c r="O107" i="39"/>
  <c r="O111" i="39"/>
  <c r="O115" i="39"/>
  <c r="O119" i="39"/>
  <c r="O123" i="39"/>
  <c r="O131" i="39"/>
  <c r="O135" i="39"/>
  <c r="O139" i="39"/>
  <c r="O143" i="39"/>
  <c r="O147" i="39"/>
  <c r="O151" i="39"/>
  <c r="O155" i="39"/>
  <c r="O159" i="39"/>
  <c r="O163" i="39"/>
  <c r="O167" i="39"/>
  <c r="O171" i="39"/>
  <c r="O175" i="39"/>
  <c r="O179" i="39"/>
  <c r="O4" i="39"/>
  <c r="O8" i="39"/>
  <c r="O12" i="39"/>
  <c r="O16" i="39"/>
  <c r="O20" i="39"/>
  <c r="O24" i="39"/>
  <c r="O28" i="39"/>
  <c r="O32" i="39"/>
  <c r="O36" i="39"/>
  <c r="O40" i="39"/>
  <c r="O48" i="39"/>
  <c r="O52" i="39"/>
  <c r="O56" i="39"/>
  <c r="O60" i="39"/>
  <c r="O64" i="39"/>
  <c r="O68" i="39"/>
  <c r="O72" i="39"/>
  <c r="O76" i="39"/>
  <c r="O80" i="39"/>
  <c r="O84" i="39"/>
  <c r="O88" i="39"/>
  <c r="O92" i="39"/>
  <c r="O96" i="39"/>
  <c r="O100" i="39"/>
  <c r="O104" i="39"/>
  <c r="O112" i="39"/>
  <c r="O116" i="39"/>
  <c r="O120" i="39"/>
  <c r="O124" i="39"/>
  <c r="O128" i="39"/>
  <c r="O132" i="39"/>
  <c r="O136" i="39"/>
  <c r="O140" i="39"/>
  <c r="O148" i="39"/>
  <c r="O152" i="39"/>
  <c r="O156" i="39"/>
  <c r="O164" i="39"/>
  <c r="O176" i="39"/>
  <c r="O180" i="39"/>
  <c r="O184" i="39"/>
  <c r="O188" i="39"/>
  <c r="O192" i="39"/>
  <c r="O196" i="39"/>
  <c r="O200" i="39"/>
  <c r="O204" i="39"/>
  <c r="O212" i="39"/>
  <c r="O216" i="39"/>
  <c r="O220" i="39"/>
  <c r="O224" i="39"/>
  <c r="O228" i="39"/>
  <c r="O232" i="39"/>
  <c r="O240" i="39"/>
  <c r="O244" i="39"/>
  <c r="O5" i="39"/>
  <c r="O9" i="39"/>
  <c r="O13" i="39"/>
  <c r="O17" i="39"/>
  <c r="O21" i="39"/>
  <c r="O29" i="39"/>
  <c r="O33" i="39"/>
  <c r="O37" i="39"/>
  <c r="O41" i="39"/>
  <c r="O45" i="39"/>
  <c r="O49" i="39"/>
  <c r="O53" i="39"/>
  <c r="O57" i="39"/>
  <c r="O61" i="39"/>
  <c r="O65" i="39"/>
  <c r="O69" i="39"/>
  <c r="O73" i="39"/>
  <c r="O77" i="39"/>
  <c r="O81" i="39"/>
  <c r="O85" i="39"/>
  <c r="O89" i="39"/>
  <c r="O93" i="39"/>
  <c r="O97" i="39"/>
  <c r="O101" i="39"/>
  <c r="O105" i="39"/>
  <c r="O109" i="39"/>
  <c r="O113" i="39"/>
  <c r="O117" i="39"/>
  <c r="O121" i="39"/>
  <c r="O125" i="39"/>
  <c r="O129" i="39"/>
  <c r="O133" i="39"/>
  <c r="O137" i="39"/>
  <c r="O141" i="39"/>
  <c r="O145" i="39"/>
  <c r="O149" i="39"/>
  <c r="O157" i="39"/>
  <c r="O161" i="39"/>
  <c r="O165" i="39"/>
  <c r="O169" i="39"/>
  <c r="O173" i="39"/>
  <c r="O177" i="39"/>
  <c r="O181" i="39"/>
  <c r="O185" i="39"/>
  <c r="O189" i="39"/>
  <c r="O193" i="39"/>
  <c r="O197" i="39"/>
  <c r="O205" i="39"/>
  <c r="O213" i="39"/>
  <c r="O217" i="39"/>
  <c r="O221" i="39"/>
  <c r="O225" i="39"/>
  <c r="O229" i="39"/>
  <c r="O233" i="39"/>
  <c r="O237" i="39"/>
  <c r="O245" i="39"/>
  <c r="O249" i="39"/>
  <c r="O253" i="39"/>
  <c r="O257" i="39"/>
  <c r="O261" i="39"/>
  <c r="O265" i="39"/>
  <c r="O269" i="39"/>
  <c r="O273" i="39"/>
  <c r="O277" i="39"/>
  <c r="O281" i="39"/>
  <c r="O285" i="39"/>
  <c r="O289" i="39"/>
  <c r="O293" i="39"/>
  <c r="O297" i="39"/>
  <c r="O301" i="39"/>
  <c r="O305" i="39"/>
  <c r="O309" i="39"/>
  <c r="O313" i="39"/>
  <c r="O317" i="39"/>
  <c r="O321" i="39"/>
  <c r="O329" i="39"/>
  <c r="O333" i="39"/>
  <c r="O337" i="39"/>
  <c r="O6" i="39"/>
  <c r="O10" i="39"/>
  <c r="O14" i="39"/>
  <c r="O18" i="39"/>
  <c r="O22" i="39"/>
  <c r="O26" i="39"/>
  <c r="O34" i="39"/>
  <c r="O38" i="39"/>
  <c r="O42" i="39"/>
  <c r="O46" i="39"/>
  <c r="O50" i="39"/>
  <c r="O54" i="39"/>
  <c r="O62" i="39"/>
  <c r="O66" i="39"/>
  <c r="O70" i="39"/>
  <c r="O74" i="39"/>
  <c r="O78" i="39"/>
  <c r="O82" i="39"/>
  <c r="O86" i="39"/>
  <c r="O90" i="39"/>
  <c r="O98" i="39"/>
  <c r="O102" i="39"/>
  <c r="O106" i="39"/>
  <c r="O110" i="39"/>
  <c r="O114" i="39"/>
  <c r="O118" i="39"/>
  <c r="O126" i="39"/>
  <c r="O130" i="39"/>
  <c r="O134" i="39"/>
  <c r="O138" i="39"/>
  <c r="O142" i="39"/>
  <c r="O146" i="39"/>
  <c r="O150" i="39"/>
  <c r="O154" i="39"/>
  <c r="O162" i="39"/>
  <c r="O166" i="39"/>
  <c r="O170" i="39"/>
  <c r="O174" i="39"/>
  <c r="O178" i="39"/>
  <c r="O182" i="39"/>
  <c r="O190" i="39"/>
  <c r="O194" i="39"/>
  <c r="O198" i="39"/>
  <c r="O202" i="39"/>
  <c r="O206" i="39"/>
  <c r="O210" i="39"/>
  <c r="O214" i="39"/>
  <c r="O218" i="39"/>
  <c r="O226" i="39"/>
  <c r="O230" i="39"/>
  <c r="O234" i="39"/>
  <c r="O238" i="39"/>
  <c r="O242" i="39"/>
  <c r="O246" i="39"/>
  <c r="O254" i="39"/>
  <c r="O258" i="39"/>
  <c r="O262" i="39"/>
  <c r="O266" i="39"/>
  <c r="O274" i="39"/>
  <c r="O278" i="39"/>
  <c r="O282" i="39"/>
  <c r="O290" i="39"/>
  <c r="O294" i="39"/>
  <c r="O298" i="39"/>
  <c r="O302" i="39"/>
  <c r="O306" i="39"/>
  <c r="O310" i="39"/>
  <c r="O318" i="39"/>
  <c r="O322" i="39"/>
  <c r="O326" i="39"/>
  <c r="O330" i="39"/>
  <c r="O338" i="39"/>
  <c r="O342" i="39"/>
  <c r="O187" i="39"/>
  <c r="O243" i="39"/>
  <c r="O2" i="39"/>
  <c r="O231" i="39"/>
  <c r="O291" i="39"/>
  <c r="O357" i="39"/>
  <c r="O385" i="39"/>
  <c r="O401" i="39"/>
  <c r="O223" i="39"/>
  <c r="O252" i="39"/>
  <c r="O260" i="39"/>
  <c r="O268" i="39"/>
  <c r="O276" i="39"/>
  <c r="O284" i="39"/>
  <c r="O292" i="39"/>
  <c r="O308" i="39"/>
  <c r="O316" i="39"/>
  <c r="O324" i="39"/>
  <c r="O332" i="39"/>
  <c r="O340" i="39"/>
  <c r="O346" i="39"/>
  <c r="O354" i="39"/>
  <c r="O358" i="39"/>
  <c r="O362" i="39"/>
  <c r="O366" i="39"/>
  <c r="O370" i="39"/>
  <c r="O374" i="39"/>
  <c r="O378" i="39"/>
  <c r="O382" i="39"/>
  <c r="O386" i="39"/>
  <c r="O390" i="39"/>
  <c r="O394" i="39"/>
  <c r="O398" i="39"/>
  <c r="O267" i="39"/>
  <c r="O331" i="39"/>
  <c r="O365" i="39"/>
  <c r="O191" i="39"/>
  <c r="O203" i="39"/>
  <c r="O235" i="39"/>
  <c r="O215" i="39"/>
  <c r="O247" i="39"/>
  <c r="O263" i="39"/>
  <c r="O271" i="39"/>
  <c r="O279" i="39"/>
  <c r="O287" i="39"/>
  <c r="O303" i="39"/>
  <c r="O311" i="39"/>
  <c r="O319" i="39"/>
  <c r="O327" i="39"/>
  <c r="O335" i="39"/>
  <c r="O343" i="39"/>
  <c r="O347" i="39"/>
  <c r="O351" i="39"/>
  <c r="O355" i="39"/>
  <c r="O359" i="39"/>
  <c r="O363" i="39"/>
  <c r="O371" i="39"/>
  <c r="O379" i="39"/>
  <c r="O383" i="39"/>
  <c r="O387" i="39"/>
  <c r="O391" i="39"/>
  <c r="O395" i="39"/>
  <c r="O399" i="39"/>
  <c r="O199" i="39"/>
  <c r="O251" i="39"/>
  <c r="O315" i="39"/>
  <c r="O349" i="39"/>
  <c r="O373" i="39"/>
  <c r="O393" i="39"/>
  <c r="O195" i="39"/>
  <c r="O227" i="39"/>
  <c r="O259" i="39"/>
  <c r="O307" i="39"/>
  <c r="O353" i="39"/>
  <c r="O377" i="39"/>
  <c r="O207" i="39"/>
  <c r="O239" i="39"/>
  <c r="O256" i="39"/>
  <c r="O272" i="39"/>
  <c r="O280" i="39"/>
  <c r="O288" i="39"/>
  <c r="O296" i="39"/>
  <c r="O304" i="39"/>
  <c r="O312" i="39"/>
  <c r="O320" i="39"/>
  <c r="O336" i="39"/>
  <c r="O344" i="39"/>
  <c r="O348" i="39"/>
  <c r="O352" i="39"/>
  <c r="O356" i="39"/>
  <c r="O360" i="39"/>
  <c r="O364" i="39"/>
  <c r="O368" i="39"/>
  <c r="O372" i="39"/>
  <c r="O376" i="39"/>
  <c r="O380" i="39"/>
  <c r="O384" i="39"/>
  <c r="O388" i="39"/>
  <c r="O392" i="39"/>
  <c r="O396" i="39"/>
  <c r="O400" i="39"/>
  <c r="O299" i="39"/>
  <c r="O389" i="39"/>
  <c r="O183" i="39"/>
  <c r="O219" i="39"/>
  <c r="O283" i="39"/>
  <c r="O323" i="39"/>
  <c r="O345" i="39"/>
  <c r="O361" i="39"/>
  <c r="O381" i="39"/>
  <c r="O397" i="39"/>
  <c r="AT400" i="39"/>
  <c r="AT377" i="39"/>
  <c r="AT384" i="39"/>
  <c r="AT310" i="39"/>
  <c r="H398" i="39"/>
  <c r="H249" i="39"/>
  <c r="AT401" i="39"/>
  <c r="C53" i="39"/>
  <c r="K53" i="39"/>
  <c r="AJ53" i="39" s="1"/>
  <c r="H54" i="39"/>
  <c r="E55" i="39"/>
  <c r="J56" i="39"/>
  <c r="AM56" i="39" s="1"/>
  <c r="AT56" i="39"/>
  <c r="G57" i="39"/>
  <c r="I59" i="39"/>
  <c r="AN59" i="39" s="1"/>
  <c r="F60" i="39"/>
  <c r="AL60" i="39" s="1"/>
  <c r="P60" i="39"/>
  <c r="C61" i="39"/>
  <c r="K61" i="39"/>
  <c r="AJ61" i="39" s="1"/>
  <c r="H62" i="39"/>
  <c r="E63" i="39"/>
  <c r="M63" i="39"/>
  <c r="AR63" i="39" s="1"/>
  <c r="J64" i="39"/>
  <c r="AM64" i="39" s="1"/>
  <c r="AT64" i="39"/>
  <c r="G65" i="39"/>
  <c r="D66" i="39"/>
  <c r="AI66" i="39" s="1"/>
  <c r="L66" i="39"/>
  <c r="AP66" i="39" s="1"/>
  <c r="I67" i="39"/>
  <c r="AN67" i="39" s="1"/>
  <c r="F68" i="39"/>
  <c r="AL68" i="39" s="1"/>
  <c r="P68" i="39"/>
  <c r="E53" i="39"/>
  <c r="M53" i="39"/>
  <c r="AR53" i="39" s="1"/>
  <c r="J54" i="39"/>
  <c r="AM54" i="39" s="1"/>
  <c r="AT54" i="39"/>
  <c r="D56" i="39"/>
  <c r="AI56" i="39" s="1"/>
  <c r="L56" i="39"/>
  <c r="AP56" i="39" s="1"/>
  <c r="I57" i="39"/>
  <c r="AN57" i="39" s="1"/>
  <c r="P58" i="39"/>
  <c r="C59" i="39"/>
  <c r="K59" i="39"/>
  <c r="AJ59" i="39" s="1"/>
  <c r="H60" i="39"/>
  <c r="E61" i="39"/>
  <c r="M61" i="39"/>
  <c r="AR61" i="39" s="1"/>
  <c r="J62" i="39"/>
  <c r="AM62" i="39" s="1"/>
  <c r="AT62" i="39"/>
  <c r="G63" i="39"/>
  <c r="D64" i="39"/>
  <c r="AI64" i="39" s="1"/>
  <c r="L64" i="39"/>
  <c r="AP64" i="39" s="1"/>
  <c r="I65" i="39"/>
  <c r="AN65" i="39" s="1"/>
  <c r="F66" i="39"/>
  <c r="AL66" i="39" s="1"/>
  <c r="P66" i="39"/>
  <c r="C67" i="39"/>
  <c r="K67" i="39"/>
  <c r="AJ67" i="39" s="1"/>
  <c r="H68" i="39"/>
  <c r="F53" i="39"/>
  <c r="AL53" i="39" s="1"/>
  <c r="P53" i="39"/>
  <c r="C54" i="39"/>
  <c r="K54" i="39"/>
  <c r="AJ54" i="39" s="1"/>
  <c r="E56" i="39"/>
  <c r="M56" i="39"/>
  <c r="AR56" i="39" s="1"/>
  <c r="J57" i="39"/>
  <c r="AM57" i="39" s="1"/>
  <c r="AT57" i="39"/>
  <c r="D59" i="39"/>
  <c r="AI59" i="39" s="1"/>
  <c r="L59" i="39"/>
  <c r="AP59" i="39" s="1"/>
  <c r="I60" i="39"/>
  <c r="Y60" i="39" s="1"/>
  <c r="F61" i="39"/>
  <c r="AL61" i="39" s="1"/>
  <c r="P61" i="39"/>
  <c r="C62" i="39"/>
  <c r="K62" i="39"/>
  <c r="AJ62" i="39" s="1"/>
  <c r="H63" i="39"/>
  <c r="E64" i="39"/>
  <c r="M64" i="39"/>
  <c r="AR64" i="39" s="1"/>
  <c r="J65" i="39"/>
  <c r="AM65" i="39" s="1"/>
  <c r="AT65" i="39"/>
  <c r="G66" i="39"/>
  <c r="D67" i="39"/>
  <c r="AI67" i="39" s="1"/>
  <c r="L67" i="39"/>
  <c r="AP67" i="39" s="1"/>
  <c r="I68" i="39"/>
  <c r="Y68" i="39" s="1"/>
  <c r="G53" i="39"/>
  <c r="D54" i="39"/>
  <c r="AI54" i="39" s="1"/>
  <c r="L54" i="39"/>
  <c r="AP54" i="39" s="1"/>
  <c r="F56" i="39"/>
  <c r="AL56" i="39" s="1"/>
  <c r="P56" i="39"/>
  <c r="C57" i="39"/>
  <c r="K57" i="39"/>
  <c r="AJ57" i="39" s="1"/>
  <c r="E59" i="39"/>
  <c r="M59" i="39"/>
  <c r="AR59" i="39" s="1"/>
  <c r="J60" i="39"/>
  <c r="AM60" i="39" s="1"/>
  <c r="AT60" i="39"/>
  <c r="G61" i="39"/>
  <c r="D62" i="39"/>
  <c r="AI62" i="39" s="1"/>
  <c r="L62" i="39"/>
  <c r="AP62" i="39" s="1"/>
  <c r="I63" i="39"/>
  <c r="Y63" i="39" s="1"/>
  <c r="F64" i="39"/>
  <c r="AL64" i="39" s="1"/>
  <c r="P64" i="39"/>
  <c r="C65" i="39"/>
  <c r="K65" i="39"/>
  <c r="AJ65" i="39" s="1"/>
  <c r="H66" i="39"/>
  <c r="E67" i="39"/>
  <c r="M67" i="39"/>
  <c r="AR67" i="39" s="1"/>
  <c r="J68" i="39"/>
  <c r="AM68" i="39" s="1"/>
  <c r="I53" i="39"/>
  <c r="Y53" i="39" s="1"/>
  <c r="P54" i="39"/>
  <c r="H56" i="39"/>
  <c r="M57" i="39"/>
  <c r="AR57" i="39" s="1"/>
  <c r="G59" i="39"/>
  <c r="L60" i="39"/>
  <c r="AP60" i="39" s="1"/>
  <c r="F62" i="39"/>
  <c r="AL62" i="39" s="1"/>
  <c r="K63" i="39"/>
  <c r="AJ63" i="39" s="1"/>
  <c r="E65" i="39"/>
  <c r="J66" i="39"/>
  <c r="AM66" i="39" s="1"/>
  <c r="AT66" i="39"/>
  <c r="D68" i="39"/>
  <c r="AI68" i="39" s="1"/>
  <c r="AT68" i="39"/>
  <c r="G69" i="39"/>
  <c r="D70" i="39"/>
  <c r="AI70" i="39" s="1"/>
  <c r="L70" i="39"/>
  <c r="AP70" i="39" s="1"/>
  <c r="I71" i="39"/>
  <c r="Y71" i="39" s="1"/>
  <c r="F72" i="39"/>
  <c r="AL72" i="39" s="1"/>
  <c r="P72" i="39"/>
  <c r="C73" i="39"/>
  <c r="K73" i="39"/>
  <c r="AJ73" i="39" s="1"/>
  <c r="H74" i="39"/>
  <c r="E75" i="39"/>
  <c r="M75" i="39"/>
  <c r="AR75" i="39" s="1"/>
  <c r="L53" i="39"/>
  <c r="AP53" i="39" s="1"/>
  <c r="K56" i="39"/>
  <c r="AJ56" i="39" s="1"/>
  <c r="E58" i="39"/>
  <c r="J59" i="39"/>
  <c r="AM59" i="39" s="1"/>
  <c r="AT59" i="39"/>
  <c r="D61" i="39"/>
  <c r="AI61" i="39" s="1"/>
  <c r="I62" i="39"/>
  <c r="AN62" i="39" s="1"/>
  <c r="P63" i="39"/>
  <c r="C64" i="39"/>
  <c r="H65" i="39"/>
  <c r="M66" i="39"/>
  <c r="AR66" i="39" s="1"/>
  <c r="G68" i="39"/>
  <c r="I69" i="39"/>
  <c r="Y69" i="39" s="1"/>
  <c r="F70" i="39"/>
  <c r="AL70" i="39" s="1"/>
  <c r="P70" i="39"/>
  <c r="C71" i="39"/>
  <c r="K71" i="39"/>
  <c r="AJ71" i="39" s="1"/>
  <c r="H72" i="39"/>
  <c r="E73" i="39"/>
  <c r="M73" i="39"/>
  <c r="AR73" i="39" s="1"/>
  <c r="J74" i="39"/>
  <c r="AM74" i="39" s="1"/>
  <c r="AT74" i="39"/>
  <c r="G75" i="39"/>
  <c r="D76" i="39"/>
  <c r="AI76" i="39" s="1"/>
  <c r="L76" i="39"/>
  <c r="AP76" i="39" s="1"/>
  <c r="E54" i="39"/>
  <c r="J55" i="39"/>
  <c r="AM55" i="39" s="1"/>
  <c r="D57" i="39"/>
  <c r="AI57" i="39" s="1"/>
  <c r="P59" i="39"/>
  <c r="C60" i="39"/>
  <c r="H61" i="39"/>
  <c r="M62" i="39"/>
  <c r="AR62" i="39" s="1"/>
  <c r="G64" i="39"/>
  <c r="L65" i="39"/>
  <c r="AP65" i="39" s="1"/>
  <c r="F67" i="39"/>
  <c r="AL67" i="39" s="1"/>
  <c r="K68" i="39"/>
  <c r="AJ68" i="39" s="1"/>
  <c r="J69" i="39"/>
  <c r="AM69" i="39" s="1"/>
  <c r="AT69" i="39"/>
  <c r="G70" i="39"/>
  <c r="D71" i="39"/>
  <c r="AI71" i="39" s="1"/>
  <c r="L71" i="39"/>
  <c r="AP71" i="39" s="1"/>
  <c r="I72" i="39"/>
  <c r="AN72" i="39" s="1"/>
  <c r="F73" i="39"/>
  <c r="AL73" i="39" s="1"/>
  <c r="P73" i="39"/>
  <c r="C74" i="39"/>
  <c r="K74" i="39"/>
  <c r="AJ74" i="39" s="1"/>
  <c r="H75" i="39"/>
  <c r="E76" i="39"/>
  <c r="M76" i="39"/>
  <c r="AR76" i="39" s="1"/>
  <c r="J53" i="39"/>
  <c r="AM53" i="39" s="1"/>
  <c r="I56" i="39"/>
  <c r="AN56" i="39" s="1"/>
  <c r="H59" i="39"/>
  <c r="G62" i="39"/>
  <c r="AT63" i="39"/>
  <c r="F65" i="39"/>
  <c r="AL65" i="39" s="1"/>
  <c r="E68" i="39"/>
  <c r="C69" i="39"/>
  <c r="P69" i="39"/>
  <c r="J70" i="39"/>
  <c r="AM70" i="39" s="1"/>
  <c r="F71" i="39"/>
  <c r="AL71" i="39" s="1"/>
  <c r="M72" i="39"/>
  <c r="AR72" i="39" s="1"/>
  <c r="I73" i="39"/>
  <c r="Y73" i="39" s="1"/>
  <c r="E74" i="39"/>
  <c r="L75" i="39"/>
  <c r="AP75" i="39" s="1"/>
  <c r="C76" i="39"/>
  <c r="H77" i="39"/>
  <c r="E78" i="39"/>
  <c r="AT53" i="39"/>
  <c r="I61" i="39"/>
  <c r="Y61" i="39" s="1"/>
  <c r="H64" i="39"/>
  <c r="P65" i="39"/>
  <c r="G67" i="39"/>
  <c r="M68" i="39"/>
  <c r="AR68" i="39" s="1"/>
  <c r="E69" i="39"/>
  <c r="M70" i="39"/>
  <c r="AR70" i="39" s="1"/>
  <c r="H71" i="39"/>
  <c r="D72" i="39"/>
  <c r="AI72" i="39" s="1"/>
  <c r="L73" i="39"/>
  <c r="AP73" i="39" s="1"/>
  <c r="G74" i="39"/>
  <c r="C75" i="39"/>
  <c r="G76" i="39"/>
  <c r="J77" i="39"/>
  <c r="AM77" i="39" s="1"/>
  <c r="AT77" i="39"/>
  <c r="G78" i="39"/>
  <c r="D79" i="39"/>
  <c r="AI79" i="39" s="1"/>
  <c r="L79" i="39"/>
  <c r="AP79" i="39" s="1"/>
  <c r="I80" i="39"/>
  <c r="Y80" i="39" s="1"/>
  <c r="F81" i="39"/>
  <c r="AL81" i="39" s="1"/>
  <c r="P81" i="39"/>
  <c r="C82" i="39"/>
  <c r="K82" i="39"/>
  <c r="AJ82" i="39" s="1"/>
  <c r="F54" i="39"/>
  <c r="AL54" i="39" s="1"/>
  <c r="E57" i="39"/>
  <c r="K58" i="39"/>
  <c r="AJ58" i="39" s="1"/>
  <c r="D60" i="39"/>
  <c r="AI60" i="39" s="1"/>
  <c r="J61" i="39"/>
  <c r="AM61" i="39" s="1"/>
  <c r="C63" i="39"/>
  <c r="I64" i="39"/>
  <c r="Y64" i="39" s="1"/>
  <c r="H67" i="39"/>
  <c r="F69" i="39"/>
  <c r="AL69" i="39" s="1"/>
  <c r="J71" i="39"/>
  <c r="AM71" i="39" s="1"/>
  <c r="E72" i="39"/>
  <c r="I74" i="39"/>
  <c r="Y74" i="39" s="1"/>
  <c r="D75" i="39"/>
  <c r="AI75" i="39" s="1"/>
  <c r="H76" i="39"/>
  <c r="C77" i="39"/>
  <c r="K77" i="39"/>
  <c r="AJ77" i="39" s="1"/>
  <c r="E79" i="39"/>
  <c r="M79" i="39"/>
  <c r="AR79" i="39" s="1"/>
  <c r="J80" i="39"/>
  <c r="AM80" i="39" s="1"/>
  <c r="D53" i="39"/>
  <c r="AI53" i="39" s="1"/>
  <c r="G54" i="39"/>
  <c r="AT70" i="39"/>
  <c r="M74" i="39"/>
  <c r="AR74" i="39" s="1"/>
  <c r="J75" i="39"/>
  <c r="AM75" i="39" s="1"/>
  <c r="F77" i="39"/>
  <c r="AL77" i="39" s="1"/>
  <c r="P78" i="39"/>
  <c r="I79" i="39"/>
  <c r="Y79" i="39" s="1"/>
  <c r="H80" i="39"/>
  <c r="C81" i="39"/>
  <c r="L81" i="39"/>
  <c r="AP81" i="39" s="1"/>
  <c r="F82" i="39"/>
  <c r="AL82" i="39" s="1"/>
  <c r="J84" i="39"/>
  <c r="AM84" i="39" s="1"/>
  <c r="AT84" i="39"/>
  <c r="D86" i="39"/>
  <c r="AI86" i="39" s="1"/>
  <c r="L57" i="39"/>
  <c r="AP57" i="39" s="1"/>
  <c r="F59" i="39"/>
  <c r="AL59" i="39" s="1"/>
  <c r="G60" i="39"/>
  <c r="D63" i="39"/>
  <c r="AI63" i="39" s="1"/>
  <c r="K69" i="39"/>
  <c r="AJ69" i="39" s="1"/>
  <c r="H70" i="39"/>
  <c r="E71" i="39"/>
  <c r="C72" i="39"/>
  <c r="AT73" i="39"/>
  <c r="J76" i="39"/>
  <c r="AM76" i="39" s="1"/>
  <c r="L77" i="39"/>
  <c r="AP77" i="39" s="1"/>
  <c r="F78" i="39"/>
  <c r="AL78" i="39" s="1"/>
  <c r="P79" i="39"/>
  <c r="C80" i="39"/>
  <c r="M80" i="39"/>
  <c r="AR80" i="39" s="1"/>
  <c r="G81" i="39"/>
  <c r="I82" i="39"/>
  <c r="Y82" i="39" s="1"/>
  <c r="E84" i="39"/>
  <c r="M84" i="39"/>
  <c r="AR84" i="39" s="1"/>
  <c r="G86" i="39"/>
  <c r="D87" i="39"/>
  <c r="AI87" i="39" s="1"/>
  <c r="L87" i="39"/>
  <c r="AP87" i="39" s="1"/>
  <c r="P57" i="39"/>
  <c r="K60" i="39"/>
  <c r="AJ60" i="39" s="1"/>
  <c r="L61" i="39"/>
  <c r="AP61" i="39" s="1"/>
  <c r="E62" i="39"/>
  <c r="F63" i="39"/>
  <c r="AL63" i="39" s="1"/>
  <c r="C66" i="39"/>
  <c r="L69" i="39"/>
  <c r="AP69" i="39" s="1"/>
  <c r="I70" i="39"/>
  <c r="Y70" i="39" s="1"/>
  <c r="G71" i="39"/>
  <c r="G72" i="39"/>
  <c r="D73" i="39"/>
  <c r="AI73" i="39" s="1"/>
  <c r="K76" i="39"/>
  <c r="AJ76" i="39" s="1"/>
  <c r="AT76" i="39"/>
  <c r="M77" i="39"/>
  <c r="AR77" i="39" s="1"/>
  <c r="I78" i="39"/>
  <c r="Y78" i="39" s="1"/>
  <c r="C79" i="39"/>
  <c r="D80" i="39"/>
  <c r="AI80" i="39" s="1"/>
  <c r="P80" i="39"/>
  <c r="AT80" i="39"/>
  <c r="H81" i="39"/>
  <c r="J82" i="39"/>
  <c r="AM82" i="39" s="1"/>
  <c r="F84" i="39"/>
  <c r="AL84" i="39" s="1"/>
  <c r="P84" i="39"/>
  <c r="H86" i="39"/>
  <c r="M60" i="39"/>
  <c r="AR60" i="39" s="1"/>
  <c r="P62" i="39"/>
  <c r="J63" i="39"/>
  <c r="AM63" i="39" s="1"/>
  <c r="K64" i="39"/>
  <c r="AJ64" i="39" s="1"/>
  <c r="D65" i="39"/>
  <c r="AI65" i="39" s="1"/>
  <c r="E66" i="39"/>
  <c r="AT67" i="39"/>
  <c r="M69" i="39"/>
  <c r="AR69" i="39" s="1"/>
  <c r="K70" i="39"/>
  <c r="AJ70" i="39" s="1"/>
  <c r="M71" i="39"/>
  <c r="AR71" i="39" s="1"/>
  <c r="J72" i="39"/>
  <c r="AM72" i="39" s="1"/>
  <c r="G73" i="39"/>
  <c r="D74" i="39"/>
  <c r="AI74" i="39" s="1"/>
  <c r="AT75" i="39"/>
  <c r="P76" i="39"/>
  <c r="P77" i="39"/>
  <c r="F79" i="39"/>
  <c r="AL79" i="39" s="1"/>
  <c r="E80" i="39"/>
  <c r="I81" i="39"/>
  <c r="Y81" i="39" s="1"/>
  <c r="L82" i="39"/>
  <c r="AP82" i="39" s="1"/>
  <c r="G84" i="39"/>
  <c r="D85" i="39"/>
  <c r="AI85" i="39" s="1"/>
  <c r="I86" i="39"/>
  <c r="Y86" i="39" s="1"/>
  <c r="F87" i="39"/>
  <c r="AL87" i="39" s="1"/>
  <c r="P87" i="39"/>
  <c r="K66" i="39"/>
  <c r="AJ66" i="39" s="1"/>
  <c r="L68" i="39"/>
  <c r="AP68" i="39" s="1"/>
  <c r="L72" i="39"/>
  <c r="AP72" i="39" s="1"/>
  <c r="J73" i="39"/>
  <c r="AM73" i="39" s="1"/>
  <c r="L74" i="39"/>
  <c r="AP74" i="39" s="1"/>
  <c r="I75" i="39"/>
  <c r="AN75" i="39" s="1"/>
  <c r="H79" i="39"/>
  <c r="G80" i="39"/>
  <c r="P82" i="39"/>
  <c r="I84" i="39"/>
  <c r="Y84" i="39" s="1"/>
  <c r="P85" i="39"/>
  <c r="C86" i="39"/>
  <c r="E87" i="39"/>
  <c r="H88" i="39"/>
  <c r="E89" i="39"/>
  <c r="M89" i="39"/>
  <c r="AR89" i="39" s="1"/>
  <c r="J90" i="39"/>
  <c r="AM90" i="39" s="1"/>
  <c r="AT90" i="39"/>
  <c r="G91" i="39"/>
  <c r="D92" i="39"/>
  <c r="AI92" i="39" s="1"/>
  <c r="L92" i="39"/>
  <c r="AP92" i="39" s="1"/>
  <c r="I93" i="39"/>
  <c r="Y93" i="39" s="1"/>
  <c r="C95" i="39"/>
  <c r="H53" i="39"/>
  <c r="D55" i="39"/>
  <c r="AI55" i="39" s="1"/>
  <c r="F57" i="39"/>
  <c r="AL57" i="39" s="1"/>
  <c r="P74" i="39"/>
  <c r="K75" i="39"/>
  <c r="AJ75" i="39" s="1"/>
  <c r="F76" i="39"/>
  <c r="AL76" i="39" s="1"/>
  <c r="C78" i="39"/>
  <c r="J79" i="39"/>
  <c r="AM79" i="39" s="1"/>
  <c r="K80" i="39"/>
  <c r="AJ80" i="39" s="1"/>
  <c r="D81" i="39"/>
  <c r="AI81" i="39" s="1"/>
  <c r="K84" i="39"/>
  <c r="AJ84" i="39" s="1"/>
  <c r="E86" i="39"/>
  <c r="G87" i="39"/>
  <c r="I88" i="39"/>
  <c r="Y88" i="39" s="1"/>
  <c r="F89" i="39"/>
  <c r="AL89" i="39" s="1"/>
  <c r="P89" i="39"/>
  <c r="C90" i="39"/>
  <c r="K90" i="39"/>
  <c r="AJ90" i="39" s="1"/>
  <c r="H91" i="39"/>
  <c r="E92" i="39"/>
  <c r="M92" i="39"/>
  <c r="AR92" i="39" s="1"/>
  <c r="J93" i="39"/>
  <c r="AM93" i="39" s="1"/>
  <c r="AT93" i="39"/>
  <c r="D95" i="39"/>
  <c r="AI95" i="39" s="1"/>
  <c r="L95" i="39"/>
  <c r="AP95" i="39" s="1"/>
  <c r="I96" i="39"/>
  <c r="Y96" i="39" s="1"/>
  <c r="F97" i="39"/>
  <c r="AL97" i="39" s="1"/>
  <c r="P97" i="39"/>
  <c r="H57" i="39"/>
  <c r="P75" i="39"/>
  <c r="I76" i="39"/>
  <c r="Y76" i="39" s="1"/>
  <c r="D78" i="39"/>
  <c r="AI78" i="39" s="1"/>
  <c r="K79" i="39"/>
  <c r="AJ79" i="39" s="1"/>
  <c r="L80" i="39"/>
  <c r="AP80" i="39" s="1"/>
  <c r="E81" i="39"/>
  <c r="AT81" i="39"/>
  <c r="L84" i="39"/>
  <c r="AP84" i="39" s="1"/>
  <c r="F86" i="39"/>
  <c r="AL86" i="39" s="1"/>
  <c r="H87" i="39"/>
  <c r="J88" i="39"/>
  <c r="AM88" i="39" s="1"/>
  <c r="AT88" i="39"/>
  <c r="G89" i="39"/>
  <c r="D90" i="39"/>
  <c r="AI90" i="39" s="1"/>
  <c r="L90" i="39"/>
  <c r="AP90" i="39" s="1"/>
  <c r="I91" i="39"/>
  <c r="Y91" i="39" s="1"/>
  <c r="F92" i="39"/>
  <c r="AL92" i="39" s="1"/>
  <c r="P92" i="39"/>
  <c r="C93" i="39"/>
  <c r="K93" i="39"/>
  <c r="AJ93" i="39" s="1"/>
  <c r="P67" i="39"/>
  <c r="E77" i="39"/>
  <c r="L78" i="39"/>
  <c r="AP78" i="39" s="1"/>
  <c r="K81" i="39"/>
  <c r="AJ81" i="39" s="1"/>
  <c r="E82" i="39"/>
  <c r="K86" i="39"/>
  <c r="AJ86" i="39" s="1"/>
  <c r="J87" i="39"/>
  <c r="AM87" i="39" s="1"/>
  <c r="D88" i="39"/>
  <c r="AI88" i="39" s="1"/>
  <c r="L88" i="39"/>
  <c r="AP88" i="39" s="1"/>
  <c r="I89" i="39"/>
  <c r="Y89" i="39" s="1"/>
  <c r="F90" i="39"/>
  <c r="AL90" i="39" s="1"/>
  <c r="P90" i="39"/>
  <c r="C91" i="39"/>
  <c r="K91" i="39"/>
  <c r="AJ91" i="39" s="1"/>
  <c r="H92" i="39"/>
  <c r="E93" i="39"/>
  <c r="M93" i="39"/>
  <c r="AR93" i="39" s="1"/>
  <c r="J94" i="39"/>
  <c r="AM94" i="39" s="1"/>
  <c r="G95" i="39"/>
  <c r="D96" i="39"/>
  <c r="AI96" i="39" s="1"/>
  <c r="L96" i="39"/>
  <c r="AP96" i="39" s="1"/>
  <c r="I97" i="39"/>
  <c r="Y97" i="39" s="1"/>
  <c r="F98" i="39"/>
  <c r="AL98" i="39" s="1"/>
  <c r="P98" i="39"/>
  <c r="C99" i="39"/>
  <c r="I54" i="39"/>
  <c r="AN54" i="39" s="1"/>
  <c r="C56" i="39"/>
  <c r="D69" i="39"/>
  <c r="AI69" i="39" s="1"/>
  <c r="C70" i="39"/>
  <c r="G77" i="39"/>
  <c r="AT79" i="39"/>
  <c r="M81" i="39"/>
  <c r="AR81" i="39" s="1"/>
  <c r="G82" i="39"/>
  <c r="C84" i="39"/>
  <c r="L86" i="39"/>
  <c r="AP86" i="39" s="1"/>
  <c r="K87" i="39"/>
  <c r="AJ87" i="39" s="1"/>
  <c r="E88" i="39"/>
  <c r="M88" i="39"/>
  <c r="AR88" i="39" s="1"/>
  <c r="J89" i="39"/>
  <c r="AM89" i="39" s="1"/>
  <c r="AT89" i="39"/>
  <c r="G90" i="39"/>
  <c r="D91" i="39"/>
  <c r="AI91" i="39" s="1"/>
  <c r="L91" i="39"/>
  <c r="AP91" i="39" s="1"/>
  <c r="I92" i="39"/>
  <c r="Y92" i="39" s="1"/>
  <c r="F93" i="39"/>
  <c r="AL93" i="39" s="1"/>
  <c r="P93" i="39"/>
  <c r="C94" i="39"/>
  <c r="H95" i="39"/>
  <c r="P71" i="39"/>
  <c r="AT82" i="39"/>
  <c r="E95" i="39"/>
  <c r="AT95" i="39"/>
  <c r="J96" i="39"/>
  <c r="AM96" i="39" s="1"/>
  <c r="AT96" i="39"/>
  <c r="J97" i="39"/>
  <c r="AM97" i="39" s="1"/>
  <c r="E98" i="39"/>
  <c r="AT98" i="39"/>
  <c r="H99" i="39"/>
  <c r="E100" i="39"/>
  <c r="M100" i="39"/>
  <c r="AR100" i="39" s="1"/>
  <c r="J101" i="39"/>
  <c r="AM101" i="39" s="1"/>
  <c r="AT101" i="39"/>
  <c r="G102" i="39"/>
  <c r="D103" i="39"/>
  <c r="AI103" i="39" s="1"/>
  <c r="M54" i="39"/>
  <c r="AR54" i="39" s="1"/>
  <c r="H69" i="39"/>
  <c r="F74" i="39"/>
  <c r="AL74" i="39" s="1"/>
  <c r="K78" i="39"/>
  <c r="AJ78" i="39" s="1"/>
  <c r="D82" i="39"/>
  <c r="AI82" i="39" s="1"/>
  <c r="C83" i="39"/>
  <c r="D84" i="39"/>
  <c r="AI84" i="39" s="1"/>
  <c r="AT87" i="39"/>
  <c r="AT91" i="39"/>
  <c r="AT92" i="39"/>
  <c r="F95" i="39"/>
  <c r="AL95" i="39" s="1"/>
  <c r="K96" i="39"/>
  <c r="AJ96" i="39" s="1"/>
  <c r="K97" i="39"/>
  <c r="AJ97" i="39" s="1"/>
  <c r="G98" i="39"/>
  <c r="I99" i="39"/>
  <c r="Y99" i="39" s="1"/>
  <c r="F100" i="39"/>
  <c r="AL100" i="39" s="1"/>
  <c r="P100" i="39"/>
  <c r="C101" i="39"/>
  <c r="K101" i="39"/>
  <c r="AJ101" i="39" s="1"/>
  <c r="H102" i="39"/>
  <c r="E103" i="39"/>
  <c r="M103" i="39"/>
  <c r="AR103" i="39" s="1"/>
  <c r="J104" i="39"/>
  <c r="AM104" i="39" s="1"/>
  <c r="AT104" i="39"/>
  <c r="D106" i="39"/>
  <c r="AI106" i="39" s="1"/>
  <c r="L106" i="39"/>
  <c r="AP106" i="39" s="1"/>
  <c r="E60" i="39"/>
  <c r="M65" i="39"/>
  <c r="AR65" i="39" s="1"/>
  <c r="AT71" i="39"/>
  <c r="H82" i="39"/>
  <c r="H84" i="39"/>
  <c r="J86" i="39"/>
  <c r="AM86" i="39" s="1"/>
  <c r="C88" i="39"/>
  <c r="C89" i="39"/>
  <c r="I95" i="39"/>
  <c r="Y95" i="39" s="1"/>
  <c r="M96" i="39"/>
  <c r="AR96" i="39" s="1"/>
  <c r="L97" i="39"/>
  <c r="AP97" i="39" s="1"/>
  <c r="AT97" i="39"/>
  <c r="H98" i="39"/>
  <c r="J99" i="39"/>
  <c r="AM99" i="39" s="1"/>
  <c r="AT99" i="39"/>
  <c r="G100" i="39"/>
  <c r="D101" i="39"/>
  <c r="AI101" i="39" s="1"/>
  <c r="L101" i="39"/>
  <c r="AP101" i="39" s="1"/>
  <c r="I102" i="39"/>
  <c r="AN102" i="39" s="1"/>
  <c r="P103" i="39"/>
  <c r="C104" i="39"/>
  <c r="K104" i="39"/>
  <c r="AJ104" i="39" s="1"/>
  <c r="H105" i="39"/>
  <c r="K72" i="39"/>
  <c r="AJ72" i="39" s="1"/>
  <c r="D77" i="39"/>
  <c r="AI77" i="39" s="1"/>
  <c r="J81" i="39"/>
  <c r="AM81" i="39" s="1"/>
  <c r="M82" i="39"/>
  <c r="AR82" i="39" s="1"/>
  <c r="M86" i="39"/>
  <c r="AR86" i="39" s="1"/>
  <c r="AT86" i="39"/>
  <c r="F88" i="39"/>
  <c r="AL88" i="39" s="1"/>
  <c r="D89" i="39"/>
  <c r="AI89" i="39" s="1"/>
  <c r="E90" i="39"/>
  <c r="E91" i="39"/>
  <c r="C92" i="39"/>
  <c r="D93" i="39"/>
  <c r="AI93" i="39" s="1"/>
  <c r="J95" i="39"/>
  <c r="AM95" i="39" s="1"/>
  <c r="C96" i="39"/>
  <c r="P96" i="39"/>
  <c r="C97" i="39"/>
  <c r="M97" i="39"/>
  <c r="AR97" i="39" s="1"/>
  <c r="I98" i="39"/>
  <c r="Y98" i="39" s="1"/>
  <c r="K99" i="39"/>
  <c r="AJ99" i="39" s="1"/>
  <c r="H100" i="39"/>
  <c r="E101" i="39"/>
  <c r="M101" i="39"/>
  <c r="AR101" i="39" s="1"/>
  <c r="J102" i="39"/>
  <c r="AM102" i="39" s="1"/>
  <c r="AT102" i="39"/>
  <c r="G103" i="39"/>
  <c r="D104" i="39"/>
  <c r="AI104" i="39" s="1"/>
  <c r="L104" i="39"/>
  <c r="AP104" i="39" s="1"/>
  <c r="G56" i="39"/>
  <c r="I66" i="39"/>
  <c r="AN66" i="39" s="1"/>
  <c r="E70" i="39"/>
  <c r="F75" i="39"/>
  <c r="AL75" i="39" s="1"/>
  <c r="I77" i="39"/>
  <c r="Y77" i="39" s="1"/>
  <c r="F80" i="39"/>
  <c r="AL80" i="39" s="1"/>
  <c r="P86" i="39"/>
  <c r="G88" i="39"/>
  <c r="H89" i="39"/>
  <c r="H90" i="39"/>
  <c r="F91" i="39"/>
  <c r="AL91" i="39" s="1"/>
  <c r="G92" i="39"/>
  <c r="G93" i="39"/>
  <c r="K95" i="39"/>
  <c r="AJ95" i="39" s="1"/>
  <c r="E96" i="39"/>
  <c r="D97" i="39"/>
  <c r="AI97" i="39" s="1"/>
  <c r="J98" i="39"/>
  <c r="AM98" i="39" s="1"/>
  <c r="D99" i="39"/>
  <c r="AI99" i="39" s="1"/>
  <c r="L99" i="39"/>
  <c r="AP99" i="39" s="1"/>
  <c r="I100" i="39"/>
  <c r="Y100" i="39" s="1"/>
  <c r="F101" i="39"/>
  <c r="AL101" i="39" s="1"/>
  <c r="P101" i="39"/>
  <c r="C102" i="39"/>
  <c r="K102" i="39"/>
  <c r="AJ102" i="39" s="1"/>
  <c r="H103" i="39"/>
  <c r="E104" i="39"/>
  <c r="M104" i="39"/>
  <c r="AR104" i="39" s="1"/>
  <c r="J105" i="39"/>
  <c r="AM105" i="39" s="1"/>
  <c r="AT105" i="39"/>
  <c r="AT61" i="39"/>
  <c r="J67" i="39"/>
  <c r="AM67" i="39" s="1"/>
  <c r="AT72" i="39"/>
  <c r="C87" i="39"/>
  <c r="K88" i="39"/>
  <c r="AJ88" i="39" s="1"/>
  <c r="K89" i="39"/>
  <c r="AJ89" i="39" s="1"/>
  <c r="I90" i="39"/>
  <c r="AN90" i="39" s="1"/>
  <c r="J91" i="39"/>
  <c r="AM91" i="39" s="1"/>
  <c r="J92" i="39"/>
  <c r="AM92" i="39" s="1"/>
  <c r="H93" i="39"/>
  <c r="M95" i="39"/>
  <c r="AR95" i="39" s="1"/>
  <c r="F96" i="39"/>
  <c r="AL96" i="39" s="1"/>
  <c r="E97" i="39"/>
  <c r="K98" i="39"/>
  <c r="AJ98" i="39" s="1"/>
  <c r="E99" i="39"/>
  <c r="M99" i="39"/>
  <c r="AR99" i="39" s="1"/>
  <c r="J100" i="39"/>
  <c r="AM100" i="39" s="1"/>
  <c r="AT100" i="39"/>
  <c r="G101" i="39"/>
  <c r="D102" i="39"/>
  <c r="AI102" i="39" s="1"/>
  <c r="L102" i="39"/>
  <c r="AP102" i="39" s="1"/>
  <c r="I103" i="39"/>
  <c r="AN103" i="39" s="1"/>
  <c r="F104" i="39"/>
  <c r="AL104" i="39" s="1"/>
  <c r="P104" i="39"/>
  <c r="C105" i="39"/>
  <c r="K105" i="39"/>
  <c r="AJ105" i="39" s="1"/>
  <c r="H106" i="39"/>
  <c r="M98" i="39"/>
  <c r="AR98" i="39" s="1"/>
  <c r="G99" i="39"/>
  <c r="F102" i="39"/>
  <c r="AL102" i="39" s="1"/>
  <c r="D105" i="39"/>
  <c r="AI105" i="39" s="1"/>
  <c r="E106" i="39"/>
  <c r="AT106" i="39"/>
  <c r="G107" i="39"/>
  <c r="I109" i="39"/>
  <c r="Y109" i="39" s="1"/>
  <c r="F110" i="39"/>
  <c r="AL110" i="39" s="1"/>
  <c r="P110" i="39"/>
  <c r="C111" i="39"/>
  <c r="K111" i="39"/>
  <c r="AJ111" i="39" s="1"/>
  <c r="H112" i="39"/>
  <c r="E113" i="39"/>
  <c r="M113" i="39"/>
  <c r="AR113" i="39" s="1"/>
  <c r="J114" i="39"/>
  <c r="AM114" i="39" s="1"/>
  <c r="AT114" i="39"/>
  <c r="G115" i="39"/>
  <c r="D116" i="39"/>
  <c r="AI116" i="39" s="1"/>
  <c r="L116" i="39"/>
  <c r="AP116" i="39" s="1"/>
  <c r="I117" i="39"/>
  <c r="AN117" i="39" s="1"/>
  <c r="F118" i="39"/>
  <c r="AL118" i="39" s="1"/>
  <c r="P118" i="39"/>
  <c r="C119" i="39"/>
  <c r="K119" i="39"/>
  <c r="AJ119" i="39" s="1"/>
  <c r="H120" i="39"/>
  <c r="E121" i="39"/>
  <c r="M121" i="39"/>
  <c r="AR121" i="39" s="1"/>
  <c r="G123" i="39"/>
  <c r="D124" i="39"/>
  <c r="AI124" i="39" s="1"/>
  <c r="L124" i="39"/>
  <c r="AP124" i="39" s="1"/>
  <c r="I125" i="39"/>
  <c r="Y125" i="39" s="1"/>
  <c r="F126" i="39"/>
  <c r="AL126" i="39" s="1"/>
  <c r="P126" i="39"/>
  <c r="H128" i="39"/>
  <c r="E129" i="39"/>
  <c r="M129" i="39"/>
  <c r="AR129" i="39" s="1"/>
  <c r="J130" i="39"/>
  <c r="AM130" i="39" s="1"/>
  <c r="AT130" i="39"/>
  <c r="G131" i="39"/>
  <c r="D132" i="39"/>
  <c r="AI132" i="39" s="1"/>
  <c r="L132" i="39"/>
  <c r="AP132" i="39" s="1"/>
  <c r="P88" i="39"/>
  <c r="M90" i="39"/>
  <c r="AR90" i="39" s="1"/>
  <c r="K92" i="39"/>
  <c r="AJ92" i="39" s="1"/>
  <c r="P99" i="39"/>
  <c r="C100" i="39"/>
  <c r="M102" i="39"/>
  <c r="AR102" i="39" s="1"/>
  <c r="E105" i="39"/>
  <c r="F106" i="39"/>
  <c r="AL106" i="39" s="1"/>
  <c r="H107" i="39"/>
  <c r="J109" i="39"/>
  <c r="AM109" i="39" s="1"/>
  <c r="AT109" i="39"/>
  <c r="G110" i="39"/>
  <c r="D111" i="39"/>
  <c r="AI111" i="39" s="1"/>
  <c r="L111" i="39"/>
  <c r="AP111" i="39" s="1"/>
  <c r="I112" i="39"/>
  <c r="Y112" i="39" s="1"/>
  <c r="F113" i="39"/>
  <c r="AL113" i="39" s="1"/>
  <c r="P113" i="39"/>
  <c r="C114" i="39"/>
  <c r="K114" i="39"/>
  <c r="AJ114" i="39" s="1"/>
  <c r="H115" i="39"/>
  <c r="E116" i="39"/>
  <c r="M116" i="39"/>
  <c r="AR116" i="39" s="1"/>
  <c r="J117" i="39"/>
  <c r="AM117" i="39" s="1"/>
  <c r="AT117" i="39"/>
  <c r="G118" i="39"/>
  <c r="D119" i="39"/>
  <c r="AI119" i="39" s="1"/>
  <c r="L119" i="39"/>
  <c r="AP119" i="39" s="1"/>
  <c r="I120" i="39"/>
  <c r="Y120" i="39" s="1"/>
  <c r="F121" i="39"/>
  <c r="AL121" i="39" s="1"/>
  <c r="P121" i="39"/>
  <c r="C122" i="39"/>
  <c r="H123" i="39"/>
  <c r="E124" i="39"/>
  <c r="M124" i="39"/>
  <c r="AR124" i="39" s="1"/>
  <c r="J125" i="39"/>
  <c r="AM125" i="39" s="1"/>
  <c r="AT125" i="39"/>
  <c r="G126" i="39"/>
  <c r="D127" i="39"/>
  <c r="AI127" i="39" s="1"/>
  <c r="I128" i="39"/>
  <c r="AN128" i="39" s="1"/>
  <c r="F129" i="39"/>
  <c r="AL129" i="39" s="1"/>
  <c r="P129" i="39"/>
  <c r="C130" i="39"/>
  <c r="K130" i="39"/>
  <c r="AJ130" i="39" s="1"/>
  <c r="H131" i="39"/>
  <c r="K100" i="39"/>
  <c r="AJ100" i="39" s="1"/>
  <c r="J103" i="39"/>
  <c r="AM103" i="39" s="1"/>
  <c r="AT103" i="39"/>
  <c r="I105" i="39"/>
  <c r="AN105" i="39" s="1"/>
  <c r="I106" i="39"/>
  <c r="Y106" i="39" s="1"/>
  <c r="J107" i="39"/>
  <c r="AM107" i="39" s="1"/>
  <c r="AT107" i="39"/>
  <c r="D109" i="39"/>
  <c r="AI109" i="39" s="1"/>
  <c r="L109" i="39"/>
  <c r="AP109" i="39" s="1"/>
  <c r="I110" i="39"/>
  <c r="AN110" i="39" s="1"/>
  <c r="F111" i="39"/>
  <c r="AL111" i="39" s="1"/>
  <c r="P111" i="39"/>
  <c r="C112" i="39"/>
  <c r="K112" i="39"/>
  <c r="AJ112" i="39" s="1"/>
  <c r="H113" i="39"/>
  <c r="E114" i="39"/>
  <c r="M114" i="39"/>
  <c r="AR114" i="39" s="1"/>
  <c r="J115" i="39"/>
  <c r="AM115" i="39" s="1"/>
  <c r="AT115" i="39"/>
  <c r="G116" i="39"/>
  <c r="D117" i="39"/>
  <c r="AI117" i="39" s="1"/>
  <c r="L117" i="39"/>
  <c r="AP117" i="39" s="1"/>
  <c r="I118" i="39"/>
  <c r="AN118" i="39" s="1"/>
  <c r="F119" i="39"/>
  <c r="AL119" i="39" s="1"/>
  <c r="P119" i="39"/>
  <c r="C120" i="39"/>
  <c r="K120" i="39"/>
  <c r="AJ120" i="39" s="1"/>
  <c r="H121" i="39"/>
  <c r="J123" i="39"/>
  <c r="AM123" i="39" s="1"/>
  <c r="AT123" i="39"/>
  <c r="G124" i="39"/>
  <c r="D125" i="39"/>
  <c r="AI125" i="39" s="1"/>
  <c r="L125" i="39"/>
  <c r="AP125" i="39" s="1"/>
  <c r="I126" i="39"/>
  <c r="Y126" i="39" s="1"/>
  <c r="C128" i="39"/>
  <c r="K128" i="39"/>
  <c r="AJ128" i="39" s="1"/>
  <c r="H129" i="39"/>
  <c r="E130" i="39"/>
  <c r="M130" i="39"/>
  <c r="AR130" i="39" s="1"/>
  <c r="J131" i="39"/>
  <c r="AM131" i="39" s="1"/>
  <c r="C68" i="39"/>
  <c r="L100" i="39"/>
  <c r="AP100" i="39" s="1"/>
  <c r="K103" i="39"/>
  <c r="AJ103" i="39" s="1"/>
  <c r="L105" i="39"/>
  <c r="AP105" i="39" s="1"/>
  <c r="J106" i="39"/>
  <c r="AM106" i="39" s="1"/>
  <c r="C107" i="39"/>
  <c r="K107" i="39"/>
  <c r="AJ107" i="39" s="1"/>
  <c r="E109" i="39"/>
  <c r="M109" i="39"/>
  <c r="AR109" i="39" s="1"/>
  <c r="J110" i="39"/>
  <c r="AM110" i="39" s="1"/>
  <c r="AT110" i="39"/>
  <c r="G111" i="39"/>
  <c r="D112" i="39"/>
  <c r="AI112" i="39" s="1"/>
  <c r="L112" i="39"/>
  <c r="AP112" i="39" s="1"/>
  <c r="I113" i="39"/>
  <c r="Y113" i="39" s="1"/>
  <c r="F114" i="39"/>
  <c r="AL114" i="39" s="1"/>
  <c r="P114" i="39"/>
  <c r="C115" i="39"/>
  <c r="K115" i="39"/>
  <c r="AJ115" i="39" s="1"/>
  <c r="H116" i="39"/>
  <c r="E117" i="39"/>
  <c r="M117" i="39"/>
  <c r="AR117" i="39" s="1"/>
  <c r="J118" i="39"/>
  <c r="AM118" i="39" s="1"/>
  <c r="AT118" i="39"/>
  <c r="G119" i="39"/>
  <c r="D120" i="39"/>
  <c r="AI120" i="39" s="1"/>
  <c r="L120" i="39"/>
  <c r="AP120" i="39" s="1"/>
  <c r="I121" i="39"/>
  <c r="AN121" i="39" s="1"/>
  <c r="C123" i="39"/>
  <c r="K123" i="39"/>
  <c r="AJ123" i="39" s="1"/>
  <c r="H124" i="39"/>
  <c r="E125" i="39"/>
  <c r="M125" i="39"/>
  <c r="AR125" i="39" s="1"/>
  <c r="J126" i="39"/>
  <c r="AM126" i="39" s="1"/>
  <c r="AT126" i="39"/>
  <c r="D128" i="39"/>
  <c r="AI128" i="39" s="1"/>
  <c r="L128" i="39"/>
  <c r="AP128" i="39" s="1"/>
  <c r="I129" i="39"/>
  <c r="Y129" i="39" s="1"/>
  <c r="F130" i="39"/>
  <c r="AL130" i="39" s="1"/>
  <c r="P130" i="39"/>
  <c r="C131" i="39"/>
  <c r="K131" i="39"/>
  <c r="AJ131" i="39" s="1"/>
  <c r="H132" i="39"/>
  <c r="G79" i="39"/>
  <c r="I87" i="39"/>
  <c r="Y87" i="39" s="1"/>
  <c r="L89" i="39"/>
  <c r="AP89" i="39" s="1"/>
  <c r="M91" i="39"/>
  <c r="AR91" i="39" s="1"/>
  <c r="L93" i="39"/>
  <c r="AP93" i="39" s="1"/>
  <c r="G96" i="39"/>
  <c r="G97" i="39"/>
  <c r="C98" i="39"/>
  <c r="H101" i="39"/>
  <c r="G104" i="39"/>
  <c r="M105" i="39"/>
  <c r="AR105" i="39" s="1"/>
  <c r="K106" i="39"/>
  <c r="AJ106" i="39" s="1"/>
  <c r="D107" i="39"/>
  <c r="AI107" i="39" s="1"/>
  <c r="L107" i="39"/>
  <c r="AP107" i="39" s="1"/>
  <c r="F109" i="39"/>
  <c r="AL109" i="39" s="1"/>
  <c r="P109" i="39"/>
  <c r="C110" i="39"/>
  <c r="K110" i="39"/>
  <c r="AJ110" i="39" s="1"/>
  <c r="H111" i="39"/>
  <c r="E112" i="39"/>
  <c r="M112" i="39"/>
  <c r="AR112" i="39" s="1"/>
  <c r="J113" i="39"/>
  <c r="AM113" i="39" s="1"/>
  <c r="AT113" i="39"/>
  <c r="G114" i="39"/>
  <c r="D115" i="39"/>
  <c r="AI115" i="39" s="1"/>
  <c r="L115" i="39"/>
  <c r="AP115" i="39" s="1"/>
  <c r="I116" i="39"/>
  <c r="Y116" i="39" s="1"/>
  <c r="F117" i="39"/>
  <c r="AL117" i="39" s="1"/>
  <c r="P117" i="39"/>
  <c r="C118" i="39"/>
  <c r="K118" i="39"/>
  <c r="AJ118" i="39" s="1"/>
  <c r="H119" i="39"/>
  <c r="E120" i="39"/>
  <c r="M120" i="39"/>
  <c r="AR120" i="39" s="1"/>
  <c r="J121" i="39"/>
  <c r="AM121" i="39" s="1"/>
  <c r="AT121" i="39"/>
  <c r="D123" i="39"/>
  <c r="AI123" i="39" s="1"/>
  <c r="L123" i="39"/>
  <c r="AP123" i="39" s="1"/>
  <c r="I124" i="39"/>
  <c r="Y124" i="39" s="1"/>
  <c r="F125" i="39"/>
  <c r="AL125" i="39" s="1"/>
  <c r="P125" i="39"/>
  <c r="C126" i="39"/>
  <c r="K126" i="39"/>
  <c r="AJ126" i="39" s="1"/>
  <c r="E128" i="39"/>
  <c r="M128" i="39"/>
  <c r="AR128" i="39" s="1"/>
  <c r="J129" i="39"/>
  <c r="AM129" i="39" s="1"/>
  <c r="AT129" i="39"/>
  <c r="G130" i="39"/>
  <c r="D131" i="39"/>
  <c r="AI131" i="39" s="1"/>
  <c r="L131" i="39"/>
  <c r="AP131" i="39" s="1"/>
  <c r="I132" i="39"/>
  <c r="Y132" i="39" s="1"/>
  <c r="F133" i="39"/>
  <c r="AL133" i="39" s="1"/>
  <c r="P133" i="39"/>
  <c r="L63" i="39"/>
  <c r="AP63" i="39" s="1"/>
  <c r="P91" i="39"/>
  <c r="L98" i="39"/>
  <c r="AP98" i="39" s="1"/>
  <c r="P102" i="39"/>
  <c r="I104" i="39"/>
  <c r="Y104" i="39" s="1"/>
  <c r="P105" i="39"/>
  <c r="G106" i="39"/>
  <c r="M107" i="39"/>
  <c r="AR107" i="39" s="1"/>
  <c r="K109" i="39"/>
  <c r="AJ109" i="39" s="1"/>
  <c r="L110" i="39"/>
  <c r="AP110" i="39" s="1"/>
  <c r="J111" i="39"/>
  <c r="AM111" i="39" s="1"/>
  <c r="J112" i="39"/>
  <c r="AM112" i="39" s="1"/>
  <c r="K113" i="39"/>
  <c r="AJ113" i="39" s="1"/>
  <c r="I114" i="39"/>
  <c r="AN114" i="39" s="1"/>
  <c r="I115" i="39"/>
  <c r="Y115" i="39" s="1"/>
  <c r="J116" i="39"/>
  <c r="AM116" i="39" s="1"/>
  <c r="H117" i="39"/>
  <c r="H118" i="39"/>
  <c r="I119" i="39"/>
  <c r="Y119" i="39" s="1"/>
  <c r="G120" i="39"/>
  <c r="G121" i="39"/>
  <c r="F123" i="39"/>
  <c r="AL123" i="39" s="1"/>
  <c r="F124" i="39"/>
  <c r="AL124" i="39" s="1"/>
  <c r="G125" i="39"/>
  <c r="E126" i="39"/>
  <c r="F128" i="39"/>
  <c r="AL128" i="39" s="1"/>
  <c r="D129" i="39"/>
  <c r="AI129" i="39" s="1"/>
  <c r="D130" i="39"/>
  <c r="AI130" i="39" s="1"/>
  <c r="E131" i="39"/>
  <c r="P132" i="39"/>
  <c r="G133" i="39"/>
  <c r="E134" i="39"/>
  <c r="M134" i="39"/>
  <c r="AR134" i="39" s="1"/>
  <c r="J135" i="39"/>
  <c r="AM135" i="39" s="1"/>
  <c r="AT135" i="39"/>
  <c r="G136" i="39"/>
  <c r="D137" i="39"/>
  <c r="AI137" i="39" s="1"/>
  <c r="L137" i="39"/>
  <c r="AP137" i="39" s="1"/>
  <c r="I138" i="39"/>
  <c r="Y138" i="39" s="1"/>
  <c r="F139" i="39"/>
  <c r="AL139" i="39" s="1"/>
  <c r="P139" i="39"/>
  <c r="C140" i="39"/>
  <c r="K140" i="39"/>
  <c r="AJ140" i="39" s="1"/>
  <c r="H96" i="39"/>
  <c r="M106" i="39"/>
  <c r="AR106" i="39" s="1"/>
  <c r="P107" i="39"/>
  <c r="M110" i="39"/>
  <c r="AR110" i="39" s="1"/>
  <c r="M111" i="39"/>
  <c r="AR111" i="39" s="1"/>
  <c r="P112" i="39"/>
  <c r="L113" i="39"/>
  <c r="AP113" i="39" s="1"/>
  <c r="L114" i="39"/>
  <c r="AP114" i="39" s="1"/>
  <c r="M115" i="39"/>
  <c r="AR115" i="39" s="1"/>
  <c r="K116" i="39"/>
  <c r="AJ116" i="39" s="1"/>
  <c r="K117" i="39"/>
  <c r="AJ117" i="39" s="1"/>
  <c r="L118" i="39"/>
  <c r="AP118" i="39" s="1"/>
  <c r="J119" i="39"/>
  <c r="AM119" i="39" s="1"/>
  <c r="J120" i="39"/>
  <c r="AM120" i="39" s="1"/>
  <c r="K121" i="39"/>
  <c r="AJ121" i="39" s="1"/>
  <c r="I123" i="39"/>
  <c r="Y123" i="39" s="1"/>
  <c r="J124" i="39"/>
  <c r="AM124" i="39" s="1"/>
  <c r="H125" i="39"/>
  <c r="H126" i="39"/>
  <c r="G128" i="39"/>
  <c r="G129" i="39"/>
  <c r="H130" i="39"/>
  <c r="F131" i="39"/>
  <c r="AL131" i="39" s="1"/>
  <c r="C132" i="39"/>
  <c r="H133" i="39"/>
  <c r="F134" i="39"/>
  <c r="AL134" i="39" s="1"/>
  <c r="P134" i="39"/>
  <c r="C135" i="39"/>
  <c r="K135" i="39"/>
  <c r="AJ135" i="39" s="1"/>
  <c r="H136" i="39"/>
  <c r="E137" i="39"/>
  <c r="M137" i="39"/>
  <c r="AR137" i="39" s="1"/>
  <c r="H73" i="39"/>
  <c r="M87" i="39"/>
  <c r="AR87" i="39" s="1"/>
  <c r="P106" i="39"/>
  <c r="P115" i="39"/>
  <c r="P116" i="39"/>
  <c r="M118" i="39"/>
  <c r="AR118" i="39" s="1"/>
  <c r="M119" i="39"/>
  <c r="AR119" i="39" s="1"/>
  <c r="P120" i="39"/>
  <c r="L121" i="39"/>
  <c r="AP121" i="39" s="1"/>
  <c r="M123" i="39"/>
  <c r="AR123" i="39" s="1"/>
  <c r="K124" i="39"/>
  <c r="AJ124" i="39" s="1"/>
  <c r="K125" i="39"/>
  <c r="AJ125" i="39" s="1"/>
  <c r="L126" i="39"/>
  <c r="AP126" i="39" s="1"/>
  <c r="J128" i="39"/>
  <c r="AM128" i="39" s="1"/>
  <c r="K129" i="39"/>
  <c r="AJ129" i="39" s="1"/>
  <c r="I130" i="39"/>
  <c r="Y130" i="39" s="1"/>
  <c r="I131" i="39"/>
  <c r="Y131" i="39" s="1"/>
  <c r="E132" i="39"/>
  <c r="AT132" i="39"/>
  <c r="I133" i="39"/>
  <c r="Y133" i="39" s="1"/>
  <c r="AT133" i="39"/>
  <c r="G134" i="39"/>
  <c r="D135" i="39"/>
  <c r="AI135" i="39" s="1"/>
  <c r="L135" i="39"/>
  <c r="AP135" i="39" s="1"/>
  <c r="I136" i="39"/>
  <c r="AN136" i="39" s="1"/>
  <c r="H97" i="39"/>
  <c r="AT111" i="39"/>
  <c r="AT112" i="39"/>
  <c r="AT116" i="39"/>
  <c r="P131" i="39"/>
  <c r="G132" i="39"/>
  <c r="K133" i="39"/>
  <c r="AJ133" i="39" s="1"/>
  <c r="I134" i="39"/>
  <c r="AN134" i="39" s="1"/>
  <c r="F135" i="39"/>
  <c r="AL135" i="39" s="1"/>
  <c r="P135" i="39"/>
  <c r="C136" i="39"/>
  <c r="K136" i="39"/>
  <c r="AJ136" i="39" s="1"/>
  <c r="H137" i="39"/>
  <c r="E107" i="39"/>
  <c r="C109" i="39"/>
  <c r="D110" i="39"/>
  <c r="AI110" i="39" s="1"/>
  <c r="C113" i="39"/>
  <c r="AT119" i="39"/>
  <c r="AT120" i="39"/>
  <c r="AT124" i="39"/>
  <c r="J132" i="39"/>
  <c r="AM132" i="39" s="1"/>
  <c r="C133" i="39"/>
  <c r="L133" i="39"/>
  <c r="AP133" i="39" s="1"/>
  <c r="J134" i="39"/>
  <c r="AM134" i="39" s="1"/>
  <c r="AT134" i="39"/>
  <c r="G135" i="39"/>
  <c r="D136" i="39"/>
  <c r="AI136" i="39" s="1"/>
  <c r="L136" i="39"/>
  <c r="AP136" i="39" s="1"/>
  <c r="I137" i="39"/>
  <c r="AN137" i="39" s="1"/>
  <c r="I101" i="39"/>
  <c r="AN101" i="39" s="1"/>
  <c r="F105" i="39"/>
  <c r="AL105" i="39" s="1"/>
  <c r="F107" i="39"/>
  <c r="AL107" i="39" s="1"/>
  <c r="E111" i="39"/>
  <c r="E115" i="39"/>
  <c r="P95" i="39"/>
  <c r="I107" i="39"/>
  <c r="Y107" i="39" s="1"/>
  <c r="I111" i="39"/>
  <c r="AN111" i="39" s="1"/>
  <c r="F115" i="39"/>
  <c r="AL115" i="39" s="1"/>
  <c r="E119" i="39"/>
  <c r="E123" i="39"/>
  <c r="K132" i="39"/>
  <c r="AJ132" i="39" s="1"/>
  <c r="C134" i="39"/>
  <c r="AT136" i="39"/>
  <c r="AT137" i="39"/>
  <c r="H138" i="39"/>
  <c r="K139" i="39"/>
  <c r="AJ139" i="39" s="1"/>
  <c r="E140" i="39"/>
  <c r="P140" i="39"/>
  <c r="E141" i="39"/>
  <c r="M141" i="39"/>
  <c r="AR141" i="39" s="1"/>
  <c r="J142" i="39"/>
  <c r="AM142" i="39" s="1"/>
  <c r="AT142" i="39"/>
  <c r="G143" i="39"/>
  <c r="D144" i="39"/>
  <c r="AI144" i="39" s="1"/>
  <c r="L144" i="39"/>
  <c r="AP144" i="39" s="1"/>
  <c r="I145" i="39"/>
  <c r="AN145" i="39" s="1"/>
  <c r="F146" i="39"/>
  <c r="AL146" i="39" s="1"/>
  <c r="P146" i="39"/>
  <c r="H148" i="39"/>
  <c r="M149" i="39"/>
  <c r="AR149" i="39" s="1"/>
  <c r="J150" i="39"/>
  <c r="AM150" i="39" s="1"/>
  <c r="AT150" i="39"/>
  <c r="G151" i="39"/>
  <c r="D152" i="39"/>
  <c r="AI152" i="39" s="1"/>
  <c r="L152" i="39"/>
  <c r="AP152" i="39" s="1"/>
  <c r="E102" i="39"/>
  <c r="E110" i="39"/>
  <c r="D114" i="39"/>
  <c r="AI114" i="39" s="1"/>
  <c r="D118" i="39"/>
  <c r="AI118" i="39" s="1"/>
  <c r="P123" i="39"/>
  <c r="M131" i="39"/>
  <c r="AR131" i="39" s="1"/>
  <c r="M132" i="39"/>
  <c r="AR132" i="39" s="1"/>
  <c r="D133" i="39"/>
  <c r="AI133" i="39" s="1"/>
  <c r="D134" i="39"/>
  <c r="AI134" i="39" s="1"/>
  <c r="E135" i="39"/>
  <c r="E136" i="39"/>
  <c r="J138" i="39"/>
  <c r="AM138" i="39" s="1"/>
  <c r="C139" i="39"/>
  <c r="L139" i="39"/>
  <c r="AP139" i="39" s="1"/>
  <c r="F140" i="39"/>
  <c r="AL140" i="39" s="1"/>
  <c r="F141" i="39"/>
  <c r="AL141" i="39" s="1"/>
  <c r="P141" i="39"/>
  <c r="C142" i="39"/>
  <c r="K142" i="39"/>
  <c r="AJ142" i="39" s="1"/>
  <c r="H143" i="39"/>
  <c r="E144" i="39"/>
  <c r="M144" i="39"/>
  <c r="AR144" i="39" s="1"/>
  <c r="J145" i="39"/>
  <c r="AM145" i="39" s="1"/>
  <c r="AT145" i="39"/>
  <c r="G146" i="39"/>
  <c r="I148" i="39"/>
  <c r="Y148" i="39" s="1"/>
  <c r="C150" i="39"/>
  <c r="K150" i="39"/>
  <c r="AJ150" i="39" s="1"/>
  <c r="H151" i="39"/>
  <c r="E152" i="39"/>
  <c r="M152" i="39"/>
  <c r="AR152" i="39" s="1"/>
  <c r="G154" i="39"/>
  <c r="D155" i="39"/>
  <c r="AI155" i="39" s="1"/>
  <c r="L155" i="39"/>
  <c r="AP155" i="39" s="1"/>
  <c r="I156" i="39"/>
  <c r="Y156" i="39" s="1"/>
  <c r="F157" i="39"/>
  <c r="AL157" i="39" s="1"/>
  <c r="P157" i="39"/>
  <c r="H159" i="39"/>
  <c r="J161" i="39"/>
  <c r="AM161" i="39" s="1"/>
  <c r="AT161" i="39"/>
  <c r="G162" i="39"/>
  <c r="D163" i="39"/>
  <c r="AI163" i="39" s="1"/>
  <c r="C103" i="39"/>
  <c r="C106" i="39"/>
  <c r="H110" i="39"/>
  <c r="H114" i="39"/>
  <c r="E118" i="39"/>
  <c r="D98" i="39"/>
  <c r="AI98" i="39" s="1"/>
  <c r="G109" i="39"/>
  <c r="D113" i="39"/>
  <c r="AI113" i="39" s="1"/>
  <c r="C117" i="39"/>
  <c r="C121" i="39"/>
  <c r="M126" i="39"/>
  <c r="AR126" i="39" s="1"/>
  <c r="AT128" i="39"/>
  <c r="L130" i="39"/>
  <c r="AP130" i="39" s="1"/>
  <c r="J133" i="39"/>
  <c r="AM133" i="39" s="1"/>
  <c r="K134" i="39"/>
  <c r="AJ134" i="39" s="1"/>
  <c r="I135" i="39"/>
  <c r="Y135" i="39" s="1"/>
  <c r="J136" i="39"/>
  <c r="AM136" i="39" s="1"/>
  <c r="F137" i="39"/>
  <c r="AL137" i="39" s="1"/>
  <c r="C138" i="39"/>
  <c r="L138" i="39"/>
  <c r="AP138" i="39" s="1"/>
  <c r="E139" i="39"/>
  <c r="AT139" i="39"/>
  <c r="H140" i="39"/>
  <c r="H141" i="39"/>
  <c r="E142" i="39"/>
  <c r="M142" i="39"/>
  <c r="AR142" i="39" s="1"/>
  <c r="J143" i="39"/>
  <c r="AM143" i="39" s="1"/>
  <c r="AT143" i="39"/>
  <c r="G144" i="39"/>
  <c r="D145" i="39"/>
  <c r="AI145" i="39" s="1"/>
  <c r="L145" i="39"/>
  <c r="AP145" i="39" s="1"/>
  <c r="I146" i="39"/>
  <c r="AN146" i="39" s="1"/>
  <c r="C148" i="39"/>
  <c r="K148" i="39"/>
  <c r="AJ148" i="39" s="1"/>
  <c r="E150" i="39"/>
  <c r="M150" i="39"/>
  <c r="AR150" i="39" s="1"/>
  <c r="J151" i="39"/>
  <c r="AM151" i="39" s="1"/>
  <c r="AT151" i="39"/>
  <c r="G152" i="39"/>
  <c r="D153" i="39"/>
  <c r="AI153" i="39" s="1"/>
  <c r="F99" i="39"/>
  <c r="AL99" i="39" s="1"/>
  <c r="H104" i="39"/>
  <c r="H109" i="39"/>
  <c r="G113" i="39"/>
  <c r="G117" i="39"/>
  <c r="D121" i="39"/>
  <c r="AI121" i="39" s="1"/>
  <c r="C125" i="39"/>
  <c r="C129" i="39"/>
  <c r="M133" i="39"/>
  <c r="AR133" i="39" s="1"/>
  <c r="L134" i="39"/>
  <c r="AP134" i="39" s="1"/>
  <c r="M135" i="39"/>
  <c r="AR135" i="39" s="1"/>
  <c r="M136" i="39"/>
  <c r="AR136" i="39" s="1"/>
  <c r="G137" i="39"/>
  <c r="D138" i="39"/>
  <c r="AI138" i="39" s="1"/>
  <c r="M138" i="39"/>
  <c r="AR138" i="39" s="1"/>
  <c r="G139" i="39"/>
  <c r="I140" i="39"/>
  <c r="Y140" i="39" s="1"/>
  <c r="I141" i="39"/>
  <c r="AN141" i="39" s="1"/>
  <c r="F142" i="39"/>
  <c r="AL142" i="39" s="1"/>
  <c r="P142" i="39"/>
  <c r="C143" i="39"/>
  <c r="K143" i="39"/>
  <c r="AJ143" i="39" s="1"/>
  <c r="H144" i="39"/>
  <c r="E145" i="39"/>
  <c r="M145" i="39"/>
  <c r="AR145" i="39" s="1"/>
  <c r="J146" i="39"/>
  <c r="AM146" i="39" s="1"/>
  <c r="AT146" i="39"/>
  <c r="D148" i="39"/>
  <c r="AI148" i="39" s="1"/>
  <c r="L148" i="39"/>
  <c r="AP148" i="39" s="1"/>
  <c r="I149" i="39"/>
  <c r="AN149" i="39" s="1"/>
  <c r="F150" i="39"/>
  <c r="AL150" i="39" s="1"/>
  <c r="P150" i="39"/>
  <c r="C151" i="39"/>
  <c r="K151" i="39"/>
  <c r="AJ151" i="39" s="1"/>
  <c r="H152" i="39"/>
  <c r="F112" i="39"/>
  <c r="AL112" i="39" s="1"/>
  <c r="C116" i="39"/>
  <c r="L129" i="39"/>
  <c r="AP129" i="39" s="1"/>
  <c r="P136" i="39"/>
  <c r="J137" i="39"/>
  <c r="AM137" i="39" s="1"/>
  <c r="E138" i="39"/>
  <c r="P138" i="39"/>
  <c r="AT138" i="39"/>
  <c r="H139" i="39"/>
  <c r="J140" i="39"/>
  <c r="AM140" i="39" s="1"/>
  <c r="J141" i="39"/>
  <c r="AM141" i="39" s="1"/>
  <c r="AT141" i="39"/>
  <c r="G142" i="39"/>
  <c r="D143" i="39"/>
  <c r="AI143" i="39" s="1"/>
  <c r="L143" i="39"/>
  <c r="AP143" i="39" s="1"/>
  <c r="I144" i="39"/>
  <c r="Y144" i="39" s="1"/>
  <c r="F145" i="39"/>
  <c r="AL145" i="39" s="1"/>
  <c r="P145" i="39"/>
  <c r="C146" i="39"/>
  <c r="K146" i="39"/>
  <c r="AJ146" i="39" s="1"/>
  <c r="E148" i="39"/>
  <c r="M148" i="39"/>
  <c r="AR148" i="39" s="1"/>
  <c r="AT149" i="39"/>
  <c r="G150" i="39"/>
  <c r="D151" i="39"/>
  <c r="AI151" i="39" s="1"/>
  <c r="L151" i="39"/>
  <c r="AP151" i="39" s="1"/>
  <c r="I152" i="39"/>
  <c r="Y152" i="39" s="1"/>
  <c r="C154" i="39"/>
  <c r="K154" i="39"/>
  <c r="AJ154" i="39" s="1"/>
  <c r="H155" i="39"/>
  <c r="E156" i="39"/>
  <c r="M156" i="39"/>
  <c r="AR156" i="39" s="1"/>
  <c r="J157" i="39"/>
  <c r="AM157" i="39" s="1"/>
  <c r="AT157" i="39"/>
  <c r="D159" i="39"/>
  <c r="AI159" i="39" s="1"/>
  <c r="L159" i="39"/>
  <c r="AP159" i="39" s="1"/>
  <c r="F161" i="39"/>
  <c r="AL161" i="39" s="1"/>
  <c r="P161" i="39"/>
  <c r="C162" i="39"/>
  <c r="K162" i="39"/>
  <c r="AJ162" i="39" s="1"/>
  <c r="H163" i="39"/>
  <c r="D100" i="39"/>
  <c r="AI100" i="39" s="1"/>
  <c r="J108" i="39"/>
  <c r="AM108" i="39" s="1"/>
  <c r="G112" i="39"/>
  <c r="F116" i="39"/>
  <c r="AL116" i="39" s="1"/>
  <c r="F120" i="39"/>
  <c r="AL120" i="39" s="1"/>
  <c r="C124" i="39"/>
  <c r="AT131" i="39"/>
  <c r="K137" i="39"/>
  <c r="AJ137" i="39" s="1"/>
  <c r="F138" i="39"/>
  <c r="AL138" i="39" s="1"/>
  <c r="I139" i="39"/>
  <c r="AN139" i="39" s="1"/>
  <c r="L140" i="39"/>
  <c r="AP140" i="39" s="1"/>
  <c r="C141" i="39"/>
  <c r="J139" i="39"/>
  <c r="AM139" i="39" s="1"/>
  <c r="D140" i="39"/>
  <c r="AI140" i="39" s="1"/>
  <c r="AT144" i="39"/>
  <c r="E154" i="39"/>
  <c r="E155" i="39"/>
  <c r="D156" i="39"/>
  <c r="AI156" i="39" s="1"/>
  <c r="D157" i="39"/>
  <c r="AI157" i="39" s="1"/>
  <c r="D158" i="39"/>
  <c r="AI158" i="39" s="1"/>
  <c r="C159" i="39"/>
  <c r="P159" i="39"/>
  <c r="P160" i="39"/>
  <c r="C161" i="39"/>
  <c r="M161" i="39"/>
  <c r="AR161" i="39" s="1"/>
  <c r="M162" i="39"/>
  <c r="AR162" i="39" s="1"/>
  <c r="L163" i="39"/>
  <c r="AP163" i="39" s="1"/>
  <c r="I164" i="39"/>
  <c r="Y164" i="39" s="1"/>
  <c r="F165" i="39"/>
  <c r="AL165" i="39" s="1"/>
  <c r="P165" i="39"/>
  <c r="P128" i="39"/>
  <c r="K141" i="39"/>
  <c r="AJ141" i="39" s="1"/>
  <c r="I142" i="39"/>
  <c r="Y142" i="39" s="1"/>
  <c r="I143" i="39"/>
  <c r="Y143" i="39" s="1"/>
  <c r="J144" i="39"/>
  <c r="AM144" i="39" s="1"/>
  <c r="H145" i="39"/>
  <c r="H146" i="39"/>
  <c r="G148" i="39"/>
  <c r="H150" i="39"/>
  <c r="F151" i="39"/>
  <c r="AL151" i="39" s="1"/>
  <c r="F152" i="39"/>
  <c r="AL152" i="39" s="1"/>
  <c r="J154" i="39"/>
  <c r="AM154" i="39" s="1"/>
  <c r="AT154" i="39"/>
  <c r="J155" i="39"/>
  <c r="AM155" i="39" s="1"/>
  <c r="AT155" i="39"/>
  <c r="J156" i="39"/>
  <c r="AM156" i="39" s="1"/>
  <c r="AT156" i="39"/>
  <c r="I157" i="39"/>
  <c r="Y157" i="39" s="1"/>
  <c r="I159" i="39"/>
  <c r="Y159" i="39" s="1"/>
  <c r="H161" i="39"/>
  <c r="H162" i="39"/>
  <c r="G163" i="39"/>
  <c r="E164" i="39"/>
  <c r="M164" i="39"/>
  <c r="AR164" i="39" s="1"/>
  <c r="J165" i="39"/>
  <c r="AM165" i="39" s="1"/>
  <c r="D126" i="39"/>
  <c r="AI126" i="39" s="1"/>
  <c r="AT140" i="39"/>
  <c r="P144" i="39"/>
  <c r="M146" i="39"/>
  <c r="AR146" i="39" s="1"/>
  <c r="P148" i="39"/>
  <c r="AT148" i="39"/>
  <c r="L150" i="39"/>
  <c r="AP150" i="39" s="1"/>
  <c r="K152" i="39"/>
  <c r="AJ152" i="39" s="1"/>
  <c r="F154" i="39"/>
  <c r="AL154" i="39" s="1"/>
  <c r="F155" i="39"/>
  <c r="AL155" i="39" s="1"/>
  <c r="F156" i="39"/>
  <c r="AL156" i="39" s="1"/>
  <c r="E157" i="39"/>
  <c r="E158" i="39"/>
  <c r="E159" i="39"/>
  <c r="D161" i="39"/>
  <c r="AI161" i="39" s="1"/>
  <c r="D162" i="39"/>
  <c r="AI162" i="39" s="1"/>
  <c r="C163" i="39"/>
  <c r="D164" i="39"/>
  <c r="AI164" i="39" s="1"/>
  <c r="D165" i="39"/>
  <c r="AI165" i="39" s="1"/>
  <c r="F166" i="39"/>
  <c r="AL166" i="39" s="1"/>
  <c r="P166" i="39"/>
  <c r="C167" i="39"/>
  <c r="K167" i="39"/>
  <c r="AJ167" i="39" s="1"/>
  <c r="E169" i="39"/>
  <c r="M169" i="39"/>
  <c r="AR169" i="39" s="1"/>
  <c r="J170" i="39"/>
  <c r="AM170" i="39" s="1"/>
  <c r="AT170" i="39"/>
  <c r="G171" i="39"/>
  <c r="I173" i="39"/>
  <c r="AN173" i="39" s="1"/>
  <c r="F174" i="39"/>
  <c r="AL174" i="39" s="1"/>
  <c r="P174" i="39"/>
  <c r="C175" i="39"/>
  <c r="K175" i="39"/>
  <c r="AJ175" i="39" s="1"/>
  <c r="H176" i="39"/>
  <c r="E177" i="39"/>
  <c r="M177" i="39"/>
  <c r="AR177" i="39" s="1"/>
  <c r="J178" i="39"/>
  <c r="AM178" i="39" s="1"/>
  <c r="AT178" i="39"/>
  <c r="G179" i="39"/>
  <c r="D180" i="39"/>
  <c r="AI180" i="39" s="1"/>
  <c r="L180" i="39"/>
  <c r="AP180" i="39" s="1"/>
  <c r="I181" i="39"/>
  <c r="Y181" i="39" s="1"/>
  <c r="F182" i="39"/>
  <c r="AL182" i="39" s="1"/>
  <c r="P182" i="39"/>
  <c r="C183" i="39"/>
  <c r="K183" i="39"/>
  <c r="AJ183" i="39" s="1"/>
  <c r="H184" i="39"/>
  <c r="E185" i="39"/>
  <c r="H134" i="39"/>
  <c r="G138" i="39"/>
  <c r="M139" i="39"/>
  <c r="AR139" i="39" s="1"/>
  <c r="P143" i="39"/>
  <c r="AT147" i="39"/>
  <c r="M151" i="39"/>
  <c r="AR151" i="39" s="1"/>
  <c r="M154" i="39"/>
  <c r="AR154" i="39" s="1"/>
  <c r="M155" i="39"/>
  <c r="AR155" i="39" s="1"/>
  <c r="L156" i="39"/>
  <c r="AP156" i="39" s="1"/>
  <c r="L157" i="39"/>
  <c r="AP157" i="39" s="1"/>
  <c r="K159" i="39"/>
  <c r="AJ159" i="39" s="1"/>
  <c r="K161" i="39"/>
  <c r="AJ161" i="39" s="1"/>
  <c r="J162" i="39"/>
  <c r="AM162" i="39" s="1"/>
  <c r="J163" i="39"/>
  <c r="AM163" i="39" s="1"/>
  <c r="AT163" i="39"/>
  <c r="J164" i="39"/>
  <c r="AM164" i="39" s="1"/>
  <c r="AT164" i="39"/>
  <c r="I165" i="39"/>
  <c r="AN165" i="39" s="1"/>
  <c r="J166" i="39"/>
  <c r="AM166" i="39" s="1"/>
  <c r="AT166" i="39"/>
  <c r="G167" i="39"/>
  <c r="I169" i="39"/>
  <c r="Y169" i="39" s="1"/>
  <c r="F170" i="39"/>
  <c r="AL170" i="39" s="1"/>
  <c r="P170" i="39"/>
  <c r="C171" i="39"/>
  <c r="K171" i="39"/>
  <c r="AJ171" i="39" s="1"/>
  <c r="H172" i="39"/>
  <c r="E173" i="39"/>
  <c r="M173" i="39"/>
  <c r="AR173" i="39" s="1"/>
  <c r="J174" i="39"/>
  <c r="AM174" i="39" s="1"/>
  <c r="AT174" i="39"/>
  <c r="G175" i="39"/>
  <c r="D176" i="39"/>
  <c r="AI176" i="39" s="1"/>
  <c r="L176" i="39"/>
  <c r="AP176" i="39" s="1"/>
  <c r="I177" i="39"/>
  <c r="Y177" i="39" s="1"/>
  <c r="F178" i="39"/>
  <c r="AL178" i="39" s="1"/>
  <c r="P178" i="39"/>
  <c r="C179" i="39"/>
  <c r="K179" i="39"/>
  <c r="AJ179" i="39" s="1"/>
  <c r="H180" i="39"/>
  <c r="E181" i="39"/>
  <c r="M181" i="39"/>
  <c r="AR181" i="39" s="1"/>
  <c r="J182" i="39"/>
  <c r="AM182" i="39" s="1"/>
  <c r="AT182" i="39"/>
  <c r="G183" i="39"/>
  <c r="D184" i="39"/>
  <c r="AI184" i="39" s="1"/>
  <c r="L184" i="39"/>
  <c r="AP184" i="39" s="1"/>
  <c r="F132" i="39"/>
  <c r="AL132" i="39" s="1"/>
  <c r="F136" i="39"/>
  <c r="AL136" i="39" s="1"/>
  <c r="K138" i="39"/>
  <c r="AJ138" i="39" s="1"/>
  <c r="G141" i="39"/>
  <c r="D142" i="39"/>
  <c r="AI142" i="39" s="1"/>
  <c r="P124" i="39"/>
  <c r="E133" i="39"/>
  <c r="L141" i="39"/>
  <c r="AP141" i="39" s="1"/>
  <c r="H142" i="39"/>
  <c r="E143" i="39"/>
  <c r="C137" i="39"/>
  <c r="G140" i="39"/>
  <c r="L142" i="39"/>
  <c r="AP142" i="39" s="1"/>
  <c r="F143" i="39"/>
  <c r="AL143" i="39" s="1"/>
  <c r="C144" i="39"/>
  <c r="P137" i="39"/>
  <c r="M140" i="39"/>
  <c r="AR140" i="39" s="1"/>
  <c r="M143" i="39"/>
  <c r="AR143" i="39" s="1"/>
  <c r="F144" i="39"/>
  <c r="AL144" i="39" s="1"/>
  <c r="C145" i="39"/>
  <c r="I151" i="39"/>
  <c r="Y151" i="39" s="1"/>
  <c r="C152" i="39"/>
  <c r="K156" i="39"/>
  <c r="AJ156" i="39" s="1"/>
  <c r="G157" i="39"/>
  <c r="J160" i="39"/>
  <c r="AM160" i="39" s="1"/>
  <c r="E161" i="39"/>
  <c r="M163" i="39"/>
  <c r="AR163" i="39" s="1"/>
  <c r="L164" i="39"/>
  <c r="AP164" i="39" s="1"/>
  <c r="L165" i="39"/>
  <c r="AP165" i="39" s="1"/>
  <c r="D166" i="39"/>
  <c r="AI166" i="39" s="1"/>
  <c r="D167" i="39"/>
  <c r="AI167" i="39" s="1"/>
  <c r="P167" i="39"/>
  <c r="C168" i="39"/>
  <c r="C169" i="39"/>
  <c r="P169" i="39"/>
  <c r="C170" i="39"/>
  <c r="M170" i="39"/>
  <c r="AR170" i="39" s="1"/>
  <c r="M171" i="39"/>
  <c r="AR171" i="39" s="1"/>
  <c r="L173" i="39"/>
  <c r="AP173" i="39" s="1"/>
  <c r="L174" i="39"/>
  <c r="AP174" i="39" s="1"/>
  <c r="L175" i="39"/>
  <c r="AP175" i="39" s="1"/>
  <c r="K176" i="39"/>
  <c r="AJ176" i="39" s="1"/>
  <c r="K177" i="39"/>
  <c r="AJ177" i="39" s="1"/>
  <c r="K178" i="39"/>
  <c r="AJ178" i="39" s="1"/>
  <c r="J179" i="39"/>
  <c r="AM179" i="39" s="1"/>
  <c r="AT179" i="39"/>
  <c r="J180" i="39"/>
  <c r="AM180" i="39" s="1"/>
  <c r="AT180" i="39"/>
  <c r="J181" i="39"/>
  <c r="AM181" i="39" s="1"/>
  <c r="AT181" i="39"/>
  <c r="I182" i="39"/>
  <c r="AN182" i="39" s="1"/>
  <c r="I183" i="39"/>
  <c r="Y183" i="39" s="1"/>
  <c r="I184" i="39"/>
  <c r="Y184" i="39" s="1"/>
  <c r="H185" i="39"/>
  <c r="E186" i="39"/>
  <c r="M186" i="39"/>
  <c r="AR186" i="39" s="1"/>
  <c r="J187" i="39"/>
  <c r="AM187" i="39" s="1"/>
  <c r="AT187" i="39"/>
  <c r="G188" i="39"/>
  <c r="D189" i="39"/>
  <c r="AI189" i="39" s="1"/>
  <c r="L189" i="39"/>
  <c r="AP189" i="39" s="1"/>
  <c r="I190" i="39"/>
  <c r="Y190" i="39" s="1"/>
  <c r="F191" i="39"/>
  <c r="AL191" i="39" s="1"/>
  <c r="P191" i="39"/>
  <c r="C192" i="39"/>
  <c r="K192" i="39"/>
  <c r="AJ192" i="39" s="1"/>
  <c r="K144" i="39"/>
  <c r="AJ144" i="39" s="1"/>
  <c r="G145" i="39"/>
  <c r="H135" i="39"/>
  <c r="D141" i="39"/>
  <c r="AI141" i="39" s="1"/>
  <c r="J147" i="39"/>
  <c r="AM147" i="39" s="1"/>
  <c r="F148" i="39"/>
  <c r="AL148" i="39" s="1"/>
  <c r="G153" i="39"/>
  <c r="L154" i="39"/>
  <c r="AP154" i="39" s="1"/>
  <c r="G155" i="39"/>
  <c r="F159" i="39"/>
  <c r="AL159" i="39" s="1"/>
  <c r="I162" i="39"/>
  <c r="AN162" i="39" s="1"/>
  <c r="E163" i="39"/>
  <c r="F164" i="39"/>
  <c r="AL164" i="39" s="1"/>
  <c r="E165" i="39"/>
  <c r="AT165" i="39"/>
  <c r="I166" i="39"/>
  <c r="Y166" i="39" s="1"/>
  <c r="I167" i="39"/>
  <c r="Y167" i="39" s="1"/>
  <c r="H169" i="39"/>
  <c r="H170" i="39"/>
  <c r="H171" i="39"/>
  <c r="G172" i="39"/>
  <c r="G173" i="39"/>
  <c r="G174" i="39"/>
  <c r="F175" i="39"/>
  <c r="AL175" i="39" s="1"/>
  <c r="F176" i="39"/>
  <c r="AL176" i="39" s="1"/>
  <c r="F177" i="39"/>
  <c r="AL177" i="39" s="1"/>
  <c r="E178" i="39"/>
  <c r="E179" i="39"/>
  <c r="E180" i="39"/>
  <c r="D181" i="39"/>
  <c r="AI181" i="39" s="1"/>
  <c r="D182" i="39"/>
  <c r="AI182" i="39" s="1"/>
  <c r="D183" i="39"/>
  <c r="AI183" i="39" s="1"/>
  <c r="P183" i="39"/>
  <c r="C184" i="39"/>
  <c r="P184" i="39"/>
  <c r="C185" i="39"/>
  <c r="L185" i="39"/>
  <c r="AP185" i="39" s="1"/>
  <c r="F187" i="39"/>
  <c r="AL187" i="39" s="1"/>
  <c r="P187" i="39"/>
  <c r="C188" i="39"/>
  <c r="K188" i="39"/>
  <c r="AJ188" i="39" s="1"/>
  <c r="H189" i="39"/>
  <c r="E190" i="39"/>
  <c r="M190" i="39"/>
  <c r="AR190" i="39" s="1"/>
  <c r="J191" i="39"/>
  <c r="AM191" i="39" s="1"/>
  <c r="AT191" i="39"/>
  <c r="G192" i="39"/>
  <c r="D193" i="39"/>
  <c r="AI193" i="39" s="1"/>
  <c r="K145" i="39"/>
  <c r="AJ145" i="39" s="1"/>
  <c r="D150" i="39"/>
  <c r="AI150" i="39" s="1"/>
  <c r="P151" i="39"/>
  <c r="D154" i="39"/>
  <c r="AI154" i="39" s="1"/>
  <c r="K155" i="39"/>
  <c r="AJ155" i="39" s="1"/>
  <c r="H158" i="39"/>
  <c r="AT159" i="39"/>
  <c r="G161" i="39"/>
  <c r="P162" i="39"/>
  <c r="P164" i="39"/>
  <c r="H165" i="39"/>
  <c r="L166" i="39"/>
  <c r="AP166" i="39" s="1"/>
  <c r="L167" i="39"/>
  <c r="AP167" i="39" s="1"/>
  <c r="K168" i="39"/>
  <c r="AJ168" i="39" s="1"/>
  <c r="K169" i="39"/>
  <c r="AJ169" i="39" s="1"/>
  <c r="K170" i="39"/>
  <c r="AJ170" i="39" s="1"/>
  <c r="J171" i="39"/>
  <c r="AM171" i="39" s="1"/>
  <c r="J172" i="39"/>
  <c r="AM172" i="39" s="1"/>
  <c r="J173" i="39"/>
  <c r="AM173" i="39" s="1"/>
  <c r="I174" i="39"/>
  <c r="Y174" i="39" s="1"/>
  <c r="I175" i="39"/>
  <c r="Y175" i="39" s="1"/>
  <c r="I176" i="39"/>
  <c r="AN176" i="39" s="1"/>
  <c r="H177" i="39"/>
  <c r="H178" i="39"/>
  <c r="H179" i="39"/>
  <c r="G180" i="39"/>
  <c r="G181" i="39"/>
  <c r="G182" i="39"/>
  <c r="F183" i="39"/>
  <c r="AL183" i="39" s="1"/>
  <c r="F184" i="39"/>
  <c r="AL184" i="39" s="1"/>
  <c r="I150" i="39"/>
  <c r="AN150" i="39" s="1"/>
  <c r="H154" i="39"/>
  <c r="P155" i="39"/>
  <c r="C157" i="39"/>
  <c r="M158" i="39"/>
  <c r="AR158" i="39" s="1"/>
  <c r="I161" i="39"/>
  <c r="AN161" i="39" s="1"/>
  <c r="AT162" i="39"/>
  <c r="K165" i="39"/>
  <c r="AJ165" i="39" s="1"/>
  <c r="M166" i="39"/>
  <c r="AR166" i="39" s="1"/>
  <c r="M167" i="39"/>
  <c r="AR167" i="39" s="1"/>
  <c r="AT167" i="39"/>
  <c r="AT168" i="39"/>
  <c r="L169" i="39"/>
  <c r="AP169" i="39" s="1"/>
  <c r="AT169" i="39"/>
  <c r="L170" i="39"/>
  <c r="AP170" i="39" s="1"/>
  <c r="L171" i="39"/>
  <c r="AP171" i="39" s="1"/>
  <c r="K172" i="39"/>
  <c r="AJ172" i="39" s="1"/>
  <c r="K173" i="39"/>
  <c r="AJ173" i="39" s="1"/>
  <c r="K174" i="39"/>
  <c r="AJ174" i="39" s="1"/>
  <c r="J175" i="39"/>
  <c r="AM175" i="39" s="1"/>
  <c r="J176" i="39"/>
  <c r="AM176" i="39" s="1"/>
  <c r="J177" i="39"/>
  <c r="AM177" i="39" s="1"/>
  <c r="I178" i="39"/>
  <c r="Y178" i="39" s="1"/>
  <c r="I179" i="39"/>
  <c r="Y179" i="39" s="1"/>
  <c r="I180" i="39"/>
  <c r="Y180" i="39" s="1"/>
  <c r="H181" i="39"/>
  <c r="H182" i="39"/>
  <c r="H183" i="39"/>
  <c r="G184" i="39"/>
  <c r="D139" i="39"/>
  <c r="AI139" i="39" s="1"/>
  <c r="I154" i="39"/>
  <c r="Y154" i="39" s="1"/>
  <c r="H157" i="39"/>
  <c r="AT158" i="39"/>
  <c r="L161" i="39"/>
  <c r="AP161" i="39" s="1"/>
  <c r="M165" i="39"/>
  <c r="AR165" i="39" s="1"/>
  <c r="P171" i="39"/>
  <c r="AT171" i="39"/>
  <c r="AT172" i="39"/>
  <c r="P173" i="39"/>
  <c r="AT173" i="39"/>
  <c r="M174" i="39"/>
  <c r="AR174" i="39" s="1"/>
  <c r="M175" i="39"/>
  <c r="AR175" i="39" s="1"/>
  <c r="M176" i="39"/>
  <c r="AR176" i="39" s="1"/>
  <c r="L177" i="39"/>
  <c r="AP177" i="39" s="1"/>
  <c r="L178" i="39"/>
  <c r="AP178" i="39" s="1"/>
  <c r="L179" i="39"/>
  <c r="AP179" i="39" s="1"/>
  <c r="K180" i="39"/>
  <c r="AJ180" i="39" s="1"/>
  <c r="K181" i="39"/>
  <c r="AJ181" i="39" s="1"/>
  <c r="K182" i="39"/>
  <c r="AJ182" i="39" s="1"/>
  <c r="J183" i="39"/>
  <c r="AM183" i="39" s="1"/>
  <c r="J184" i="39"/>
  <c r="AM184" i="39" s="1"/>
  <c r="J148" i="39"/>
  <c r="AM148" i="39" s="1"/>
  <c r="P154" i="39"/>
  <c r="C156" i="39"/>
  <c r="K157" i="39"/>
  <c r="AJ157" i="39" s="1"/>
  <c r="F163" i="39"/>
  <c r="AL163" i="39" s="1"/>
  <c r="C166" i="39"/>
  <c r="P175" i="39"/>
  <c r="AT175" i="39"/>
  <c r="P176" i="39"/>
  <c r="AT176" i="39"/>
  <c r="P177" i="39"/>
  <c r="AT177" i="39"/>
  <c r="M178" i="39"/>
  <c r="AR178" i="39" s="1"/>
  <c r="M179" i="39"/>
  <c r="AR179" i="39" s="1"/>
  <c r="M180" i="39"/>
  <c r="AR180" i="39" s="1"/>
  <c r="L181" i="39"/>
  <c r="AP181" i="39" s="1"/>
  <c r="L182" i="39"/>
  <c r="AP182" i="39" s="1"/>
  <c r="L183" i="39"/>
  <c r="AP183" i="39" s="1"/>
  <c r="K184" i="39"/>
  <c r="AJ184" i="39" s="1"/>
  <c r="J185" i="39"/>
  <c r="AM185" i="39" s="1"/>
  <c r="AT185" i="39"/>
  <c r="AT186" i="39"/>
  <c r="I187" i="39"/>
  <c r="Y187" i="39" s="1"/>
  <c r="I188" i="39"/>
  <c r="Y188" i="39" s="1"/>
  <c r="I189" i="39"/>
  <c r="AN189" i="39" s="1"/>
  <c r="H190" i="39"/>
  <c r="H191" i="39"/>
  <c r="H192" i="39"/>
  <c r="G193" i="39"/>
  <c r="D194" i="39"/>
  <c r="AI194" i="39" s="1"/>
  <c r="L194" i="39"/>
  <c r="AP194" i="39" s="1"/>
  <c r="I195" i="39"/>
  <c r="Y195" i="39" s="1"/>
  <c r="F196" i="39"/>
  <c r="AL196" i="39" s="1"/>
  <c r="P196" i="39"/>
  <c r="C197" i="39"/>
  <c r="K197" i="39"/>
  <c r="AJ197" i="39" s="1"/>
  <c r="H198" i="39"/>
  <c r="E199" i="39"/>
  <c r="M199" i="39"/>
  <c r="AR199" i="39" s="1"/>
  <c r="J200" i="39"/>
  <c r="AM200" i="39" s="1"/>
  <c r="AT200" i="39"/>
  <c r="G201" i="39"/>
  <c r="D202" i="39"/>
  <c r="AI202" i="39" s="1"/>
  <c r="L202" i="39"/>
  <c r="AP202" i="39" s="1"/>
  <c r="I203" i="39"/>
  <c r="Y203" i="39" s="1"/>
  <c r="F204" i="39"/>
  <c r="AL204" i="39" s="1"/>
  <c r="P204" i="39"/>
  <c r="C205" i="39"/>
  <c r="K205" i="39"/>
  <c r="AJ205" i="39" s="1"/>
  <c r="H206" i="39"/>
  <c r="E207" i="39"/>
  <c r="M207" i="39"/>
  <c r="AR207" i="39" s="1"/>
  <c r="J208" i="39"/>
  <c r="AM208" i="39" s="1"/>
  <c r="AT208" i="39"/>
  <c r="D210" i="39"/>
  <c r="AI210" i="39" s="1"/>
  <c r="L210" i="39"/>
  <c r="AP210" i="39" s="1"/>
  <c r="I211" i="39"/>
  <c r="Y211" i="39" s="1"/>
  <c r="F212" i="39"/>
  <c r="AL212" i="39" s="1"/>
  <c r="P212" i="39"/>
  <c r="K213" i="39"/>
  <c r="AJ213" i="39" s="1"/>
  <c r="H214" i="39"/>
  <c r="E215" i="39"/>
  <c r="M215" i="39"/>
  <c r="AR215" i="39" s="1"/>
  <c r="J216" i="39"/>
  <c r="AM216" i="39" s="1"/>
  <c r="AT216" i="39"/>
  <c r="G217" i="39"/>
  <c r="D218" i="39"/>
  <c r="AI218" i="39" s="1"/>
  <c r="L218" i="39"/>
  <c r="AP218" i="39" s="1"/>
  <c r="I219" i="39"/>
  <c r="Y219" i="39" s="1"/>
  <c r="F220" i="39"/>
  <c r="AL220" i="39" s="1"/>
  <c r="P220" i="39"/>
  <c r="C221" i="39"/>
  <c r="K221" i="39"/>
  <c r="AJ221" i="39" s="1"/>
  <c r="H222" i="39"/>
  <c r="E223" i="39"/>
  <c r="M223" i="39"/>
  <c r="AR223" i="39" s="1"/>
  <c r="J224" i="39"/>
  <c r="AM224" i="39" s="1"/>
  <c r="AT224" i="39"/>
  <c r="G225" i="39"/>
  <c r="D226" i="39"/>
  <c r="AI226" i="39" s="1"/>
  <c r="L226" i="39"/>
  <c r="AP226" i="39" s="1"/>
  <c r="I227" i="39"/>
  <c r="Y227" i="39" s="1"/>
  <c r="F228" i="39"/>
  <c r="AL228" i="39" s="1"/>
  <c r="P228" i="39"/>
  <c r="C229" i="39"/>
  <c r="K229" i="39"/>
  <c r="AJ229" i="39" s="1"/>
  <c r="H230" i="39"/>
  <c r="E231" i="39"/>
  <c r="M231" i="39"/>
  <c r="AR231" i="39" s="1"/>
  <c r="J232" i="39"/>
  <c r="AM232" i="39" s="1"/>
  <c r="AT232" i="39"/>
  <c r="G233" i="39"/>
  <c r="D146" i="39"/>
  <c r="AI146" i="39" s="1"/>
  <c r="G156" i="39"/>
  <c r="M157" i="39"/>
  <c r="AR157" i="39" s="1"/>
  <c r="I163" i="39"/>
  <c r="Y163" i="39" s="1"/>
  <c r="C164" i="39"/>
  <c r="E166" i="39"/>
  <c r="E167" i="39"/>
  <c r="D169" i="39"/>
  <c r="AI169" i="39" s="1"/>
  <c r="D170" i="39"/>
  <c r="AI170" i="39" s="1"/>
  <c r="D171" i="39"/>
  <c r="AI171" i="39" s="1"/>
  <c r="C172" i="39"/>
  <c r="C173" i="39"/>
  <c r="C174" i="39"/>
  <c r="P179" i="39"/>
  <c r="P180" i="39"/>
  <c r="P181" i="39"/>
  <c r="M182" i="39"/>
  <c r="AR182" i="39" s="1"/>
  <c r="M183" i="39"/>
  <c r="AR183" i="39" s="1"/>
  <c r="AT183" i="39"/>
  <c r="M184" i="39"/>
  <c r="AR184" i="39" s="1"/>
  <c r="AT184" i="39"/>
  <c r="E146" i="39"/>
  <c r="AT152" i="39"/>
  <c r="H156" i="39"/>
  <c r="G159" i="39"/>
  <c r="E162" i="39"/>
  <c r="K163" i="39"/>
  <c r="AJ163" i="39" s="1"/>
  <c r="G164" i="39"/>
  <c r="G166" i="39"/>
  <c r="F167" i="39"/>
  <c r="AL167" i="39" s="1"/>
  <c r="F168" i="39"/>
  <c r="AL168" i="39" s="1"/>
  <c r="F169" i="39"/>
  <c r="AL169" i="39" s="1"/>
  <c r="E170" i="39"/>
  <c r="E171" i="39"/>
  <c r="D173" i="39"/>
  <c r="AI173" i="39" s="1"/>
  <c r="D174" i="39"/>
  <c r="AI174" i="39" s="1"/>
  <c r="D175" i="39"/>
  <c r="AI175" i="39" s="1"/>
  <c r="C176" i="39"/>
  <c r="C177" i="39"/>
  <c r="C178" i="39"/>
  <c r="L146" i="39"/>
  <c r="AP146" i="39" s="1"/>
  <c r="J152" i="39"/>
  <c r="AM152" i="39" s="1"/>
  <c r="C153" i="39"/>
  <c r="C155" i="39"/>
  <c r="P156" i="39"/>
  <c r="J159" i="39"/>
  <c r="AM159" i="39" s="1"/>
  <c r="F162" i="39"/>
  <c r="AL162" i="39" s="1"/>
  <c r="P163" i="39"/>
  <c r="H164" i="39"/>
  <c r="C165" i="39"/>
  <c r="H166" i="39"/>
  <c r="H167" i="39"/>
  <c r="G169" i="39"/>
  <c r="G170" i="39"/>
  <c r="F171" i="39"/>
  <c r="AL171" i="39" s="1"/>
  <c r="F172" i="39"/>
  <c r="AL172" i="39" s="1"/>
  <c r="F173" i="39"/>
  <c r="AL173" i="39" s="1"/>
  <c r="E174" i="39"/>
  <c r="E175" i="39"/>
  <c r="E176" i="39"/>
  <c r="D177" i="39"/>
  <c r="AI177" i="39" s="1"/>
  <c r="D178" i="39"/>
  <c r="AI178" i="39" s="1"/>
  <c r="D179" i="39"/>
  <c r="AI179" i="39" s="1"/>
  <c r="C180" i="39"/>
  <c r="C181" i="39"/>
  <c r="C182" i="39"/>
  <c r="E151" i="39"/>
  <c r="P152" i="39"/>
  <c r="H153" i="39"/>
  <c r="I155" i="39"/>
  <c r="Y155" i="39" s="1"/>
  <c r="M159" i="39"/>
  <c r="AR159" i="39" s="1"/>
  <c r="L162" i="39"/>
  <c r="AP162" i="39" s="1"/>
  <c r="K164" i="39"/>
  <c r="AJ164" i="39" s="1"/>
  <c r="G165" i="39"/>
  <c r="K166" i="39"/>
  <c r="AJ166" i="39" s="1"/>
  <c r="J167" i="39"/>
  <c r="AM167" i="39" s="1"/>
  <c r="J168" i="39"/>
  <c r="AM168" i="39" s="1"/>
  <c r="J169" i="39"/>
  <c r="AM169" i="39" s="1"/>
  <c r="I170" i="39"/>
  <c r="AN170" i="39" s="1"/>
  <c r="I171" i="39"/>
  <c r="Y171" i="39" s="1"/>
  <c r="I172" i="39"/>
  <c r="Y172" i="39" s="1"/>
  <c r="H173" i="39"/>
  <c r="H174" i="39"/>
  <c r="H175" i="39"/>
  <c r="G176" i="39"/>
  <c r="G177" i="39"/>
  <c r="G178" i="39"/>
  <c r="F179" i="39"/>
  <c r="AL179" i="39" s="1"/>
  <c r="F180" i="39"/>
  <c r="AL180" i="39" s="1"/>
  <c r="F181" i="39"/>
  <c r="AL181" i="39" s="1"/>
  <c r="E182" i="39"/>
  <c r="E183" i="39"/>
  <c r="E184" i="39"/>
  <c r="D185" i="39"/>
  <c r="AI185" i="39" s="1"/>
  <c r="D186" i="39"/>
  <c r="AI186" i="39" s="1"/>
  <c r="D187" i="39"/>
  <c r="AI187" i="39" s="1"/>
  <c r="D188" i="39"/>
  <c r="AI188" i="39" s="1"/>
  <c r="P188" i="39"/>
  <c r="C189" i="39"/>
  <c r="P189" i="39"/>
  <c r="C190" i="39"/>
  <c r="P190" i="39"/>
  <c r="C191" i="39"/>
  <c r="M191" i="39"/>
  <c r="AR191" i="39" s="1"/>
  <c r="M192" i="39"/>
  <c r="AR192" i="39" s="1"/>
  <c r="K193" i="39"/>
  <c r="AJ193" i="39" s="1"/>
  <c r="H194" i="39"/>
  <c r="E195" i="39"/>
  <c r="M195" i="39"/>
  <c r="AR195" i="39" s="1"/>
  <c r="J196" i="39"/>
  <c r="AM196" i="39" s="1"/>
  <c r="AT196" i="39"/>
  <c r="G197" i="39"/>
  <c r="D198" i="39"/>
  <c r="AI198" i="39" s="1"/>
  <c r="L198" i="39"/>
  <c r="AP198" i="39" s="1"/>
  <c r="I199" i="39"/>
  <c r="Y199" i="39" s="1"/>
  <c r="F200" i="39"/>
  <c r="AL200" i="39" s="1"/>
  <c r="P200" i="39"/>
  <c r="K201" i="39"/>
  <c r="AJ201" i="39" s="1"/>
  <c r="H202" i="39"/>
  <c r="E203" i="39"/>
  <c r="M203" i="39"/>
  <c r="AR203" i="39" s="1"/>
  <c r="J204" i="39"/>
  <c r="AM204" i="39" s="1"/>
  <c r="AT204" i="39"/>
  <c r="G205" i="39"/>
  <c r="D206" i="39"/>
  <c r="AI206" i="39" s="1"/>
  <c r="L206" i="39"/>
  <c r="AP206" i="39" s="1"/>
  <c r="I207" i="39"/>
  <c r="Y207" i="39" s="1"/>
  <c r="F208" i="39"/>
  <c r="AL208" i="39" s="1"/>
  <c r="P208" i="39"/>
  <c r="K209" i="39"/>
  <c r="AJ209" i="39" s="1"/>
  <c r="H210" i="39"/>
  <c r="M211" i="39"/>
  <c r="AR211" i="39" s="1"/>
  <c r="J212" i="39"/>
  <c r="AM212" i="39" s="1"/>
  <c r="AT212" i="39"/>
  <c r="D214" i="39"/>
  <c r="AI214" i="39" s="1"/>
  <c r="L214" i="39"/>
  <c r="AP214" i="39" s="1"/>
  <c r="I215" i="39"/>
  <c r="AN215" i="39" s="1"/>
  <c r="F216" i="39"/>
  <c r="AL216" i="39" s="1"/>
  <c r="P216" i="39"/>
  <c r="C217" i="39"/>
  <c r="K217" i="39"/>
  <c r="AJ217" i="39" s="1"/>
  <c r="H218" i="39"/>
  <c r="E219" i="39"/>
  <c r="M219" i="39"/>
  <c r="AR219" i="39" s="1"/>
  <c r="J220" i="39"/>
  <c r="AM220" i="39" s="1"/>
  <c r="AT220" i="39"/>
  <c r="G221" i="39"/>
  <c r="L222" i="39"/>
  <c r="AP222" i="39" s="1"/>
  <c r="I223" i="39"/>
  <c r="Y223" i="39" s="1"/>
  <c r="F224" i="39"/>
  <c r="AL224" i="39" s="1"/>
  <c r="P224" i="39"/>
  <c r="C225" i="39"/>
  <c r="K225" i="39"/>
  <c r="AJ225" i="39" s="1"/>
  <c r="H226" i="39"/>
  <c r="E227" i="39"/>
  <c r="M227" i="39"/>
  <c r="AR227" i="39" s="1"/>
  <c r="J228" i="39"/>
  <c r="AM228" i="39" s="1"/>
  <c r="AT228" i="39"/>
  <c r="G229" i="39"/>
  <c r="D230" i="39"/>
  <c r="AI230" i="39" s="1"/>
  <c r="L230" i="39"/>
  <c r="AP230" i="39" s="1"/>
  <c r="I231" i="39"/>
  <c r="AN231" i="39" s="1"/>
  <c r="F232" i="39"/>
  <c r="AL232" i="39" s="1"/>
  <c r="P232" i="39"/>
  <c r="C233" i="39"/>
  <c r="K233" i="39"/>
  <c r="AJ233" i="39" s="1"/>
  <c r="F185" i="39"/>
  <c r="AL185" i="39" s="1"/>
  <c r="F186" i="39"/>
  <c r="AL186" i="39" s="1"/>
  <c r="E187" i="39"/>
  <c r="E188" i="39"/>
  <c r="E189" i="39"/>
  <c r="D190" i="39"/>
  <c r="AI190" i="39" s="1"/>
  <c r="D191" i="39"/>
  <c r="AI191" i="39" s="1"/>
  <c r="D192" i="39"/>
  <c r="AI192" i="39" s="1"/>
  <c r="C193" i="39"/>
  <c r="P193" i="39"/>
  <c r="C194" i="39"/>
  <c r="P194" i="39"/>
  <c r="C195" i="39"/>
  <c r="P195" i="39"/>
  <c r="C196" i="39"/>
  <c r="M196" i="39"/>
  <c r="AR196" i="39" s="1"/>
  <c r="M197" i="39"/>
  <c r="AR197" i="39" s="1"/>
  <c r="M198" i="39"/>
  <c r="AR198" i="39" s="1"/>
  <c r="L199" i="39"/>
  <c r="AP199" i="39" s="1"/>
  <c r="L200" i="39"/>
  <c r="AP200" i="39" s="1"/>
  <c r="K202" i="39"/>
  <c r="AJ202" i="39" s="1"/>
  <c r="K203" i="39"/>
  <c r="AJ203" i="39" s="1"/>
  <c r="K204" i="39"/>
  <c r="AJ204" i="39" s="1"/>
  <c r="J205" i="39"/>
  <c r="AM205" i="39" s="1"/>
  <c r="AT205" i="39"/>
  <c r="J206" i="39"/>
  <c r="AM206" i="39" s="1"/>
  <c r="AT206" i="39"/>
  <c r="J207" i="39"/>
  <c r="AM207" i="39" s="1"/>
  <c r="AT207" i="39"/>
  <c r="I208" i="39"/>
  <c r="AN208" i="39" s="1"/>
  <c r="I209" i="39"/>
  <c r="Y209" i="39" s="1"/>
  <c r="I210" i="39"/>
  <c r="Y210" i="39" s="1"/>
  <c r="H211" i="39"/>
  <c r="H212" i="39"/>
  <c r="H213" i="39"/>
  <c r="G214" i="39"/>
  <c r="G215" i="39"/>
  <c r="G216" i="39"/>
  <c r="F217" i="39"/>
  <c r="AL217" i="39" s="1"/>
  <c r="F218" i="39"/>
  <c r="AL218" i="39" s="1"/>
  <c r="F219" i="39"/>
  <c r="AL219" i="39" s="1"/>
  <c r="E220" i="39"/>
  <c r="E221" i="39"/>
  <c r="D223" i="39"/>
  <c r="AI223" i="39" s="1"/>
  <c r="D224" i="39"/>
  <c r="AI224" i="39" s="1"/>
  <c r="D225" i="39"/>
  <c r="AI225" i="39" s="1"/>
  <c r="P225" i="39"/>
  <c r="C226" i="39"/>
  <c r="P226" i="39"/>
  <c r="C227" i="39"/>
  <c r="P227" i="39"/>
  <c r="C228" i="39"/>
  <c r="M228" i="39"/>
  <c r="AR228" i="39" s="1"/>
  <c r="G185" i="39"/>
  <c r="G186" i="39"/>
  <c r="G187" i="39"/>
  <c r="F188" i="39"/>
  <c r="AL188" i="39" s="1"/>
  <c r="F189" i="39"/>
  <c r="AL189" i="39" s="1"/>
  <c r="F190" i="39"/>
  <c r="AL190" i="39" s="1"/>
  <c r="E191" i="39"/>
  <c r="E192" i="39"/>
  <c r="E193" i="39"/>
  <c r="E194" i="39"/>
  <c r="D195" i="39"/>
  <c r="AI195" i="39" s="1"/>
  <c r="D196" i="39"/>
  <c r="AI196" i="39" s="1"/>
  <c r="D197" i="39"/>
  <c r="AI197" i="39" s="1"/>
  <c r="P197" i="39"/>
  <c r="C198" i="39"/>
  <c r="P198" i="39"/>
  <c r="C199" i="39"/>
  <c r="P199" i="39"/>
  <c r="C200" i="39"/>
  <c r="M200" i="39"/>
  <c r="AR200" i="39" s="1"/>
  <c r="M201" i="39"/>
  <c r="AR201" i="39" s="1"/>
  <c r="M202" i="39"/>
  <c r="AR202" i="39" s="1"/>
  <c r="L203" i="39"/>
  <c r="AP203" i="39" s="1"/>
  <c r="L204" i="39"/>
  <c r="AP204" i="39" s="1"/>
  <c r="L205" i="39"/>
  <c r="AP205" i="39" s="1"/>
  <c r="K206" i="39"/>
  <c r="AJ206" i="39" s="1"/>
  <c r="K207" i="39"/>
  <c r="AJ207" i="39" s="1"/>
  <c r="K208" i="39"/>
  <c r="AJ208" i="39" s="1"/>
  <c r="J209" i="39"/>
  <c r="AM209" i="39" s="1"/>
  <c r="I185" i="39"/>
  <c r="AN185" i="39" s="1"/>
  <c r="H186" i="39"/>
  <c r="H187" i="39"/>
  <c r="H188" i="39"/>
  <c r="G189" i="39"/>
  <c r="G190" i="39"/>
  <c r="G191" i="39"/>
  <c r="F192" i="39"/>
  <c r="AL192" i="39" s="1"/>
  <c r="F193" i="39"/>
  <c r="AL193" i="39" s="1"/>
  <c r="F194" i="39"/>
  <c r="AL194" i="39" s="1"/>
  <c r="F195" i="39"/>
  <c r="AL195" i="39" s="1"/>
  <c r="E196" i="39"/>
  <c r="E197" i="39"/>
  <c r="E198" i="39"/>
  <c r="D199" i="39"/>
  <c r="AI199" i="39" s="1"/>
  <c r="D200" i="39"/>
  <c r="AI200" i="39" s="1"/>
  <c r="P201" i="39"/>
  <c r="C202" i="39"/>
  <c r="P202" i="39"/>
  <c r="C203" i="39"/>
  <c r="P203" i="39"/>
  <c r="C204" i="39"/>
  <c r="M204" i="39"/>
  <c r="AR204" i="39" s="1"/>
  <c r="M205" i="39"/>
  <c r="AR205" i="39" s="1"/>
  <c r="M206" i="39"/>
  <c r="AR206" i="39" s="1"/>
  <c r="L207" i="39"/>
  <c r="AP207" i="39" s="1"/>
  <c r="L208" i="39"/>
  <c r="AP208" i="39" s="1"/>
  <c r="K185" i="39"/>
  <c r="AJ185" i="39" s="1"/>
  <c r="K186" i="39"/>
  <c r="AJ186" i="39" s="1"/>
  <c r="K187" i="39"/>
  <c r="AJ187" i="39" s="1"/>
  <c r="J188" i="39"/>
  <c r="AM188" i="39" s="1"/>
  <c r="J189" i="39"/>
  <c r="AM189" i="39" s="1"/>
  <c r="J190" i="39"/>
  <c r="AM190" i="39" s="1"/>
  <c r="I191" i="39"/>
  <c r="Y191" i="39" s="1"/>
  <c r="I192" i="39"/>
  <c r="Y192" i="39" s="1"/>
  <c r="H193" i="39"/>
  <c r="G194" i="39"/>
  <c r="G195" i="39"/>
  <c r="G196" i="39"/>
  <c r="F197" i="39"/>
  <c r="AL197" i="39" s="1"/>
  <c r="F198" i="39"/>
  <c r="AL198" i="39" s="1"/>
  <c r="F199" i="39"/>
  <c r="AL199" i="39" s="1"/>
  <c r="E200" i="39"/>
  <c r="E201" i="39"/>
  <c r="E202" i="39"/>
  <c r="D203" i="39"/>
  <c r="AI203" i="39" s="1"/>
  <c r="D204" i="39"/>
  <c r="AI204" i="39" s="1"/>
  <c r="D205" i="39"/>
  <c r="AI205" i="39" s="1"/>
  <c r="P205" i="39"/>
  <c r="C206" i="39"/>
  <c r="P206" i="39"/>
  <c r="C207" i="39"/>
  <c r="P207" i="39"/>
  <c r="C208" i="39"/>
  <c r="M208" i="39"/>
  <c r="AR208" i="39" s="1"/>
  <c r="M210" i="39"/>
  <c r="AR210" i="39" s="1"/>
  <c r="L212" i="39"/>
  <c r="AP212" i="39" s="1"/>
  <c r="L213" i="39"/>
  <c r="AP213" i="39" s="1"/>
  <c r="K214" i="39"/>
  <c r="AJ214" i="39" s="1"/>
  <c r="K215" i="39"/>
  <c r="AJ215" i="39" s="1"/>
  <c r="K216" i="39"/>
  <c r="AJ216" i="39" s="1"/>
  <c r="J217" i="39"/>
  <c r="AM217" i="39" s="1"/>
  <c r="AT217" i="39"/>
  <c r="J218" i="39"/>
  <c r="AM218" i="39" s="1"/>
  <c r="AT218" i="39"/>
  <c r="J219" i="39"/>
  <c r="AM219" i="39" s="1"/>
  <c r="AT219" i="39"/>
  <c r="I220" i="39"/>
  <c r="Y220" i="39" s="1"/>
  <c r="I221" i="39"/>
  <c r="Y221" i="39" s="1"/>
  <c r="H223" i="39"/>
  <c r="H224" i="39"/>
  <c r="H225" i="39"/>
  <c r="G226" i="39"/>
  <c r="G227" i="39"/>
  <c r="G228" i="39"/>
  <c r="F229" i="39"/>
  <c r="AL229" i="39" s="1"/>
  <c r="F230" i="39"/>
  <c r="AL230" i="39" s="1"/>
  <c r="F231" i="39"/>
  <c r="AL231" i="39" s="1"/>
  <c r="E232" i="39"/>
  <c r="E233" i="39"/>
  <c r="C234" i="39"/>
  <c r="K234" i="39"/>
  <c r="AJ234" i="39" s="1"/>
  <c r="H235" i="39"/>
  <c r="E236" i="39"/>
  <c r="J237" i="39"/>
  <c r="AM237" i="39" s="1"/>
  <c r="AT237" i="39"/>
  <c r="G238" i="39"/>
  <c r="D239" i="39"/>
  <c r="AI239" i="39" s="1"/>
  <c r="L239" i="39"/>
  <c r="AP239" i="39" s="1"/>
  <c r="I240" i="39"/>
  <c r="Y240" i="39" s="1"/>
  <c r="F241" i="39"/>
  <c r="AL241" i="39" s="1"/>
  <c r="C242" i="39"/>
  <c r="K242" i="39"/>
  <c r="AJ242" i="39" s="1"/>
  <c r="H243" i="39"/>
  <c r="E244" i="39"/>
  <c r="M244" i="39"/>
  <c r="AR244" i="39" s="1"/>
  <c r="J245" i="39"/>
  <c r="AM245" i="39" s="1"/>
  <c r="AT245" i="39"/>
  <c r="G246" i="39"/>
  <c r="D247" i="39"/>
  <c r="AI247" i="39" s="1"/>
  <c r="L247" i="39"/>
  <c r="AP247" i="39" s="1"/>
  <c r="I248" i="39"/>
  <c r="Y248" i="39" s="1"/>
  <c r="F249" i="39"/>
  <c r="AL249" i="39" s="1"/>
  <c r="P249" i="39"/>
  <c r="K250" i="39"/>
  <c r="AJ250" i="39" s="1"/>
  <c r="H251" i="39"/>
  <c r="E252" i="39"/>
  <c r="M252" i="39"/>
  <c r="AR252" i="39" s="1"/>
  <c r="J253" i="39"/>
  <c r="AM253" i="39" s="1"/>
  <c r="AT253" i="39"/>
  <c r="G254" i="39"/>
  <c r="M185" i="39"/>
  <c r="AR185" i="39" s="1"/>
  <c r="L187" i="39"/>
  <c r="AP187" i="39" s="1"/>
  <c r="L188" i="39"/>
  <c r="AP188" i="39" s="1"/>
  <c r="K189" i="39"/>
  <c r="AJ189" i="39" s="1"/>
  <c r="K190" i="39"/>
  <c r="AJ190" i="39" s="1"/>
  <c r="K191" i="39"/>
  <c r="AJ191" i="39" s="1"/>
  <c r="J192" i="39"/>
  <c r="AM192" i="39" s="1"/>
  <c r="I193" i="39"/>
  <c r="Y193" i="39" s="1"/>
  <c r="I194" i="39"/>
  <c r="Y194" i="39" s="1"/>
  <c r="H195" i="39"/>
  <c r="H196" i="39"/>
  <c r="H197" i="39"/>
  <c r="G198" i="39"/>
  <c r="G199" i="39"/>
  <c r="G200" i="39"/>
  <c r="F201" i="39"/>
  <c r="AL201" i="39" s="1"/>
  <c r="F202" i="39"/>
  <c r="AL202" i="39" s="1"/>
  <c r="F203" i="39"/>
  <c r="AL203" i="39" s="1"/>
  <c r="E204" i="39"/>
  <c r="E205" i="39"/>
  <c r="E206" i="39"/>
  <c r="D207" i="39"/>
  <c r="AI207" i="39" s="1"/>
  <c r="D208" i="39"/>
  <c r="AI208" i="39" s="1"/>
  <c r="D209" i="39"/>
  <c r="AI209" i="39" s="1"/>
  <c r="C210" i="39"/>
  <c r="P210" i="39"/>
  <c r="C211" i="39"/>
  <c r="P211" i="39"/>
  <c r="C212" i="39"/>
  <c r="M212" i="39"/>
  <c r="AR212" i="39" s="1"/>
  <c r="M213" i="39"/>
  <c r="AR213" i="39" s="1"/>
  <c r="M214" i="39"/>
  <c r="AR214" i="39" s="1"/>
  <c r="L215" i="39"/>
  <c r="AP215" i="39" s="1"/>
  <c r="L216" i="39"/>
  <c r="AP216" i="39" s="1"/>
  <c r="L217" i="39"/>
  <c r="AP217" i="39" s="1"/>
  <c r="K218" i="39"/>
  <c r="AJ218" i="39" s="1"/>
  <c r="K219" i="39"/>
  <c r="AJ219" i="39" s="1"/>
  <c r="K220" i="39"/>
  <c r="AJ220" i="39" s="1"/>
  <c r="J221" i="39"/>
  <c r="AM221" i="39" s="1"/>
  <c r="AT221" i="39"/>
  <c r="J222" i="39"/>
  <c r="AM222" i="39" s="1"/>
  <c r="J223" i="39"/>
  <c r="AM223" i="39" s="1"/>
  <c r="AT223" i="39"/>
  <c r="I224" i="39"/>
  <c r="AN224" i="39" s="1"/>
  <c r="I225" i="39"/>
  <c r="AN225" i="39" s="1"/>
  <c r="I226" i="39"/>
  <c r="Y226" i="39" s="1"/>
  <c r="H227" i="39"/>
  <c r="H228" i="39"/>
  <c r="H229" i="39"/>
  <c r="P185" i="39"/>
  <c r="P186" i="39"/>
  <c r="M187" i="39"/>
  <c r="AR187" i="39" s="1"/>
  <c r="M188" i="39"/>
  <c r="AR188" i="39" s="1"/>
  <c r="AT188" i="39"/>
  <c r="M189" i="39"/>
  <c r="AR189" i="39" s="1"/>
  <c r="AT189" i="39"/>
  <c r="L190" i="39"/>
  <c r="AP190" i="39" s="1"/>
  <c r="AT190" i="39"/>
  <c r="L191" i="39"/>
  <c r="AP191" i="39" s="1"/>
  <c r="L192" i="39"/>
  <c r="AP192" i="39" s="1"/>
  <c r="J193" i="39"/>
  <c r="AM193" i="39" s="1"/>
  <c r="AT193" i="39"/>
  <c r="J194" i="39"/>
  <c r="AM194" i="39" s="1"/>
  <c r="AT194" i="39"/>
  <c r="J195" i="39"/>
  <c r="AM195" i="39" s="1"/>
  <c r="AT195" i="39"/>
  <c r="I196" i="39"/>
  <c r="Y196" i="39" s="1"/>
  <c r="I197" i="39"/>
  <c r="Y197" i="39" s="1"/>
  <c r="I198" i="39"/>
  <c r="Y198" i="39" s="1"/>
  <c r="H199" i="39"/>
  <c r="H200" i="39"/>
  <c r="H201" i="39"/>
  <c r="G202" i="39"/>
  <c r="G203" i="39"/>
  <c r="G204" i="39"/>
  <c r="F205" i="39"/>
  <c r="AL205" i="39" s="1"/>
  <c r="F206" i="39"/>
  <c r="AL206" i="39" s="1"/>
  <c r="F207" i="39"/>
  <c r="AL207" i="39" s="1"/>
  <c r="E208" i="39"/>
  <c r="E209" i="39"/>
  <c r="P192" i="39"/>
  <c r="AT192" i="39"/>
  <c r="L193" i="39"/>
  <c r="AP193" i="39" s="1"/>
  <c r="K194" i="39"/>
  <c r="AJ194" i="39" s="1"/>
  <c r="K195" i="39"/>
  <c r="AJ195" i="39" s="1"/>
  <c r="K196" i="39"/>
  <c r="AJ196" i="39" s="1"/>
  <c r="J197" i="39"/>
  <c r="AM197" i="39" s="1"/>
  <c r="AT197" i="39"/>
  <c r="J198" i="39"/>
  <c r="AM198" i="39" s="1"/>
  <c r="AT198" i="39"/>
  <c r="J199" i="39"/>
  <c r="AM199" i="39" s="1"/>
  <c r="AT199" i="39"/>
  <c r="I200" i="39"/>
  <c r="Y200" i="39" s="1"/>
  <c r="I201" i="39"/>
  <c r="AN201" i="39" s="1"/>
  <c r="I202" i="39"/>
  <c r="Y202" i="39" s="1"/>
  <c r="H203" i="39"/>
  <c r="H204" i="39"/>
  <c r="H205" i="39"/>
  <c r="G206" i="39"/>
  <c r="G207" i="39"/>
  <c r="G208" i="39"/>
  <c r="F209" i="39"/>
  <c r="AL209" i="39" s="1"/>
  <c r="C186" i="39"/>
  <c r="C187" i="39"/>
  <c r="M193" i="39"/>
  <c r="AR193" i="39" s="1"/>
  <c r="M194" i="39"/>
  <c r="AR194" i="39" s="1"/>
  <c r="L195" i="39"/>
  <c r="AP195" i="39" s="1"/>
  <c r="L196" i="39"/>
  <c r="AP196" i="39" s="1"/>
  <c r="L197" i="39"/>
  <c r="AP197" i="39" s="1"/>
  <c r="K198" i="39"/>
  <c r="AJ198" i="39" s="1"/>
  <c r="K199" i="39"/>
  <c r="AJ199" i="39" s="1"/>
  <c r="K200" i="39"/>
  <c r="AJ200" i="39" s="1"/>
  <c r="AT201" i="39"/>
  <c r="J202" i="39"/>
  <c r="AM202" i="39" s="1"/>
  <c r="AT202" i="39"/>
  <c r="J203" i="39"/>
  <c r="AM203" i="39" s="1"/>
  <c r="AT203" i="39"/>
  <c r="I204" i="39"/>
  <c r="AN204" i="39" s="1"/>
  <c r="I205" i="39"/>
  <c r="Y205" i="39" s="1"/>
  <c r="I206" i="39"/>
  <c r="Y206" i="39" s="1"/>
  <c r="H207" i="39"/>
  <c r="H208" i="39"/>
  <c r="H209" i="39"/>
  <c r="G210" i="39"/>
  <c r="G211" i="39"/>
  <c r="G212" i="39"/>
  <c r="F213" i="39"/>
  <c r="AL213" i="39" s="1"/>
  <c r="F214" i="39"/>
  <c r="AL214" i="39" s="1"/>
  <c r="F215" i="39"/>
  <c r="AL215" i="39" s="1"/>
  <c r="E216" i="39"/>
  <c r="E217" i="39"/>
  <c r="E218" i="39"/>
  <c r="D219" i="39"/>
  <c r="AI219" i="39" s="1"/>
  <c r="D220" i="39"/>
  <c r="AI220" i="39" s="1"/>
  <c r="D221" i="39"/>
  <c r="AI221" i="39" s="1"/>
  <c r="P221" i="39"/>
  <c r="C222" i="39"/>
  <c r="P222" i="39"/>
  <c r="C223" i="39"/>
  <c r="P223" i="39"/>
  <c r="C224" i="39"/>
  <c r="M224" i="39"/>
  <c r="AR224" i="39" s="1"/>
  <c r="M225" i="39"/>
  <c r="AR225" i="39" s="1"/>
  <c r="M226" i="39"/>
  <c r="AR226" i="39" s="1"/>
  <c r="L227" i="39"/>
  <c r="AP227" i="39" s="1"/>
  <c r="L228" i="39"/>
  <c r="AP228" i="39" s="1"/>
  <c r="L229" i="39"/>
  <c r="AP229" i="39" s="1"/>
  <c r="K230" i="39"/>
  <c r="AJ230" i="39" s="1"/>
  <c r="K231" i="39"/>
  <c r="AJ231" i="39" s="1"/>
  <c r="K232" i="39"/>
  <c r="AJ232" i="39" s="1"/>
  <c r="J233" i="39"/>
  <c r="AM233" i="39" s="1"/>
  <c r="G234" i="39"/>
  <c r="D235" i="39"/>
  <c r="AI235" i="39" s="1"/>
  <c r="L235" i="39"/>
  <c r="AP235" i="39" s="1"/>
  <c r="I236" i="39"/>
  <c r="Y236" i="39" s="1"/>
  <c r="F237" i="39"/>
  <c r="AL237" i="39" s="1"/>
  <c r="P237" i="39"/>
  <c r="C238" i="39"/>
  <c r="K238" i="39"/>
  <c r="AJ238" i="39" s="1"/>
  <c r="H239" i="39"/>
  <c r="E240" i="39"/>
  <c r="M240" i="39"/>
  <c r="AR240" i="39" s="1"/>
  <c r="J241" i="39"/>
  <c r="AM241" i="39" s="1"/>
  <c r="AT241" i="39"/>
  <c r="G242" i="39"/>
  <c r="D243" i="39"/>
  <c r="AI243" i="39" s="1"/>
  <c r="L243" i="39"/>
  <c r="AP243" i="39" s="1"/>
  <c r="I244" i="39"/>
  <c r="Y244" i="39" s="1"/>
  <c r="F245" i="39"/>
  <c r="AL245" i="39" s="1"/>
  <c r="P245" i="39"/>
  <c r="C246" i="39"/>
  <c r="K246" i="39"/>
  <c r="AJ246" i="39" s="1"/>
  <c r="H247" i="39"/>
  <c r="E248" i="39"/>
  <c r="M248" i="39"/>
  <c r="AR248" i="39" s="1"/>
  <c r="J249" i="39"/>
  <c r="AM249" i="39" s="1"/>
  <c r="AT249" i="39"/>
  <c r="G250" i="39"/>
  <c r="D251" i="39"/>
  <c r="AI251" i="39" s="1"/>
  <c r="L251" i="39"/>
  <c r="AP251" i="39" s="1"/>
  <c r="I252" i="39"/>
  <c r="Y252" i="39" s="1"/>
  <c r="F253" i="39"/>
  <c r="AL253" i="39" s="1"/>
  <c r="P253" i="39"/>
  <c r="C254" i="39"/>
  <c r="K254" i="39"/>
  <c r="AJ254" i="39" s="1"/>
  <c r="H255" i="39"/>
  <c r="E256" i="39"/>
  <c r="M256" i="39"/>
  <c r="AR256" i="39" s="1"/>
  <c r="J257" i="39"/>
  <c r="AM257" i="39" s="1"/>
  <c r="L209" i="39"/>
  <c r="AP209" i="39" s="1"/>
  <c r="E210" i="39"/>
  <c r="D212" i="39"/>
  <c r="AI212" i="39" s="1"/>
  <c r="D213" i="39"/>
  <c r="AI213" i="39" s="1"/>
  <c r="C214" i="39"/>
  <c r="C215" i="39"/>
  <c r="C216" i="39"/>
  <c r="AT225" i="39"/>
  <c r="AT226" i="39"/>
  <c r="AT227" i="39"/>
  <c r="P233" i="39"/>
  <c r="AT233" i="39"/>
  <c r="J234" i="39"/>
  <c r="AM234" i="39" s="1"/>
  <c r="AT234" i="39"/>
  <c r="J235" i="39"/>
  <c r="AM235" i="39" s="1"/>
  <c r="AT235" i="39"/>
  <c r="J236" i="39"/>
  <c r="AM236" i="39" s="1"/>
  <c r="AT236" i="39"/>
  <c r="I237" i="39"/>
  <c r="Y237" i="39" s="1"/>
  <c r="I238" i="39"/>
  <c r="Y238" i="39" s="1"/>
  <c r="I239" i="39"/>
  <c r="AN239" i="39" s="1"/>
  <c r="H240" i="39"/>
  <c r="H241" i="39"/>
  <c r="H242" i="39"/>
  <c r="G243" i="39"/>
  <c r="G244" i="39"/>
  <c r="G245" i="39"/>
  <c r="F246" i="39"/>
  <c r="AL246" i="39" s="1"/>
  <c r="F247" i="39"/>
  <c r="AL247" i="39" s="1"/>
  <c r="F248" i="39"/>
  <c r="AL248" i="39" s="1"/>
  <c r="E249" i="39"/>
  <c r="E250" i="39"/>
  <c r="E251" i="39"/>
  <c r="D252" i="39"/>
  <c r="AI252" i="39" s="1"/>
  <c r="D253" i="39"/>
  <c r="AI253" i="39" s="1"/>
  <c r="D254" i="39"/>
  <c r="AI254" i="39" s="1"/>
  <c r="P254" i="39"/>
  <c r="C255" i="39"/>
  <c r="M255" i="39"/>
  <c r="AR255" i="39" s="1"/>
  <c r="G256" i="39"/>
  <c r="I257" i="39"/>
  <c r="Y257" i="39" s="1"/>
  <c r="H258" i="39"/>
  <c r="E259" i="39"/>
  <c r="M259" i="39"/>
  <c r="AR259" i="39" s="1"/>
  <c r="J260" i="39"/>
  <c r="AM260" i="39" s="1"/>
  <c r="AT260" i="39"/>
  <c r="G261" i="39"/>
  <c r="D262" i="39"/>
  <c r="AI262" i="39" s="1"/>
  <c r="L262" i="39"/>
  <c r="AP262" i="39" s="1"/>
  <c r="I263" i="39"/>
  <c r="AN263" i="39" s="1"/>
  <c r="F264" i="39"/>
  <c r="AL264" i="39" s="1"/>
  <c r="P264" i="39"/>
  <c r="C265" i="39"/>
  <c r="K265" i="39"/>
  <c r="AJ265" i="39" s="1"/>
  <c r="H266" i="39"/>
  <c r="F210" i="39"/>
  <c r="AL210" i="39" s="1"/>
  <c r="F211" i="39"/>
  <c r="AL211" i="39" s="1"/>
  <c r="E212" i="39"/>
  <c r="E213" i="39"/>
  <c r="E214" i="39"/>
  <c r="D215" i="39"/>
  <c r="AI215" i="39" s="1"/>
  <c r="D216" i="39"/>
  <c r="AI216" i="39" s="1"/>
  <c r="D217" i="39"/>
  <c r="AI217" i="39" s="1"/>
  <c r="C218" i="39"/>
  <c r="C219" i="39"/>
  <c r="C220" i="39"/>
  <c r="C230" i="39"/>
  <c r="C231" i="39"/>
  <c r="C232" i="39"/>
  <c r="L234" i="39"/>
  <c r="AP234" i="39" s="1"/>
  <c r="K235" i="39"/>
  <c r="AJ235" i="39" s="1"/>
  <c r="K236" i="39"/>
  <c r="AJ236" i="39" s="1"/>
  <c r="K237" i="39"/>
  <c r="AJ237" i="39" s="1"/>
  <c r="J238" i="39"/>
  <c r="AM238" i="39" s="1"/>
  <c r="AT238" i="39"/>
  <c r="J239" i="39"/>
  <c r="AM239" i="39" s="1"/>
  <c r="AT239" i="39"/>
  <c r="J240" i="39"/>
  <c r="AM240" i="39" s="1"/>
  <c r="AT240" i="39"/>
  <c r="I241" i="39"/>
  <c r="AN241" i="39" s="1"/>
  <c r="I242" i="39"/>
  <c r="Y242" i="39" s="1"/>
  <c r="I243" i="39"/>
  <c r="Y243" i="39" s="1"/>
  <c r="H244" i="39"/>
  <c r="H245" i="39"/>
  <c r="H246" i="39"/>
  <c r="G247" i="39"/>
  <c r="G248" i="39"/>
  <c r="G249" i="39"/>
  <c r="F250" i="39"/>
  <c r="AL250" i="39" s="1"/>
  <c r="F251" i="39"/>
  <c r="AL251" i="39" s="1"/>
  <c r="J210" i="39"/>
  <c r="AM210" i="39" s="1"/>
  <c r="J211" i="39"/>
  <c r="AM211" i="39" s="1"/>
  <c r="I212" i="39"/>
  <c r="AN212" i="39" s="1"/>
  <c r="I213" i="39"/>
  <c r="AN213" i="39" s="1"/>
  <c r="I214" i="39"/>
  <c r="AN214" i="39" s="1"/>
  <c r="H215" i="39"/>
  <c r="H216" i="39"/>
  <c r="H217" i="39"/>
  <c r="G218" i="39"/>
  <c r="G219" i="39"/>
  <c r="G220" i="39"/>
  <c r="F221" i="39"/>
  <c r="AL221" i="39" s="1"/>
  <c r="F222" i="39"/>
  <c r="AL222" i="39" s="1"/>
  <c r="F223" i="39"/>
  <c r="AL223" i="39" s="1"/>
  <c r="E224" i="39"/>
  <c r="E225" i="39"/>
  <c r="E226" i="39"/>
  <c r="D227" i="39"/>
  <c r="AI227" i="39" s="1"/>
  <c r="D228" i="39"/>
  <c r="AI228" i="39" s="1"/>
  <c r="D229" i="39"/>
  <c r="AI229" i="39" s="1"/>
  <c r="E230" i="39"/>
  <c r="D231" i="39"/>
  <c r="AI231" i="39" s="1"/>
  <c r="D232" i="39"/>
  <c r="AI232" i="39" s="1"/>
  <c r="D233" i="39"/>
  <c r="AI233" i="39" s="1"/>
  <c r="M234" i="39"/>
  <c r="AR234" i="39" s="1"/>
  <c r="M235" i="39"/>
  <c r="AR235" i="39" s="1"/>
  <c r="L236" i="39"/>
  <c r="AP236" i="39" s="1"/>
  <c r="L237" i="39"/>
  <c r="AP237" i="39" s="1"/>
  <c r="L238" i="39"/>
  <c r="AP238" i="39" s="1"/>
  <c r="K239" i="39"/>
  <c r="AJ239" i="39" s="1"/>
  <c r="K240" i="39"/>
  <c r="AJ240" i="39" s="1"/>
  <c r="K241" i="39"/>
  <c r="AJ241" i="39" s="1"/>
  <c r="J242" i="39"/>
  <c r="AM242" i="39" s="1"/>
  <c r="AT242" i="39"/>
  <c r="J243" i="39"/>
  <c r="AM243" i="39" s="1"/>
  <c r="AT243" i="39"/>
  <c r="J244" i="39"/>
  <c r="AM244" i="39" s="1"/>
  <c r="AT244" i="39"/>
  <c r="I245" i="39"/>
  <c r="AN245" i="39" s="1"/>
  <c r="I246" i="39"/>
  <c r="Y246" i="39" s="1"/>
  <c r="I247" i="39"/>
  <c r="Y247" i="39" s="1"/>
  <c r="H248" i="39"/>
  <c r="H250" i="39"/>
  <c r="K210" i="39"/>
  <c r="AJ210" i="39" s="1"/>
  <c r="K211" i="39"/>
  <c r="AJ211" i="39" s="1"/>
  <c r="K212" i="39"/>
  <c r="AJ212" i="39" s="1"/>
  <c r="J213" i="39"/>
  <c r="AM213" i="39" s="1"/>
  <c r="J214" i="39"/>
  <c r="AM214" i="39" s="1"/>
  <c r="J215" i="39"/>
  <c r="AM215" i="39" s="1"/>
  <c r="I216" i="39"/>
  <c r="AN216" i="39" s="1"/>
  <c r="I217" i="39"/>
  <c r="Y217" i="39" s="1"/>
  <c r="I218" i="39"/>
  <c r="AN218" i="39" s="1"/>
  <c r="H219" i="39"/>
  <c r="H220" i="39"/>
  <c r="H221" i="39"/>
  <c r="G222" i="39"/>
  <c r="G223" i="39"/>
  <c r="G224" i="39"/>
  <c r="F225" i="39"/>
  <c r="AL225" i="39" s="1"/>
  <c r="F226" i="39"/>
  <c r="AL226" i="39" s="1"/>
  <c r="F227" i="39"/>
  <c r="AL227" i="39" s="1"/>
  <c r="E228" i="39"/>
  <c r="E229" i="39"/>
  <c r="G230" i="39"/>
  <c r="G231" i="39"/>
  <c r="G232" i="39"/>
  <c r="F233" i="39"/>
  <c r="AL233" i="39" s="1"/>
  <c r="D234" i="39"/>
  <c r="AI234" i="39" s="1"/>
  <c r="P234" i="39"/>
  <c r="C235" i="39"/>
  <c r="P235" i="39"/>
  <c r="C236" i="39"/>
  <c r="P236" i="39"/>
  <c r="C237" i="39"/>
  <c r="M237" i="39"/>
  <c r="AR237" i="39" s="1"/>
  <c r="M238" i="39"/>
  <c r="AR238" i="39" s="1"/>
  <c r="M239" i="39"/>
  <c r="AR239" i="39" s="1"/>
  <c r="L240" i="39"/>
  <c r="AP240" i="39" s="1"/>
  <c r="L241" i="39"/>
  <c r="AP241" i="39" s="1"/>
  <c r="L242" i="39"/>
  <c r="AP242" i="39" s="1"/>
  <c r="K243" i="39"/>
  <c r="AJ243" i="39" s="1"/>
  <c r="K244" i="39"/>
  <c r="AJ244" i="39" s="1"/>
  <c r="K245" i="39"/>
  <c r="AJ245" i="39" s="1"/>
  <c r="J246" i="39"/>
  <c r="AM246" i="39" s="1"/>
  <c r="AT246" i="39"/>
  <c r="J247" i="39"/>
  <c r="AM247" i="39" s="1"/>
  <c r="AT247" i="39"/>
  <c r="J248" i="39"/>
  <c r="AM248" i="39" s="1"/>
  <c r="AT248" i="39"/>
  <c r="I249" i="39"/>
  <c r="AN249" i="39" s="1"/>
  <c r="I250" i="39"/>
  <c r="Y250" i="39" s="1"/>
  <c r="I251" i="39"/>
  <c r="Y251" i="39" s="1"/>
  <c r="H252" i="39"/>
  <c r="H253" i="39"/>
  <c r="H254" i="39"/>
  <c r="G255" i="39"/>
  <c r="J256" i="39"/>
  <c r="AM256" i="39" s="1"/>
  <c r="D257" i="39"/>
  <c r="AI257" i="39" s="1"/>
  <c r="M257" i="39"/>
  <c r="AR257" i="39" s="1"/>
  <c r="C258" i="39"/>
  <c r="K258" i="39"/>
  <c r="AJ258" i="39" s="1"/>
  <c r="H259" i="39"/>
  <c r="E260" i="39"/>
  <c r="M260" i="39"/>
  <c r="AR260" i="39" s="1"/>
  <c r="J261" i="39"/>
  <c r="AM261" i="39" s="1"/>
  <c r="AT261" i="39"/>
  <c r="G262" i="39"/>
  <c r="D263" i="39"/>
  <c r="AI263" i="39" s="1"/>
  <c r="L263" i="39"/>
  <c r="AP263" i="39" s="1"/>
  <c r="I264" i="39"/>
  <c r="Y264" i="39" s="1"/>
  <c r="F265" i="39"/>
  <c r="AL265" i="39" s="1"/>
  <c r="P265" i="39"/>
  <c r="C266" i="39"/>
  <c r="K266" i="39"/>
  <c r="AJ266" i="39" s="1"/>
  <c r="H267" i="39"/>
  <c r="E268" i="39"/>
  <c r="M268" i="39"/>
  <c r="AR268" i="39" s="1"/>
  <c r="J269" i="39"/>
  <c r="AM269" i="39" s="1"/>
  <c r="AT269" i="39"/>
  <c r="G270" i="39"/>
  <c r="D271" i="39"/>
  <c r="AI271" i="39" s="1"/>
  <c r="L271" i="39"/>
  <c r="AP271" i="39" s="1"/>
  <c r="I272" i="39"/>
  <c r="Y272" i="39" s="1"/>
  <c r="F273" i="39"/>
  <c r="AL273" i="39" s="1"/>
  <c r="P273" i="39"/>
  <c r="C274" i="39"/>
  <c r="K274" i="39"/>
  <c r="AJ274" i="39" s="1"/>
  <c r="H275" i="39"/>
  <c r="E276" i="39"/>
  <c r="M276" i="39"/>
  <c r="AR276" i="39" s="1"/>
  <c r="J277" i="39"/>
  <c r="AM277" i="39" s="1"/>
  <c r="AT277" i="39"/>
  <c r="G278" i="39"/>
  <c r="D279" i="39"/>
  <c r="AI279" i="39" s="1"/>
  <c r="L279" i="39"/>
  <c r="AP279" i="39" s="1"/>
  <c r="I280" i="39"/>
  <c r="Y280" i="39" s="1"/>
  <c r="F281" i="39"/>
  <c r="AL281" i="39" s="1"/>
  <c r="P281" i="39"/>
  <c r="C282" i="39"/>
  <c r="K282" i="39"/>
  <c r="AJ282" i="39" s="1"/>
  <c r="H283" i="39"/>
  <c r="E284" i="39"/>
  <c r="M284" i="39"/>
  <c r="AR284" i="39" s="1"/>
  <c r="J285" i="39"/>
  <c r="AM285" i="39" s="1"/>
  <c r="AT285" i="39"/>
  <c r="G286" i="39"/>
  <c r="D287" i="39"/>
  <c r="AI287" i="39" s="1"/>
  <c r="L287" i="39"/>
  <c r="AP287" i="39" s="1"/>
  <c r="I288" i="39"/>
  <c r="Y288" i="39" s="1"/>
  <c r="F289" i="39"/>
  <c r="AL289" i="39" s="1"/>
  <c r="P289" i="39"/>
  <c r="C290" i="39"/>
  <c r="K290" i="39"/>
  <c r="AJ290" i="39" s="1"/>
  <c r="H291" i="39"/>
  <c r="E292" i="39"/>
  <c r="M292" i="39"/>
  <c r="AR292" i="39" s="1"/>
  <c r="P213" i="39"/>
  <c r="P214" i="39"/>
  <c r="P215" i="39"/>
  <c r="M216" i="39"/>
  <c r="AR216" i="39" s="1"/>
  <c r="M217" i="39"/>
  <c r="AR217" i="39" s="1"/>
  <c r="M218" i="39"/>
  <c r="AR218" i="39" s="1"/>
  <c r="L219" i="39"/>
  <c r="AP219" i="39" s="1"/>
  <c r="L220" i="39"/>
  <c r="AP220" i="39" s="1"/>
  <c r="L221" i="39"/>
  <c r="AP221" i="39" s="1"/>
  <c r="K222" i="39"/>
  <c r="AJ222" i="39" s="1"/>
  <c r="K223" i="39"/>
  <c r="AJ223" i="39" s="1"/>
  <c r="K224" i="39"/>
  <c r="AJ224" i="39" s="1"/>
  <c r="J225" i="39"/>
  <c r="AM225" i="39" s="1"/>
  <c r="J226" i="39"/>
  <c r="AM226" i="39" s="1"/>
  <c r="J227" i="39"/>
  <c r="AM227" i="39" s="1"/>
  <c r="I228" i="39"/>
  <c r="Y228" i="39" s="1"/>
  <c r="I229" i="39"/>
  <c r="AN229" i="39" s="1"/>
  <c r="I230" i="39"/>
  <c r="AN230" i="39" s="1"/>
  <c r="H231" i="39"/>
  <c r="H232" i="39"/>
  <c r="H233" i="39"/>
  <c r="E234" i="39"/>
  <c r="E235" i="39"/>
  <c r="D236" i="39"/>
  <c r="AI236" i="39" s="1"/>
  <c r="D237" i="39"/>
  <c r="AI237" i="39" s="1"/>
  <c r="D238" i="39"/>
  <c r="AI238" i="39" s="1"/>
  <c r="P238" i="39"/>
  <c r="C239" i="39"/>
  <c r="P239" i="39"/>
  <c r="C240" i="39"/>
  <c r="P240" i="39"/>
  <c r="C241" i="39"/>
  <c r="M241" i="39"/>
  <c r="AR241" i="39" s="1"/>
  <c r="M242" i="39"/>
  <c r="AR242" i="39" s="1"/>
  <c r="M243" i="39"/>
  <c r="AR243" i="39" s="1"/>
  <c r="L244" i="39"/>
  <c r="AP244" i="39" s="1"/>
  <c r="L245" i="39"/>
  <c r="AP245" i="39" s="1"/>
  <c r="L246" i="39"/>
  <c r="AP246" i="39" s="1"/>
  <c r="K247" i="39"/>
  <c r="AJ247" i="39" s="1"/>
  <c r="K248" i="39"/>
  <c r="AJ248" i="39" s="1"/>
  <c r="K249" i="39"/>
  <c r="AJ249" i="39" s="1"/>
  <c r="J250" i="39"/>
  <c r="AM250" i="39" s="1"/>
  <c r="AT250" i="39"/>
  <c r="J251" i="39"/>
  <c r="AM251" i="39" s="1"/>
  <c r="AT251" i="39"/>
  <c r="J252" i="39"/>
  <c r="AM252" i="39" s="1"/>
  <c r="AT252" i="39"/>
  <c r="I253" i="39"/>
  <c r="AN253" i="39" s="1"/>
  <c r="I254" i="39"/>
  <c r="AN254" i="39" s="1"/>
  <c r="I255" i="39"/>
  <c r="Y255" i="39" s="1"/>
  <c r="K256" i="39"/>
  <c r="AJ256" i="39" s="1"/>
  <c r="E257" i="39"/>
  <c r="P257" i="39"/>
  <c r="D258" i="39"/>
  <c r="AI258" i="39" s="1"/>
  <c r="L258" i="39"/>
  <c r="AP258" i="39" s="1"/>
  <c r="I259" i="39"/>
  <c r="Y259" i="39" s="1"/>
  <c r="F260" i="39"/>
  <c r="AL260" i="39" s="1"/>
  <c r="P260" i="39"/>
  <c r="C261" i="39"/>
  <c r="K261" i="39"/>
  <c r="AJ261" i="39" s="1"/>
  <c r="H262" i="39"/>
  <c r="E263" i="39"/>
  <c r="M263" i="39"/>
  <c r="AR263" i="39" s="1"/>
  <c r="P217" i="39"/>
  <c r="P218" i="39"/>
  <c r="P219" i="39"/>
  <c r="M220" i="39"/>
  <c r="AR220" i="39" s="1"/>
  <c r="M221" i="39"/>
  <c r="AR221" i="39" s="1"/>
  <c r="M222" i="39"/>
  <c r="AR222" i="39" s="1"/>
  <c r="L223" i="39"/>
  <c r="AP223" i="39" s="1"/>
  <c r="L224" i="39"/>
  <c r="AP224" i="39" s="1"/>
  <c r="L225" i="39"/>
  <c r="AP225" i="39" s="1"/>
  <c r="K226" i="39"/>
  <c r="AJ226" i="39" s="1"/>
  <c r="K227" i="39"/>
  <c r="AJ227" i="39" s="1"/>
  <c r="K228" i="39"/>
  <c r="AJ228" i="39" s="1"/>
  <c r="J229" i="39"/>
  <c r="AM229" i="39" s="1"/>
  <c r="J230" i="39"/>
  <c r="AM230" i="39" s="1"/>
  <c r="J231" i="39"/>
  <c r="AM231" i="39" s="1"/>
  <c r="I232" i="39"/>
  <c r="AN232" i="39" s="1"/>
  <c r="I233" i="39"/>
  <c r="AN233" i="39" s="1"/>
  <c r="F234" i="39"/>
  <c r="AL234" i="39" s="1"/>
  <c r="F235" i="39"/>
  <c r="AL235" i="39" s="1"/>
  <c r="F236" i="39"/>
  <c r="AL236" i="39" s="1"/>
  <c r="E237" i="39"/>
  <c r="E238" i="39"/>
  <c r="E239" i="39"/>
  <c r="D240" i="39"/>
  <c r="AI240" i="39" s="1"/>
  <c r="D241" i="39"/>
  <c r="AI241" i="39" s="1"/>
  <c r="D242" i="39"/>
  <c r="AI242" i="39" s="1"/>
  <c r="P242" i="39"/>
  <c r="C243" i="39"/>
  <c r="P243" i="39"/>
  <c r="C244" i="39"/>
  <c r="P244" i="39"/>
  <c r="C245" i="39"/>
  <c r="M245" i="39"/>
  <c r="AR245" i="39" s="1"/>
  <c r="M246" i="39"/>
  <c r="AR246" i="39" s="1"/>
  <c r="M247" i="39"/>
  <c r="AR247" i="39" s="1"/>
  <c r="L248" i="39"/>
  <c r="AP248" i="39" s="1"/>
  <c r="L249" i="39"/>
  <c r="AP249" i="39" s="1"/>
  <c r="L250" i="39"/>
  <c r="AP250" i="39" s="1"/>
  <c r="AT209" i="39"/>
  <c r="AT210" i="39"/>
  <c r="AT211" i="39"/>
  <c r="M229" i="39"/>
  <c r="AR229" i="39" s="1"/>
  <c r="M230" i="39"/>
  <c r="AR230" i="39" s="1"/>
  <c r="L231" i="39"/>
  <c r="AP231" i="39" s="1"/>
  <c r="L232" i="39"/>
  <c r="AP232" i="39" s="1"/>
  <c r="L233" i="39"/>
  <c r="AP233" i="39" s="1"/>
  <c r="H234" i="39"/>
  <c r="G235" i="39"/>
  <c r="G236" i="39"/>
  <c r="G237" i="39"/>
  <c r="F238" i="39"/>
  <c r="AL238" i="39" s="1"/>
  <c r="F239" i="39"/>
  <c r="AL239" i="39" s="1"/>
  <c r="F240" i="39"/>
  <c r="AL240" i="39" s="1"/>
  <c r="E241" i="39"/>
  <c r="E242" i="39"/>
  <c r="E243" i="39"/>
  <c r="D244" i="39"/>
  <c r="AI244" i="39" s="1"/>
  <c r="D245" i="39"/>
  <c r="AI245" i="39" s="1"/>
  <c r="D246" i="39"/>
  <c r="AI246" i="39" s="1"/>
  <c r="P246" i="39"/>
  <c r="C247" i="39"/>
  <c r="P247" i="39"/>
  <c r="C248" i="39"/>
  <c r="P248" i="39"/>
  <c r="C249" i="39"/>
  <c r="M249" i="39"/>
  <c r="AR249" i="39" s="1"/>
  <c r="M250" i="39"/>
  <c r="AR250" i="39" s="1"/>
  <c r="M251" i="39"/>
  <c r="AR251" i="39" s="1"/>
  <c r="AT213" i="39"/>
  <c r="AT214" i="39"/>
  <c r="AT215" i="39"/>
  <c r="P229" i="39"/>
  <c r="AT229" i="39"/>
  <c r="P230" i="39"/>
  <c r="AT230" i="39"/>
  <c r="P231" i="39"/>
  <c r="AT231" i="39"/>
  <c r="M232" i="39"/>
  <c r="AR232" i="39" s="1"/>
  <c r="M233" i="39"/>
  <c r="AR233" i="39" s="1"/>
  <c r="I234" i="39"/>
  <c r="Y234" i="39" s="1"/>
  <c r="I235" i="39"/>
  <c r="Y235" i="39" s="1"/>
  <c r="H236" i="39"/>
  <c r="H237" i="39"/>
  <c r="H238" i="39"/>
  <c r="G239" i="39"/>
  <c r="G240" i="39"/>
  <c r="G241" i="39"/>
  <c r="F242" i="39"/>
  <c r="AL242" i="39" s="1"/>
  <c r="F243" i="39"/>
  <c r="AL243" i="39" s="1"/>
  <c r="F244" i="39"/>
  <c r="AL244" i="39" s="1"/>
  <c r="E245" i="39"/>
  <c r="E246" i="39"/>
  <c r="E247" i="39"/>
  <c r="D248" i="39"/>
  <c r="AI248" i="39" s="1"/>
  <c r="D249" i="39"/>
  <c r="AI249" i="39" s="1"/>
  <c r="D250" i="39"/>
  <c r="AI250" i="39" s="1"/>
  <c r="P250" i="39"/>
  <c r="C251" i="39"/>
  <c r="P251" i="39"/>
  <c r="C252" i="39"/>
  <c r="P252" i="39"/>
  <c r="C253" i="39"/>
  <c r="M253" i="39"/>
  <c r="AR253" i="39" s="1"/>
  <c r="M254" i="39"/>
  <c r="AR254" i="39" s="1"/>
  <c r="L255" i="39"/>
  <c r="AP255" i="39" s="1"/>
  <c r="F256" i="39"/>
  <c r="AL256" i="39" s="1"/>
  <c r="AT256" i="39"/>
  <c r="H257" i="39"/>
  <c r="AT257" i="39"/>
  <c r="G258" i="39"/>
  <c r="D259" i="39"/>
  <c r="AI259" i="39" s="1"/>
  <c r="L259" i="39"/>
  <c r="AP259" i="39" s="1"/>
  <c r="I260" i="39"/>
  <c r="Y260" i="39" s="1"/>
  <c r="F261" i="39"/>
  <c r="AL261" i="39" s="1"/>
  <c r="P261" i="39"/>
  <c r="C262" i="39"/>
  <c r="K262" i="39"/>
  <c r="AJ262" i="39" s="1"/>
  <c r="H263" i="39"/>
  <c r="E264" i="39"/>
  <c r="M264" i="39"/>
  <c r="AR264" i="39" s="1"/>
  <c r="J265" i="39"/>
  <c r="AM265" i="39" s="1"/>
  <c r="AT265" i="39"/>
  <c r="G266" i="39"/>
  <c r="D267" i="39"/>
  <c r="AI267" i="39" s="1"/>
  <c r="L267" i="39"/>
  <c r="AP267" i="39" s="1"/>
  <c r="I268" i="39"/>
  <c r="AN268" i="39" s="1"/>
  <c r="F269" i="39"/>
  <c r="AL269" i="39" s="1"/>
  <c r="P269" i="39"/>
  <c r="C270" i="39"/>
  <c r="K270" i="39"/>
  <c r="AJ270" i="39" s="1"/>
  <c r="H271" i="39"/>
  <c r="E272" i="39"/>
  <c r="M272" i="39"/>
  <c r="AR272" i="39" s="1"/>
  <c r="J273" i="39"/>
  <c r="AM273" i="39" s="1"/>
  <c r="AT273" i="39"/>
  <c r="G274" i="39"/>
  <c r="D275" i="39"/>
  <c r="AI275" i="39" s="1"/>
  <c r="L275" i="39"/>
  <c r="AP275" i="39" s="1"/>
  <c r="I276" i="39"/>
  <c r="Y276" i="39" s="1"/>
  <c r="F277" i="39"/>
  <c r="AL277" i="39" s="1"/>
  <c r="P277" i="39"/>
  <c r="C278" i="39"/>
  <c r="K278" i="39"/>
  <c r="AJ278" i="39" s="1"/>
  <c r="H279" i="39"/>
  <c r="E280" i="39"/>
  <c r="M280" i="39"/>
  <c r="AR280" i="39" s="1"/>
  <c r="J281" i="39"/>
  <c r="AM281" i="39" s="1"/>
  <c r="AT281" i="39"/>
  <c r="G282" i="39"/>
  <c r="D283" i="39"/>
  <c r="AI283" i="39" s="1"/>
  <c r="L283" i="39"/>
  <c r="AP283" i="39" s="1"/>
  <c r="I284" i="39"/>
  <c r="Y284" i="39" s="1"/>
  <c r="F285" i="39"/>
  <c r="AL285" i="39" s="1"/>
  <c r="P285" i="39"/>
  <c r="C286" i="39"/>
  <c r="K286" i="39"/>
  <c r="AJ286" i="39" s="1"/>
  <c r="H287" i="39"/>
  <c r="E288" i="39"/>
  <c r="M288" i="39"/>
  <c r="AR288" i="39" s="1"/>
  <c r="J289" i="39"/>
  <c r="AM289" i="39" s="1"/>
  <c r="AT289" i="39"/>
  <c r="G290" i="39"/>
  <c r="D291" i="39"/>
  <c r="AI291" i="39" s="1"/>
  <c r="L291" i="39"/>
  <c r="AP291" i="39" s="1"/>
  <c r="I292" i="39"/>
  <c r="Y292" i="39" s="1"/>
  <c r="F293" i="39"/>
  <c r="AL293" i="39" s="1"/>
  <c r="P293" i="39"/>
  <c r="C294" i="39"/>
  <c r="G251" i="39"/>
  <c r="P255" i="39"/>
  <c r="H256" i="39"/>
  <c r="I258" i="39"/>
  <c r="AN258" i="39" s="1"/>
  <c r="P259" i="39"/>
  <c r="C260" i="39"/>
  <c r="H261" i="39"/>
  <c r="M262" i="39"/>
  <c r="AR262" i="39" s="1"/>
  <c r="D264" i="39"/>
  <c r="AI264" i="39" s="1"/>
  <c r="M265" i="39"/>
  <c r="AR265" i="39" s="1"/>
  <c r="I266" i="39"/>
  <c r="AN266" i="39" s="1"/>
  <c r="M267" i="39"/>
  <c r="AR267" i="39" s="1"/>
  <c r="L268" i="39"/>
  <c r="AP268" i="39" s="1"/>
  <c r="L269" i="39"/>
  <c r="AP269" i="39" s="1"/>
  <c r="L270" i="39"/>
  <c r="AP270" i="39" s="1"/>
  <c r="K271" i="39"/>
  <c r="AJ271" i="39" s="1"/>
  <c r="K272" i="39"/>
  <c r="AJ272" i="39" s="1"/>
  <c r="K273" i="39"/>
  <c r="AJ273" i="39" s="1"/>
  <c r="J274" i="39"/>
  <c r="AM274" i="39" s="1"/>
  <c r="AT274" i="39"/>
  <c r="J275" i="39"/>
  <c r="AM275" i="39" s="1"/>
  <c r="AT275" i="39"/>
  <c r="J276" i="39"/>
  <c r="AM276" i="39" s="1"/>
  <c r="AT276" i="39"/>
  <c r="I277" i="39"/>
  <c r="Y277" i="39" s="1"/>
  <c r="I278" i="39"/>
  <c r="AN278" i="39" s="1"/>
  <c r="I279" i="39"/>
  <c r="Y279" i="39" s="1"/>
  <c r="H280" i="39"/>
  <c r="H281" i="39"/>
  <c r="H282" i="39"/>
  <c r="G283" i="39"/>
  <c r="G284" i="39"/>
  <c r="G285" i="39"/>
  <c r="F286" i="39"/>
  <c r="AL286" i="39" s="1"/>
  <c r="F287" i="39"/>
  <c r="AL287" i="39" s="1"/>
  <c r="F288" i="39"/>
  <c r="AL288" i="39" s="1"/>
  <c r="E289" i="39"/>
  <c r="E290" i="39"/>
  <c r="E291" i="39"/>
  <c r="D292" i="39"/>
  <c r="AI292" i="39" s="1"/>
  <c r="C293" i="39"/>
  <c r="L293" i="39"/>
  <c r="AP293" i="39" s="1"/>
  <c r="F294" i="39"/>
  <c r="AL294" i="39" s="1"/>
  <c r="P294" i="39"/>
  <c r="C295" i="39"/>
  <c r="K295" i="39"/>
  <c r="AJ295" i="39" s="1"/>
  <c r="H296" i="39"/>
  <c r="E297" i="39"/>
  <c r="M297" i="39"/>
  <c r="AR297" i="39" s="1"/>
  <c r="K251" i="39"/>
  <c r="AJ251" i="39" s="1"/>
  <c r="I256" i="39"/>
  <c r="AN256" i="39" s="1"/>
  <c r="C257" i="39"/>
  <c r="J258" i="39"/>
  <c r="AM258" i="39" s="1"/>
  <c r="AT258" i="39"/>
  <c r="D260" i="39"/>
  <c r="AI260" i="39" s="1"/>
  <c r="I261" i="39"/>
  <c r="Y261" i="39" s="1"/>
  <c r="P262" i="39"/>
  <c r="C263" i="39"/>
  <c r="G264" i="39"/>
  <c r="J266" i="39"/>
  <c r="AM266" i="39" s="1"/>
  <c r="C267" i="39"/>
  <c r="P267" i="39"/>
  <c r="C268" i="39"/>
  <c r="P268" i="39"/>
  <c r="C269" i="39"/>
  <c r="M269" i="39"/>
  <c r="AR269" i="39" s="1"/>
  <c r="M270" i="39"/>
  <c r="AR270" i="39" s="1"/>
  <c r="M271" i="39"/>
  <c r="AR271" i="39" s="1"/>
  <c r="L272" i="39"/>
  <c r="AP272" i="39" s="1"/>
  <c r="L273" i="39"/>
  <c r="AP273" i="39" s="1"/>
  <c r="L274" i="39"/>
  <c r="AP274" i="39" s="1"/>
  <c r="K275" i="39"/>
  <c r="AJ275" i="39" s="1"/>
  <c r="K276" i="39"/>
  <c r="AJ276" i="39" s="1"/>
  <c r="K277" i="39"/>
  <c r="AJ277" i="39" s="1"/>
  <c r="J278" i="39"/>
  <c r="AM278" i="39" s="1"/>
  <c r="AT278" i="39"/>
  <c r="J279" i="39"/>
  <c r="AM279" i="39" s="1"/>
  <c r="AT279" i="39"/>
  <c r="J280" i="39"/>
  <c r="AM280" i="39" s="1"/>
  <c r="AT280" i="39"/>
  <c r="I281" i="39"/>
  <c r="AN281" i="39" s="1"/>
  <c r="I282" i="39"/>
  <c r="Y282" i="39" s="1"/>
  <c r="I283" i="39"/>
  <c r="Y283" i="39" s="1"/>
  <c r="H284" i="39"/>
  <c r="H285" i="39"/>
  <c r="H286" i="39"/>
  <c r="G287" i="39"/>
  <c r="G288" i="39"/>
  <c r="G289" i="39"/>
  <c r="F290" i="39"/>
  <c r="AL290" i="39" s="1"/>
  <c r="F291" i="39"/>
  <c r="AL291" i="39" s="1"/>
  <c r="F292" i="39"/>
  <c r="AL292" i="39" s="1"/>
  <c r="D293" i="39"/>
  <c r="AI293" i="39" s="1"/>
  <c r="M293" i="39"/>
  <c r="AR293" i="39" s="1"/>
  <c r="G294" i="39"/>
  <c r="D295" i="39"/>
  <c r="AI295" i="39" s="1"/>
  <c r="L295" i="39"/>
  <c r="AP295" i="39" s="1"/>
  <c r="I296" i="39"/>
  <c r="Y296" i="39" s="1"/>
  <c r="F297" i="39"/>
  <c r="AL297" i="39" s="1"/>
  <c r="P297" i="39"/>
  <c r="AT254" i="39"/>
  <c r="L256" i="39"/>
  <c r="AP256" i="39" s="1"/>
  <c r="F257" i="39"/>
  <c r="AL257" i="39" s="1"/>
  <c r="M258" i="39"/>
  <c r="AR258" i="39" s="1"/>
  <c r="G260" i="39"/>
  <c r="L261" i="39"/>
  <c r="AP261" i="39" s="1"/>
  <c r="F263" i="39"/>
  <c r="AL263" i="39" s="1"/>
  <c r="H264" i="39"/>
  <c r="D265" i="39"/>
  <c r="AI265" i="39" s="1"/>
  <c r="L266" i="39"/>
  <c r="AP266" i="39" s="1"/>
  <c r="E267" i="39"/>
  <c r="D268" i="39"/>
  <c r="AI268" i="39" s="1"/>
  <c r="D269" i="39"/>
  <c r="AI269" i="39" s="1"/>
  <c r="D270" i="39"/>
  <c r="AI270" i="39" s="1"/>
  <c r="P270" i="39"/>
  <c r="C271" i="39"/>
  <c r="P271" i="39"/>
  <c r="C272" i="39"/>
  <c r="P272" i="39"/>
  <c r="C273" i="39"/>
  <c r="M273" i="39"/>
  <c r="AR273" i="39" s="1"/>
  <c r="M274" i="39"/>
  <c r="AR274" i="39" s="1"/>
  <c r="M275" i="39"/>
  <c r="AR275" i="39" s="1"/>
  <c r="L276" i="39"/>
  <c r="AP276" i="39" s="1"/>
  <c r="L277" i="39"/>
  <c r="AP277" i="39" s="1"/>
  <c r="L278" i="39"/>
  <c r="AP278" i="39" s="1"/>
  <c r="K279" i="39"/>
  <c r="AJ279" i="39" s="1"/>
  <c r="K280" i="39"/>
  <c r="AJ280" i="39" s="1"/>
  <c r="K281" i="39"/>
  <c r="AJ281" i="39" s="1"/>
  <c r="J282" i="39"/>
  <c r="AM282" i="39" s="1"/>
  <c r="AT282" i="39"/>
  <c r="J283" i="39"/>
  <c r="AM283" i="39" s="1"/>
  <c r="AT283" i="39"/>
  <c r="J284" i="39"/>
  <c r="AM284" i="39" s="1"/>
  <c r="AT284" i="39"/>
  <c r="I285" i="39"/>
  <c r="Y285" i="39" s="1"/>
  <c r="I286" i="39"/>
  <c r="Y286" i="39" s="1"/>
  <c r="I287" i="39"/>
  <c r="AN287" i="39" s="1"/>
  <c r="H288" i="39"/>
  <c r="H289" i="39"/>
  <c r="H290" i="39"/>
  <c r="G291" i="39"/>
  <c r="G292" i="39"/>
  <c r="E293" i="39"/>
  <c r="AT293" i="39"/>
  <c r="H294" i="39"/>
  <c r="E295" i="39"/>
  <c r="M295" i="39"/>
  <c r="AR295" i="39" s="1"/>
  <c r="J296" i="39"/>
  <c r="AM296" i="39" s="1"/>
  <c r="AT296" i="39"/>
  <c r="G297" i="39"/>
  <c r="P256" i="39"/>
  <c r="G257" i="39"/>
  <c r="P258" i="39"/>
  <c r="C259" i="39"/>
  <c r="H260" i="39"/>
  <c r="M261" i="39"/>
  <c r="AR261" i="39" s="1"/>
  <c r="G263" i="39"/>
  <c r="J264" i="39"/>
  <c r="AM264" i="39" s="1"/>
  <c r="E265" i="39"/>
  <c r="M266" i="39"/>
  <c r="AR266" i="39" s="1"/>
  <c r="F267" i="39"/>
  <c r="AL267" i="39" s="1"/>
  <c r="F268" i="39"/>
  <c r="AL268" i="39" s="1"/>
  <c r="E269" i="39"/>
  <c r="E270" i="39"/>
  <c r="E271" i="39"/>
  <c r="D272" i="39"/>
  <c r="AI272" i="39" s="1"/>
  <c r="D273" i="39"/>
  <c r="AI273" i="39" s="1"/>
  <c r="D274" i="39"/>
  <c r="AI274" i="39" s="1"/>
  <c r="P274" i="39"/>
  <c r="C275" i="39"/>
  <c r="P275" i="39"/>
  <c r="C276" i="39"/>
  <c r="P276" i="39"/>
  <c r="C277" i="39"/>
  <c r="M277" i="39"/>
  <c r="AR277" i="39" s="1"/>
  <c r="M278" i="39"/>
  <c r="AR278" i="39" s="1"/>
  <c r="M279" i="39"/>
  <c r="AR279" i="39" s="1"/>
  <c r="L280" i="39"/>
  <c r="AP280" i="39" s="1"/>
  <c r="L281" i="39"/>
  <c r="AP281" i="39" s="1"/>
  <c r="L282" i="39"/>
  <c r="AP282" i="39" s="1"/>
  <c r="K283" i="39"/>
  <c r="AJ283" i="39" s="1"/>
  <c r="K284" i="39"/>
  <c r="AJ284" i="39" s="1"/>
  <c r="K285" i="39"/>
  <c r="AJ285" i="39" s="1"/>
  <c r="J286" i="39"/>
  <c r="AM286" i="39" s="1"/>
  <c r="AT286" i="39"/>
  <c r="J287" i="39"/>
  <c r="AM287" i="39" s="1"/>
  <c r="AT287" i="39"/>
  <c r="J288" i="39"/>
  <c r="AM288" i="39" s="1"/>
  <c r="AT288" i="39"/>
  <c r="I289" i="39"/>
  <c r="AN289" i="39" s="1"/>
  <c r="I290" i="39"/>
  <c r="Y290" i="39" s="1"/>
  <c r="I291" i="39"/>
  <c r="Y291" i="39" s="1"/>
  <c r="H292" i="39"/>
  <c r="G293" i="39"/>
  <c r="I294" i="39"/>
  <c r="Y294" i="39" s="1"/>
  <c r="F295" i="39"/>
  <c r="AL295" i="39" s="1"/>
  <c r="P295" i="39"/>
  <c r="C296" i="39"/>
  <c r="K296" i="39"/>
  <c r="AJ296" i="39" s="1"/>
  <c r="H297" i="39"/>
  <c r="E298" i="39"/>
  <c r="M298" i="39"/>
  <c r="AR298" i="39" s="1"/>
  <c r="J299" i="39"/>
  <c r="AM299" i="39" s="1"/>
  <c r="AT299" i="39"/>
  <c r="G300" i="39"/>
  <c r="D301" i="39"/>
  <c r="AI301" i="39" s="1"/>
  <c r="L301" i="39"/>
  <c r="AP301" i="39" s="1"/>
  <c r="I302" i="39"/>
  <c r="AN302" i="39" s="1"/>
  <c r="F303" i="39"/>
  <c r="AL303" i="39" s="1"/>
  <c r="P303" i="39"/>
  <c r="C304" i="39"/>
  <c r="K304" i="39"/>
  <c r="AJ304" i="39" s="1"/>
  <c r="H305" i="39"/>
  <c r="E306" i="39"/>
  <c r="M306" i="39"/>
  <c r="AR306" i="39" s="1"/>
  <c r="J307" i="39"/>
  <c r="AM307" i="39" s="1"/>
  <c r="AT307" i="39"/>
  <c r="G308" i="39"/>
  <c r="D309" i="39"/>
  <c r="AI309" i="39" s="1"/>
  <c r="L309" i="39"/>
  <c r="AP309" i="39" s="1"/>
  <c r="I310" i="39"/>
  <c r="Y310" i="39" s="1"/>
  <c r="F311" i="39"/>
  <c r="AL311" i="39" s="1"/>
  <c r="P311" i="39"/>
  <c r="C312" i="39"/>
  <c r="K312" i="39"/>
  <c r="AJ312" i="39" s="1"/>
  <c r="H313" i="39"/>
  <c r="E314" i="39"/>
  <c r="M314" i="39"/>
  <c r="AR314" i="39" s="1"/>
  <c r="J315" i="39"/>
  <c r="AM315" i="39" s="1"/>
  <c r="AT315" i="39"/>
  <c r="G316" i="39"/>
  <c r="D317" i="39"/>
  <c r="AI317" i="39" s="1"/>
  <c r="L317" i="39"/>
  <c r="AP317" i="39" s="1"/>
  <c r="I318" i="39"/>
  <c r="Y318" i="39" s="1"/>
  <c r="F319" i="39"/>
  <c r="AL319" i="39" s="1"/>
  <c r="P319" i="39"/>
  <c r="C320" i="39"/>
  <c r="K320" i="39"/>
  <c r="AJ320" i="39" s="1"/>
  <c r="H321" i="39"/>
  <c r="E322" i="39"/>
  <c r="M322" i="39"/>
  <c r="AR322" i="39" s="1"/>
  <c r="J323" i="39"/>
  <c r="AM323" i="39" s="1"/>
  <c r="AT323" i="39"/>
  <c r="G324" i="39"/>
  <c r="D325" i="39"/>
  <c r="AI325" i="39" s="1"/>
  <c r="L325" i="39"/>
  <c r="AP325" i="39" s="1"/>
  <c r="I326" i="39"/>
  <c r="Y326" i="39" s="1"/>
  <c r="F327" i="39"/>
  <c r="AL327" i="39" s="1"/>
  <c r="P327" i="39"/>
  <c r="C328" i="39"/>
  <c r="K328" i="39"/>
  <c r="AJ328" i="39" s="1"/>
  <c r="H329" i="39"/>
  <c r="E330" i="39"/>
  <c r="M330" i="39"/>
  <c r="AR330" i="39" s="1"/>
  <c r="J331" i="39"/>
  <c r="AM331" i="39" s="1"/>
  <c r="AT331" i="39"/>
  <c r="G332" i="39"/>
  <c r="D333" i="39"/>
  <c r="AI333" i="39" s="1"/>
  <c r="L333" i="39"/>
  <c r="AP333" i="39" s="1"/>
  <c r="I334" i="39"/>
  <c r="AN334" i="39" s="1"/>
  <c r="F335" i="39"/>
  <c r="AL335" i="39" s="1"/>
  <c r="P335" i="39"/>
  <c r="C336" i="39"/>
  <c r="F252" i="39"/>
  <c r="AL252" i="39" s="1"/>
  <c r="E253" i="39"/>
  <c r="E254" i="39"/>
  <c r="E255" i="39"/>
  <c r="AT255" i="39"/>
  <c r="K257" i="39"/>
  <c r="AJ257" i="39" s="1"/>
  <c r="F259" i="39"/>
  <c r="AL259" i="39" s="1"/>
  <c r="K260" i="39"/>
  <c r="AJ260" i="39" s="1"/>
  <c r="E262" i="39"/>
  <c r="J263" i="39"/>
  <c r="AM263" i="39" s="1"/>
  <c r="AT263" i="39"/>
  <c r="K264" i="39"/>
  <c r="AJ264" i="39" s="1"/>
  <c r="G265" i="39"/>
  <c r="P266" i="39"/>
  <c r="G267" i="39"/>
  <c r="G268" i="39"/>
  <c r="G269" i="39"/>
  <c r="F270" i="39"/>
  <c r="AL270" i="39" s="1"/>
  <c r="F271" i="39"/>
  <c r="AL271" i="39" s="1"/>
  <c r="F272" i="39"/>
  <c r="AL272" i="39" s="1"/>
  <c r="E273" i="39"/>
  <c r="E274" i="39"/>
  <c r="E275" i="39"/>
  <c r="D276" i="39"/>
  <c r="AI276" i="39" s="1"/>
  <c r="D277" i="39"/>
  <c r="AI277" i="39" s="1"/>
  <c r="D278" i="39"/>
  <c r="AI278" i="39" s="1"/>
  <c r="P278" i="39"/>
  <c r="C279" i="39"/>
  <c r="P279" i="39"/>
  <c r="C280" i="39"/>
  <c r="P280" i="39"/>
  <c r="C281" i="39"/>
  <c r="M281" i="39"/>
  <c r="AR281" i="39" s="1"/>
  <c r="M282" i="39"/>
  <c r="AR282" i="39" s="1"/>
  <c r="M283" i="39"/>
  <c r="AR283" i="39" s="1"/>
  <c r="L284" i="39"/>
  <c r="AP284" i="39" s="1"/>
  <c r="L285" i="39"/>
  <c r="AP285" i="39" s="1"/>
  <c r="L286" i="39"/>
  <c r="AP286" i="39" s="1"/>
  <c r="K287" i="39"/>
  <c r="AJ287" i="39" s="1"/>
  <c r="K288" i="39"/>
  <c r="AJ288" i="39" s="1"/>
  <c r="K289" i="39"/>
  <c r="AJ289" i="39" s="1"/>
  <c r="J290" i="39"/>
  <c r="AM290" i="39" s="1"/>
  <c r="AT290" i="39"/>
  <c r="J291" i="39"/>
  <c r="AM291" i="39" s="1"/>
  <c r="AT291" i="39"/>
  <c r="J292" i="39"/>
  <c r="AM292" i="39" s="1"/>
  <c r="AT292" i="39"/>
  <c r="H293" i="39"/>
  <c r="J294" i="39"/>
  <c r="AM294" i="39" s="1"/>
  <c r="AT294" i="39"/>
  <c r="G295" i="39"/>
  <c r="D296" i="39"/>
  <c r="AI296" i="39" s="1"/>
  <c r="L296" i="39"/>
  <c r="AP296" i="39" s="1"/>
  <c r="I297" i="39"/>
  <c r="Y297" i="39" s="1"/>
  <c r="G252" i="39"/>
  <c r="G253" i="39"/>
  <c r="F254" i="39"/>
  <c r="AL254" i="39" s="1"/>
  <c r="F255" i="39"/>
  <c r="AL255" i="39" s="1"/>
  <c r="L257" i="39"/>
  <c r="AP257" i="39" s="1"/>
  <c r="G259" i="39"/>
  <c r="L260" i="39"/>
  <c r="AP260" i="39" s="1"/>
  <c r="F262" i="39"/>
  <c r="AL262" i="39" s="1"/>
  <c r="K263" i="39"/>
  <c r="AJ263" i="39" s="1"/>
  <c r="L264" i="39"/>
  <c r="AP264" i="39" s="1"/>
  <c r="H265" i="39"/>
  <c r="D266" i="39"/>
  <c r="AI266" i="39" s="1"/>
  <c r="I267" i="39"/>
  <c r="Y267" i="39" s="1"/>
  <c r="H268" i="39"/>
  <c r="H269" i="39"/>
  <c r="H270" i="39"/>
  <c r="G271" i="39"/>
  <c r="G272" i="39"/>
  <c r="G273" i="39"/>
  <c r="F274" i="39"/>
  <c r="AL274" i="39" s="1"/>
  <c r="F275" i="39"/>
  <c r="AL275" i="39" s="1"/>
  <c r="F276" i="39"/>
  <c r="AL276" i="39" s="1"/>
  <c r="E277" i="39"/>
  <c r="E278" i="39"/>
  <c r="E279" i="39"/>
  <c r="D280" i="39"/>
  <c r="AI280" i="39" s="1"/>
  <c r="D281" i="39"/>
  <c r="AI281" i="39" s="1"/>
  <c r="D282" i="39"/>
  <c r="AI282" i="39" s="1"/>
  <c r="P282" i="39"/>
  <c r="C283" i="39"/>
  <c r="P283" i="39"/>
  <c r="C284" i="39"/>
  <c r="P284" i="39"/>
  <c r="C285" i="39"/>
  <c r="M285" i="39"/>
  <c r="AR285" i="39" s="1"/>
  <c r="M286" i="39"/>
  <c r="AR286" i="39" s="1"/>
  <c r="M287" i="39"/>
  <c r="AR287" i="39" s="1"/>
  <c r="L288" i="39"/>
  <c r="AP288" i="39" s="1"/>
  <c r="L289" i="39"/>
  <c r="AP289" i="39" s="1"/>
  <c r="L290" i="39"/>
  <c r="AP290" i="39" s="1"/>
  <c r="K291" i="39"/>
  <c r="AJ291" i="39" s="1"/>
  <c r="K292" i="39"/>
  <c r="AJ292" i="39" s="1"/>
  <c r="I293" i="39"/>
  <c r="Y293" i="39" s="1"/>
  <c r="K294" i="39"/>
  <c r="AJ294" i="39" s="1"/>
  <c r="H295" i="39"/>
  <c r="E296" i="39"/>
  <c r="M296" i="39"/>
  <c r="AR296" i="39" s="1"/>
  <c r="J297" i="39"/>
  <c r="AM297" i="39" s="1"/>
  <c r="K252" i="39"/>
  <c r="AJ252" i="39" s="1"/>
  <c r="K253" i="39"/>
  <c r="AJ253" i="39" s="1"/>
  <c r="J254" i="39"/>
  <c r="AM254" i="39" s="1"/>
  <c r="J255" i="39"/>
  <c r="AM255" i="39" s="1"/>
  <c r="C256" i="39"/>
  <c r="E258" i="39"/>
  <c r="J259" i="39"/>
  <c r="AM259" i="39" s="1"/>
  <c r="AT259" i="39"/>
  <c r="D261" i="39"/>
  <c r="AI261" i="39" s="1"/>
  <c r="I262" i="39"/>
  <c r="Y262" i="39" s="1"/>
  <c r="P263" i="39"/>
  <c r="I265" i="39"/>
  <c r="Y265" i="39" s="1"/>
  <c r="E266" i="39"/>
  <c r="AT266" i="39"/>
  <c r="J267" i="39"/>
  <c r="AM267" i="39" s="1"/>
  <c r="AT267" i="39"/>
  <c r="J268" i="39"/>
  <c r="AM268" i="39" s="1"/>
  <c r="AT268" i="39"/>
  <c r="I269" i="39"/>
  <c r="Y269" i="39" s="1"/>
  <c r="I270" i="39"/>
  <c r="AN270" i="39" s="1"/>
  <c r="I271" i="39"/>
  <c r="Y271" i="39" s="1"/>
  <c r="H272" i="39"/>
  <c r="H273" i="39"/>
  <c r="H274" i="39"/>
  <c r="G275" i="39"/>
  <c r="G276" i="39"/>
  <c r="G277" i="39"/>
  <c r="F278" i="39"/>
  <c r="AL278" i="39" s="1"/>
  <c r="F279" i="39"/>
  <c r="AL279" i="39" s="1"/>
  <c r="F280" i="39"/>
  <c r="AL280" i="39" s="1"/>
  <c r="E281" i="39"/>
  <c r="E282" i="39"/>
  <c r="E283" i="39"/>
  <c r="D284" i="39"/>
  <c r="AI284" i="39" s="1"/>
  <c r="D285" i="39"/>
  <c r="AI285" i="39" s="1"/>
  <c r="D286" i="39"/>
  <c r="AI286" i="39" s="1"/>
  <c r="P286" i="39"/>
  <c r="C287" i="39"/>
  <c r="P287" i="39"/>
  <c r="C288" i="39"/>
  <c r="P288" i="39"/>
  <c r="C289" i="39"/>
  <c r="M289" i="39"/>
  <c r="AR289" i="39" s="1"/>
  <c r="M290" i="39"/>
  <c r="AR290" i="39" s="1"/>
  <c r="M291" i="39"/>
  <c r="AR291" i="39" s="1"/>
  <c r="L292" i="39"/>
  <c r="AP292" i="39" s="1"/>
  <c r="J293" i="39"/>
  <c r="AM293" i="39" s="1"/>
  <c r="D294" i="39"/>
  <c r="AI294" i="39" s="1"/>
  <c r="L294" i="39"/>
  <c r="AP294" i="39" s="1"/>
  <c r="I295" i="39"/>
  <c r="AN295" i="39" s="1"/>
  <c r="F296" i="39"/>
  <c r="AL296" i="39" s="1"/>
  <c r="P296" i="39"/>
  <c r="C297" i="39"/>
  <c r="K297" i="39"/>
  <c r="AJ297" i="39" s="1"/>
  <c r="H298" i="39"/>
  <c r="E299" i="39"/>
  <c r="M299" i="39"/>
  <c r="AR299" i="39" s="1"/>
  <c r="J300" i="39"/>
  <c r="AM300" i="39" s="1"/>
  <c r="AT300" i="39"/>
  <c r="G301" i="39"/>
  <c r="D302" i="39"/>
  <c r="AI302" i="39" s="1"/>
  <c r="L302" i="39"/>
  <c r="AP302" i="39" s="1"/>
  <c r="I303" i="39"/>
  <c r="Y303" i="39" s="1"/>
  <c r="F304" i="39"/>
  <c r="AL304" i="39" s="1"/>
  <c r="P304" i="39"/>
  <c r="C305" i="39"/>
  <c r="L252" i="39"/>
  <c r="AP252" i="39" s="1"/>
  <c r="L253" i="39"/>
  <c r="AP253" i="39" s="1"/>
  <c r="L254" i="39"/>
  <c r="AP254" i="39" s="1"/>
  <c r="K255" i="39"/>
  <c r="AJ255" i="39" s="1"/>
  <c r="D256" i="39"/>
  <c r="AI256" i="39" s="1"/>
  <c r="F258" i="39"/>
  <c r="AL258" i="39" s="1"/>
  <c r="K259" i="39"/>
  <c r="AJ259" i="39" s="1"/>
  <c r="E261" i="39"/>
  <c r="J262" i="39"/>
  <c r="AM262" i="39" s="1"/>
  <c r="AT262" i="39"/>
  <c r="C264" i="39"/>
  <c r="AT264" i="39"/>
  <c r="L265" i="39"/>
  <c r="AP265" i="39" s="1"/>
  <c r="F266" i="39"/>
  <c r="AL266" i="39" s="1"/>
  <c r="K267" i="39"/>
  <c r="AJ267" i="39" s="1"/>
  <c r="K268" i="39"/>
  <c r="AJ268" i="39" s="1"/>
  <c r="K269" i="39"/>
  <c r="AJ269" i="39" s="1"/>
  <c r="J270" i="39"/>
  <c r="AM270" i="39" s="1"/>
  <c r="AT270" i="39"/>
  <c r="J271" i="39"/>
  <c r="AM271" i="39" s="1"/>
  <c r="AT271" i="39"/>
  <c r="J272" i="39"/>
  <c r="AM272" i="39" s="1"/>
  <c r="AT272" i="39"/>
  <c r="I273" i="39"/>
  <c r="AN273" i="39" s="1"/>
  <c r="I274" i="39"/>
  <c r="Y274" i="39" s="1"/>
  <c r="I275" i="39"/>
  <c r="Y275" i="39" s="1"/>
  <c r="H276" i="39"/>
  <c r="H277" i="39"/>
  <c r="H278" i="39"/>
  <c r="G279" i="39"/>
  <c r="G280" i="39"/>
  <c r="G281" i="39"/>
  <c r="F282" i="39"/>
  <c r="AL282" i="39" s="1"/>
  <c r="F283" i="39"/>
  <c r="AL283" i="39" s="1"/>
  <c r="F284" i="39"/>
  <c r="AL284" i="39" s="1"/>
  <c r="E285" i="39"/>
  <c r="E286" i="39"/>
  <c r="E287" i="39"/>
  <c r="D288" i="39"/>
  <c r="AI288" i="39" s="1"/>
  <c r="D289" i="39"/>
  <c r="AI289" i="39" s="1"/>
  <c r="D290" i="39"/>
  <c r="AI290" i="39" s="1"/>
  <c r="P290" i="39"/>
  <c r="C291" i="39"/>
  <c r="P291" i="39"/>
  <c r="C292" i="39"/>
  <c r="P292" i="39"/>
  <c r="K293" i="39"/>
  <c r="AJ293" i="39" s="1"/>
  <c r="E294" i="39"/>
  <c r="M294" i="39"/>
  <c r="AR294" i="39" s="1"/>
  <c r="J295" i="39"/>
  <c r="AM295" i="39" s="1"/>
  <c r="AT295" i="39"/>
  <c r="G296" i="39"/>
  <c r="D297" i="39"/>
  <c r="AI297" i="39" s="1"/>
  <c r="L297" i="39"/>
  <c r="AP297" i="39" s="1"/>
  <c r="I298" i="39"/>
  <c r="Y298" i="39" s="1"/>
  <c r="F299" i="39"/>
  <c r="AL299" i="39" s="1"/>
  <c r="P299" i="39"/>
  <c r="C300" i="39"/>
  <c r="K300" i="39"/>
  <c r="AJ300" i="39" s="1"/>
  <c r="H301" i="39"/>
  <c r="E302" i="39"/>
  <c r="M302" i="39"/>
  <c r="AR302" i="39" s="1"/>
  <c r="J303" i="39"/>
  <c r="AM303" i="39" s="1"/>
  <c r="AT303" i="39"/>
  <c r="G304" i="39"/>
  <c r="D305" i="39"/>
  <c r="AI305" i="39" s="1"/>
  <c r="L305" i="39"/>
  <c r="AP305" i="39" s="1"/>
  <c r="I306" i="39"/>
  <c r="AN306" i="39" s="1"/>
  <c r="F307" i="39"/>
  <c r="AL307" i="39" s="1"/>
  <c r="P307" i="39"/>
  <c r="C308" i="39"/>
  <c r="K308" i="39"/>
  <c r="AJ308" i="39" s="1"/>
  <c r="H309" i="39"/>
  <c r="E310" i="39"/>
  <c r="M310" i="39"/>
  <c r="AR310" i="39" s="1"/>
  <c r="J311" i="39"/>
  <c r="AM311" i="39" s="1"/>
  <c r="AT311" i="39"/>
  <c r="G312" i="39"/>
  <c r="D313" i="39"/>
  <c r="AI313" i="39" s="1"/>
  <c r="L313" i="39"/>
  <c r="AP313" i="39" s="1"/>
  <c r="I314" i="39"/>
  <c r="Y314" i="39" s="1"/>
  <c r="F315" i="39"/>
  <c r="AL315" i="39" s="1"/>
  <c r="P315" i="39"/>
  <c r="C316" i="39"/>
  <c r="K316" i="39"/>
  <c r="AJ316" i="39" s="1"/>
  <c r="H317" i="39"/>
  <c r="E318" i="39"/>
  <c r="M318" i="39"/>
  <c r="AR318" i="39" s="1"/>
  <c r="J319" i="39"/>
  <c r="AM319" i="39" s="1"/>
  <c r="AT319" i="39"/>
  <c r="G320" i="39"/>
  <c r="D321" i="39"/>
  <c r="AI321" i="39" s="1"/>
  <c r="L321" i="39"/>
  <c r="AP321" i="39" s="1"/>
  <c r="I322" i="39"/>
  <c r="AN322" i="39" s="1"/>
  <c r="F323" i="39"/>
  <c r="AL323" i="39" s="1"/>
  <c r="P323" i="39"/>
  <c r="C324" i="39"/>
  <c r="K324" i="39"/>
  <c r="AJ324" i="39" s="1"/>
  <c r="H325" i="39"/>
  <c r="E326" i="39"/>
  <c r="M326" i="39"/>
  <c r="AR326" i="39" s="1"/>
  <c r="J327" i="39"/>
  <c r="AM327" i="39" s="1"/>
  <c r="AT327" i="39"/>
  <c r="G328" i="39"/>
  <c r="D329" i="39"/>
  <c r="AI329" i="39" s="1"/>
  <c r="L329" i="39"/>
  <c r="AP329" i="39" s="1"/>
  <c r="I330" i="39"/>
  <c r="Y330" i="39" s="1"/>
  <c r="F331" i="39"/>
  <c r="AL331" i="39" s="1"/>
  <c r="P331" i="39"/>
  <c r="C332" i="39"/>
  <c r="K332" i="39"/>
  <c r="AJ332" i="39" s="1"/>
  <c r="H333" i="39"/>
  <c r="E334" i="39"/>
  <c r="M334" i="39"/>
  <c r="AR334" i="39" s="1"/>
  <c r="J335" i="39"/>
  <c r="AM335" i="39" s="1"/>
  <c r="AT335" i="39"/>
  <c r="G336" i="39"/>
  <c r="D337" i="39"/>
  <c r="AI337" i="39" s="1"/>
  <c r="L337" i="39"/>
  <c r="AP337" i="39" s="1"/>
  <c r="P298" i="39"/>
  <c r="I299" i="39"/>
  <c r="AN299" i="39" s="1"/>
  <c r="E300" i="39"/>
  <c r="M301" i="39"/>
  <c r="AR301" i="39" s="1"/>
  <c r="H302" i="39"/>
  <c r="D303" i="39"/>
  <c r="AI303" i="39" s="1"/>
  <c r="L304" i="39"/>
  <c r="AP304" i="39" s="1"/>
  <c r="G305" i="39"/>
  <c r="G306" i="39"/>
  <c r="G307" i="39"/>
  <c r="F308" i="39"/>
  <c r="AL308" i="39" s="1"/>
  <c r="F309" i="39"/>
  <c r="AL309" i="39" s="1"/>
  <c r="F310" i="39"/>
  <c r="AL310" i="39" s="1"/>
  <c r="E311" i="39"/>
  <c r="E312" i="39"/>
  <c r="E313" i="39"/>
  <c r="D314" i="39"/>
  <c r="AI314" i="39" s="1"/>
  <c r="D315" i="39"/>
  <c r="AI315" i="39" s="1"/>
  <c r="D316" i="39"/>
  <c r="AI316" i="39" s="1"/>
  <c r="P316" i="39"/>
  <c r="C317" i="39"/>
  <c r="P317" i="39"/>
  <c r="C318" i="39"/>
  <c r="P318" i="39"/>
  <c r="C319" i="39"/>
  <c r="M319" i="39"/>
  <c r="AR319" i="39" s="1"/>
  <c r="M320" i="39"/>
  <c r="AR320" i="39" s="1"/>
  <c r="M321" i="39"/>
  <c r="AR321" i="39" s="1"/>
  <c r="L322" i="39"/>
  <c r="AP322" i="39" s="1"/>
  <c r="L323" i="39"/>
  <c r="AP323" i="39" s="1"/>
  <c r="L324" i="39"/>
  <c r="AP324" i="39" s="1"/>
  <c r="K325" i="39"/>
  <c r="AJ325" i="39" s="1"/>
  <c r="K326" i="39"/>
  <c r="AJ326" i="39" s="1"/>
  <c r="K327" i="39"/>
  <c r="AJ327" i="39" s="1"/>
  <c r="J328" i="39"/>
  <c r="AM328" i="39" s="1"/>
  <c r="AT328" i="39"/>
  <c r="J329" i="39"/>
  <c r="AM329" i="39" s="1"/>
  <c r="AT329" i="39"/>
  <c r="J330" i="39"/>
  <c r="AM330" i="39" s="1"/>
  <c r="AT330" i="39"/>
  <c r="I331" i="39"/>
  <c r="AN331" i="39" s="1"/>
  <c r="I332" i="39"/>
  <c r="AN332" i="39" s="1"/>
  <c r="I333" i="39"/>
  <c r="Y333" i="39" s="1"/>
  <c r="H334" i="39"/>
  <c r="H335" i="39"/>
  <c r="H336" i="39"/>
  <c r="J337" i="39"/>
  <c r="AM337" i="39" s="1"/>
  <c r="I338" i="39"/>
  <c r="Y338" i="39" s="1"/>
  <c r="F339" i="39"/>
  <c r="AL339" i="39" s="1"/>
  <c r="P339" i="39"/>
  <c r="C340" i="39"/>
  <c r="C298" i="39"/>
  <c r="AT298" i="39"/>
  <c r="K299" i="39"/>
  <c r="AJ299" i="39" s="1"/>
  <c r="F300" i="39"/>
  <c r="AL300" i="39" s="1"/>
  <c r="P301" i="39"/>
  <c r="J302" i="39"/>
  <c r="AM302" i="39" s="1"/>
  <c r="E303" i="39"/>
  <c r="M304" i="39"/>
  <c r="AR304" i="39" s="1"/>
  <c r="I305" i="39"/>
  <c r="Y305" i="39" s="1"/>
  <c r="H306" i="39"/>
  <c r="H307" i="39"/>
  <c r="H308" i="39"/>
  <c r="G309" i="39"/>
  <c r="G310" i="39"/>
  <c r="G311" i="39"/>
  <c r="F312" i="39"/>
  <c r="AL312" i="39" s="1"/>
  <c r="F313" i="39"/>
  <c r="AL313" i="39" s="1"/>
  <c r="F314" i="39"/>
  <c r="AL314" i="39" s="1"/>
  <c r="E315" i="39"/>
  <c r="E316" i="39"/>
  <c r="E317" i="39"/>
  <c r="D318" i="39"/>
  <c r="AI318" i="39" s="1"/>
  <c r="D319" i="39"/>
  <c r="AI319" i="39" s="1"/>
  <c r="D320" i="39"/>
  <c r="AI320" i="39" s="1"/>
  <c r="P320" i="39"/>
  <c r="C321" i="39"/>
  <c r="P321" i="39"/>
  <c r="C322" i="39"/>
  <c r="P322" i="39"/>
  <c r="C323" i="39"/>
  <c r="M323" i="39"/>
  <c r="AR323" i="39" s="1"/>
  <c r="M324" i="39"/>
  <c r="AR324" i="39" s="1"/>
  <c r="M325" i="39"/>
  <c r="AR325" i="39" s="1"/>
  <c r="L326" i="39"/>
  <c r="AP326" i="39" s="1"/>
  <c r="L327" i="39"/>
  <c r="AP327" i="39" s="1"/>
  <c r="L328" i="39"/>
  <c r="AP328" i="39" s="1"/>
  <c r="K329" i="39"/>
  <c r="AJ329" i="39" s="1"/>
  <c r="K330" i="39"/>
  <c r="AJ330" i="39" s="1"/>
  <c r="K331" i="39"/>
  <c r="AJ331" i="39" s="1"/>
  <c r="J332" i="39"/>
  <c r="AM332" i="39" s="1"/>
  <c r="AT332" i="39"/>
  <c r="J333" i="39"/>
  <c r="AM333" i="39" s="1"/>
  <c r="AT333" i="39"/>
  <c r="J334" i="39"/>
  <c r="AM334" i="39" s="1"/>
  <c r="AT334" i="39"/>
  <c r="I335" i="39"/>
  <c r="AN335" i="39" s="1"/>
  <c r="I336" i="39"/>
  <c r="AN336" i="39" s="1"/>
  <c r="K337" i="39"/>
  <c r="AJ337" i="39" s="1"/>
  <c r="J338" i="39"/>
  <c r="AM338" i="39" s="1"/>
  <c r="AT338" i="39"/>
  <c r="G339" i="39"/>
  <c r="D340" i="39"/>
  <c r="AI340" i="39" s="1"/>
  <c r="D298" i="39"/>
  <c r="AI298" i="39" s="1"/>
  <c r="L299" i="39"/>
  <c r="AP299" i="39" s="1"/>
  <c r="H300" i="39"/>
  <c r="C301" i="39"/>
  <c r="AT301" i="39"/>
  <c r="K302" i="39"/>
  <c r="AJ302" i="39" s="1"/>
  <c r="G303" i="39"/>
  <c r="J305" i="39"/>
  <c r="AM305" i="39" s="1"/>
  <c r="AT305" i="39"/>
  <c r="J306" i="39"/>
  <c r="AM306" i="39" s="1"/>
  <c r="AT306" i="39"/>
  <c r="I307" i="39"/>
  <c r="Y307" i="39" s="1"/>
  <c r="I308" i="39"/>
  <c r="Y308" i="39" s="1"/>
  <c r="I309" i="39"/>
  <c r="Y309" i="39" s="1"/>
  <c r="H310" i="39"/>
  <c r="H311" i="39"/>
  <c r="H312" i="39"/>
  <c r="G313" i="39"/>
  <c r="G314" i="39"/>
  <c r="G315" i="39"/>
  <c r="F316" i="39"/>
  <c r="AL316" i="39" s="1"/>
  <c r="F317" i="39"/>
  <c r="AL317" i="39" s="1"/>
  <c r="F318" i="39"/>
  <c r="AL318" i="39" s="1"/>
  <c r="E319" i="39"/>
  <c r="E320" i="39"/>
  <c r="E321" i="39"/>
  <c r="D322" i="39"/>
  <c r="AI322" i="39" s="1"/>
  <c r="D323" i="39"/>
  <c r="AI323" i="39" s="1"/>
  <c r="D324" i="39"/>
  <c r="AI324" i="39" s="1"/>
  <c r="P324" i="39"/>
  <c r="C325" i="39"/>
  <c r="P325" i="39"/>
  <c r="C326" i="39"/>
  <c r="P326" i="39"/>
  <c r="C327" i="39"/>
  <c r="M327" i="39"/>
  <c r="AR327" i="39" s="1"/>
  <c r="M328" i="39"/>
  <c r="AR328" i="39" s="1"/>
  <c r="M329" i="39"/>
  <c r="AR329" i="39" s="1"/>
  <c r="L330" i="39"/>
  <c r="AP330" i="39" s="1"/>
  <c r="L331" i="39"/>
  <c r="AP331" i="39" s="1"/>
  <c r="L332" i="39"/>
  <c r="AP332" i="39" s="1"/>
  <c r="K333" i="39"/>
  <c r="AJ333" i="39" s="1"/>
  <c r="K334" i="39"/>
  <c r="AJ334" i="39" s="1"/>
  <c r="K335" i="39"/>
  <c r="AJ335" i="39" s="1"/>
  <c r="J336" i="39"/>
  <c r="AM336" i="39" s="1"/>
  <c r="C337" i="39"/>
  <c r="F298" i="39"/>
  <c r="AL298" i="39" s="1"/>
  <c r="I300" i="39"/>
  <c r="Y300" i="39" s="1"/>
  <c r="E301" i="39"/>
  <c r="P302" i="39"/>
  <c r="H303" i="39"/>
  <c r="D304" i="39"/>
  <c r="AI304" i="39" s="1"/>
  <c r="AT304" i="39"/>
  <c r="K305" i="39"/>
  <c r="AJ305" i="39" s="1"/>
  <c r="K306" i="39"/>
  <c r="AJ306" i="39" s="1"/>
  <c r="K307" i="39"/>
  <c r="AJ307" i="39" s="1"/>
  <c r="J308" i="39"/>
  <c r="AM308" i="39" s="1"/>
  <c r="AT308" i="39"/>
  <c r="J309" i="39"/>
  <c r="AM309" i="39" s="1"/>
  <c r="AT309" i="39"/>
  <c r="J310" i="39"/>
  <c r="AM310" i="39" s="1"/>
  <c r="I311" i="39"/>
  <c r="Y311" i="39" s="1"/>
  <c r="I312" i="39"/>
  <c r="Y312" i="39" s="1"/>
  <c r="I313" i="39"/>
  <c r="Y313" i="39" s="1"/>
  <c r="H314" i="39"/>
  <c r="H315" i="39"/>
  <c r="H316" i="39"/>
  <c r="G317" i="39"/>
  <c r="G318" i="39"/>
  <c r="G319" i="39"/>
  <c r="F320" i="39"/>
  <c r="AL320" i="39" s="1"/>
  <c r="F321" i="39"/>
  <c r="AL321" i="39" s="1"/>
  <c r="F322" i="39"/>
  <c r="AL322" i="39" s="1"/>
  <c r="E323" i="39"/>
  <c r="E324" i="39"/>
  <c r="E325" i="39"/>
  <c r="D326" i="39"/>
  <c r="AI326" i="39" s="1"/>
  <c r="D327" i="39"/>
  <c r="AI327" i="39" s="1"/>
  <c r="D328" i="39"/>
  <c r="AI328" i="39" s="1"/>
  <c r="P328" i="39"/>
  <c r="C329" i="39"/>
  <c r="P329" i="39"/>
  <c r="C330" i="39"/>
  <c r="P330" i="39"/>
  <c r="C331" i="39"/>
  <c r="M331" i="39"/>
  <c r="AR331" i="39" s="1"/>
  <c r="M332" i="39"/>
  <c r="AR332" i="39" s="1"/>
  <c r="M333" i="39"/>
  <c r="AR333" i="39" s="1"/>
  <c r="L334" i="39"/>
  <c r="AP334" i="39" s="1"/>
  <c r="L335" i="39"/>
  <c r="AP335" i="39" s="1"/>
  <c r="K336" i="39"/>
  <c r="AJ336" i="39" s="1"/>
  <c r="E337" i="39"/>
  <c r="P337" i="39"/>
  <c r="D338" i="39"/>
  <c r="AI338" i="39" s="1"/>
  <c r="L338" i="39"/>
  <c r="AP338" i="39" s="1"/>
  <c r="I339" i="39"/>
  <c r="Y339" i="39" s="1"/>
  <c r="F340" i="39"/>
  <c r="AL340" i="39" s="1"/>
  <c r="P340" i="39"/>
  <c r="C341" i="39"/>
  <c r="K341" i="39"/>
  <c r="AJ341" i="39" s="1"/>
  <c r="H342" i="39"/>
  <c r="E343" i="39"/>
  <c r="M343" i="39"/>
  <c r="AR343" i="39" s="1"/>
  <c r="J344" i="39"/>
  <c r="AM344" i="39" s="1"/>
  <c r="AT344" i="39"/>
  <c r="G345" i="39"/>
  <c r="D346" i="39"/>
  <c r="AI346" i="39" s="1"/>
  <c r="L346" i="39"/>
  <c r="AP346" i="39" s="1"/>
  <c r="I347" i="39"/>
  <c r="Y347" i="39" s="1"/>
  <c r="F348" i="39"/>
  <c r="AL348" i="39" s="1"/>
  <c r="P348" i="39"/>
  <c r="C349" i="39"/>
  <c r="K349" i="39"/>
  <c r="AJ349" i="39" s="1"/>
  <c r="H350" i="39"/>
  <c r="E351" i="39"/>
  <c r="M351" i="39"/>
  <c r="AR351" i="39" s="1"/>
  <c r="J352" i="39"/>
  <c r="AM352" i="39" s="1"/>
  <c r="AT352" i="39"/>
  <c r="G353" i="39"/>
  <c r="D354" i="39"/>
  <c r="AI354" i="39" s="1"/>
  <c r="L354" i="39"/>
  <c r="AP354" i="39" s="1"/>
  <c r="I355" i="39"/>
  <c r="Y355" i="39" s="1"/>
  <c r="F356" i="39"/>
  <c r="AL356" i="39" s="1"/>
  <c r="P356" i="39"/>
  <c r="C357" i="39"/>
  <c r="K357" i="39"/>
  <c r="AJ357" i="39" s="1"/>
  <c r="H358" i="39"/>
  <c r="E359" i="39"/>
  <c r="M359" i="39"/>
  <c r="AR359" i="39" s="1"/>
  <c r="J360" i="39"/>
  <c r="AM360" i="39" s="1"/>
  <c r="AT360" i="39"/>
  <c r="G361" i="39"/>
  <c r="D362" i="39"/>
  <c r="AI362" i="39" s="1"/>
  <c r="L362" i="39"/>
  <c r="AP362" i="39" s="1"/>
  <c r="I363" i="39"/>
  <c r="AN363" i="39" s="1"/>
  <c r="F364" i="39"/>
  <c r="AL364" i="39" s="1"/>
  <c r="P364" i="39"/>
  <c r="C365" i="39"/>
  <c r="K365" i="39"/>
  <c r="AJ365" i="39" s="1"/>
  <c r="H366" i="39"/>
  <c r="E367" i="39"/>
  <c r="M367" i="39"/>
  <c r="AR367" i="39" s="1"/>
  <c r="J368" i="39"/>
  <c r="AM368" i="39" s="1"/>
  <c r="AT368" i="39"/>
  <c r="G369" i="39"/>
  <c r="D370" i="39"/>
  <c r="AI370" i="39" s="1"/>
  <c r="L370" i="39"/>
  <c r="AP370" i="39" s="1"/>
  <c r="I371" i="39"/>
  <c r="AN371" i="39" s="1"/>
  <c r="F372" i="39"/>
  <c r="AL372" i="39" s="1"/>
  <c r="P372" i="39"/>
  <c r="C373" i="39"/>
  <c r="K373" i="39"/>
  <c r="AJ373" i="39" s="1"/>
  <c r="H374" i="39"/>
  <c r="E375" i="39"/>
  <c r="M375" i="39"/>
  <c r="AR375" i="39" s="1"/>
  <c r="J376" i="39"/>
  <c r="AM376" i="39" s="1"/>
  <c r="G298" i="39"/>
  <c r="C299" i="39"/>
  <c r="L300" i="39"/>
  <c r="AP300" i="39" s="1"/>
  <c r="F301" i="39"/>
  <c r="AL301" i="39" s="1"/>
  <c r="K303" i="39"/>
  <c r="AJ303" i="39" s="1"/>
  <c r="E304" i="39"/>
  <c r="M305" i="39"/>
  <c r="AR305" i="39" s="1"/>
  <c r="L306" i="39"/>
  <c r="AP306" i="39" s="1"/>
  <c r="L307" i="39"/>
  <c r="AP307" i="39" s="1"/>
  <c r="L308" i="39"/>
  <c r="AP308" i="39" s="1"/>
  <c r="K309" i="39"/>
  <c r="AJ309" i="39" s="1"/>
  <c r="K310" i="39"/>
  <c r="AJ310" i="39" s="1"/>
  <c r="K311" i="39"/>
  <c r="AJ311" i="39" s="1"/>
  <c r="J312" i="39"/>
  <c r="AM312" i="39" s="1"/>
  <c r="AT312" i="39"/>
  <c r="J313" i="39"/>
  <c r="AM313" i="39" s="1"/>
  <c r="AT313" i="39"/>
  <c r="J314" i="39"/>
  <c r="AM314" i="39" s="1"/>
  <c r="AT314" i="39"/>
  <c r="I315" i="39"/>
  <c r="AN315" i="39" s="1"/>
  <c r="I316" i="39"/>
  <c r="AN316" i="39" s="1"/>
  <c r="I317" i="39"/>
  <c r="Y317" i="39" s="1"/>
  <c r="H318" i="39"/>
  <c r="H319" i="39"/>
  <c r="H320" i="39"/>
  <c r="G321" i="39"/>
  <c r="G322" i="39"/>
  <c r="G323" i="39"/>
  <c r="F324" i="39"/>
  <c r="AL324" i="39" s="1"/>
  <c r="F325" i="39"/>
  <c r="AL325" i="39" s="1"/>
  <c r="F326" i="39"/>
  <c r="AL326" i="39" s="1"/>
  <c r="E327" i="39"/>
  <c r="E328" i="39"/>
  <c r="E329" i="39"/>
  <c r="D330" i="39"/>
  <c r="AI330" i="39" s="1"/>
  <c r="D331" i="39"/>
  <c r="AI331" i="39" s="1"/>
  <c r="D332" i="39"/>
  <c r="AI332" i="39" s="1"/>
  <c r="P332" i="39"/>
  <c r="C333" i="39"/>
  <c r="P333" i="39"/>
  <c r="C334" i="39"/>
  <c r="P334" i="39"/>
  <c r="C335" i="39"/>
  <c r="M335" i="39"/>
  <c r="AR335" i="39" s="1"/>
  <c r="L336" i="39"/>
  <c r="AP336" i="39" s="1"/>
  <c r="F337" i="39"/>
  <c r="AL337" i="39" s="1"/>
  <c r="E338" i="39"/>
  <c r="M338" i="39"/>
  <c r="AR338" i="39" s="1"/>
  <c r="J339" i="39"/>
  <c r="AM339" i="39" s="1"/>
  <c r="AT339" i="39"/>
  <c r="J298" i="39"/>
  <c r="AM298" i="39" s="1"/>
  <c r="D299" i="39"/>
  <c r="AI299" i="39" s="1"/>
  <c r="M300" i="39"/>
  <c r="AR300" i="39" s="1"/>
  <c r="I301" i="39"/>
  <c r="Y301" i="39" s="1"/>
  <c r="C302" i="39"/>
  <c r="AT302" i="39"/>
  <c r="L303" i="39"/>
  <c r="AP303" i="39" s="1"/>
  <c r="H304" i="39"/>
  <c r="P305" i="39"/>
  <c r="C306" i="39"/>
  <c r="P306" i="39"/>
  <c r="C307" i="39"/>
  <c r="M307" i="39"/>
  <c r="AR307" i="39" s="1"/>
  <c r="M308" i="39"/>
  <c r="AR308" i="39" s="1"/>
  <c r="M309" i="39"/>
  <c r="AR309" i="39" s="1"/>
  <c r="L310" i="39"/>
  <c r="AP310" i="39" s="1"/>
  <c r="L311" i="39"/>
  <c r="AP311" i="39" s="1"/>
  <c r="L312" i="39"/>
  <c r="AP312" i="39" s="1"/>
  <c r="K313" i="39"/>
  <c r="AJ313" i="39" s="1"/>
  <c r="K314" i="39"/>
  <c r="AJ314" i="39" s="1"/>
  <c r="K315" i="39"/>
  <c r="AJ315" i="39" s="1"/>
  <c r="J316" i="39"/>
  <c r="AM316" i="39" s="1"/>
  <c r="AT316" i="39"/>
  <c r="J317" i="39"/>
  <c r="AM317" i="39" s="1"/>
  <c r="AT317" i="39"/>
  <c r="J318" i="39"/>
  <c r="AM318" i="39" s="1"/>
  <c r="AT318" i="39"/>
  <c r="I319" i="39"/>
  <c r="Y319" i="39" s="1"/>
  <c r="I320" i="39"/>
  <c r="Y320" i="39" s="1"/>
  <c r="I321" i="39"/>
  <c r="Y321" i="39" s="1"/>
  <c r="H322" i="39"/>
  <c r="H323" i="39"/>
  <c r="H324" i="39"/>
  <c r="G325" i="39"/>
  <c r="G326" i="39"/>
  <c r="G327" i="39"/>
  <c r="F328" i="39"/>
  <c r="AL328" i="39" s="1"/>
  <c r="F329" i="39"/>
  <c r="AL329" i="39" s="1"/>
  <c r="F330" i="39"/>
  <c r="AL330" i="39" s="1"/>
  <c r="E331" i="39"/>
  <c r="E332" i="39"/>
  <c r="E333" i="39"/>
  <c r="D334" i="39"/>
  <c r="AI334" i="39" s="1"/>
  <c r="D335" i="39"/>
  <c r="AI335" i="39" s="1"/>
  <c r="D336" i="39"/>
  <c r="AI336" i="39" s="1"/>
  <c r="M336" i="39"/>
  <c r="AR336" i="39" s="1"/>
  <c r="G337" i="39"/>
  <c r="F338" i="39"/>
  <c r="AL338" i="39" s="1"/>
  <c r="P338" i="39"/>
  <c r="C339" i="39"/>
  <c r="K339" i="39"/>
  <c r="AJ339" i="39" s="1"/>
  <c r="K298" i="39"/>
  <c r="AJ298" i="39" s="1"/>
  <c r="G299" i="39"/>
  <c r="P300" i="39"/>
  <c r="J301" i="39"/>
  <c r="AM301" i="39" s="1"/>
  <c r="F302" i="39"/>
  <c r="AL302" i="39" s="1"/>
  <c r="M303" i="39"/>
  <c r="AR303" i="39" s="1"/>
  <c r="I304" i="39"/>
  <c r="AN304" i="39" s="1"/>
  <c r="E305" i="39"/>
  <c r="D306" i="39"/>
  <c r="AI306" i="39" s="1"/>
  <c r="D307" i="39"/>
  <c r="AI307" i="39" s="1"/>
  <c r="D308" i="39"/>
  <c r="AI308" i="39" s="1"/>
  <c r="P308" i="39"/>
  <c r="C309" i="39"/>
  <c r="P309" i="39"/>
  <c r="C310" i="39"/>
  <c r="P310" i="39"/>
  <c r="C311" i="39"/>
  <c r="M311" i="39"/>
  <c r="AR311" i="39" s="1"/>
  <c r="M312" i="39"/>
  <c r="AR312" i="39" s="1"/>
  <c r="M313" i="39"/>
  <c r="AR313" i="39" s="1"/>
  <c r="L314" i="39"/>
  <c r="AP314" i="39" s="1"/>
  <c r="L315" i="39"/>
  <c r="AP315" i="39" s="1"/>
  <c r="L316" i="39"/>
  <c r="AP316" i="39" s="1"/>
  <c r="K317" i="39"/>
  <c r="AJ317" i="39" s="1"/>
  <c r="K318" i="39"/>
  <c r="AJ318" i="39" s="1"/>
  <c r="K319" i="39"/>
  <c r="AJ319" i="39" s="1"/>
  <c r="J320" i="39"/>
  <c r="AM320" i="39" s="1"/>
  <c r="AT320" i="39"/>
  <c r="J321" i="39"/>
  <c r="AM321" i="39" s="1"/>
  <c r="AT321" i="39"/>
  <c r="J322" i="39"/>
  <c r="AM322" i="39" s="1"/>
  <c r="AT322" i="39"/>
  <c r="I323" i="39"/>
  <c r="AN323" i="39" s="1"/>
  <c r="I324" i="39"/>
  <c r="AN324" i="39" s="1"/>
  <c r="I325" i="39"/>
  <c r="Y325" i="39" s="1"/>
  <c r="H326" i="39"/>
  <c r="H327" i="39"/>
  <c r="H328" i="39"/>
  <c r="G329" i="39"/>
  <c r="G330" i="39"/>
  <c r="G331" i="39"/>
  <c r="F332" i="39"/>
  <c r="AL332" i="39" s="1"/>
  <c r="F333" i="39"/>
  <c r="AL333" i="39" s="1"/>
  <c r="F334" i="39"/>
  <c r="AL334" i="39" s="1"/>
  <c r="E335" i="39"/>
  <c r="E336" i="39"/>
  <c r="P336" i="39"/>
  <c r="AT336" i="39"/>
  <c r="H337" i="39"/>
  <c r="AT337" i="39"/>
  <c r="G338" i="39"/>
  <c r="AT297" i="39"/>
  <c r="L298" i="39"/>
  <c r="AP298" i="39" s="1"/>
  <c r="H299" i="39"/>
  <c r="D300" i="39"/>
  <c r="AI300" i="39" s="1"/>
  <c r="K301" i="39"/>
  <c r="AJ301" i="39" s="1"/>
  <c r="G302" i="39"/>
  <c r="C303" i="39"/>
  <c r="J304" i="39"/>
  <c r="AM304" i="39" s="1"/>
  <c r="F305" i="39"/>
  <c r="AL305" i="39" s="1"/>
  <c r="F306" i="39"/>
  <c r="AL306" i="39" s="1"/>
  <c r="E307" i="39"/>
  <c r="E308" i="39"/>
  <c r="E309" i="39"/>
  <c r="D310" i="39"/>
  <c r="AI310" i="39" s="1"/>
  <c r="D311" i="39"/>
  <c r="AI311" i="39" s="1"/>
  <c r="D312" i="39"/>
  <c r="AI312" i="39" s="1"/>
  <c r="P312" i="39"/>
  <c r="C313" i="39"/>
  <c r="P313" i="39"/>
  <c r="C314" i="39"/>
  <c r="P314" i="39"/>
  <c r="C315" i="39"/>
  <c r="M315" i="39"/>
  <c r="AR315" i="39" s="1"/>
  <c r="M316" i="39"/>
  <c r="AR316" i="39" s="1"/>
  <c r="M317" i="39"/>
  <c r="AR317" i="39" s="1"/>
  <c r="L318" i="39"/>
  <c r="AP318" i="39" s="1"/>
  <c r="L319" i="39"/>
  <c r="AP319" i="39" s="1"/>
  <c r="L320" i="39"/>
  <c r="AP320" i="39" s="1"/>
  <c r="K321" i="39"/>
  <c r="AJ321" i="39" s="1"/>
  <c r="K322" i="39"/>
  <c r="AJ322" i="39" s="1"/>
  <c r="K323" i="39"/>
  <c r="AJ323" i="39" s="1"/>
  <c r="J324" i="39"/>
  <c r="AM324" i="39" s="1"/>
  <c r="AT324" i="39"/>
  <c r="J325" i="39"/>
  <c r="AM325" i="39" s="1"/>
  <c r="AT325" i="39"/>
  <c r="J326" i="39"/>
  <c r="AM326" i="39" s="1"/>
  <c r="AT326" i="39"/>
  <c r="I327" i="39"/>
  <c r="Y327" i="39" s="1"/>
  <c r="I328" i="39"/>
  <c r="Y328" i="39" s="1"/>
  <c r="I329" i="39"/>
  <c r="AN329" i="39" s="1"/>
  <c r="H330" i="39"/>
  <c r="H331" i="39"/>
  <c r="H332" i="39"/>
  <c r="G333" i="39"/>
  <c r="G334" i="39"/>
  <c r="G335" i="39"/>
  <c r="F336" i="39"/>
  <c r="AL336" i="39" s="1"/>
  <c r="I337" i="39"/>
  <c r="Y337" i="39" s="1"/>
  <c r="H338" i="39"/>
  <c r="E339" i="39"/>
  <c r="M339" i="39"/>
  <c r="AR339" i="39" s="1"/>
  <c r="J340" i="39"/>
  <c r="AM340" i="39" s="1"/>
  <c r="AT340" i="39"/>
  <c r="G341" i="39"/>
  <c r="D342" i="39"/>
  <c r="AI342" i="39" s="1"/>
  <c r="L342" i="39"/>
  <c r="AP342" i="39" s="1"/>
  <c r="I343" i="39"/>
  <c r="Y343" i="39" s="1"/>
  <c r="F344" i="39"/>
  <c r="AL344" i="39" s="1"/>
  <c r="P344" i="39"/>
  <c r="C345" i="39"/>
  <c r="K345" i="39"/>
  <c r="AJ345" i="39" s="1"/>
  <c r="H346" i="39"/>
  <c r="E347" i="39"/>
  <c r="M347" i="39"/>
  <c r="AR347" i="39" s="1"/>
  <c r="J348" i="39"/>
  <c r="AM348" i="39" s="1"/>
  <c r="AT348" i="39"/>
  <c r="G349" i="39"/>
  <c r="D350" i="39"/>
  <c r="AI350" i="39" s="1"/>
  <c r="L350" i="39"/>
  <c r="AP350" i="39" s="1"/>
  <c r="I351" i="39"/>
  <c r="Y351" i="39" s="1"/>
  <c r="F352" i="39"/>
  <c r="AL352" i="39" s="1"/>
  <c r="P352" i="39"/>
  <c r="C353" i="39"/>
  <c r="K353" i="39"/>
  <c r="AJ353" i="39" s="1"/>
  <c r="H354" i="39"/>
  <c r="E355" i="39"/>
  <c r="M355" i="39"/>
  <c r="AR355" i="39" s="1"/>
  <c r="J356" i="39"/>
  <c r="AM356" i="39" s="1"/>
  <c r="AT356" i="39"/>
  <c r="G357" i="39"/>
  <c r="D358" i="39"/>
  <c r="AI358" i="39" s="1"/>
  <c r="L358" i="39"/>
  <c r="AP358" i="39" s="1"/>
  <c r="I359" i="39"/>
  <c r="Y359" i="39" s="1"/>
  <c r="F360" i="39"/>
  <c r="AL360" i="39" s="1"/>
  <c r="P360" i="39"/>
  <c r="C361" i="39"/>
  <c r="K361" i="39"/>
  <c r="AJ361" i="39" s="1"/>
  <c r="H362" i="39"/>
  <c r="E363" i="39"/>
  <c r="M363" i="39"/>
  <c r="AR363" i="39" s="1"/>
  <c r="J364" i="39"/>
  <c r="AM364" i="39" s="1"/>
  <c r="AT364" i="39"/>
  <c r="G365" i="39"/>
  <c r="D366" i="39"/>
  <c r="AI366" i="39" s="1"/>
  <c r="L366" i="39"/>
  <c r="AP366" i="39" s="1"/>
  <c r="I367" i="39"/>
  <c r="AN367" i="39" s="1"/>
  <c r="F368" i="39"/>
  <c r="AL368" i="39" s="1"/>
  <c r="P368" i="39"/>
  <c r="C369" i="39"/>
  <c r="K369" i="39"/>
  <c r="AJ369" i="39" s="1"/>
  <c r="H370" i="39"/>
  <c r="E371" i="39"/>
  <c r="M371" i="39"/>
  <c r="AR371" i="39" s="1"/>
  <c r="J372" i="39"/>
  <c r="AM372" i="39" s="1"/>
  <c r="AT372" i="39"/>
  <c r="G373" i="39"/>
  <c r="D374" i="39"/>
  <c r="AI374" i="39" s="1"/>
  <c r="L374" i="39"/>
  <c r="AP374" i="39" s="1"/>
  <c r="I375" i="39"/>
  <c r="Y375" i="39" s="1"/>
  <c r="F376" i="39"/>
  <c r="AL376" i="39" s="1"/>
  <c r="P376" i="39"/>
  <c r="C377" i="39"/>
  <c r="K377" i="39"/>
  <c r="AJ377" i="39" s="1"/>
  <c r="M337" i="39"/>
  <c r="AR337" i="39" s="1"/>
  <c r="L339" i="39"/>
  <c r="AP339" i="39" s="1"/>
  <c r="D341" i="39"/>
  <c r="AI341" i="39" s="1"/>
  <c r="P341" i="39"/>
  <c r="C342" i="39"/>
  <c r="P342" i="39"/>
  <c r="C343" i="39"/>
  <c r="P343" i="39"/>
  <c r="C344" i="39"/>
  <c r="M344" i="39"/>
  <c r="AR344" i="39" s="1"/>
  <c r="M345" i="39"/>
  <c r="AR345" i="39" s="1"/>
  <c r="M346" i="39"/>
  <c r="AR346" i="39" s="1"/>
  <c r="L347" i="39"/>
  <c r="AP347" i="39" s="1"/>
  <c r="L348" i="39"/>
  <c r="AP348" i="39" s="1"/>
  <c r="L349" i="39"/>
  <c r="AP349" i="39" s="1"/>
  <c r="K350" i="39"/>
  <c r="AJ350" i="39" s="1"/>
  <c r="K351" i="39"/>
  <c r="AJ351" i="39" s="1"/>
  <c r="K352" i="39"/>
  <c r="AJ352" i="39" s="1"/>
  <c r="J353" i="39"/>
  <c r="AM353" i="39" s="1"/>
  <c r="AT353" i="39"/>
  <c r="J354" i="39"/>
  <c r="AM354" i="39" s="1"/>
  <c r="AT354" i="39"/>
  <c r="J355" i="39"/>
  <c r="AM355" i="39" s="1"/>
  <c r="AT355" i="39"/>
  <c r="I356" i="39"/>
  <c r="Y356" i="39" s="1"/>
  <c r="I357" i="39"/>
  <c r="Y357" i="39" s="1"/>
  <c r="I358" i="39"/>
  <c r="Y358" i="39" s="1"/>
  <c r="H359" i="39"/>
  <c r="H360" i="39"/>
  <c r="H361" i="39"/>
  <c r="G362" i="39"/>
  <c r="G363" i="39"/>
  <c r="G364" i="39"/>
  <c r="F365" i="39"/>
  <c r="AL365" i="39" s="1"/>
  <c r="F366" i="39"/>
  <c r="AL366" i="39" s="1"/>
  <c r="F367" i="39"/>
  <c r="AL367" i="39" s="1"/>
  <c r="E368" i="39"/>
  <c r="E369" i="39"/>
  <c r="E370" i="39"/>
  <c r="D371" i="39"/>
  <c r="AI371" i="39" s="1"/>
  <c r="D372" i="39"/>
  <c r="AI372" i="39" s="1"/>
  <c r="D373" i="39"/>
  <c r="AI373" i="39" s="1"/>
  <c r="P373" i="39"/>
  <c r="C374" i="39"/>
  <c r="P374" i="39"/>
  <c r="C375" i="39"/>
  <c r="P375" i="39"/>
  <c r="C376" i="39"/>
  <c r="M376" i="39"/>
  <c r="AR376" i="39" s="1"/>
  <c r="G377" i="39"/>
  <c r="E378" i="39"/>
  <c r="M378" i="39"/>
  <c r="AR378" i="39" s="1"/>
  <c r="J379" i="39"/>
  <c r="AM379" i="39" s="1"/>
  <c r="AT379" i="39"/>
  <c r="G380" i="39"/>
  <c r="D381" i="39"/>
  <c r="AI381" i="39" s="1"/>
  <c r="L381" i="39"/>
  <c r="AP381" i="39" s="1"/>
  <c r="I382" i="39"/>
  <c r="Y382" i="39" s="1"/>
  <c r="F383" i="39"/>
  <c r="AL383" i="39" s="1"/>
  <c r="H385" i="39"/>
  <c r="M386" i="39"/>
  <c r="AR386" i="39" s="1"/>
  <c r="AT387" i="39"/>
  <c r="D389" i="39"/>
  <c r="AI389" i="39" s="1"/>
  <c r="F391" i="39"/>
  <c r="AL391" i="39" s="1"/>
  <c r="K392" i="39"/>
  <c r="AJ392" i="39" s="1"/>
  <c r="H393" i="39"/>
  <c r="E394" i="39"/>
  <c r="M394" i="39"/>
  <c r="AR394" i="39" s="1"/>
  <c r="J395" i="39"/>
  <c r="AM395" i="39" s="1"/>
  <c r="AT395" i="39"/>
  <c r="G396" i="39"/>
  <c r="D397" i="39"/>
  <c r="AI397" i="39" s="1"/>
  <c r="L397" i="39"/>
  <c r="AP397" i="39" s="1"/>
  <c r="P399" i="39"/>
  <c r="H401" i="39"/>
  <c r="M52" i="39"/>
  <c r="AR52" i="39" s="1"/>
  <c r="C387" i="39"/>
  <c r="E389" i="39"/>
  <c r="G391" i="39"/>
  <c r="D392" i="39"/>
  <c r="AI392" i="39" s="1"/>
  <c r="P394" i="39"/>
  <c r="E397" i="39"/>
  <c r="G399" i="39"/>
  <c r="D400" i="39"/>
  <c r="AI400" i="39" s="1"/>
  <c r="F52" i="39"/>
  <c r="AL52" i="39" s="1"/>
  <c r="C398" i="39"/>
  <c r="M400" i="39"/>
  <c r="AR400" i="39" s="1"/>
  <c r="E340" i="39"/>
  <c r="E341" i="39"/>
  <c r="E342" i="39"/>
  <c r="D343" i="39"/>
  <c r="AI343" i="39" s="1"/>
  <c r="D344" i="39"/>
  <c r="AI344" i="39" s="1"/>
  <c r="D345" i="39"/>
  <c r="AI345" i="39" s="1"/>
  <c r="P345" i="39"/>
  <c r="C346" i="39"/>
  <c r="P346" i="39"/>
  <c r="C347" i="39"/>
  <c r="P347" i="39"/>
  <c r="C348" i="39"/>
  <c r="M348" i="39"/>
  <c r="AR348" i="39" s="1"/>
  <c r="M349" i="39"/>
  <c r="AR349" i="39" s="1"/>
  <c r="M350" i="39"/>
  <c r="AR350" i="39" s="1"/>
  <c r="L351" i="39"/>
  <c r="AP351" i="39" s="1"/>
  <c r="L352" i="39"/>
  <c r="AP352" i="39" s="1"/>
  <c r="L353" i="39"/>
  <c r="AP353" i="39" s="1"/>
  <c r="K354" i="39"/>
  <c r="AJ354" i="39" s="1"/>
  <c r="K355" i="39"/>
  <c r="AJ355" i="39" s="1"/>
  <c r="K356" i="39"/>
  <c r="AJ356" i="39" s="1"/>
  <c r="J357" i="39"/>
  <c r="AM357" i="39" s="1"/>
  <c r="AT357" i="39"/>
  <c r="J358" i="39"/>
  <c r="AM358" i="39" s="1"/>
  <c r="AT358" i="39"/>
  <c r="J359" i="39"/>
  <c r="AM359" i="39" s="1"/>
  <c r="AT359" i="39"/>
  <c r="I360" i="39"/>
  <c r="AN360" i="39" s="1"/>
  <c r="I361" i="39"/>
  <c r="Y361" i="39" s="1"/>
  <c r="I362" i="39"/>
  <c r="AN362" i="39" s="1"/>
  <c r="H363" i="39"/>
  <c r="H364" i="39"/>
  <c r="H365" i="39"/>
  <c r="G366" i="39"/>
  <c r="G367" i="39"/>
  <c r="G368" i="39"/>
  <c r="F369" i="39"/>
  <c r="AL369" i="39" s="1"/>
  <c r="F370" i="39"/>
  <c r="AL370" i="39" s="1"/>
  <c r="F371" i="39"/>
  <c r="AL371" i="39" s="1"/>
  <c r="E372" i="39"/>
  <c r="E373" i="39"/>
  <c r="E374" i="39"/>
  <c r="D375" i="39"/>
  <c r="AI375" i="39" s="1"/>
  <c r="D376" i="39"/>
  <c r="AI376" i="39" s="1"/>
  <c r="AT376" i="39"/>
  <c r="H377" i="39"/>
  <c r="F378" i="39"/>
  <c r="AL378" i="39" s="1"/>
  <c r="P378" i="39"/>
  <c r="C379" i="39"/>
  <c r="K379" i="39"/>
  <c r="AJ379" i="39" s="1"/>
  <c r="H380" i="39"/>
  <c r="E381" i="39"/>
  <c r="M381" i="39"/>
  <c r="AR381" i="39" s="1"/>
  <c r="J382" i="39"/>
  <c r="AM382" i="39" s="1"/>
  <c r="AT382" i="39"/>
  <c r="G383" i="39"/>
  <c r="D384" i="39"/>
  <c r="AI384" i="39" s="1"/>
  <c r="L384" i="39"/>
  <c r="AP384" i="39" s="1"/>
  <c r="I385" i="39"/>
  <c r="Y385" i="39" s="1"/>
  <c r="F386" i="39"/>
  <c r="AL386" i="39" s="1"/>
  <c r="AT390" i="39"/>
  <c r="L392" i="39"/>
  <c r="AP392" i="39" s="1"/>
  <c r="C395" i="39"/>
  <c r="H396" i="39"/>
  <c r="J398" i="39"/>
  <c r="AM398" i="39" s="1"/>
  <c r="H399" i="39"/>
  <c r="E400" i="39"/>
  <c r="G340" i="39"/>
  <c r="F341" i="39"/>
  <c r="AL341" i="39" s="1"/>
  <c r="F342" i="39"/>
  <c r="AL342" i="39" s="1"/>
  <c r="F343" i="39"/>
  <c r="AL343" i="39" s="1"/>
  <c r="E344" i="39"/>
  <c r="E345" i="39"/>
  <c r="E346" i="39"/>
  <c r="D347" i="39"/>
  <c r="AI347" i="39" s="1"/>
  <c r="D348" i="39"/>
  <c r="AI348" i="39" s="1"/>
  <c r="D349" i="39"/>
  <c r="AI349" i="39" s="1"/>
  <c r="P349" i="39"/>
  <c r="C350" i="39"/>
  <c r="P350" i="39"/>
  <c r="C351" i="39"/>
  <c r="P351" i="39"/>
  <c r="C352" i="39"/>
  <c r="M352" i="39"/>
  <c r="AR352" i="39" s="1"/>
  <c r="M353" i="39"/>
  <c r="AR353" i="39" s="1"/>
  <c r="M354" i="39"/>
  <c r="AR354" i="39" s="1"/>
  <c r="L355" i="39"/>
  <c r="AP355" i="39" s="1"/>
  <c r="L356" i="39"/>
  <c r="AP356" i="39" s="1"/>
  <c r="L357" i="39"/>
  <c r="AP357" i="39" s="1"/>
  <c r="K358" i="39"/>
  <c r="AJ358" i="39" s="1"/>
  <c r="K359" i="39"/>
  <c r="AJ359" i="39" s="1"/>
  <c r="K360" i="39"/>
  <c r="AJ360" i="39" s="1"/>
  <c r="J361" i="39"/>
  <c r="AM361" i="39" s="1"/>
  <c r="AT361" i="39"/>
  <c r="J362" i="39"/>
  <c r="AM362" i="39" s="1"/>
  <c r="AT362" i="39"/>
  <c r="J363" i="39"/>
  <c r="AM363" i="39" s="1"/>
  <c r="AT363" i="39"/>
  <c r="I364" i="39"/>
  <c r="AN364" i="39" s="1"/>
  <c r="I365" i="39"/>
  <c r="Y365" i="39" s="1"/>
  <c r="I366" i="39"/>
  <c r="Y366" i="39" s="1"/>
  <c r="H367" i="39"/>
  <c r="H368" i="39"/>
  <c r="H369" i="39"/>
  <c r="G370" i="39"/>
  <c r="G371" i="39"/>
  <c r="G372" i="39"/>
  <c r="F373" i="39"/>
  <c r="AL373" i="39" s="1"/>
  <c r="F374" i="39"/>
  <c r="AL374" i="39" s="1"/>
  <c r="F375" i="39"/>
  <c r="AL375" i="39" s="1"/>
  <c r="E376" i="39"/>
  <c r="I377" i="39"/>
  <c r="Y377" i="39" s="1"/>
  <c r="G378" i="39"/>
  <c r="D379" i="39"/>
  <c r="AI379" i="39" s="1"/>
  <c r="L379" i="39"/>
  <c r="AP379" i="39" s="1"/>
  <c r="I380" i="39"/>
  <c r="AN380" i="39" s="1"/>
  <c r="F381" i="39"/>
  <c r="AL381" i="39" s="1"/>
  <c r="P381" i="39"/>
  <c r="C382" i="39"/>
  <c r="K382" i="39"/>
  <c r="AJ382" i="39" s="1"/>
  <c r="H383" i="39"/>
  <c r="E384" i="39"/>
  <c r="M384" i="39"/>
  <c r="AR384" i="39" s="1"/>
  <c r="J385" i="39"/>
  <c r="AM385" i="39" s="1"/>
  <c r="AT385" i="39"/>
  <c r="G386" i="39"/>
  <c r="D387" i="39"/>
  <c r="AI387" i="39" s="1"/>
  <c r="L387" i="39"/>
  <c r="AP387" i="39" s="1"/>
  <c r="I388" i="39"/>
  <c r="Y388" i="39" s="1"/>
  <c r="F389" i="39"/>
  <c r="AL389" i="39" s="1"/>
  <c r="P389" i="39"/>
  <c r="C390" i="39"/>
  <c r="K390" i="39"/>
  <c r="AJ390" i="39" s="1"/>
  <c r="H391" i="39"/>
  <c r="E392" i="39"/>
  <c r="M392" i="39"/>
  <c r="AR392" i="39" s="1"/>
  <c r="J393" i="39"/>
  <c r="AM393" i="39" s="1"/>
  <c r="AT393" i="39"/>
  <c r="G394" i="39"/>
  <c r="D395" i="39"/>
  <c r="AI395" i="39" s="1"/>
  <c r="L395" i="39"/>
  <c r="AP395" i="39" s="1"/>
  <c r="I396" i="39"/>
  <c r="Y396" i="39" s="1"/>
  <c r="F397" i="39"/>
  <c r="AL397" i="39" s="1"/>
  <c r="G52" i="39"/>
  <c r="H340" i="39"/>
  <c r="H341" i="39"/>
  <c r="G342" i="39"/>
  <c r="G343" i="39"/>
  <c r="G344" i="39"/>
  <c r="F345" i="39"/>
  <c r="AL345" i="39" s="1"/>
  <c r="F346" i="39"/>
  <c r="AL346" i="39" s="1"/>
  <c r="F347" i="39"/>
  <c r="AL347" i="39" s="1"/>
  <c r="E348" i="39"/>
  <c r="E349" i="39"/>
  <c r="E350" i="39"/>
  <c r="D351" i="39"/>
  <c r="AI351" i="39" s="1"/>
  <c r="D352" i="39"/>
  <c r="AI352" i="39" s="1"/>
  <c r="D353" i="39"/>
  <c r="AI353" i="39" s="1"/>
  <c r="P353" i="39"/>
  <c r="C354" i="39"/>
  <c r="P354" i="39"/>
  <c r="C355" i="39"/>
  <c r="P355" i="39"/>
  <c r="C356" i="39"/>
  <c r="M356" i="39"/>
  <c r="AR356" i="39" s="1"/>
  <c r="M357" i="39"/>
  <c r="AR357" i="39" s="1"/>
  <c r="M358" i="39"/>
  <c r="AR358" i="39" s="1"/>
  <c r="L359" i="39"/>
  <c r="AP359" i="39" s="1"/>
  <c r="L360" i="39"/>
  <c r="AP360" i="39" s="1"/>
  <c r="L361" i="39"/>
  <c r="AP361" i="39" s="1"/>
  <c r="K362" i="39"/>
  <c r="AJ362" i="39" s="1"/>
  <c r="K363" i="39"/>
  <c r="AJ363" i="39" s="1"/>
  <c r="K364" i="39"/>
  <c r="AJ364" i="39" s="1"/>
  <c r="J365" i="39"/>
  <c r="AM365" i="39" s="1"/>
  <c r="AT365" i="39"/>
  <c r="J366" i="39"/>
  <c r="AM366" i="39" s="1"/>
  <c r="AT366" i="39"/>
  <c r="J367" i="39"/>
  <c r="AM367" i="39" s="1"/>
  <c r="AT367" i="39"/>
  <c r="I368" i="39"/>
  <c r="AN368" i="39" s="1"/>
  <c r="I369" i="39"/>
  <c r="Y369" i="39" s="1"/>
  <c r="I370" i="39"/>
  <c r="Y370" i="39" s="1"/>
  <c r="H371" i="39"/>
  <c r="H372" i="39"/>
  <c r="H373" i="39"/>
  <c r="G374" i="39"/>
  <c r="G375" i="39"/>
  <c r="G376" i="39"/>
  <c r="J377" i="39"/>
  <c r="AM377" i="39" s="1"/>
  <c r="H378" i="39"/>
  <c r="E379" i="39"/>
  <c r="M379" i="39"/>
  <c r="AR379" i="39" s="1"/>
  <c r="J380" i="39"/>
  <c r="AM380" i="39" s="1"/>
  <c r="AT380" i="39"/>
  <c r="G381" i="39"/>
  <c r="D382" i="39"/>
  <c r="AI382" i="39" s="1"/>
  <c r="L382" i="39"/>
  <c r="AP382" i="39" s="1"/>
  <c r="I383" i="39"/>
  <c r="Y383" i="39" s="1"/>
  <c r="F384" i="39"/>
  <c r="AL384" i="39" s="1"/>
  <c r="P384" i="39"/>
  <c r="C385" i="39"/>
  <c r="K385" i="39"/>
  <c r="AJ385" i="39" s="1"/>
  <c r="H386" i="39"/>
  <c r="E387" i="39"/>
  <c r="M387" i="39"/>
  <c r="AR387" i="39" s="1"/>
  <c r="J388" i="39"/>
  <c r="AM388" i="39" s="1"/>
  <c r="AT388" i="39"/>
  <c r="G389" i="39"/>
  <c r="D390" i="39"/>
  <c r="AI390" i="39" s="1"/>
  <c r="L390" i="39"/>
  <c r="AP390" i="39" s="1"/>
  <c r="I391" i="39"/>
  <c r="Y391" i="39" s="1"/>
  <c r="F392" i="39"/>
  <c r="AL392" i="39" s="1"/>
  <c r="P392" i="39"/>
  <c r="C393" i="39"/>
  <c r="K393" i="39"/>
  <c r="AJ393" i="39" s="1"/>
  <c r="H394" i="39"/>
  <c r="E395" i="39"/>
  <c r="M395" i="39"/>
  <c r="AR395" i="39" s="1"/>
  <c r="J396" i="39"/>
  <c r="AM396" i="39" s="1"/>
  <c r="AT396" i="39"/>
  <c r="G397" i="39"/>
  <c r="D398" i="39"/>
  <c r="AI398" i="39" s="1"/>
  <c r="L398" i="39"/>
  <c r="AP398" i="39" s="1"/>
  <c r="I399" i="39"/>
  <c r="Y399" i="39" s="1"/>
  <c r="F400" i="39"/>
  <c r="AL400" i="39" s="1"/>
  <c r="P400" i="39"/>
  <c r="C401" i="39"/>
  <c r="K401" i="39"/>
  <c r="AJ401" i="39" s="1"/>
  <c r="H52" i="39"/>
  <c r="J383" i="39"/>
  <c r="AM383" i="39" s="1"/>
  <c r="AT383" i="39"/>
  <c r="D385" i="39"/>
  <c r="AI385" i="39" s="1"/>
  <c r="F387" i="39"/>
  <c r="AL387" i="39" s="1"/>
  <c r="K388" i="39"/>
  <c r="AJ388" i="39" s="1"/>
  <c r="E390" i="39"/>
  <c r="J391" i="39"/>
  <c r="AM391" i="39" s="1"/>
  <c r="AT391" i="39"/>
  <c r="L393" i="39"/>
  <c r="AP393" i="39" s="1"/>
  <c r="F395" i="39"/>
  <c r="AL395" i="39" s="1"/>
  <c r="K396" i="39"/>
  <c r="AJ396" i="39" s="1"/>
  <c r="H397" i="39"/>
  <c r="J399" i="39"/>
  <c r="AM399" i="39" s="1"/>
  <c r="G400" i="39"/>
  <c r="L401" i="39"/>
  <c r="AP401" i="39" s="1"/>
  <c r="I389" i="39"/>
  <c r="Y389" i="39" s="1"/>
  <c r="F390" i="39"/>
  <c r="AL390" i="39" s="1"/>
  <c r="K391" i="39"/>
  <c r="AJ391" i="39" s="1"/>
  <c r="J394" i="39"/>
  <c r="AM394" i="39" s="1"/>
  <c r="I397" i="39"/>
  <c r="Y397" i="39" s="1"/>
  <c r="P398" i="39"/>
  <c r="C399" i="39"/>
  <c r="H400" i="39"/>
  <c r="M401" i="39"/>
  <c r="AR401" i="39" s="1"/>
  <c r="J52" i="39"/>
  <c r="AM52" i="39" s="1"/>
  <c r="AT52" i="39"/>
  <c r="M396" i="39"/>
  <c r="AR396" i="39" s="1"/>
  <c r="G398" i="39"/>
  <c r="I400" i="39"/>
  <c r="AN400" i="39" s="1"/>
  <c r="C52" i="39"/>
  <c r="C338" i="39"/>
  <c r="I340" i="39"/>
  <c r="Y340" i="39" s="1"/>
  <c r="I341" i="39"/>
  <c r="Y341" i="39" s="1"/>
  <c r="I342" i="39"/>
  <c r="AN342" i="39" s="1"/>
  <c r="H343" i="39"/>
  <c r="H344" i="39"/>
  <c r="H345" i="39"/>
  <c r="G346" i="39"/>
  <c r="G347" i="39"/>
  <c r="G348" i="39"/>
  <c r="F349" i="39"/>
  <c r="AL349" i="39" s="1"/>
  <c r="F350" i="39"/>
  <c r="AL350" i="39" s="1"/>
  <c r="F351" i="39"/>
  <c r="AL351" i="39" s="1"/>
  <c r="E352" i="39"/>
  <c r="E353" i="39"/>
  <c r="E354" i="39"/>
  <c r="D355" i="39"/>
  <c r="AI355" i="39" s="1"/>
  <c r="D356" i="39"/>
  <c r="AI356" i="39" s="1"/>
  <c r="D357" i="39"/>
  <c r="AI357" i="39" s="1"/>
  <c r="P357" i="39"/>
  <c r="C358" i="39"/>
  <c r="P358" i="39"/>
  <c r="C359" i="39"/>
  <c r="P359" i="39"/>
  <c r="C360" i="39"/>
  <c r="M360" i="39"/>
  <c r="AR360" i="39" s="1"/>
  <c r="M361" i="39"/>
  <c r="AR361" i="39" s="1"/>
  <c r="M362" i="39"/>
  <c r="AR362" i="39" s="1"/>
  <c r="L363" i="39"/>
  <c r="AP363" i="39" s="1"/>
  <c r="L364" i="39"/>
  <c r="AP364" i="39" s="1"/>
  <c r="L365" i="39"/>
  <c r="AP365" i="39" s="1"/>
  <c r="K366" i="39"/>
  <c r="AJ366" i="39" s="1"/>
  <c r="K367" i="39"/>
  <c r="AJ367" i="39" s="1"/>
  <c r="K368" i="39"/>
  <c r="AJ368" i="39" s="1"/>
  <c r="J369" i="39"/>
  <c r="AM369" i="39" s="1"/>
  <c r="AT369" i="39"/>
  <c r="J370" i="39"/>
  <c r="AM370" i="39" s="1"/>
  <c r="AT370" i="39"/>
  <c r="J371" i="39"/>
  <c r="AM371" i="39" s="1"/>
  <c r="AT371" i="39"/>
  <c r="I372" i="39"/>
  <c r="AN372" i="39" s="1"/>
  <c r="I373" i="39"/>
  <c r="Y373" i="39" s="1"/>
  <c r="I374" i="39"/>
  <c r="AN374" i="39" s="1"/>
  <c r="H375" i="39"/>
  <c r="H376" i="39"/>
  <c r="L377" i="39"/>
  <c r="AP377" i="39" s="1"/>
  <c r="I378" i="39"/>
  <c r="Y378" i="39" s="1"/>
  <c r="F379" i="39"/>
  <c r="AL379" i="39" s="1"/>
  <c r="P379" i="39"/>
  <c r="C380" i="39"/>
  <c r="K380" i="39"/>
  <c r="AJ380" i="39" s="1"/>
  <c r="H381" i="39"/>
  <c r="E382" i="39"/>
  <c r="M382" i="39"/>
  <c r="AR382" i="39" s="1"/>
  <c r="G384" i="39"/>
  <c r="L385" i="39"/>
  <c r="AP385" i="39" s="1"/>
  <c r="I386" i="39"/>
  <c r="AN386" i="39" s="1"/>
  <c r="P387" i="39"/>
  <c r="C388" i="39"/>
  <c r="H389" i="39"/>
  <c r="M390" i="39"/>
  <c r="AR390" i="39" s="1"/>
  <c r="G392" i="39"/>
  <c r="D393" i="39"/>
  <c r="AI393" i="39" s="1"/>
  <c r="I394" i="39"/>
  <c r="AN394" i="39" s="1"/>
  <c r="P395" i="39"/>
  <c r="C396" i="39"/>
  <c r="E398" i="39"/>
  <c r="M398" i="39"/>
  <c r="AR398" i="39" s="1"/>
  <c r="AT399" i="39"/>
  <c r="D401" i="39"/>
  <c r="AI401" i="39" s="1"/>
  <c r="I52" i="39"/>
  <c r="Y52" i="39" s="1"/>
  <c r="M385" i="39"/>
  <c r="AR385" i="39" s="1"/>
  <c r="J386" i="39"/>
  <c r="AM386" i="39" s="1"/>
  <c r="G387" i="39"/>
  <c r="L388" i="39"/>
  <c r="AP388" i="39" s="1"/>
  <c r="C391" i="39"/>
  <c r="H392" i="39"/>
  <c r="E393" i="39"/>
  <c r="G395" i="39"/>
  <c r="D396" i="39"/>
  <c r="AI396" i="39" s="1"/>
  <c r="F398" i="39"/>
  <c r="AL398" i="39" s="1"/>
  <c r="P401" i="39"/>
  <c r="K338" i="39"/>
  <c r="AJ338" i="39" s="1"/>
  <c r="K340" i="39"/>
  <c r="AJ340" i="39" s="1"/>
  <c r="J341" i="39"/>
  <c r="AM341" i="39" s="1"/>
  <c r="AT341" i="39"/>
  <c r="J342" i="39"/>
  <c r="AM342" i="39" s="1"/>
  <c r="AT342" i="39"/>
  <c r="J343" i="39"/>
  <c r="AM343" i="39" s="1"/>
  <c r="AT343" i="39"/>
  <c r="I344" i="39"/>
  <c r="Y344" i="39" s="1"/>
  <c r="I345" i="39"/>
  <c r="Y345" i="39" s="1"/>
  <c r="I346" i="39"/>
  <c r="Y346" i="39" s="1"/>
  <c r="H347" i="39"/>
  <c r="H348" i="39"/>
  <c r="H349" i="39"/>
  <c r="G350" i="39"/>
  <c r="G351" i="39"/>
  <c r="G352" i="39"/>
  <c r="F353" i="39"/>
  <c r="AL353" i="39" s="1"/>
  <c r="F354" i="39"/>
  <c r="AL354" i="39" s="1"/>
  <c r="F355" i="39"/>
  <c r="AL355" i="39" s="1"/>
  <c r="E356" i="39"/>
  <c r="E357" i="39"/>
  <c r="E358" i="39"/>
  <c r="D359" i="39"/>
  <c r="AI359" i="39" s="1"/>
  <c r="D360" i="39"/>
  <c r="AI360" i="39" s="1"/>
  <c r="D361" i="39"/>
  <c r="AI361" i="39" s="1"/>
  <c r="P361" i="39"/>
  <c r="C362" i="39"/>
  <c r="P362" i="39"/>
  <c r="C363" i="39"/>
  <c r="P363" i="39"/>
  <c r="C364" i="39"/>
  <c r="M364" i="39"/>
  <c r="AR364" i="39" s="1"/>
  <c r="M365" i="39"/>
  <c r="AR365" i="39" s="1"/>
  <c r="M366" i="39"/>
  <c r="AR366" i="39" s="1"/>
  <c r="L367" i="39"/>
  <c r="AP367" i="39" s="1"/>
  <c r="L368" i="39"/>
  <c r="AP368" i="39" s="1"/>
  <c r="L369" i="39"/>
  <c r="AP369" i="39" s="1"/>
  <c r="K370" i="39"/>
  <c r="AJ370" i="39" s="1"/>
  <c r="K371" i="39"/>
  <c r="AJ371" i="39" s="1"/>
  <c r="K372" i="39"/>
  <c r="AJ372" i="39" s="1"/>
  <c r="J373" i="39"/>
  <c r="AM373" i="39" s="1"/>
  <c r="AT373" i="39"/>
  <c r="J374" i="39"/>
  <c r="AM374" i="39" s="1"/>
  <c r="AT374" i="39"/>
  <c r="J375" i="39"/>
  <c r="AM375" i="39" s="1"/>
  <c r="AT375" i="39"/>
  <c r="I376" i="39"/>
  <c r="Y376" i="39" s="1"/>
  <c r="D377" i="39"/>
  <c r="AI377" i="39" s="1"/>
  <c r="M377" i="39"/>
  <c r="AR377" i="39" s="1"/>
  <c r="J378" i="39"/>
  <c r="AM378" i="39" s="1"/>
  <c r="AT378" i="39"/>
  <c r="G379" i="39"/>
  <c r="D380" i="39"/>
  <c r="AI380" i="39" s="1"/>
  <c r="L380" i="39"/>
  <c r="AP380" i="39" s="1"/>
  <c r="I381" i="39"/>
  <c r="Y381" i="39" s="1"/>
  <c r="F382" i="39"/>
  <c r="AL382" i="39" s="1"/>
  <c r="P382" i="39"/>
  <c r="C383" i="39"/>
  <c r="K383" i="39"/>
  <c r="AJ383" i="39" s="1"/>
  <c r="H384" i="39"/>
  <c r="E385" i="39"/>
  <c r="AT386" i="39"/>
  <c r="D388" i="39"/>
  <c r="AI388" i="39" s="1"/>
  <c r="P390" i="39"/>
  <c r="M393" i="39"/>
  <c r="AR393" i="39" s="1"/>
  <c r="AT394" i="39"/>
  <c r="L396" i="39"/>
  <c r="AP396" i="39" s="1"/>
  <c r="K399" i="39"/>
  <c r="AJ399" i="39" s="1"/>
  <c r="E401" i="39"/>
  <c r="L399" i="39"/>
  <c r="AP399" i="39" s="1"/>
  <c r="D339" i="39"/>
  <c r="AI339" i="39" s="1"/>
  <c r="L340" i="39"/>
  <c r="AP340" i="39" s="1"/>
  <c r="L341" i="39"/>
  <c r="AP341" i="39" s="1"/>
  <c r="K342" i="39"/>
  <c r="AJ342" i="39" s="1"/>
  <c r="K343" i="39"/>
  <c r="AJ343" i="39" s="1"/>
  <c r="K344" i="39"/>
  <c r="AJ344" i="39" s="1"/>
  <c r="J345" i="39"/>
  <c r="AM345" i="39" s="1"/>
  <c r="AT345" i="39"/>
  <c r="J346" i="39"/>
  <c r="AM346" i="39" s="1"/>
  <c r="AT346" i="39"/>
  <c r="J347" i="39"/>
  <c r="AM347" i="39" s="1"/>
  <c r="AT347" i="39"/>
  <c r="I348" i="39"/>
  <c r="AN348" i="39" s="1"/>
  <c r="I349" i="39"/>
  <c r="Y349" i="39" s="1"/>
  <c r="I350" i="39"/>
  <c r="Y350" i="39" s="1"/>
  <c r="H351" i="39"/>
  <c r="H352" i="39"/>
  <c r="H353" i="39"/>
  <c r="G354" i="39"/>
  <c r="G355" i="39"/>
  <c r="G356" i="39"/>
  <c r="F357" i="39"/>
  <c r="AL357" i="39" s="1"/>
  <c r="F358" i="39"/>
  <c r="AL358" i="39" s="1"/>
  <c r="F359" i="39"/>
  <c r="AL359" i="39" s="1"/>
  <c r="E360" i="39"/>
  <c r="E361" i="39"/>
  <c r="E362" i="39"/>
  <c r="D363" i="39"/>
  <c r="AI363" i="39" s="1"/>
  <c r="D364" i="39"/>
  <c r="AI364" i="39" s="1"/>
  <c r="D365" i="39"/>
  <c r="AI365" i="39" s="1"/>
  <c r="P365" i="39"/>
  <c r="C366" i="39"/>
  <c r="P366" i="39"/>
  <c r="C367" i="39"/>
  <c r="P367" i="39"/>
  <c r="C368" i="39"/>
  <c r="M368" i="39"/>
  <c r="AR368" i="39" s="1"/>
  <c r="M369" i="39"/>
  <c r="AR369" i="39" s="1"/>
  <c r="M370" i="39"/>
  <c r="AR370" i="39" s="1"/>
  <c r="L371" i="39"/>
  <c r="AP371" i="39" s="1"/>
  <c r="L372" i="39"/>
  <c r="AP372" i="39" s="1"/>
  <c r="L373" i="39"/>
  <c r="AP373" i="39" s="1"/>
  <c r="K374" i="39"/>
  <c r="AJ374" i="39" s="1"/>
  <c r="K375" i="39"/>
  <c r="AJ375" i="39" s="1"/>
  <c r="K376" i="39"/>
  <c r="AJ376" i="39" s="1"/>
  <c r="E377" i="39"/>
  <c r="P377" i="39"/>
  <c r="C378" i="39"/>
  <c r="K378" i="39"/>
  <c r="AJ378" i="39" s="1"/>
  <c r="H379" i="39"/>
  <c r="E380" i="39"/>
  <c r="M380" i="39"/>
  <c r="AR380" i="39" s="1"/>
  <c r="J381" i="39"/>
  <c r="AM381" i="39" s="1"/>
  <c r="AT381" i="39"/>
  <c r="G382" i="39"/>
  <c r="D383" i="39"/>
  <c r="AI383" i="39" s="1"/>
  <c r="L383" i="39"/>
  <c r="AP383" i="39" s="1"/>
  <c r="I384" i="39"/>
  <c r="AN384" i="39" s="1"/>
  <c r="F385" i="39"/>
  <c r="AL385" i="39" s="1"/>
  <c r="P385" i="39"/>
  <c r="C386" i="39"/>
  <c r="K386" i="39"/>
  <c r="AJ386" i="39" s="1"/>
  <c r="H387" i="39"/>
  <c r="E388" i="39"/>
  <c r="M388" i="39"/>
  <c r="AR388" i="39" s="1"/>
  <c r="J389" i="39"/>
  <c r="AM389" i="39" s="1"/>
  <c r="AT389" i="39"/>
  <c r="G390" i="39"/>
  <c r="D391" i="39"/>
  <c r="AI391" i="39" s="1"/>
  <c r="L391" i="39"/>
  <c r="AP391" i="39" s="1"/>
  <c r="I392" i="39"/>
  <c r="Y392" i="39" s="1"/>
  <c r="F393" i="39"/>
  <c r="AL393" i="39" s="1"/>
  <c r="P393" i="39"/>
  <c r="C394" i="39"/>
  <c r="K394" i="39"/>
  <c r="AJ394" i="39" s="1"/>
  <c r="H395" i="39"/>
  <c r="E396" i="39"/>
  <c r="J397" i="39"/>
  <c r="AM397" i="39" s="1"/>
  <c r="AT397" i="39"/>
  <c r="D399" i="39"/>
  <c r="AI399" i="39" s="1"/>
  <c r="F401" i="39"/>
  <c r="AL401" i="39" s="1"/>
  <c r="K52" i="39"/>
  <c r="AJ52" i="39" s="1"/>
  <c r="H339" i="39"/>
  <c r="M340" i="39"/>
  <c r="AR340" i="39" s="1"/>
  <c r="M341" i="39"/>
  <c r="AR341" i="39" s="1"/>
  <c r="M342" i="39"/>
  <c r="AR342" i="39" s="1"/>
  <c r="L343" i="39"/>
  <c r="AP343" i="39" s="1"/>
  <c r="L344" i="39"/>
  <c r="AP344" i="39" s="1"/>
  <c r="L345" i="39"/>
  <c r="AP345" i="39" s="1"/>
  <c r="K346" i="39"/>
  <c r="AJ346" i="39" s="1"/>
  <c r="K347" i="39"/>
  <c r="AJ347" i="39" s="1"/>
  <c r="K348" i="39"/>
  <c r="AJ348" i="39" s="1"/>
  <c r="J349" i="39"/>
  <c r="AM349" i="39" s="1"/>
  <c r="AT349" i="39"/>
  <c r="J350" i="39"/>
  <c r="AM350" i="39" s="1"/>
  <c r="AT350" i="39"/>
  <c r="J351" i="39"/>
  <c r="AM351" i="39" s="1"/>
  <c r="AT351" i="39"/>
  <c r="I352" i="39"/>
  <c r="Y352" i="39" s="1"/>
  <c r="I353" i="39"/>
  <c r="Y353" i="39" s="1"/>
  <c r="I354" i="39"/>
  <c r="Y354" i="39" s="1"/>
  <c r="H355" i="39"/>
  <c r="H356" i="39"/>
  <c r="H357" i="39"/>
  <c r="G358" i="39"/>
  <c r="G359" i="39"/>
  <c r="G360" i="39"/>
  <c r="F361" i="39"/>
  <c r="AL361" i="39" s="1"/>
  <c r="F362" i="39"/>
  <c r="AL362" i="39" s="1"/>
  <c r="F363" i="39"/>
  <c r="AL363" i="39" s="1"/>
  <c r="E364" i="39"/>
  <c r="E365" i="39"/>
  <c r="E366" i="39"/>
  <c r="D367" i="39"/>
  <c r="AI367" i="39" s="1"/>
  <c r="D368" i="39"/>
  <c r="AI368" i="39" s="1"/>
  <c r="D369" i="39"/>
  <c r="AI369" i="39" s="1"/>
  <c r="P369" i="39"/>
  <c r="C370" i="39"/>
  <c r="P370" i="39"/>
  <c r="C371" i="39"/>
  <c r="P371" i="39"/>
  <c r="C372" i="39"/>
  <c r="M372" i="39"/>
  <c r="AR372" i="39" s="1"/>
  <c r="M373" i="39"/>
  <c r="AR373" i="39" s="1"/>
  <c r="M374" i="39"/>
  <c r="AR374" i="39" s="1"/>
  <c r="L375" i="39"/>
  <c r="AP375" i="39" s="1"/>
  <c r="L376" i="39"/>
  <c r="AP376" i="39" s="1"/>
  <c r="F377" i="39"/>
  <c r="AL377" i="39" s="1"/>
  <c r="D378" i="39"/>
  <c r="AI378" i="39" s="1"/>
  <c r="L378" i="39"/>
  <c r="AP378" i="39" s="1"/>
  <c r="I379" i="39"/>
  <c r="Y379" i="39" s="1"/>
  <c r="F380" i="39"/>
  <c r="AL380" i="39" s="1"/>
  <c r="P380" i="39"/>
  <c r="C381" i="39"/>
  <c r="K381" i="39"/>
  <c r="AJ381" i="39" s="1"/>
  <c r="H382" i="39"/>
  <c r="E383" i="39"/>
  <c r="M383" i="39"/>
  <c r="AR383" i="39" s="1"/>
  <c r="J384" i="39"/>
  <c r="AM384" i="39" s="1"/>
  <c r="G385" i="39"/>
  <c r="D386" i="39"/>
  <c r="AI386" i="39" s="1"/>
  <c r="L386" i="39"/>
  <c r="AP386" i="39" s="1"/>
  <c r="I387" i="39"/>
  <c r="Y387" i="39" s="1"/>
  <c r="F388" i="39"/>
  <c r="AL388" i="39" s="1"/>
  <c r="P388" i="39"/>
  <c r="C389" i="39"/>
  <c r="K389" i="39"/>
  <c r="AJ389" i="39" s="1"/>
  <c r="H390" i="39"/>
  <c r="E391" i="39"/>
  <c r="M391" i="39"/>
  <c r="AR391" i="39" s="1"/>
  <c r="J392" i="39"/>
  <c r="AM392" i="39" s="1"/>
  <c r="AT392" i="39"/>
  <c r="G393" i="39"/>
  <c r="D394" i="39"/>
  <c r="AI394" i="39" s="1"/>
  <c r="L394" i="39"/>
  <c r="AP394" i="39" s="1"/>
  <c r="I395" i="39"/>
  <c r="Y395" i="39" s="1"/>
  <c r="F396" i="39"/>
  <c r="AL396" i="39" s="1"/>
  <c r="P396" i="39"/>
  <c r="C397" i="39"/>
  <c r="K397" i="39"/>
  <c r="AJ397" i="39" s="1"/>
  <c r="E399" i="39"/>
  <c r="M399" i="39"/>
  <c r="AR399" i="39" s="1"/>
  <c r="J400" i="39"/>
  <c r="AM400" i="39" s="1"/>
  <c r="G401" i="39"/>
  <c r="D52" i="39"/>
  <c r="AI52" i="39" s="1"/>
  <c r="L52" i="39"/>
  <c r="AP52" i="39" s="1"/>
  <c r="P383" i="39"/>
  <c r="C384" i="39"/>
  <c r="K384" i="39"/>
  <c r="AJ384" i="39" s="1"/>
  <c r="E386" i="39"/>
  <c r="J387" i="39"/>
  <c r="AM387" i="39" s="1"/>
  <c r="G388" i="39"/>
  <c r="L389" i="39"/>
  <c r="AP389" i="39" s="1"/>
  <c r="I390" i="39"/>
  <c r="Y390" i="39" s="1"/>
  <c r="P391" i="39"/>
  <c r="C392" i="39"/>
  <c r="I398" i="39"/>
  <c r="Y398" i="39" s="1"/>
  <c r="F399" i="39"/>
  <c r="AL399" i="39" s="1"/>
  <c r="C400" i="39"/>
  <c r="K400" i="39"/>
  <c r="AJ400" i="39" s="1"/>
  <c r="E52" i="39"/>
  <c r="P386" i="39"/>
  <c r="K387" i="39"/>
  <c r="AJ387" i="39" s="1"/>
  <c r="H388" i="39"/>
  <c r="M389" i="39"/>
  <c r="AR389" i="39" s="1"/>
  <c r="J390" i="39"/>
  <c r="AM390" i="39" s="1"/>
  <c r="I393" i="39"/>
  <c r="AN393" i="39" s="1"/>
  <c r="F394" i="39"/>
  <c r="AL394" i="39" s="1"/>
  <c r="K395" i="39"/>
  <c r="AJ395" i="39" s="1"/>
  <c r="M397" i="39"/>
  <c r="AR397" i="39" s="1"/>
  <c r="AT398" i="39"/>
  <c r="L400" i="39"/>
  <c r="AP400" i="39" s="1"/>
  <c r="I401" i="39"/>
  <c r="Y401" i="39" s="1"/>
  <c r="P52" i="39"/>
  <c r="P397" i="39"/>
  <c r="K398" i="39"/>
  <c r="AJ398" i="39" s="1"/>
  <c r="J401" i="39"/>
  <c r="AM401" i="39" s="1"/>
  <c r="E3" i="39"/>
  <c r="E33" i="39"/>
  <c r="E44" i="39"/>
  <c r="E37" i="39"/>
  <c r="E22" i="39"/>
  <c r="E15" i="39"/>
  <c r="E32" i="39"/>
  <c r="E50" i="39"/>
  <c r="P4" i="39"/>
  <c r="P13" i="39"/>
  <c r="P14" i="39"/>
  <c r="P40" i="39"/>
  <c r="P31" i="39"/>
  <c r="P27" i="39"/>
  <c r="M47" i="39"/>
  <c r="M38" i="39"/>
  <c r="M17" i="39"/>
  <c r="M26" i="39"/>
  <c r="M27" i="39"/>
  <c r="L35" i="39"/>
  <c r="AP35" i="39" s="1"/>
  <c r="L20" i="39"/>
  <c r="AP20" i="39" s="1"/>
  <c r="L13" i="39"/>
  <c r="AP13" i="39" s="1"/>
  <c r="L50" i="39"/>
  <c r="AP50" i="39" s="1"/>
  <c r="L31" i="39"/>
  <c r="AP31" i="39" s="1"/>
  <c r="L16" i="39"/>
  <c r="AP16" i="39" s="1"/>
  <c r="L49" i="39"/>
  <c r="AP49" i="39" s="1"/>
  <c r="K43" i="39"/>
  <c r="K28" i="39"/>
  <c r="K5" i="39"/>
  <c r="K24" i="39"/>
  <c r="K46" i="39"/>
  <c r="K17" i="39"/>
  <c r="J3" i="39"/>
  <c r="J36" i="39"/>
  <c r="J12" i="39"/>
  <c r="J22" i="39"/>
  <c r="J24" i="39"/>
  <c r="J10" i="39"/>
  <c r="J48" i="39"/>
  <c r="I51" i="39"/>
  <c r="Y51" i="39" s="1"/>
  <c r="I36" i="39"/>
  <c r="Y36" i="39" s="1"/>
  <c r="I29" i="39"/>
  <c r="Y29" i="39" s="1"/>
  <c r="I14" i="39"/>
  <c r="Y14" i="39" s="1"/>
  <c r="H35" i="39"/>
  <c r="H20" i="39"/>
  <c r="H45" i="39"/>
  <c r="H47" i="39"/>
  <c r="H24" i="39"/>
  <c r="H9" i="39"/>
  <c r="G19" i="39"/>
  <c r="Q19" i="39" s="1"/>
  <c r="G12" i="39"/>
  <c r="Q12" i="39" s="1"/>
  <c r="G13" i="39"/>
  <c r="Q13" i="39" s="1"/>
  <c r="G6" i="39"/>
  <c r="Q6" i="39" s="1"/>
  <c r="G50" i="39"/>
  <c r="Q50" i="39" s="1"/>
  <c r="E11" i="39"/>
  <c r="E49" i="39"/>
  <c r="E45" i="39"/>
  <c r="E30" i="39"/>
  <c r="E23" i="39"/>
  <c r="E40" i="39"/>
  <c r="E2" i="39"/>
  <c r="P12" i="39"/>
  <c r="P21" i="39"/>
  <c r="P22" i="39"/>
  <c r="P48" i="39"/>
  <c r="P39" i="39"/>
  <c r="P35" i="39"/>
  <c r="P10" i="39"/>
  <c r="P2" i="39"/>
  <c r="M5" i="39"/>
  <c r="M8" i="39"/>
  <c r="M46" i="39"/>
  <c r="M16" i="39"/>
  <c r="M25" i="39"/>
  <c r="M34" i="39"/>
  <c r="M35" i="39"/>
  <c r="L43" i="39"/>
  <c r="AP43" i="39" s="1"/>
  <c r="L28" i="39"/>
  <c r="AP28" i="39" s="1"/>
  <c r="L21" i="39"/>
  <c r="AP21" i="39" s="1"/>
  <c r="L6" i="39"/>
  <c r="AP6" i="39" s="1"/>
  <c r="L42" i="39"/>
  <c r="AP42" i="39" s="1"/>
  <c r="L24" i="39"/>
  <c r="AP24" i="39" s="1"/>
  <c r="K51" i="39"/>
  <c r="K36" i="39"/>
  <c r="K13" i="39"/>
  <c r="K32" i="39"/>
  <c r="K25" i="39"/>
  <c r="J11" i="39"/>
  <c r="J5" i="39"/>
  <c r="J20" i="39"/>
  <c r="J30" i="39"/>
  <c r="J7" i="39"/>
  <c r="J9" i="39"/>
  <c r="J18" i="39"/>
  <c r="J2" i="39"/>
  <c r="I44" i="39"/>
  <c r="AN44" i="39" s="1"/>
  <c r="I37" i="39"/>
  <c r="Y37" i="39" s="1"/>
  <c r="I22" i="39"/>
  <c r="Y22" i="39" s="1"/>
  <c r="I9" i="39"/>
  <c r="Y9" i="39" s="1"/>
  <c r="I8" i="39"/>
  <c r="Y8" i="39" s="1"/>
  <c r="I39" i="39"/>
  <c r="Y39" i="39" s="1"/>
  <c r="H43" i="39"/>
  <c r="H28" i="39"/>
  <c r="H26" i="39"/>
  <c r="H32" i="39"/>
  <c r="H33" i="39"/>
  <c r="G27" i="39"/>
  <c r="Q27" i="39" s="1"/>
  <c r="G20" i="39"/>
  <c r="Q20" i="39" s="1"/>
  <c r="G21" i="39"/>
  <c r="Q21" i="39" s="1"/>
  <c r="G14" i="39"/>
  <c r="Q14" i="39" s="1"/>
  <c r="G7" i="39"/>
  <c r="Q7" i="39" s="1"/>
  <c r="E19" i="39"/>
  <c r="E42" i="39"/>
  <c r="E39" i="39"/>
  <c r="E38" i="39"/>
  <c r="E31" i="39"/>
  <c r="E48" i="39"/>
  <c r="P20" i="39"/>
  <c r="P29" i="39"/>
  <c r="P30" i="39"/>
  <c r="P50" i="39"/>
  <c r="P47" i="39"/>
  <c r="P9" i="39"/>
  <c r="P18" i="39"/>
  <c r="M4" i="39"/>
  <c r="M13" i="39"/>
  <c r="M40" i="39"/>
  <c r="M24" i="39"/>
  <c r="M33" i="39"/>
  <c r="M42" i="39"/>
  <c r="M43" i="39"/>
  <c r="L51" i="39"/>
  <c r="AP51" i="39" s="1"/>
  <c r="L36" i="39"/>
  <c r="AP36" i="39" s="1"/>
  <c r="L29" i="39"/>
  <c r="AP29" i="39" s="1"/>
  <c r="L14" i="39"/>
  <c r="AP14" i="39" s="1"/>
  <c r="L7" i="39"/>
  <c r="AP7" i="39" s="1"/>
  <c r="L40" i="39"/>
  <c r="AP40" i="39" s="1"/>
  <c r="L10" i="39"/>
  <c r="AP10" i="39" s="1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Y3" i="39" s="1"/>
  <c r="I31" i="39"/>
  <c r="Y31" i="39" s="1"/>
  <c r="I45" i="39"/>
  <c r="Y45" i="39" s="1"/>
  <c r="I30" i="39"/>
  <c r="Y30" i="39" s="1"/>
  <c r="I17" i="39"/>
  <c r="Y17" i="39" s="1"/>
  <c r="I10" i="39"/>
  <c r="Y10" i="39" s="1"/>
  <c r="I24" i="39"/>
  <c r="Y24" i="39" s="1"/>
  <c r="H51" i="39"/>
  <c r="H36" i="39"/>
  <c r="H6" i="39"/>
  <c r="H17" i="39"/>
  <c r="H40" i="39"/>
  <c r="G35" i="39"/>
  <c r="Q35" i="39" s="1"/>
  <c r="G28" i="39"/>
  <c r="Q28" i="39" s="1"/>
  <c r="E27" i="39"/>
  <c r="E35" i="39"/>
  <c r="E12" i="39"/>
  <c r="E5" i="39"/>
  <c r="E43" i="39"/>
  <c r="E13" i="39"/>
  <c r="E46" i="39"/>
  <c r="E16" i="39"/>
  <c r="P46" i="39"/>
  <c r="P23" i="39"/>
  <c r="P33" i="39"/>
  <c r="M12" i="39"/>
  <c r="M45" i="39"/>
  <c r="M15" i="39"/>
  <c r="M9" i="39"/>
  <c r="M3" i="39"/>
  <c r="L48" i="39"/>
  <c r="AP48" i="39" s="1"/>
  <c r="L30" i="39"/>
  <c r="AP30" i="39" s="1"/>
  <c r="L8" i="39"/>
  <c r="AP8" i="39" s="1"/>
  <c r="L2" i="39"/>
  <c r="AP2" i="39" s="1"/>
  <c r="K40" i="39"/>
  <c r="K8" i="39"/>
  <c r="K14" i="39"/>
  <c r="K9" i="39"/>
  <c r="J43" i="39"/>
  <c r="J44" i="39"/>
  <c r="J33" i="39"/>
  <c r="J45" i="39"/>
  <c r="I12" i="39"/>
  <c r="Y12" i="39" s="1"/>
  <c r="I7" i="39"/>
  <c r="Y7" i="39" s="1"/>
  <c r="AO7" i="39" s="1"/>
  <c r="I26" i="39"/>
  <c r="Y26" i="39" s="1"/>
  <c r="H27" i="39"/>
  <c r="H5" i="39"/>
  <c r="H7" i="39"/>
  <c r="H8" i="39"/>
  <c r="H50" i="39"/>
  <c r="G4" i="39"/>
  <c r="Q4" i="39" s="1"/>
  <c r="G45" i="39"/>
  <c r="Q45" i="39" s="1"/>
  <c r="G40" i="39"/>
  <c r="Q40" i="39" s="1"/>
  <c r="G25" i="39"/>
  <c r="Q25" i="39" s="1"/>
  <c r="F4" i="39"/>
  <c r="F30" i="39"/>
  <c r="F6" i="39"/>
  <c r="F48" i="39"/>
  <c r="F18" i="39"/>
  <c r="F19" i="39"/>
  <c r="F49" i="39"/>
  <c r="D51" i="39"/>
  <c r="D28" i="39"/>
  <c r="D5" i="39"/>
  <c r="D15" i="39"/>
  <c r="D25" i="39"/>
  <c r="D34" i="39"/>
  <c r="C35" i="39"/>
  <c r="AA35" i="39" s="1"/>
  <c r="C28" i="39"/>
  <c r="AA28" i="39" s="1"/>
  <c r="C29" i="39"/>
  <c r="AA29" i="39" s="1"/>
  <c r="C14" i="39"/>
  <c r="AA14" i="39" s="1"/>
  <c r="C7" i="39"/>
  <c r="AA7" i="39" s="1"/>
  <c r="E51" i="39"/>
  <c r="E21" i="39"/>
  <c r="E24" i="39"/>
  <c r="P5" i="39"/>
  <c r="P41" i="39"/>
  <c r="M20" i="39"/>
  <c r="M23" i="39"/>
  <c r="M41" i="39"/>
  <c r="M11" i="39"/>
  <c r="L32" i="39"/>
  <c r="AP32" i="39" s="1"/>
  <c r="L5" i="39"/>
  <c r="AP5" i="39" s="1"/>
  <c r="L38" i="39"/>
  <c r="AP38" i="39" s="1"/>
  <c r="L9" i="39"/>
  <c r="AP9" i="39" s="1"/>
  <c r="K26" i="39"/>
  <c r="K42" i="39"/>
  <c r="K22" i="39"/>
  <c r="K41" i="39"/>
  <c r="J51" i="39"/>
  <c r="J8" i="39"/>
  <c r="J41" i="39"/>
  <c r="I11" i="39"/>
  <c r="Y11" i="39" s="1"/>
  <c r="I20" i="39"/>
  <c r="Y20" i="39" s="1"/>
  <c r="I15" i="39"/>
  <c r="Y15" i="39" s="1"/>
  <c r="I16" i="39"/>
  <c r="Y16" i="39" s="1"/>
  <c r="I34" i="39"/>
  <c r="Y34" i="39" s="1"/>
  <c r="H13" i="39"/>
  <c r="H15" i="39"/>
  <c r="H16" i="39"/>
  <c r="H2" i="39"/>
  <c r="G36" i="39"/>
  <c r="Q36" i="39" s="1"/>
  <c r="G42" i="39"/>
  <c r="Q42" i="39" s="1"/>
  <c r="G33" i="39"/>
  <c r="Q33" i="39" s="1"/>
  <c r="F12" i="39"/>
  <c r="F38" i="39"/>
  <c r="F5" i="39"/>
  <c r="F22" i="39"/>
  <c r="F9" i="39"/>
  <c r="F26" i="39"/>
  <c r="F27" i="39"/>
  <c r="F2" i="39"/>
  <c r="D36" i="39"/>
  <c r="D13" i="39"/>
  <c r="D6" i="39"/>
  <c r="D23" i="39"/>
  <c r="D33" i="39"/>
  <c r="D42" i="39"/>
  <c r="C43" i="39"/>
  <c r="AA43" i="39" s="1"/>
  <c r="C36" i="39"/>
  <c r="AA36" i="39" s="1"/>
  <c r="C37" i="39"/>
  <c r="AA37" i="39" s="1"/>
  <c r="C22" i="39"/>
  <c r="AA22" i="39" s="1"/>
  <c r="C15" i="39"/>
  <c r="AA15" i="39" s="1"/>
  <c r="C42" i="39"/>
  <c r="AA42" i="39" s="1"/>
  <c r="C10" i="39"/>
  <c r="AA10" i="39" s="1"/>
  <c r="E29" i="39"/>
  <c r="E41" i="39"/>
  <c r="P37" i="39"/>
  <c r="P16" i="39"/>
  <c r="P8" i="39"/>
  <c r="P49" i="39"/>
  <c r="M28" i="39"/>
  <c r="M51" i="39"/>
  <c r="M31" i="39"/>
  <c r="M49" i="39"/>
  <c r="M19" i="39"/>
  <c r="L34" i="39"/>
  <c r="AP34" i="39" s="1"/>
  <c r="L37" i="39"/>
  <c r="AP37" i="39" s="1"/>
  <c r="L46" i="39"/>
  <c r="AP46" i="39" s="1"/>
  <c r="L17" i="39"/>
  <c r="AP17" i="39" s="1"/>
  <c r="K4" i="39"/>
  <c r="K29" i="39"/>
  <c r="K30" i="39"/>
  <c r="K49" i="39"/>
  <c r="J29" i="39"/>
  <c r="J23" i="39"/>
  <c r="J49" i="39"/>
  <c r="I19" i="39"/>
  <c r="Y19" i="39" s="1"/>
  <c r="I28" i="39"/>
  <c r="Y28" i="39" s="1"/>
  <c r="I47" i="39"/>
  <c r="Y47" i="39" s="1"/>
  <c r="I25" i="39"/>
  <c r="Y25" i="39" s="1"/>
  <c r="I42" i="39"/>
  <c r="Y42" i="39" s="1"/>
  <c r="H21" i="39"/>
  <c r="H29" i="39"/>
  <c r="H23" i="39"/>
  <c r="E20" i="39"/>
  <c r="E7" i="39"/>
  <c r="E34" i="39"/>
  <c r="P3" i="39"/>
  <c r="P34" i="39"/>
  <c r="M44" i="39"/>
  <c r="M14" i="39"/>
  <c r="M32" i="39"/>
  <c r="M10" i="39"/>
  <c r="L3" i="39"/>
  <c r="AP3" i="39" s="1"/>
  <c r="L12" i="39"/>
  <c r="AP12" i="39" s="1"/>
  <c r="L15" i="39"/>
  <c r="AP15" i="39" s="1"/>
  <c r="L33" i="39"/>
  <c r="AP33" i="39" s="1"/>
  <c r="K11" i="39"/>
  <c r="K20" i="39"/>
  <c r="K45" i="39"/>
  <c r="K48" i="39"/>
  <c r="K18" i="39"/>
  <c r="J37" i="39"/>
  <c r="J14" i="39"/>
  <c r="J47" i="39"/>
  <c r="J34" i="39"/>
  <c r="I35" i="39"/>
  <c r="Y35" i="39" s="1"/>
  <c r="I32" i="39"/>
  <c r="Y32" i="39" s="1"/>
  <c r="I6" i="39"/>
  <c r="Y6" i="39" s="1"/>
  <c r="AO6" i="39" s="1"/>
  <c r="I41" i="39"/>
  <c r="Y41" i="39" s="1"/>
  <c r="I2" i="39"/>
  <c r="Y2" i="39" s="1"/>
  <c r="H4" i="39"/>
  <c r="H22" i="39"/>
  <c r="H39" i="39"/>
  <c r="H25" i="39"/>
  <c r="G43" i="39"/>
  <c r="Q43" i="39" s="1"/>
  <c r="G18" i="39"/>
  <c r="Q18" i="39" s="1"/>
  <c r="G22" i="39"/>
  <c r="Q22" i="39" s="1"/>
  <c r="G31" i="39"/>
  <c r="Q31" i="39" s="1"/>
  <c r="G24" i="39"/>
  <c r="Q24" i="39" s="1"/>
  <c r="F36" i="39"/>
  <c r="F39" i="39"/>
  <c r="F29" i="39"/>
  <c r="F15" i="39"/>
  <c r="F33" i="39"/>
  <c r="F50" i="39"/>
  <c r="F51" i="39"/>
  <c r="D19" i="39"/>
  <c r="D37" i="39"/>
  <c r="D30" i="39"/>
  <c r="D40" i="39"/>
  <c r="C3" i="39"/>
  <c r="AA3" i="39" s="1"/>
  <c r="C32" i="39"/>
  <c r="AA32" i="39" s="1"/>
  <c r="C40" i="39"/>
  <c r="AA40" i="39" s="1"/>
  <c r="C24" i="39"/>
  <c r="AA24" i="39" s="1"/>
  <c r="C46" i="39"/>
  <c r="AA46" i="39" s="1"/>
  <c r="E4" i="39"/>
  <c r="E26" i="39"/>
  <c r="P45" i="39"/>
  <c r="P32" i="39"/>
  <c r="M36" i="39"/>
  <c r="M39" i="39"/>
  <c r="M2" i="39"/>
  <c r="L45" i="39"/>
  <c r="AP45" i="39" s="1"/>
  <c r="L25" i="39"/>
  <c r="AP25" i="39" s="1"/>
  <c r="K12" i="39"/>
  <c r="K38" i="39"/>
  <c r="J21" i="39"/>
  <c r="J39" i="39"/>
  <c r="I27" i="39"/>
  <c r="Y27" i="39" s="1"/>
  <c r="I40" i="39"/>
  <c r="Y40" i="39" s="1"/>
  <c r="I50" i="39"/>
  <c r="Y50" i="39" s="1"/>
  <c r="H14" i="39"/>
  <c r="H48" i="39"/>
  <c r="G26" i="39"/>
  <c r="Q26" i="39" s="1"/>
  <c r="G10" i="39"/>
  <c r="Q10" i="39" s="1"/>
  <c r="F45" i="39"/>
  <c r="F25" i="39"/>
  <c r="F11" i="39"/>
  <c r="D27" i="39"/>
  <c r="D44" i="39"/>
  <c r="D39" i="39"/>
  <c r="D24" i="39"/>
  <c r="D26" i="39"/>
  <c r="C4" i="39"/>
  <c r="AA4" i="39" s="1"/>
  <c r="C45" i="39"/>
  <c r="AA45" i="39" s="1"/>
  <c r="C16" i="39"/>
  <c r="AA16" i="39" s="1"/>
  <c r="C9" i="39"/>
  <c r="AA9" i="39" s="1"/>
  <c r="C34" i="39"/>
  <c r="AA34" i="39" s="1"/>
  <c r="M22" i="39"/>
  <c r="K19" i="39"/>
  <c r="I5" i="39"/>
  <c r="Y5" i="39" s="1"/>
  <c r="G3" i="39"/>
  <c r="Q3" i="39" s="1"/>
  <c r="F44" i="39"/>
  <c r="D4" i="39"/>
  <c r="C5" i="39"/>
  <c r="AA5" i="39" s="1"/>
  <c r="E25" i="39"/>
  <c r="J50" i="39"/>
  <c r="G39" i="39"/>
  <c r="Q39" i="39" s="1"/>
  <c r="D10" i="39"/>
  <c r="P15" i="39"/>
  <c r="J31" i="39"/>
  <c r="I18" i="39"/>
  <c r="Y18" i="39" s="1"/>
  <c r="G47" i="39"/>
  <c r="Q47" i="39" s="1"/>
  <c r="F17" i="39"/>
  <c r="E28" i="39"/>
  <c r="P43" i="39"/>
  <c r="P11" i="39"/>
  <c r="M21" i="39"/>
  <c r="M48" i="39"/>
  <c r="L11" i="39"/>
  <c r="AP11" i="39" s="1"/>
  <c r="L47" i="39"/>
  <c r="AP47" i="39" s="1"/>
  <c r="L41" i="39"/>
  <c r="AP41" i="39" s="1"/>
  <c r="K50" i="39"/>
  <c r="J16" i="39"/>
  <c r="I43" i="39"/>
  <c r="Y43" i="39" s="1"/>
  <c r="I38" i="39"/>
  <c r="Y38" i="39" s="1"/>
  <c r="H3" i="39"/>
  <c r="H30" i="39"/>
  <c r="G30" i="39"/>
  <c r="Q30" i="39" s="1"/>
  <c r="G8" i="39"/>
  <c r="Q8" i="39" s="1"/>
  <c r="G34" i="39"/>
  <c r="Q34" i="39" s="1"/>
  <c r="F23" i="39"/>
  <c r="F41" i="39"/>
  <c r="F35" i="39"/>
  <c r="D35" i="39"/>
  <c r="D8" i="39"/>
  <c r="D7" i="39"/>
  <c r="D50" i="39"/>
  <c r="C12" i="39"/>
  <c r="AA12" i="39" s="1"/>
  <c r="C50" i="39"/>
  <c r="AA50" i="39" s="1"/>
  <c r="C17" i="39"/>
  <c r="AA17" i="39" s="1"/>
  <c r="C2" i="39"/>
  <c r="AA2" i="39" s="1"/>
  <c r="P51" i="39"/>
  <c r="L23" i="39"/>
  <c r="AP23" i="39" s="1"/>
  <c r="J42" i="39"/>
  <c r="H12" i="39"/>
  <c r="G23" i="39"/>
  <c r="Q23" i="39" s="1"/>
  <c r="F42" i="39"/>
  <c r="D49" i="39"/>
  <c r="C47" i="39"/>
  <c r="AA47" i="39" s="1"/>
  <c r="E6" i="39"/>
  <c r="M50" i="39"/>
  <c r="J27" i="39"/>
  <c r="H44" i="39"/>
  <c r="G37" i="39"/>
  <c r="Q37" i="39" s="1"/>
  <c r="D29" i="39"/>
  <c r="E14" i="39"/>
  <c r="P44" i="39"/>
  <c r="J35" i="39"/>
  <c r="H42" i="39"/>
  <c r="G49" i="39"/>
  <c r="Q49" i="39" s="1"/>
  <c r="E36" i="39"/>
  <c r="E18" i="39"/>
  <c r="P6" i="39"/>
  <c r="P17" i="39"/>
  <c r="M29" i="39"/>
  <c r="L19" i="39"/>
  <c r="AP19" i="39" s="1"/>
  <c r="L18" i="39"/>
  <c r="AP18" i="39" s="1"/>
  <c r="K23" i="39"/>
  <c r="K7" i="39"/>
  <c r="J40" i="39"/>
  <c r="J32" i="39"/>
  <c r="I48" i="39"/>
  <c r="Y48" i="39" s="1"/>
  <c r="I46" i="39"/>
  <c r="Y46" i="39" s="1"/>
  <c r="H11" i="39"/>
  <c r="H38" i="39"/>
  <c r="H49" i="39"/>
  <c r="G44" i="39"/>
  <c r="Q44" i="39" s="1"/>
  <c r="G38" i="39"/>
  <c r="Q38" i="39" s="1"/>
  <c r="G16" i="39"/>
  <c r="Q16" i="39" s="1"/>
  <c r="G2" i="39"/>
  <c r="F46" i="39"/>
  <c r="F43" i="39"/>
  <c r="D43" i="39"/>
  <c r="D31" i="39"/>
  <c r="D14" i="39"/>
  <c r="D9" i="39"/>
  <c r="D2" i="39"/>
  <c r="C20" i="39"/>
  <c r="AA20" i="39" s="1"/>
  <c r="C48" i="39"/>
  <c r="AA48" i="39" s="1"/>
  <c r="C23" i="39"/>
  <c r="AA23" i="39" s="1"/>
  <c r="C25" i="39"/>
  <c r="AA25" i="39" s="1"/>
  <c r="A17" i="43"/>
  <c r="P28" i="39"/>
  <c r="M18" i="39"/>
  <c r="I49" i="39"/>
  <c r="AN49" i="39" s="1"/>
  <c r="G17" i="39"/>
  <c r="Q17" i="39" s="1"/>
  <c r="F32" i="39"/>
  <c r="C27" i="39"/>
  <c r="AA27" i="39" s="1"/>
  <c r="P7" i="39"/>
  <c r="H10" i="39"/>
  <c r="F16" i="39"/>
  <c r="D3" i="39"/>
  <c r="C51" i="39"/>
  <c r="AA51" i="39" s="1"/>
  <c r="C18" i="39"/>
  <c r="AA18" i="39" s="1"/>
  <c r="P19" i="39"/>
  <c r="K35" i="39"/>
  <c r="I21" i="39"/>
  <c r="Y21" i="39" s="1"/>
  <c r="G51" i="39"/>
  <c r="Q51" i="39" s="1"/>
  <c r="F14" i="39"/>
  <c r="E10" i="39"/>
  <c r="E8" i="39"/>
  <c r="P38" i="39"/>
  <c r="P25" i="39"/>
  <c r="M37" i="39"/>
  <c r="L27" i="39"/>
  <c r="AP27" i="39" s="1"/>
  <c r="L22" i="39"/>
  <c r="AP22" i="39" s="1"/>
  <c r="L26" i="39"/>
  <c r="AP26" i="39" s="1"/>
  <c r="K39" i="39"/>
  <c r="K15" i="39"/>
  <c r="J4" i="39"/>
  <c r="J25" i="39"/>
  <c r="I4" i="39"/>
  <c r="Y4" i="39" s="1"/>
  <c r="H19" i="39"/>
  <c r="H46" i="39"/>
  <c r="H18" i="39"/>
  <c r="G46" i="39"/>
  <c r="Q46" i="39" s="1"/>
  <c r="G32" i="39"/>
  <c r="Q32" i="39" s="1"/>
  <c r="F20" i="39"/>
  <c r="F24" i="39"/>
  <c r="F7" i="39"/>
  <c r="F10" i="39"/>
  <c r="D16" i="39"/>
  <c r="D22" i="39"/>
  <c r="D17" i="39"/>
  <c r="C11" i="39"/>
  <c r="AA11" i="39" s="1"/>
  <c r="C44" i="39"/>
  <c r="AA44" i="39" s="1"/>
  <c r="C31" i="39"/>
  <c r="AA31" i="39" s="1"/>
  <c r="C33" i="39"/>
  <c r="AA33" i="39" s="1"/>
  <c r="P42" i="39"/>
  <c r="K2" i="39"/>
  <c r="H41" i="39"/>
  <c r="F13" i="39"/>
  <c r="D46" i="39"/>
  <c r="C49" i="39"/>
  <c r="AA49" i="39" s="1"/>
  <c r="K27" i="39"/>
  <c r="I13" i="39"/>
  <c r="Y13" i="39" s="1"/>
  <c r="G11" i="39"/>
  <c r="Q11" i="39" s="1"/>
  <c r="F21" i="39"/>
  <c r="C38" i="39"/>
  <c r="AA38" i="39" s="1"/>
  <c r="L39" i="39"/>
  <c r="AP39" i="39" s="1"/>
  <c r="G48" i="39"/>
  <c r="Q48" i="39" s="1"/>
  <c r="F3" i="39"/>
  <c r="E47" i="39"/>
  <c r="E17" i="39"/>
  <c r="P24" i="39"/>
  <c r="P26" i="39"/>
  <c r="M6" i="39"/>
  <c r="L4" i="39"/>
  <c r="AP4" i="39" s="1"/>
  <c r="K3" i="39"/>
  <c r="K37" i="39"/>
  <c r="K10" i="39"/>
  <c r="J6" i="39"/>
  <c r="I23" i="39"/>
  <c r="Y23" i="39" s="1"/>
  <c r="I33" i="39"/>
  <c r="Y33" i="39" s="1"/>
  <c r="H37" i="39"/>
  <c r="H31" i="39"/>
  <c r="H34" i="39"/>
  <c r="G5" i="39"/>
  <c r="Q5" i="39" s="1"/>
  <c r="G15" i="39"/>
  <c r="Q15" i="39" s="1"/>
  <c r="G9" i="39"/>
  <c r="Q9" i="39" s="1"/>
  <c r="F28" i="39"/>
  <c r="F40" i="39"/>
  <c r="F31" i="39"/>
  <c r="F34" i="39"/>
  <c r="F8" i="39"/>
  <c r="D32" i="39"/>
  <c r="D48" i="39"/>
  <c r="D38" i="39"/>
  <c r="D41" i="39"/>
  <c r="C19" i="39"/>
  <c r="AA19" i="39" s="1"/>
  <c r="C6" i="39"/>
  <c r="AA6" i="39" s="1"/>
  <c r="C39" i="39"/>
  <c r="AA39" i="39" s="1"/>
  <c r="C41" i="39"/>
  <c r="AA41" i="39" s="1"/>
  <c r="E9" i="39"/>
  <c r="L44" i="39"/>
  <c r="AP44" i="39" s="1"/>
  <c r="J46" i="39"/>
  <c r="G29" i="39"/>
  <c r="Q29" i="39" s="1"/>
  <c r="F47" i="39"/>
  <c r="D21" i="39"/>
  <c r="C30" i="39"/>
  <c r="AA30" i="39" s="1"/>
  <c r="P36" i="39"/>
  <c r="M30" i="39"/>
  <c r="K31" i="39"/>
  <c r="G41" i="39"/>
  <c r="Q41" i="39" s="1"/>
  <c r="D12" i="39"/>
  <c r="C13" i="39"/>
  <c r="AA13" i="39" s="1"/>
  <c r="M7" i="39"/>
  <c r="K6" i="39"/>
  <c r="F37" i="39"/>
  <c r="D11" i="39"/>
  <c r="C8" i="39"/>
  <c r="AA8" i="39" s="1"/>
  <c r="D20" i="39"/>
  <c r="C26" i="39"/>
  <c r="AA26" i="39" s="1"/>
  <c r="D45" i="39"/>
  <c r="D47" i="39"/>
  <c r="D18" i="39"/>
  <c r="C21" i="39"/>
  <c r="AA21" i="39" s="1"/>
  <c r="B328" i="39" l="1"/>
  <c r="B239" i="39"/>
  <c r="B201" i="39"/>
  <c r="B264" i="39"/>
  <c r="B364" i="39"/>
  <c r="B172" i="39"/>
  <c r="B369" i="39"/>
  <c r="B15" i="39"/>
  <c r="B208" i="39"/>
  <c r="B14" i="39"/>
  <c r="B341" i="39"/>
  <c r="C209" i="39"/>
  <c r="G168" i="39"/>
  <c r="E168" i="39"/>
  <c r="E147" i="39"/>
  <c r="P172" i="39"/>
  <c r="I168" i="39"/>
  <c r="AN168" i="39" s="1"/>
  <c r="M172" i="39"/>
  <c r="AR172" i="39" s="1"/>
  <c r="L158" i="39"/>
  <c r="AP158" i="39" s="1"/>
  <c r="M147" i="39"/>
  <c r="AR147" i="39" s="1"/>
  <c r="H168" i="39"/>
  <c r="H160" i="39"/>
  <c r="I147" i="39"/>
  <c r="Y147" i="39" s="1"/>
  <c r="C160" i="39"/>
  <c r="J149" i="39"/>
  <c r="AM149" i="39" s="1"/>
  <c r="P147" i="39"/>
  <c r="M160" i="39"/>
  <c r="AR160" i="39" s="1"/>
  <c r="E149" i="39"/>
  <c r="C108" i="39"/>
  <c r="I127" i="39"/>
  <c r="AN127" i="39" s="1"/>
  <c r="E127" i="39"/>
  <c r="G108" i="39"/>
  <c r="L108" i="39"/>
  <c r="AP108" i="39" s="1"/>
  <c r="G94" i="39"/>
  <c r="K85" i="39"/>
  <c r="AJ85" i="39" s="1"/>
  <c r="M83" i="39"/>
  <c r="AR83" i="39" s="1"/>
  <c r="F58" i="39"/>
  <c r="AL58" i="39" s="1"/>
  <c r="O248" i="39"/>
  <c r="O367" i="39"/>
  <c r="O241" i="39"/>
  <c r="O209" i="39"/>
  <c r="O160" i="39"/>
  <c r="O15" i="39"/>
  <c r="N209" i="39"/>
  <c r="N222" i="39"/>
  <c r="N236" i="39"/>
  <c r="B153" i="39"/>
  <c r="B209" i="39"/>
  <c r="B375" i="39"/>
  <c r="B158" i="39"/>
  <c r="B78" i="39"/>
  <c r="D211" i="39"/>
  <c r="AI211" i="39" s="1"/>
  <c r="J201" i="39"/>
  <c r="AM201" i="39" s="1"/>
  <c r="AT222" i="39"/>
  <c r="L211" i="39"/>
  <c r="AP211" i="39" s="1"/>
  <c r="G213" i="39"/>
  <c r="G209" i="39"/>
  <c r="K149" i="39"/>
  <c r="AJ149" i="39" s="1"/>
  <c r="D149" i="39"/>
  <c r="AI149" i="39" s="1"/>
  <c r="J158" i="39"/>
  <c r="AM158" i="39" s="1"/>
  <c r="L172" i="39"/>
  <c r="AP172" i="39" s="1"/>
  <c r="K153" i="39"/>
  <c r="AJ153" i="39" s="1"/>
  <c r="E153" i="39"/>
  <c r="G158" i="39"/>
  <c r="P153" i="39"/>
  <c r="F108" i="39"/>
  <c r="AL108" i="39" s="1"/>
  <c r="F147" i="39"/>
  <c r="AL147" i="39" s="1"/>
  <c r="AT108" i="39"/>
  <c r="E160" i="39"/>
  <c r="I153" i="39"/>
  <c r="Y153" i="39" s="1"/>
  <c r="L122" i="39"/>
  <c r="AP122" i="39" s="1"/>
  <c r="P127" i="39"/>
  <c r="M122" i="39"/>
  <c r="AR122" i="39" s="1"/>
  <c r="K127" i="39"/>
  <c r="AJ127" i="39" s="1"/>
  <c r="AT122" i="39"/>
  <c r="D108" i="39"/>
  <c r="AI108" i="39" s="1"/>
  <c r="C58" i="39"/>
  <c r="G83" i="39"/>
  <c r="D83" i="39"/>
  <c r="AI83" i="39" s="1"/>
  <c r="AT83" i="39"/>
  <c r="C85" i="39"/>
  <c r="H83" i="39"/>
  <c r="E83" i="39"/>
  <c r="L55" i="39"/>
  <c r="AP55" i="39" s="1"/>
  <c r="F55" i="39"/>
  <c r="AL55" i="39" s="1"/>
  <c r="C55" i="39"/>
  <c r="I55" i="39"/>
  <c r="Y55" i="39" s="1"/>
  <c r="L58" i="39"/>
  <c r="AP58" i="39" s="1"/>
  <c r="O255" i="39"/>
  <c r="O158" i="39"/>
  <c r="O94" i="39"/>
  <c r="O30" i="39"/>
  <c r="N339" i="39"/>
  <c r="N201" i="39"/>
  <c r="N369" i="39"/>
  <c r="N241" i="39"/>
  <c r="N58" i="39"/>
  <c r="N23" i="39"/>
  <c r="B275" i="39"/>
  <c r="B248" i="39"/>
  <c r="B367" i="39"/>
  <c r="B21" i="39"/>
  <c r="L168" i="39"/>
  <c r="AP168" i="39" s="1"/>
  <c r="D172" i="39"/>
  <c r="AI172" i="39" s="1"/>
  <c r="D160" i="39"/>
  <c r="AI160" i="39" s="1"/>
  <c r="I158" i="39"/>
  <c r="Y158" i="39" s="1"/>
  <c r="M153" i="39"/>
  <c r="AR153" i="39" s="1"/>
  <c r="F153" i="39"/>
  <c r="AL153" i="39" s="1"/>
  <c r="G147" i="39"/>
  <c r="P149" i="39"/>
  <c r="K147" i="39"/>
  <c r="AJ147" i="39" s="1"/>
  <c r="M94" i="39"/>
  <c r="AR94" i="39" s="1"/>
  <c r="P108" i="39"/>
  <c r="F127" i="39"/>
  <c r="AL127" i="39" s="1"/>
  <c r="E122" i="39"/>
  <c r="C127" i="39"/>
  <c r="J122" i="39"/>
  <c r="AM122" i="39" s="1"/>
  <c r="P55" i="39"/>
  <c r="P94" i="39"/>
  <c r="J83" i="39"/>
  <c r="AM83" i="39" s="1"/>
  <c r="M58" i="39"/>
  <c r="AR58" i="39" s="1"/>
  <c r="J58" i="39"/>
  <c r="AM58" i="39" s="1"/>
  <c r="H55" i="39"/>
  <c r="D58" i="39"/>
  <c r="AI58" i="39" s="1"/>
  <c r="O186" i="39"/>
  <c r="O122" i="39"/>
  <c r="O58" i="39"/>
  <c r="O201" i="39"/>
  <c r="O39" i="39"/>
  <c r="N168" i="39"/>
  <c r="B25" i="39"/>
  <c r="B304" i="39"/>
  <c r="B222" i="39"/>
  <c r="B85" i="39"/>
  <c r="P209" i="39"/>
  <c r="L186" i="39"/>
  <c r="AP186" i="39" s="1"/>
  <c r="P241" i="39"/>
  <c r="M236" i="39"/>
  <c r="AR236" i="39" s="1"/>
  <c r="I222" i="39"/>
  <c r="Y222" i="39" s="1"/>
  <c r="AO222" i="39" s="1"/>
  <c r="D201" i="39"/>
  <c r="AI201" i="39" s="1"/>
  <c r="E222" i="39"/>
  <c r="L201" i="39"/>
  <c r="AP201" i="39" s="1"/>
  <c r="D222" i="39"/>
  <c r="AI222" i="39" s="1"/>
  <c r="E172" i="39"/>
  <c r="C213" i="39"/>
  <c r="J186" i="39"/>
  <c r="AM186" i="39" s="1"/>
  <c r="I186" i="39"/>
  <c r="AN186" i="39" s="1"/>
  <c r="D168" i="39"/>
  <c r="AI168" i="39" s="1"/>
  <c r="P158" i="39"/>
  <c r="H147" i="39"/>
  <c r="K158" i="39"/>
  <c r="AJ158" i="39" s="1"/>
  <c r="AT153" i="39"/>
  <c r="F149" i="39"/>
  <c r="AL149" i="39" s="1"/>
  <c r="M127" i="39"/>
  <c r="AR127" i="39" s="1"/>
  <c r="C147" i="39"/>
  <c r="K108" i="39"/>
  <c r="AJ108" i="39" s="1"/>
  <c r="H108" i="39"/>
  <c r="I94" i="39"/>
  <c r="Y94" i="39" s="1"/>
  <c r="D94" i="39"/>
  <c r="AI94" i="39" s="1"/>
  <c r="I85" i="39"/>
  <c r="AN85" i="39" s="1"/>
  <c r="H94" i="39"/>
  <c r="F94" i="39"/>
  <c r="AL94" i="39" s="1"/>
  <c r="K55" i="39"/>
  <c r="AJ55" i="39" s="1"/>
  <c r="O286" i="39"/>
  <c r="O250" i="39"/>
  <c r="N275" i="39"/>
  <c r="N314" i="39"/>
  <c r="N250" i="39"/>
  <c r="N160" i="39"/>
  <c r="N264" i="39"/>
  <c r="N255" i="39"/>
  <c r="N30" i="39"/>
  <c r="N211" i="39"/>
  <c r="N147" i="39"/>
  <c r="N83" i="39"/>
  <c r="N19" i="39"/>
  <c r="B168" i="39"/>
  <c r="B127" i="39"/>
  <c r="B55" i="39"/>
  <c r="C158" i="39"/>
  <c r="J153" i="39"/>
  <c r="AM153" i="39" s="1"/>
  <c r="J127" i="39"/>
  <c r="AM127" i="39" s="1"/>
  <c r="G127" i="39"/>
  <c r="P122" i="39"/>
  <c r="M85" i="39"/>
  <c r="AR85" i="39" s="1"/>
  <c r="H85" i="39"/>
  <c r="F85" i="39"/>
  <c r="AL85" i="39" s="1"/>
  <c r="I83" i="39"/>
  <c r="Y83" i="39" s="1"/>
  <c r="AT58" i="39"/>
  <c r="I58" i="39"/>
  <c r="AN58" i="39" s="1"/>
  <c r="H58" i="39"/>
  <c r="G55" i="39"/>
  <c r="O295" i="39"/>
  <c r="O211" i="39"/>
  <c r="O108" i="39"/>
  <c r="O44" i="39"/>
  <c r="O127" i="39"/>
  <c r="N300" i="39"/>
  <c r="N328" i="39"/>
  <c r="N127" i="39"/>
  <c r="N94" i="39"/>
  <c r="N350" i="39"/>
  <c r="N286" i="39"/>
  <c r="N172" i="39"/>
  <c r="N108" i="39"/>
  <c r="N44" i="39"/>
  <c r="B160" i="39"/>
  <c r="B149" i="39"/>
  <c r="D255" i="39"/>
  <c r="AI255" i="39" s="1"/>
  <c r="E211" i="39"/>
  <c r="F158" i="39"/>
  <c r="AL158" i="39" s="1"/>
  <c r="AT160" i="39"/>
  <c r="L160" i="39"/>
  <c r="AP160" i="39" s="1"/>
  <c r="G160" i="39"/>
  <c r="F160" i="39"/>
  <c r="AL160" i="39" s="1"/>
  <c r="M168" i="39"/>
  <c r="AR168" i="39" s="1"/>
  <c r="C149" i="39"/>
  <c r="H149" i="39"/>
  <c r="D122" i="39"/>
  <c r="AI122" i="39" s="1"/>
  <c r="L147" i="39"/>
  <c r="AP147" i="39" s="1"/>
  <c r="I122" i="39"/>
  <c r="AN122" i="39" s="1"/>
  <c r="H122" i="39"/>
  <c r="I108" i="39"/>
  <c r="Y108" i="39" s="1"/>
  <c r="F122" i="39"/>
  <c r="AL122" i="39" s="1"/>
  <c r="M108" i="39"/>
  <c r="AR108" i="39" s="1"/>
  <c r="L94" i="39"/>
  <c r="AP94" i="39" s="1"/>
  <c r="K83" i="39"/>
  <c r="AJ83" i="39" s="1"/>
  <c r="E85" i="39"/>
  <c r="L83" i="39"/>
  <c r="AP83" i="39" s="1"/>
  <c r="AT85" i="39"/>
  <c r="G85" i="39"/>
  <c r="O300" i="39"/>
  <c r="N55" i="39"/>
  <c r="N375" i="39"/>
  <c r="N122" i="39"/>
  <c r="N213" i="39"/>
  <c r="N149" i="39"/>
  <c r="N85" i="39"/>
  <c r="B144" i="39"/>
  <c r="B108" i="39"/>
  <c r="P168" i="39"/>
  <c r="K160" i="39"/>
  <c r="AJ160" i="39" s="1"/>
  <c r="L149" i="39"/>
  <c r="AP149" i="39" s="1"/>
  <c r="AT127" i="39"/>
  <c r="L153" i="39"/>
  <c r="AP153" i="39" s="1"/>
  <c r="D147" i="39"/>
  <c r="AI147" i="39" s="1"/>
  <c r="H127" i="39"/>
  <c r="G122" i="39"/>
  <c r="E94" i="39"/>
  <c r="K94" i="39"/>
  <c r="AJ94" i="39" s="1"/>
  <c r="P83" i="39"/>
  <c r="AT94" i="39"/>
  <c r="F83" i="39"/>
  <c r="AL83" i="39" s="1"/>
  <c r="L85" i="39"/>
  <c r="AP85" i="39" s="1"/>
  <c r="AT55" i="39"/>
  <c r="M55" i="39"/>
  <c r="AR55" i="39" s="1"/>
  <c r="O350" i="39"/>
  <c r="O236" i="39"/>
  <c r="O23" i="39"/>
  <c r="N295" i="39"/>
  <c r="L103" i="39"/>
  <c r="AP103" i="39" s="1"/>
  <c r="H78" i="39"/>
  <c r="O334" i="39"/>
  <c r="O270" i="39"/>
  <c r="N206" i="39"/>
  <c r="N142" i="39"/>
  <c r="N78" i="39"/>
  <c r="J78" i="39"/>
  <c r="AM78" i="39" s="1"/>
  <c r="M78" i="39"/>
  <c r="AR78" i="39" s="1"/>
  <c r="N303" i="39"/>
  <c r="F103" i="39"/>
  <c r="AL103" i="39" s="1"/>
  <c r="G105" i="39"/>
  <c r="O325" i="39"/>
  <c r="Y273" i="39"/>
  <c r="Y145" i="39"/>
  <c r="Y224" i="39"/>
  <c r="Y170" i="39"/>
  <c r="Y287" i="39"/>
  <c r="Y230" i="39"/>
  <c r="Y102" i="39"/>
  <c r="Y173" i="39"/>
  <c r="Y372" i="39"/>
  <c r="Y315" i="39"/>
  <c r="Y59" i="39"/>
  <c r="Y393" i="39"/>
  <c r="Y329" i="39"/>
  <c r="Y201" i="39"/>
  <c r="Y137" i="39"/>
  <c r="Y216" i="39"/>
  <c r="Y215" i="39"/>
  <c r="Y162" i="39"/>
  <c r="Y229" i="39"/>
  <c r="Y165" i="39"/>
  <c r="Y101" i="39"/>
  <c r="Y364" i="39"/>
  <c r="Y44" i="39"/>
  <c r="Y258" i="39"/>
  <c r="Y371" i="39"/>
  <c r="Y65" i="39"/>
  <c r="AO65" i="39" s="1"/>
  <c r="Y362" i="39"/>
  <c r="Y400" i="39"/>
  <c r="Y336" i="39"/>
  <c r="Y208" i="39"/>
  <c r="Y335" i="39"/>
  <c r="Y342" i="39"/>
  <c r="Y278" i="39"/>
  <c r="Y214" i="39"/>
  <c r="Y150" i="39"/>
  <c r="Y114" i="39"/>
  <c r="Y363" i="39"/>
  <c r="Y299" i="39"/>
  <c r="Y249" i="39"/>
  <c r="Y185" i="39"/>
  <c r="Y121" i="39"/>
  <c r="Y57" i="39"/>
  <c r="AO57" i="39" s="1"/>
  <c r="Y136" i="39"/>
  <c r="Y72" i="39"/>
  <c r="Y263" i="39"/>
  <c r="Y334" i="39"/>
  <c r="Y270" i="39"/>
  <c r="Y213" i="39"/>
  <c r="Y149" i="39"/>
  <c r="Y85" i="39"/>
  <c r="Y90" i="39"/>
  <c r="Y348" i="39"/>
  <c r="Y146" i="39"/>
  <c r="Y241" i="39"/>
  <c r="Y49" i="39"/>
  <c r="Y384" i="39"/>
  <c r="Y256" i="39"/>
  <c r="Y128" i="39"/>
  <c r="Y386" i="39"/>
  <c r="Y127" i="39"/>
  <c r="Y134" i="39"/>
  <c r="Y141" i="39"/>
  <c r="Y212" i="39"/>
  <c r="Y233" i="39"/>
  <c r="Y105" i="39"/>
  <c r="Y218" i="39"/>
  <c r="Y56" i="39"/>
  <c r="Y254" i="39"/>
  <c r="Y62" i="39"/>
  <c r="Y332" i="39"/>
  <c r="Y268" i="39"/>
  <c r="Y204" i="39"/>
  <c r="Y66" i="39"/>
  <c r="Y289" i="39"/>
  <c r="Y225" i="39"/>
  <c r="Y161" i="39"/>
  <c r="Y368" i="39"/>
  <c r="Y304" i="39"/>
  <c r="Y176" i="39"/>
  <c r="Y322" i="39"/>
  <c r="Y367" i="39"/>
  <c r="Y239" i="39"/>
  <c r="Y111" i="39"/>
  <c r="Y374" i="39"/>
  <c r="Y182" i="39"/>
  <c r="Y118" i="39"/>
  <c r="Y54" i="39"/>
  <c r="Y306" i="39"/>
  <c r="Y253" i="39"/>
  <c r="Y189" i="39"/>
  <c r="Y394" i="39"/>
  <c r="Y324" i="39"/>
  <c r="Y331" i="39"/>
  <c r="Y139" i="39"/>
  <c r="Y75" i="39"/>
  <c r="Y58" i="39"/>
  <c r="Y281" i="39"/>
  <c r="Y122" i="39"/>
  <c r="Y360" i="39"/>
  <c r="Y232" i="39"/>
  <c r="Y168" i="39"/>
  <c r="Y295" i="39"/>
  <c r="Y231" i="39"/>
  <c r="Y103" i="39"/>
  <c r="Y302" i="39"/>
  <c r="Y110" i="39"/>
  <c r="Y266" i="39"/>
  <c r="Y245" i="39"/>
  <c r="Y117" i="39"/>
  <c r="Y380" i="39"/>
  <c r="Y316" i="39"/>
  <c r="Y323" i="39"/>
  <c r="AO323" i="39" s="1"/>
  <c r="Y67" i="39"/>
  <c r="AO67" i="39" s="1"/>
  <c r="AO59" i="39"/>
  <c r="AN38" i="39"/>
  <c r="AN34" i="39"/>
  <c r="AN42" i="39"/>
  <c r="AN31" i="39"/>
  <c r="AO180" i="39"/>
  <c r="AN180" i="39"/>
  <c r="AO174" i="39"/>
  <c r="AN174" i="39"/>
  <c r="AN4" i="39"/>
  <c r="AN46" i="39"/>
  <c r="X2" i="39"/>
  <c r="AN2" i="39"/>
  <c r="AN15" i="39"/>
  <c r="AO398" i="39"/>
  <c r="AN398" i="39"/>
  <c r="AO52" i="39"/>
  <c r="AN52" i="39"/>
  <c r="AO383" i="39"/>
  <c r="AN383" i="39"/>
  <c r="AN337" i="39"/>
  <c r="AN23" i="39"/>
  <c r="AN48" i="39"/>
  <c r="AN18" i="39"/>
  <c r="AN41" i="39"/>
  <c r="AN47" i="39"/>
  <c r="AN20" i="39"/>
  <c r="AN8" i="39"/>
  <c r="AO395" i="39"/>
  <c r="AN395" i="39"/>
  <c r="AO344" i="39"/>
  <c r="AN344" i="39"/>
  <c r="AO391" i="39"/>
  <c r="AN391" i="39"/>
  <c r="AO396" i="39"/>
  <c r="AN396" i="39"/>
  <c r="AO313" i="39"/>
  <c r="AN313" i="39"/>
  <c r="AO267" i="39"/>
  <c r="AN267" i="39"/>
  <c r="AO297" i="39"/>
  <c r="AN297" i="39"/>
  <c r="AO282" i="39"/>
  <c r="AN282" i="39"/>
  <c r="AO279" i="39"/>
  <c r="AN279" i="39"/>
  <c r="AN276" i="39"/>
  <c r="AO264" i="39"/>
  <c r="AN264" i="39"/>
  <c r="AO246" i="39"/>
  <c r="AN246" i="39"/>
  <c r="AO257" i="39"/>
  <c r="AN257" i="39"/>
  <c r="AO226" i="39"/>
  <c r="AN226" i="39"/>
  <c r="AO178" i="39"/>
  <c r="AN178" i="39"/>
  <c r="AO142" i="39"/>
  <c r="AN142" i="39"/>
  <c r="AO152" i="39"/>
  <c r="AN152" i="39"/>
  <c r="AO156" i="39"/>
  <c r="AN156" i="39"/>
  <c r="AO130" i="39"/>
  <c r="AN130" i="39"/>
  <c r="AO124" i="39"/>
  <c r="AN124" i="39"/>
  <c r="AO97" i="39"/>
  <c r="AN97" i="39"/>
  <c r="AO84" i="39"/>
  <c r="AN84" i="39"/>
  <c r="AO86" i="39"/>
  <c r="AN86" i="39"/>
  <c r="AO343" i="39"/>
  <c r="AN343" i="39"/>
  <c r="AO314" i="39"/>
  <c r="AN314" i="39"/>
  <c r="AO235" i="39"/>
  <c r="AN235" i="39"/>
  <c r="AO237" i="39"/>
  <c r="AN237" i="39"/>
  <c r="AO202" i="39"/>
  <c r="AN202" i="39"/>
  <c r="AO223" i="39"/>
  <c r="AN223" i="39"/>
  <c r="AO175" i="39"/>
  <c r="AN175" i="39"/>
  <c r="AO389" i="39"/>
  <c r="AN389" i="39"/>
  <c r="AO330" i="39"/>
  <c r="AN330" i="39"/>
  <c r="AO275" i="39"/>
  <c r="AN275" i="39"/>
  <c r="AN11" i="39"/>
  <c r="AO361" i="39"/>
  <c r="AN361" i="39"/>
  <c r="AO358" i="39"/>
  <c r="AN358" i="39"/>
  <c r="AO375" i="39"/>
  <c r="AN375" i="39"/>
  <c r="AO312" i="39"/>
  <c r="AN312" i="39"/>
  <c r="AO300" i="39"/>
  <c r="AN300" i="39"/>
  <c r="AO309" i="39"/>
  <c r="AN309" i="39"/>
  <c r="AO271" i="39"/>
  <c r="AN271" i="39"/>
  <c r="AO310" i="39"/>
  <c r="AN310" i="39"/>
  <c r="AO286" i="39"/>
  <c r="AN286" i="39"/>
  <c r="AO284" i="39"/>
  <c r="AN284" i="39"/>
  <c r="AO259" i="39"/>
  <c r="AN259" i="39"/>
  <c r="AO272" i="39"/>
  <c r="AN272" i="39"/>
  <c r="AO198" i="39"/>
  <c r="AN198" i="39"/>
  <c r="AO221" i="39"/>
  <c r="AN221" i="39"/>
  <c r="AO190" i="39"/>
  <c r="AN190" i="39"/>
  <c r="AO160" i="39"/>
  <c r="AN160" i="39"/>
  <c r="AO153" i="39"/>
  <c r="AN153" i="39"/>
  <c r="AO104" i="39"/>
  <c r="AN104" i="39"/>
  <c r="AO132" i="39"/>
  <c r="AN132" i="39"/>
  <c r="AO106" i="39"/>
  <c r="AN106" i="39"/>
  <c r="AO93" i="39"/>
  <c r="AN93" i="39"/>
  <c r="AO64" i="39"/>
  <c r="AN64" i="39"/>
  <c r="AO73" i="39"/>
  <c r="AN73" i="39"/>
  <c r="AO55" i="39"/>
  <c r="AN55" i="39"/>
  <c r="AO379" i="39"/>
  <c r="AN379" i="39"/>
  <c r="AO319" i="39"/>
  <c r="AN319" i="39"/>
  <c r="AO317" i="39"/>
  <c r="AN317" i="39"/>
  <c r="AO250" i="39"/>
  <c r="AN250" i="39"/>
  <c r="AO217" i="39"/>
  <c r="AN217" i="39"/>
  <c r="AO211" i="39"/>
  <c r="AN211" i="39"/>
  <c r="AO301" i="39"/>
  <c r="AN301" i="39"/>
  <c r="AO260" i="39"/>
  <c r="AN260" i="39"/>
  <c r="AO210" i="39"/>
  <c r="AN210" i="39"/>
  <c r="AO171" i="39"/>
  <c r="AN171" i="39"/>
  <c r="AO219" i="39"/>
  <c r="AN219" i="39"/>
  <c r="AO151" i="39"/>
  <c r="AN151" i="39"/>
  <c r="AO135" i="39"/>
  <c r="AN135" i="39"/>
  <c r="AN50" i="39"/>
  <c r="AN28" i="39"/>
  <c r="AO354" i="39"/>
  <c r="AN354" i="39"/>
  <c r="AO397" i="39"/>
  <c r="AN397" i="39"/>
  <c r="AN40" i="39"/>
  <c r="AN19" i="39"/>
  <c r="AN26" i="39"/>
  <c r="AN10" i="39"/>
  <c r="AO353" i="39"/>
  <c r="AN353" i="39"/>
  <c r="AO350" i="39"/>
  <c r="AN350" i="39"/>
  <c r="AO378" i="39"/>
  <c r="AN378" i="39"/>
  <c r="AO369" i="39"/>
  <c r="AN369" i="39"/>
  <c r="AO377" i="39"/>
  <c r="AN377" i="39"/>
  <c r="AO366" i="39"/>
  <c r="AN366" i="39"/>
  <c r="AO357" i="39"/>
  <c r="AN357" i="39"/>
  <c r="AO328" i="39"/>
  <c r="AN328" i="39"/>
  <c r="AN339" i="39"/>
  <c r="AO311" i="39"/>
  <c r="AN311" i="39"/>
  <c r="AO308" i="39"/>
  <c r="AN308" i="39"/>
  <c r="AO305" i="39"/>
  <c r="AN305" i="39"/>
  <c r="AO265" i="39"/>
  <c r="AN265" i="39"/>
  <c r="AO318" i="39"/>
  <c r="AN318" i="39"/>
  <c r="AO285" i="39"/>
  <c r="AN285" i="39"/>
  <c r="AO261" i="39"/>
  <c r="AN261" i="39"/>
  <c r="AN277" i="39"/>
  <c r="AO292" i="39"/>
  <c r="AN292" i="39"/>
  <c r="AO228" i="39"/>
  <c r="AN228" i="39"/>
  <c r="AO280" i="39"/>
  <c r="AN280" i="39"/>
  <c r="AO243" i="39"/>
  <c r="AN243" i="39"/>
  <c r="AO236" i="39"/>
  <c r="AN236" i="39"/>
  <c r="AO197" i="39"/>
  <c r="AN197" i="39"/>
  <c r="AO220" i="39"/>
  <c r="AN220" i="39"/>
  <c r="AO199" i="39"/>
  <c r="AN199" i="39"/>
  <c r="AO169" i="39"/>
  <c r="AN169" i="39"/>
  <c r="AO123" i="39"/>
  <c r="AN123" i="39"/>
  <c r="AO119" i="39"/>
  <c r="AN119" i="39"/>
  <c r="AO113" i="39"/>
  <c r="AN113" i="39"/>
  <c r="AO91" i="39"/>
  <c r="AN91" i="39"/>
  <c r="AO88" i="39"/>
  <c r="AN88" i="39"/>
  <c r="AO74" i="39"/>
  <c r="AN74" i="39"/>
  <c r="AO63" i="39"/>
  <c r="AN63" i="39"/>
  <c r="AN51" i="39"/>
  <c r="AO333" i="39"/>
  <c r="AN333" i="39"/>
  <c r="AO194" i="39"/>
  <c r="AN194" i="39"/>
  <c r="AO166" i="39"/>
  <c r="AN166" i="39"/>
  <c r="AN16" i="39"/>
  <c r="AO346" i="39"/>
  <c r="AN346" i="39"/>
  <c r="AO351" i="39"/>
  <c r="AN351" i="39"/>
  <c r="AO193" i="39"/>
  <c r="AN193" i="39"/>
  <c r="AN33" i="39"/>
  <c r="AN6" i="39"/>
  <c r="AN24" i="39"/>
  <c r="AN9" i="39"/>
  <c r="AO392" i="39"/>
  <c r="AN392" i="39"/>
  <c r="AO399" i="39"/>
  <c r="AN399" i="39"/>
  <c r="AO370" i="39"/>
  <c r="AN370" i="39"/>
  <c r="AN32" i="39"/>
  <c r="AN22" i="39"/>
  <c r="AN14" i="39"/>
  <c r="AN21" i="39"/>
  <c r="AN27" i="39"/>
  <c r="AN35" i="39"/>
  <c r="AN7" i="39"/>
  <c r="AN17" i="39"/>
  <c r="AN37" i="39"/>
  <c r="AN29" i="39"/>
  <c r="AO390" i="39"/>
  <c r="AN390" i="39"/>
  <c r="AO352" i="39"/>
  <c r="AN352" i="39"/>
  <c r="AO349" i="39"/>
  <c r="AN349" i="39"/>
  <c r="AO381" i="39"/>
  <c r="AN381" i="39"/>
  <c r="AO376" i="39"/>
  <c r="AN376" i="39"/>
  <c r="AO365" i="39"/>
  <c r="AN365" i="39"/>
  <c r="AO385" i="39"/>
  <c r="AN385" i="39"/>
  <c r="AO382" i="39"/>
  <c r="AN382" i="39"/>
  <c r="AO356" i="39"/>
  <c r="AN356" i="39"/>
  <c r="AO327" i="39"/>
  <c r="AN327" i="39"/>
  <c r="AO321" i="39"/>
  <c r="AN321" i="39"/>
  <c r="AO347" i="39"/>
  <c r="AN347" i="39"/>
  <c r="AO307" i="39"/>
  <c r="AN307" i="39"/>
  <c r="AO298" i="39"/>
  <c r="AN298" i="39"/>
  <c r="AO269" i="39"/>
  <c r="AN269" i="39"/>
  <c r="AO326" i="39"/>
  <c r="AN326" i="39"/>
  <c r="AO291" i="39"/>
  <c r="AN291" i="39"/>
  <c r="AO288" i="39"/>
  <c r="AN288" i="39"/>
  <c r="AO242" i="39"/>
  <c r="AN242" i="39"/>
  <c r="AO244" i="39"/>
  <c r="AN244" i="39"/>
  <c r="AO206" i="39"/>
  <c r="AN206" i="39"/>
  <c r="AO196" i="39"/>
  <c r="AN196" i="39"/>
  <c r="AO240" i="39"/>
  <c r="AN240" i="39"/>
  <c r="AO192" i="39"/>
  <c r="AN192" i="39"/>
  <c r="AO207" i="39"/>
  <c r="AN207" i="39"/>
  <c r="AO155" i="39"/>
  <c r="AN155" i="39"/>
  <c r="AO195" i="39"/>
  <c r="AN195" i="39"/>
  <c r="AO188" i="39"/>
  <c r="AN188" i="39"/>
  <c r="AO184" i="39"/>
  <c r="AN184" i="39"/>
  <c r="AO177" i="39"/>
  <c r="AN177" i="39"/>
  <c r="AO147" i="39"/>
  <c r="AN147" i="39"/>
  <c r="AO138" i="39"/>
  <c r="AN138" i="39"/>
  <c r="AO87" i="39"/>
  <c r="AN87" i="39"/>
  <c r="AO112" i="39"/>
  <c r="AN112" i="39"/>
  <c r="AO76" i="39"/>
  <c r="AN76" i="39"/>
  <c r="AO96" i="39"/>
  <c r="AN96" i="39"/>
  <c r="AO61" i="39"/>
  <c r="AN61" i="39"/>
  <c r="AO69" i="39"/>
  <c r="AN69" i="39"/>
  <c r="AN45" i="39"/>
  <c r="AN340" i="39"/>
  <c r="AO172" i="39"/>
  <c r="AN172" i="39"/>
  <c r="AN13" i="39"/>
  <c r="AN43" i="39"/>
  <c r="AN5" i="39"/>
  <c r="AN12" i="39"/>
  <c r="AN30" i="39"/>
  <c r="AN36" i="39"/>
  <c r="AO401" i="39"/>
  <c r="AN401" i="39"/>
  <c r="AO341" i="39"/>
  <c r="AN341" i="39"/>
  <c r="AO325" i="39"/>
  <c r="AN325" i="39"/>
  <c r="AO320" i="39"/>
  <c r="AN320" i="39"/>
  <c r="AO355" i="39"/>
  <c r="AN355" i="39"/>
  <c r="AO262" i="39"/>
  <c r="AN262" i="39"/>
  <c r="AO293" i="39"/>
  <c r="AN293" i="39"/>
  <c r="AO290" i="39"/>
  <c r="AN290" i="39"/>
  <c r="AO296" i="39"/>
  <c r="AN296" i="39"/>
  <c r="AO251" i="39"/>
  <c r="AN251" i="39"/>
  <c r="AO238" i="39"/>
  <c r="AN238" i="39"/>
  <c r="AO252" i="39"/>
  <c r="AN252" i="39"/>
  <c r="AO205" i="39"/>
  <c r="AN205" i="39"/>
  <c r="AO248" i="39"/>
  <c r="AN248" i="39"/>
  <c r="AO191" i="39"/>
  <c r="AN191" i="39"/>
  <c r="AO163" i="39"/>
  <c r="AN163" i="39"/>
  <c r="AO203" i="39"/>
  <c r="AN203" i="39"/>
  <c r="AO187" i="39"/>
  <c r="AN187" i="39"/>
  <c r="AO167" i="39"/>
  <c r="AN167" i="39"/>
  <c r="AO183" i="39"/>
  <c r="AN183" i="39"/>
  <c r="AO159" i="39"/>
  <c r="AN159" i="39"/>
  <c r="AO140" i="39"/>
  <c r="AN140" i="39"/>
  <c r="AO107" i="39"/>
  <c r="AN107" i="39"/>
  <c r="AO133" i="39"/>
  <c r="AN133" i="39"/>
  <c r="AO129" i="39"/>
  <c r="AN129" i="39"/>
  <c r="AO120" i="39"/>
  <c r="AN120" i="39"/>
  <c r="AO109" i="39"/>
  <c r="AN109" i="39"/>
  <c r="AO95" i="39"/>
  <c r="AN95" i="39"/>
  <c r="AO70" i="39"/>
  <c r="AN70" i="39"/>
  <c r="AO79" i="39"/>
  <c r="AN79" i="39"/>
  <c r="AO71" i="39"/>
  <c r="AN71" i="39"/>
  <c r="AO158" i="39"/>
  <c r="AN158" i="39"/>
  <c r="AO126" i="39"/>
  <c r="AN126" i="39"/>
  <c r="AO98" i="39"/>
  <c r="AN98" i="39"/>
  <c r="AO92" i="39"/>
  <c r="AN92" i="39"/>
  <c r="AO83" i="39"/>
  <c r="AN83" i="39"/>
  <c r="AO78" i="39"/>
  <c r="AN78" i="39"/>
  <c r="AO60" i="39"/>
  <c r="AN60" i="39"/>
  <c r="AO157" i="39"/>
  <c r="AN157" i="39"/>
  <c r="AO115" i="39"/>
  <c r="AN115" i="39"/>
  <c r="AO108" i="39"/>
  <c r="AN108" i="39"/>
  <c r="AO125" i="39"/>
  <c r="AN125" i="39"/>
  <c r="AO94" i="39"/>
  <c r="AN94" i="39"/>
  <c r="AO100" i="39"/>
  <c r="AN100" i="39"/>
  <c r="AN77" i="39"/>
  <c r="AO99" i="39"/>
  <c r="AN99" i="39"/>
  <c r="AO82" i="39"/>
  <c r="AN82" i="39"/>
  <c r="AO68" i="39"/>
  <c r="AN68" i="39"/>
  <c r="AO234" i="39"/>
  <c r="AN234" i="39"/>
  <c r="AO164" i="39"/>
  <c r="AN164" i="39"/>
  <c r="AN25" i="39"/>
  <c r="AN3" i="39"/>
  <c r="AN39" i="39"/>
  <c r="AO387" i="39"/>
  <c r="AN387" i="39"/>
  <c r="AO345" i="39"/>
  <c r="AN345" i="39"/>
  <c r="AO373" i="39"/>
  <c r="AN373" i="39"/>
  <c r="AO388" i="39"/>
  <c r="AN388" i="39"/>
  <c r="AO359" i="39"/>
  <c r="AN359" i="39"/>
  <c r="AO338" i="39"/>
  <c r="AN338" i="39"/>
  <c r="AN274" i="39"/>
  <c r="AO303" i="39"/>
  <c r="AN303" i="39"/>
  <c r="AO294" i="39"/>
  <c r="AN294" i="39"/>
  <c r="AO283" i="39"/>
  <c r="AN283" i="39"/>
  <c r="AO255" i="39"/>
  <c r="AN255" i="39"/>
  <c r="AO247" i="39"/>
  <c r="AN247" i="39"/>
  <c r="AO200" i="39"/>
  <c r="AN200" i="39"/>
  <c r="AO209" i="39"/>
  <c r="AN209" i="39"/>
  <c r="AO227" i="39"/>
  <c r="AN227" i="39"/>
  <c r="AO154" i="39"/>
  <c r="AN154" i="39"/>
  <c r="AO179" i="39"/>
  <c r="AN179" i="39"/>
  <c r="AO181" i="39"/>
  <c r="AN181" i="39"/>
  <c r="AO143" i="39"/>
  <c r="AN143" i="39"/>
  <c r="AO144" i="39"/>
  <c r="AN144" i="39"/>
  <c r="AO148" i="39"/>
  <c r="AN148" i="39"/>
  <c r="AO131" i="39"/>
  <c r="AN131" i="39"/>
  <c r="AO116" i="39"/>
  <c r="AN116" i="39"/>
  <c r="AO89" i="39"/>
  <c r="AN89" i="39"/>
  <c r="AO81" i="39"/>
  <c r="AN81" i="39"/>
  <c r="AO80" i="39"/>
  <c r="AN80" i="39"/>
  <c r="AO53" i="39"/>
  <c r="AN53" i="39"/>
  <c r="AE77" i="39"/>
  <c r="AE159" i="39"/>
  <c r="AO337" i="39"/>
  <c r="AO335" i="39"/>
  <c r="AO336" i="39"/>
  <c r="AO273" i="39"/>
  <c r="AO274" i="39"/>
  <c r="AE222" i="39"/>
  <c r="AE87" i="39"/>
  <c r="AE95" i="39"/>
  <c r="AE92" i="39"/>
  <c r="AE218" i="39"/>
  <c r="AE319" i="39"/>
  <c r="AE296" i="39"/>
  <c r="AE196" i="39"/>
  <c r="AE163" i="39"/>
  <c r="AE293" i="39"/>
  <c r="AE128" i="39"/>
  <c r="AE347" i="39"/>
  <c r="AE362" i="39"/>
  <c r="AE339" i="39"/>
  <c r="AE226" i="39"/>
  <c r="AE200" i="39"/>
  <c r="AO85" i="39"/>
  <c r="AE288" i="39"/>
  <c r="AE254" i="39"/>
  <c r="AE230" i="39"/>
  <c r="AE161" i="39"/>
  <c r="AE380" i="39"/>
  <c r="AE365" i="39"/>
  <c r="AE312" i="39"/>
  <c r="AE311" i="39"/>
  <c r="AE265" i="39"/>
  <c r="AE253" i="39"/>
  <c r="AE172" i="39"/>
  <c r="AE364" i="39"/>
  <c r="AE356" i="39"/>
  <c r="AE321" i="39"/>
  <c r="AE211" i="39"/>
  <c r="AE333" i="39"/>
  <c r="AE351" i="39"/>
  <c r="AE262" i="39"/>
  <c r="AE194" i="39"/>
  <c r="AE167" i="39"/>
  <c r="AE175" i="39"/>
  <c r="AE119" i="39"/>
  <c r="AE126" i="39"/>
  <c r="AE367" i="39"/>
  <c r="AE343" i="39"/>
  <c r="AE52" i="39"/>
  <c r="AE363" i="39"/>
  <c r="AE233" i="39"/>
  <c r="AE313" i="39"/>
  <c r="AE400" i="39"/>
  <c r="AE272" i="39"/>
  <c r="AE277" i="39"/>
  <c r="AE241" i="39"/>
  <c r="AE229" i="39"/>
  <c r="AE209" i="39"/>
  <c r="AE207" i="39"/>
  <c r="AE220" i="39"/>
  <c r="AE169" i="39"/>
  <c r="AE124" i="39"/>
  <c r="AE103" i="39"/>
  <c r="AB374" i="39"/>
  <c r="AD374" i="39"/>
  <c r="AK374" i="39"/>
  <c r="X371" i="39"/>
  <c r="AC371" i="39"/>
  <c r="W371" i="39"/>
  <c r="Q353" i="39"/>
  <c r="AQ353" i="39"/>
  <c r="AB342" i="39"/>
  <c r="AD342" i="39"/>
  <c r="AK342" i="39"/>
  <c r="AC339" i="39"/>
  <c r="X339" i="39"/>
  <c r="W339" i="39"/>
  <c r="AB280" i="39"/>
  <c r="AK280" i="39"/>
  <c r="AD280" i="39"/>
  <c r="Q276" i="39"/>
  <c r="AQ276" i="39"/>
  <c r="AA243" i="39"/>
  <c r="AG243" i="39"/>
  <c r="AK237" i="39"/>
  <c r="AB237" i="39"/>
  <c r="AD237" i="39"/>
  <c r="AC233" i="39"/>
  <c r="X233" i="39"/>
  <c r="W233" i="39"/>
  <c r="W254" i="39"/>
  <c r="X254" i="39"/>
  <c r="AC254" i="39"/>
  <c r="Q291" i="39"/>
  <c r="AQ291" i="39"/>
  <c r="AG268" i="39"/>
  <c r="AA268" i="39"/>
  <c r="AC261" i="39"/>
  <c r="W261" i="39"/>
  <c r="X261" i="39"/>
  <c r="AD289" i="39"/>
  <c r="AK289" i="39"/>
  <c r="AB289" i="39"/>
  <c r="W278" i="39"/>
  <c r="X278" i="39"/>
  <c r="AC278" i="39"/>
  <c r="AG286" i="39"/>
  <c r="AA286" i="39"/>
  <c r="AB244" i="39"/>
  <c r="AK244" i="39"/>
  <c r="AD244" i="39"/>
  <c r="Q240" i="39"/>
  <c r="AQ240" i="39"/>
  <c r="AB227" i="39"/>
  <c r="AK227" i="39"/>
  <c r="AD227" i="39"/>
  <c r="AC232" i="39"/>
  <c r="X232" i="39"/>
  <c r="W232" i="39"/>
  <c r="AD213" i="39"/>
  <c r="AK213" i="39"/>
  <c r="AB213" i="39"/>
  <c r="AC253" i="39"/>
  <c r="W253" i="39"/>
  <c r="X253" i="39"/>
  <c r="AD291" i="39"/>
  <c r="AK291" i="39"/>
  <c r="AB291" i="39"/>
  <c r="X288" i="39"/>
  <c r="W288" i="39"/>
  <c r="AC288" i="39"/>
  <c r="Q270" i="39"/>
  <c r="AQ270" i="39"/>
  <c r="AB259" i="39"/>
  <c r="AK259" i="39"/>
  <c r="AD259" i="39"/>
  <c r="AA237" i="39"/>
  <c r="AG237" i="39"/>
  <c r="Q232" i="39"/>
  <c r="AQ232" i="39"/>
  <c r="Q224" i="39"/>
  <c r="AQ224" i="39"/>
  <c r="AC216" i="39"/>
  <c r="X216" i="39"/>
  <c r="W216" i="39"/>
  <c r="AC213" i="39"/>
  <c r="W213" i="39"/>
  <c r="X213" i="39"/>
  <c r="AQ249" i="39"/>
  <c r="Q249" i="39"/>
  <c r="AC241" i="39"/>
  <c r="W241" i="39"/>
  <c r="X241" i="39"/>
  <c r="AE260" i="39"/>
  <c r="AD250" i="39"/>
  <c r="AK250" i="39"/>
  <c r="AB250" i="39"/>
  <c r="AQ212" i="39"/>
  <c r="Q212" i="39"/>
  <c r="AC204" i="39"/>
  <c r="X204" i="39"/>
  <c r="W204" i="39"/>
  <c r="AK191" i="39"/>
  <c r="AB191" i="39"/>
  <c r="AD191" i="39"/>
  <c r="AA187" i="39"/>
  <c r="AG187" i="39"/>
  <c r="AE186" i="39"/>
  <c r="W194" i="39"/>
  <c r="AC194" i="39"/>
  <c r="X194" i="39"/>
  <c r="AO241" i="39"/>
  <c r="Q238" i="39"/>
  <c r="AQ238" i="39"/>
  <c r="AG207" i="39"/>
  <c r="AA207" i="39"/>
  <c r="AD201" i="39"/>
  <c r="AK201" i="39"/>
  <c r="AB201" i="39"/>
  <c r="W192" i="39"/>
  <c r="X192" i="39"/>
  <c r="AC192" i="39"/>
  <c r="AG203" i="39"/>
  <c r="AA203" i="39"/>
  <c r="AD197" i="39"/>
  <c r="AB197" i="39"/>
  <c r="AK197" i="39"/>
  <c r="Q185" i="39"/>
  <c r="AQ185" i="39"/>
  <c r="AQ216" i="39"/>
  <c r="Q216" i="39"/>
  <c r="AC208" i="39"/>
  <c r="W208" i="39"/>
  <c r="X208" i="39"/>
  <c r="X231" i="39"/>
  <c r="W231" i="39"/>
  <c r="AC231" i="39"/>
  <c r="AO216" i="39"/>
  <c r="Q213" i="39"/>
  <c r="AQ213" i="39"/>
  <c r="AK202" i="39"/>
  <c r="AB202" i="39"/>
  <c r="AD202" i="39"/>
  <c r="X199" i="39"/>
  <c r="AC199" i="39"/>
  <c r="W199" i="39"/>
  <c r="AG181" i="39"/>
  <c r="AA181" i="39"/>
  <c r="Q164" i="39"/>
  <c r="AQ164" i="39"/>
  <c r="Q225" i="39"/>
  <c r="AQ225" i="39"/>
  <c r="AK214" i="39"/>
  <c r="AD214" i="39"/>
  <c r="AB214" i="39"/>
  <c r="X211" i="39"/>
  <c r="AC211" i="39"/>
  <c r="W211" i="39"/>
  <c r="Q193" i="39"/>
  <c r="AQ193" i="39"/>
  <c r="AD171" i="39"/>
  <c r="AB171" i="39"/>
  <c r="AK171" i="39"/>
  <c r="AQ160" i="39"/>
  <c r="Q160" i="39"/>
  <c r="AD162" i="39"/>
  <c r="AB162" i="39"/>
  <c r="AK162" i="39"/>
  <c r="AB153" i="39"/>
  <c r="AK153" i="39"/>
  <c r="AD153" i="39"/>
  <c r="AQ172" i="39"/>
  <c r="Q172" i="39"/>
  <c r="AB146" i="39"/>
  <c r="AK146" i="39"/>
  <c r="AD146" i="39"/>
  <c r="Q145" i="39"/>
  <c r="AQ145" i="39"/>
  <c r="AC182" i="39"/>
  <c r="W182" i="39"/>
  <c r="X182" i="39"/>
  <c r="AG145" i="39"/>
  <c r="AA145" i="39"/>
  <c r="AE170" i="39"/>
  <c r="AQ149" i="39"/>
  <c r="Q149" i="39"/>
  <c r="AB138" i="39"/>
  <c r="AK138" i="39"/>
  <c r="AD138" i="39"/>
  <c r="AG154" i="39"/>
  <c r="AA154" i="39"/>
  <c r="AD135" i="39"/>
  <c r="AB135" i="39"/>
  <c r="AK135" i="39"/>
  <c r="AG129" i="39"/>
  <c r="AA129" i="39"/>
  <c r="AG117" i="39"/>
  <c r="AA117" i="39"/>
  <c r="Q154" i="39"/>
  <c r="AQ154" i="39"/>
  <c r="AD143" i="39"/>
  <c r="AB143" i="39"/>
  <c r="AK143" i="39"/>
  <c r="AB148" i="39"/>
  <c r="AK148" i="39"/>
  <c r="AD148" i="39"/>
  <c r="AC145" i="39"/>
  <c r="W145" i="39"/>
  <c r="X145" i="39"/>
  <c r="AE127" i="39"/>
  <c r="W137" i="39"/>
  <c r="X137" i="39"/>
  <c r="AC137" i="39"/>
  <c r="AB89" i="39"/>
  <c r="AK89" i="39"/>
  <c r="AD89" i="39"/>
  <c r="X134" i="39"/>
  <c r="AC134" i="39"/>
  <c r="W134" i="39"/>
  <c r="AB125" i="39"/>
  <c r="AK125" i="39"/>
  <c r="AD125" i="39"/>
  <c r="W136" i="39"/>
  <c r="AC136" i="39"/>
  <c r="X136" i="39"/>
  <c r="AO134" i="39"/>
  <c r="Q129" i="39"/>
  <c r="AQ129" i="39"/>
  <c r="AC115" i="39"/>
  <c r="W115" i="39"/>
  <c r="X115" i="39"/>
  <c r="AG126" i="39"/>
  <c r="AA126" i="39"/>
  <c r="Q79" i="39"/>
  <c r="AQ79" i="39"/>
  <c r="AA115" i="39"/>
  <c r="AG115" i="39"/>
  <c r="AE115" i="39"/>
  <c r="AG114" i="39"/>
  <c r="AA114" i="39"/>
  <c r="Q131" i="39"/>
  <c r="AQ131" i="39"/>
  <c r="AB120" i="39"/>
  <c r="AK120" i="39"/>
  <c r="AD120" i="39"/>
  <c r="AC117" i="39"/>
  <c r="W117" i="39"/>
  <c r="X117" i="39"/>
  <c r="AD106" i="39"/>
  <c r="AK106" i="39"/>
  <c r="AB106" i="39"/>
  <c r="W103" i="39"/>
  <c r="X103" i="39"/>
  <c r="AC103" i="39"/>
  <c r="AG87" i="39"/>
  <c r="AA87" i="39"/>
  <c r="AE105" i="39"/>
  <c r="AQ88" i="39"/>
  <c r="Q88" i="39"/>
  <c r="W66" i="39"/>
  <c r="AC66" i="39"/>
  <c r="X66" i="39"/>
  <c r="AG92" i="39"/>
  <c r="AA92" i="39"/>
  <c r="AB84" i="39"/>
  <c r="AD84" i="39"/>
  <c r="AK84" i="39"/>
  <c r="AG104" i="39"/>
  <c r="AA104" i="39"/>
  <c r="AB102" i="39"/>
  <c r="AK102" i="39"/>
  <c r="AD102" i="39"/>
  <c r="AC99" i="39"/>
  <c r="W99" i="39"/>
  <c r="X99" i="39"/>
  <c r="Q102" i="39"/>
  <c r="AQ102" i="39"/>
  <c r="AB93" i="39"/>
  <c r="AK93" i="39"/>
  <c r="AD93" i="39"/>
  <c r="AE94" i="39"/>
  <c r="AE88" i="39"/>
  <c r="W96" i="39"/>
  <c r="X96" i="39"/>
  <c r="AC96" i="39"/>
  <c r="Q91" i="39"/>
  <c r="AQ91" i="39"/>
  <c r="AD87" i="39"/>
  <c r="AB87" i="39"/>
  <c r="AK87" i="39"/>
  <c r="AE81" i="39"/>
  <c r="AE83" i="39"/>
  <c r="AA85" i="39"/>
  <c r="AG85" i="39"/>
  <c r="AA66" i="39"/>
  <c r="AG66" i="39"/>
  <c r="Q60" i="39"/>
  <c r="AQ60" i="39"/>
  <c r="Q54" i="39"/>
  <c r="AQ54" i="39"/>
  <c r="AG63" i="39"/>
  <c r="AA63" i="39"/>
  <c r="AB59" i="39"/>
  <c r="AK59" i="39"/>
  <c r="AD59" i="39"/>
  <c r="AD77" i="39"/>
  <c r="AB77" i="39"/>
  <c r="AK77" i="39"/>
  <c r="AE63" i="39"/>
  <c r="X53" i="39"/>
  <c r="W53" i="39"/>
  <c r="AC53" i="39"/>
  <c r="AA65" i="39"/>
  <c r="AG65" i="39"/>
  <c r="AB68" i="39"/>
  <c r="AK68" i="39"/>
  <c r="AD68" i="39"/>
  <c r="AC65" i="39"/>
  <c r="X65" i="39"/>
  <c r="W65" i="39"/>
  <c r="W67" i="39"/>
  <c r="X67" i="39"/>
  <c r="AC67" i="39"/>
  <c r="AA353" i="39"/>
  <c r="AG353" i="39"/>
  <c r="Q334" i="39"/>
  <c r="AQ334" i="39"/>
  <c r="AG315" i="39"/>
  <c r="AA315" i="39"/>
  <c r="AE332" i="39"/>
  <c r="AB322" i="39"/>
  <c r="AK322" i="39"/>
  <c r="AD322" i="39"/>
  <c r="Q318" i="39"/>
  <c r="AQ318" i="39"/>
  <c r="AA327" i="39"/>
  <c r="AG327" i="39"/>
  <c r="AA301" i="39"/>
  <c r="AG301" i="39"/>
  <c r="AG322" i="39"/>
  <c r="AA322" i="39"/>
  <c r="AD316" i="39"/>
  <c r="AB316" i="39"/>
  <c r="AK316" i="39"/>
  <c r="W332" i="39"/>
  <c r="X332" i="39"/>
  <c r="AC332" i="39"/>
  <c r="Q316" i="39"/>
  <c r="AQ316" i="39"/>
  <c r="AK305" i="39"/>
  <c r="AB305" i="39"/>
  <c r="AD305" i="39"/>
  <c r="W302" i="39"/>
  <c r="X302" i="39"/>
  <c r="AC302" i="39"/>
  <c r="AC289" i="39"/>
  <c r="W289" i="39"/>
  <c r="X289" i="39"/>
  <c r="Q292" i="39"/>
  <c r="AQ292" i="39"/>
  <c r="AA273" i="39"/>
  <c r="AG273" i="39"/>
  <c r="AQ287" i="39"/>
  <c r="Q287" i="39"/>
  <c r="Q379" i="39"/>
  <c r="AQ379" i="39"/>
  <c r="AK397" i="39"/>
  <c r="AB397" i="39"/>
  <c r="AD397" i="39"/>
  <c r="AG385" i="39"/>
  <c r="AA385" i="39"/>
  <c r="AE355" i="39"/>
  <c r="W362" i="39"/>
  <c r="X362" i="39"/>
  <c r="AC362" i="39"/>
  <c r="AE379" i="39"/>
  <c r="AA377" i="39"/>
  <c r="AG377" i="39"/>
  <c r="AA300" i="39"/>
  <c r="AG300" i="39"/>
  <c r="AB297" i="39"/>
  <c r="AK297" i="39"/>
  <c r="AD297" i="39"/>
  <c r="AC294" i="39"/>
  <c r="W294" i="39"/>
  <c r="X294" i="39"/>
  <c r="AA266" i="39"/>
  <c r="AG266" i="39"/>
  <c r="AQ255" i="39"/>
  <c r="Q255" i="39"/>
  <c r="AE240" i="39"/>
  <c r="Q231" i="39"/>
  <c r="AQ231" i="39"/>
  <c r="Q223" i="39"/>
  <c r="AQ223" i="39"/>
  <c r="AE235" i="39"/>
  <c r="Q220" i="39"/>
  <c r="AQ220" i="39"/>
  <c r="AC212" i="39"/>
  <c r="W212" i="39"/>
  <c r="X212" i="39"/>
  <c r="AQ248" i="39"/>
  <c r="Q248" i="39"/>
  <c r="AG232" i="39"/>
  <c r="AA232" i="39"/>
  <c r="AE223" i="39"/>
  <c r="AD266" i="39"/>
  <c r="AB266" i="39"/>
  <c r="AK266" i="39"/>
  <c r="W263" i="39"/>
  <c r="X263" i="39"/>
  <c r="AC263" i="39"/>
  <c r="W239" i="39"/>
  <c r="X239" i="39"/>
  <c r="AC239" i="39"/>
  <c r="AB215" i="39"/>
  <c r="AK215" i="39"/>
  <c r="AD215" i="39"/>
  <c r="AQ211" i="39"/>
  <c r="Q211" i="39"/>
  <c r="AB190" i="39"/>
  <c r="AK190" i="39"/>
  <c r="AD190" i="39"/>
  <c r="AG186" i="39"/>
  <c r="AA186" i="39"/>
  <c r="AA234" i="39"/>
  <c r="AG234" i="39"/>
  <c r="AO213" i="39"/>
  <c r="AB219" i="39"/>
  <c r="AK219" i="39"/>
  <c r="AD219" i="39"/>
  <c r="AQ215" i="39"/>
  <c r="Q215" i="39"/>
  <c r="AA196" i="39"/>
  <c r="AG196" i="39"/>
  <c r="AA180" i="39"/>
  <c r="AG180" i="39"/>
  <c r="AB160" i="39"/>
  <c r="AK160" i="39"/>
  <c r="AD160" i="39"/>
  <c r="AK174" i="39"/>
  <c r="AB174" i="39"/>
  <c r="AD174" i="39"/>
  <c r="AG164" i="39"/>
  <c r="AA164" i="39"/>
  <c r="AB170" i="39"/>
  <c r="AD170" i="39"/>
  <c r="AK170" i="39"/>
  <c r="AG166" i="39"/>
  <c r="AA166" i="39"/>
  <c r="AC161" i="39"/>
  <c r="W161" i="39"/>
  <c r="X161" i="39"/>
  <c r="AC150" i="39"/>
  <c r="X150" i="39"/>
  <c r="W150" i="39"/>
  <c r="Q180" i="39"/>
  <c r="AQ180" i="39"/>
  <c r="W176" i="39"/>
  <c r="AC176" i="39"/>
  <c r="X176" i="39"/>
  <c r="AB189" i="39"/>
  <c r="AK189" i="39"/>
  <c r="AD189" i="39"/>
  <c r="X186" i="39"/>
  <c r="W186" i="39"/>
  <c r="AC186" i="39"/>
  <c r="AE187" i="39"/>
  <c r="AA170" i="39"/>
  <c r="AG170" i="39"/>
  <c r="AB180" i="39"/>
  <c r="AD180" i="39"/>
  <c r="AK180" i="39"/>
  <c r="X177" i="39"/>
  <c r="AC177" i="39"/>
  <c r="W177" i="39"/>
  <c r="AD140" i="39"/>
  <c r="AK140" i="39"/>
  <c r="AB140" i="39"/>
  <c r="AK176" i="39"/>
  <c r="AD176" i="39"/>
  <c r="AB176" i="39"/>
  <c r="X173" i="39"/>
  <c r="AC173" i="39"/>
  <c r="W173" i="39"/>
  <c r="AQ148" i="39"/>
  <c r="Q148" i="39"/>
  <c r="AG150" i="39"/>
  <c r="AA150" i="39"/>
  <c r="AG139" i="39"/>
  <c r="AA139" i="39"/>
  <c r="AA133" i="39"/>
  <c r="AG133" i="39"/>
  <c r="AE112" i="39"/>
  <c r="AE108" i="39"/>
  <c r="AC131" i="39"/>
  <c r="W131" i="39"/>
  <c r="X131" i="39"/>
  <c r="AD114" i="39"/>
  <c r="AK114" i="39"/>
  <c r="AB114" i="39"/>
  <c r="Q128" i="39"/>
  <c r="AQ128" i="39"/>
  <c r="AC114" i="39"/>
  <c r="X114" i="39"/>
  <c r="W114" i="39"/>
  <c r="Q106" i="39"/>
  <c r="AQ106" i="39"/>
  <c r="Q122" i="39"/>
  <c r="AQ122" i="39"/>
  <c r="AD111" i="39"/>
  <c r="AK111" i="39"/>
  <c r="AB111" i="39"/>
  <c r="W108" i="39"/>
  <c r="X108" i="39"/>
  <c r="AC108" i="39"/>
  <c r="AA98" i="39"/>
  <c r="AG98" i="39"/>
  <c r="AB132" i="39"/>
  <c r="AK132" i="39"/>
  <c r="AD132" i="39"/>
  <c r="X129" i="39"/>
  <c r="AC129" i="39"/>
  <c r="W129" i="39"/>
  <c r="AO114" i="39"/>
  <c r="Q111" i="39"/>
  <c r="AQ111" i="39"/>
  <c r="AB121" i="39"/>
  <c r="AK121" i="39"/>
  <c r="AD121" i="39"/>
  <c r="AC118" i="39"/>
  <c r="W118" i="39"/>
  <c r="X118" i="39"/>
  <c r="AD131" i="39"/>
  <c r="AB131" i="39"/>
  <c r="AK131" i="39"/>
  <c r="W128" i="39"/>
  <c r="X128" i="39"/>
  <c r="AC128" i="39"/>
  <c r="Q110" i="39"/>
  <c r="AQ110" i="39"/>
  <c r="AA127" i="39"/>
  <c r="AG127" i="39"/>
  <c r="AC94" i="39"/>
  <c r="W94" i="39"/>
  <c r="X94" i="39"/>
  <c r="AB80" i="39"/>
  <c r="AK80" i="39"/>
  <c r="AD80" i="39"/>
  <c r="Q56" i="39"/>
  <c r="AQ56" i="39"/>
  <c r="AA97" i="39"/>
  <c r="AG97" i="39"/>
  <c r="AO103" i="39"/>
  <c r="Q100" i="39"/>
  <c r="AQ100" i="39"/>
  <c r="AK98" i="39"/>
  <c r="AB98" i="39"/>
  <c r="AD98" i="39"/>
  <c r="AA94" i="39"/>
  <c r="AG94" i="39"/>
  <c r="W97" i="39"/>
  <c r="X97" i="39"/>
  <c r="AC97" i="39"/>
  <c r="W91" i="39"/>
  <c r="X91" i="39"/>
  <c r="AC91" i="39"/>
  <c r="Q80" i="39"/>
  <c r="AQ80" i="39"/>
  <c r="X86" i="39"/>
  <c r="W86" i="39"/>
  <c r="AC86" i="39"/>
  <c r="AA80" i="39"/>
  <c r="AG80" i="39"/>
  <c r="W79" i="39"/>
  <c r="X79" i="39"/>
  <c r="AC79" i="39"/>
  <c r="AD73" i="39"/>
  <c r="AB73" i="39"/>
  <c r="AK73" i="39"/>
  <c r="AA77" i="39"/>
  <c r="AG77" i="39"/>
  <c r="AD70" i="39"/>
  <c r="AK70" i="39"/>
  <c r="AB70" i="39"/>
  <c r="AA82" i="39"/>
  <c r="AG82" i="39"/>
  <c r="AA75" i="39"/>
  <c r="AG75" i="39"/>
  <c r="AE72" i="39"/>
  <c r="Q62" i="39"/>
  <c r="AQ62" i="39"/>
  <c r="AD75" i="39"/>
  <c r="AK75" i="39"/>
  <c r="AB75" i="39"/>
  <c r="AC72" i="39"/>
  <c r="W72" i="39"/>
  <c r="X72" i="39"/>
  <c r="AE74" i="39"/>
  <c r="AB57" i="39"/>
  <c r="AK57" i="39"/>
  <c r="AD57" i="39"/>
  <c r="AD74" i="39"/>
  <c r="AK74" i="39"/>
  <c r="AB74" i="39"/>
  <c r="W71" i="39"/>
  <c r="AC71" i="39"/>
  <c r="X71" i="39"/>
  <c r="AE59" i="39"/>
  <c r="Q61" i="39"/>
  <c r="AQ61" i="39"/>
  <c r="Q66" i="39"/>
  <c r="AQ66" i="39"/>
  <c r="AB55" i="39"/>
  <c r="AK55" i="39"/>
  <c r="AD55" i="39"/>
  <c r="AE54" i="39"/>
  <c r="AE56" i="39"/>
  <c r="AD387" i="39"/>
  <c r="AB387" i="39"/>
  <c r="AK387" i="39"/>
  <c r="W384" i="39"/>
  <c r="X384" i="39"/>
  <c r="AC384" i="39"/>
  <c r="Q356" i="39"/>
  <c r="AQ356" i="39"/>
  <c r="AC348" i="39"/>
  <c r="W348" i="39"/>
  <c r="X348" i="39"/>
  <c r="AA383" i="39"/>
  <c r="AG383" i="39"/>
  <c r="AG364" i="39"/>
  <c r="AA364" i="39"/>
  <c r="Q395" i="39"/>
  <c r="AQ395" i="39"/>
  <c r="Q392" i="39"/>
  <c r="AQ392" i="39"/>
  <c r="AA380" i="39"/>
  <c r="AG380" i="39"/>
  <c r="W342" i="39"/>
  <c r="AC342" i="39"/>
  <c r="X342" i="39"/>
  <c r="AQ400" i="39"/>
  <c r="Q400" i="39"/>
  <c r="AA393" i="39"/>
  <c r="AG393" i="39"/>
  <c r="AG355" i="39"/>
  <c r="AA355" i="39"/>
  <c r="AD349" i="39"/>
  <c r="AK349" i="39"/>
  <c r="AB349" i="39"/>
  <c r="Q52" i="39"/>
  <c r="AQ52" i="39"/>
  <c r="Q394" i="39"/>
  <c r="AQ394" i="39"/>
  <c r="AB383" i="39"/>
  <c r="AK383" i="39"/>
  <c r="AD383" i="39"/>
  <c r="AC380" i="39"/>
  <c r="W380" i="39"/>
  <c r="X380" i="39"/>
  <c r="Q372" i="39"/>
  <c r="AQ372" i="39"/>
  <c r="AC364" i="39"/>
  <c r="W364" i="39"/>
  <c r="X364" i="39"/>
  <c r="Q396" i="39"/>
  <c r="AQ396" i="39"/>
  <c r="AQ362" i="39"/>
  <c r="Q362" i="39"/>
  <c r="AQ387" i="39"/>
  <c r="Q387" i="39"/>
  <c r="Q384" i="39"/>
  <c r="AQ384" i="39"/>
  <c r="AA346" i="39"/>
  <c r="AG346" i="39"/>
  <c r="AB340" i="39"/>
  <c r="AD340" i="39"/>
  <c r="AK340" i="39"/>
  <c r="AG398" i="39"/>
  <c r="AA398" i="39"/>
  <c r="AA376" i="39"/>
  <c r="AG376" i="39"/>
  <c r="AG343" i="39"/>
  <c r="AA343" i="39"/>
  <c r="AD370" i="39"/>
  <c r="AK370" i="39"/>
  <c r="AB370" i="39"/>
  <c r="X367" i="39"/>
  <c r="W367" i="39"/>
  <c r="AC367" i="39"/>
  <c r="Q349" i="39"/>
  <c r="AQ349" i="39"/>
  <c r="AB338" i="39"/>
  <c r="AK338" i="39"/>
  <c r="AD338" i="39"/>
  <c r="Q333" i="39"/>
  <c r="AQ333" i="39"/>
  <c r="AG302" i="39"/>
  <c r="AA302" i="39"/>
  <c r="AG335" i="39"/>
  <c r="AA335" i="39"/>
  <c r="AB299" i="39"/>
  <c r="AD299" i="39"/>
  <c r="AK299" i="39"/>
  <c r="W305" i="39"/>
  <c r="X305" i="39"/>
  <c r="AC305" i="39"/>
  <c r="AC338" i="39"/>
  <c r="W338" i="39"/>
  <c r="X338" i="39"/>
  <c r="AC331" i="39"/>
  <c r="W331" i="39"/>
  <c r="X331" i="39"/>
  <c r="AQ305" i="39"/>
  <c r="Q305" i="39"/>
  <c r="Q336" i="39"/>
  <c r="AQ336" i="39"/>
  <c r="AK325" i="39"/>
  <c r="AB325" i="39"/>
  <c r="AD325" i="39"/>
  <c r="X322" i="39"/>
  <c r="AC322" i="39"/>
  <c r="W322" i="39"/>
  <c r="Q304" i="39"/>
  <c r="AQ304" i="39"/>
  <c r="Q279" i="39"/>
  <c r="AQ279" i="39"/>
  <c r="Q275" i="39"/>
  <c r="AQ275" i="39"/>
  <c r="AD295" i="39"/>
  <c r="AB295" i="39"/>
  <c r="AK295" i="39"/>
  <c r="AG284" i="39"/>
  <c r="AA284" i="39"/>
  <c r="AD278" i="39"/>
  <c r="AK278" i="39"/>
  <c r="AB278" i="39"/>
  <c r="Q295" i="39"/>
  <c r="AQ295" i="39"/>
  <c r="AQ263" i="39"/>
  <c r="Q263" i="39"/>
  <c r="AC393" i="39"/>
  <c r="W393" i="39"/>
  <c r="X393" i="39"/>
  <c r="AK401" i="39"/>
  <c r="AD401" i="39"/>
  <c r="AB401" i="39"/>
  <c r="Q393" i="39"/>
  <c r="AQ393" i="39"/>
  <c r="AK382" i="39"/>
  <c r="AD382" i="39"/>
  <c r="AB382" i="39"/>
  <c r="AC379" i="39"/>
  <c r="W379" i="39"/>
  <c r="X379" i="39"/>
  <c r="W374" i="39"/>
  <c r="AC374" i="39"/>
  <c r="X374" i="39"/>
  <c r="Q348" i="39"/>
  <c r="AQ348" i="39"/>
  <c r="AC340" i="39"/>
  <c r="W340" i="39"/>
  <c r="X340" i="39"/>
  <c r="AE358" i="39"/>
  <c r="AA354" i="39"/>
  <c r="AG354" i="39"/>
  <c r="AK348" i="39"/>
  <c r="AB348" i="39"/>
  <c r="AD348" i="39"/>
  <c r="Q386" i="39"/>
  <c r="AQ386" i="39"/>
  <c r="Q370" i="39"/>
  <c r="AQ370" i="39"/>
  <c r="AG299" i="39"/>
  <c r="AA299" i="39"/>
  <c r="AD366" i="39"/>
  <c r="AK366" i="39"/>
  <c r="AB366" i="39"/>
  <c r="X363" i="39"/>
  <c r="W363" i="39"/>
  <c r="AC363" i="39"/>
  <c r="AO348" i="39"/>
  <c r="Q345" i="39"/>
  <c r="AQ345" i="39"/>
  <c r="AA331" i="39"/>
  <c r="AG331" i="39"/>
  <c r="AC300" i="39"/>
  <c r="W300" i="39"/>
  <c r="X300" i="39"/>
  <c r="AG326" i="39"/>
  <c r="AA326" i="39"/>
  <c r="AD320" i="39"/>
  <c r="AB320" i="39"/>
  <c r="AK320" i="39"/>
  <c r="AD304" i="39"/>
  <c r="AB304" i="39"/>
  <c r="AK304" i="39"/>
  <c r="AE325" i="39"/>
  <c r="AA321" i="39"/>
  <c r="AG321" i="39"/>
  <c r="AB315" i="39"/>
  <c r="AD315" i="39"/>
  <c r="AK315" i="39"/>
  <c r="AA319" i="39"/>
  <c r="AG319" i="39"/>
  <c r="AA332" i="39"/>
  <c r="AG332" i="39"/>
  <c r="AE300" i="39"/>
  <c r="AG289" i="39"/>
  <c r="AA289" i="39"/>
  <c r="W262" i="39"/>
  <c r="X262" i="39"/>
  <c r="AC262" i="39"/>
  <c r="W267" i="39"/>
  <c r="AC267" i="39"/>
  <c r="X267" i="39"/>
  <c r="Q253" i="39"/>
  <c r="AQ253" i="39"/>
  <c r="AE283" i="39"/>
  <c r="AA279" i="39"/>
  <c r="AG279" i="39"/>
  <c r="AK273" i="39"/>
  <c r="AB273" i="39"/>
  <c r="AD273" i="39"/>
  <c r="AK329" i="39"/>
  <c r="AB329" i="39"/>
  <c r="AD329" i="39"/>
  <c r="X326" i="39"/>
  <c r="AC326" i="39"/>
  <c r="W326" i="39"/>
  <c r="Q308" i="39"/>
  <c r="AQ308" i="39"/>
  <c r="AD247" i="39"/>
  <c r="AK247" i="39"/>
  <c r="AB247" i="39"/>
  <c r="X244" i="39"/>
  <c r="W244" i="39"/>
  <c r="AC244" i="39"/>
  <c r="AE214" i="39"/>
  <c r="AA210" i="39"/>
  <c r="AG210" i="39"/>
  <c r="AK204" i="39"/>
  <c r="AB204" i="39"/>
  <c r="AD204" i="39"/>
  <c r="AC193" i="39"/>
  <c r="W193" i="39"/>
  <c r="X193" i="39"/>
  <c r="AA209" i="39"/>
  <c r="AG209" i="39"/>
  <c r="AG191" i="39"/>
  <c r="AA191" i="39"/>
  <c r="AQ178" i="39"/>
  <c r="Q178" i="39"/>
  <c r="W172" i="39"/>
  <c r="AC172" i="39"/>
  <c r="X172" i="39"/>
  <c r="AE179" i="39"/>
  <c r="AE232" i="39"/>
  <c r="AA221" i="39"/>
  <c r="AG221" i="39"/>
  <c r="AA159" i="39"/>
  <c r="AG159" i="39"/>
  <c r="Q112" i="39"/>
  <c r="AQ112" i="39"/>
  <c r="Q150" i="39"/>
  <c r="AQ150" i="39"/>
  <c r="AB134" i="39"/>
  <c r="AK134" i="39"/>
  <c r="AD134" i="39"/>
  <c r="AE146" i="39"/>
  <c r="AG125" i="39"/>
  <c r="AA125" i="39"/>
  <c r="AB149" i="39"/>
  <c r="AK149" i="39"/>
  <c r="AD149" i="39"/>
  <c r="AC146" i="39"/>
  <c r="W146" i="39"/>
  <c r="X146" i="39"/>
  <c r="AC401" i="39"/>
  <c r="W401" i="39"/>
  <c r="X401" i="39"/>
  <c r="AC390" i="39"/>
  <c r="W390" i="39"/>
  <c r="X390" i="39"/>
  <c r="AG384" i="39"/>
  <c r="AA384" i="39"/>
  <c r="AA389" i="39"/>
  <c r="AG389" i="39"/>
  <c r="AG371" i="39"/>
  <c r="AA371" i="39"/>
  <c r="AD365" i="39"/>
  <c r="AK365" i="39"/>
  <c r="AB365" i="39"/>
  <c r="AG386" i="39"/>
  <c r="AA386" i="39"/>
  <c r="AE382" i="39"/>
  <c r="AG368" i="39"/>
  <c r="AA368" i="39"/>
  <c r="AE386" i="39"/>
  <c r="W346" i="39"/>
  <c r="AC346" i="39"/>
  <c r="X346" i="39"/>
  <c r="AK400" i="39"/>
  <c r="AB400" i="39"/>
  <c r="AD400" i="39"/>
  <c r="AA396" i="39"/>
  <c r="AG396" i="39"/>
  <c r="AC373" i="39"/>
  <c r="W373" i="39"/>
  <c r="X373" i="39"/>
  <c r="AB351" i="39"/>
  <c r="AK351" i="39"/>
  <c r="AD351" i="39"/>
  <c r="Q347" i="39"/>
  <c r="AQ347" i="39"/>
  <c r="AG338" i="39"/>
  <c r="AA338" i="39"/>
  <c r="AK389" i="39"/>
  <c r="AB389" i="39"/>
  <c r="AD389" i="39"/>
  <c r="AK52" i="39"/>
  <c r="AB52" i="39"/>
  <c r="AD52" i="39"/>
  <c r="AC399" i="39"/>
  <c r="W399" i="39"/>
  <c r="X399" i="39"/>
  <c r="AO384" i="39"/>
  <c r="Q381" i="39"/>
  <c r="AQ381" i="39"/>
  <c r="W370" i="39"/>
  <c r="AC370" i="39"/>
  <c r="X370" i="39"/>
  <c r="Q344" i="39"/>
  <c r="AQ344" i="39"/>
  <c r="AG382" i="39"/>
  <c r="AA382" i="39"/>
  <c r="AG351" i="39"/>
  <c r="AA351" i="39"/>
  <c r="AD345" i="39"/>
  <c r="AB345" i="39"/>
  <c r="AK345" i="39"/>
  <c r="AC385" i="39"/>
  <c r="W385" i="39"/>
  <c r="X385" i="39"/>
  <c r="AB372" i="39"/>
  <c r="AD372" i="39"/>
  <c r="AK372" i="39"/>
  <c r="W361" i="39"/>
  <c r="X361" i="39"/>
  <c r="AC361" i="39"/>
  <c r="AE349" i="39"/>
  <c r="AB339" i="39"/>
  <c r="AK339" i="39"/>
  <c r="AD339" i="39"/>
  <c r="Q391" i="39"/>
  <c r="AQ391" i="39"/>
  <c r="AC382" i="39"/>
  <c r="W382" i="39"/>
  <c r="X382" i="39"/>
  <c r="AG375" i="39"/>
  <c r="AA375" i="39"/>
  <c r="AD369" i="39"/>
  <c r="AK369" i="39"/>
  <c r="AB369" i="39"/>
  <c r="AE346" i="39"/>
  <c r="AA342" i="39"/>
  <c r="AG342" i="39"/>
  <c r="Q373" i="39"/>
  <c r="AQ373" i="39"/>
  <c r="AK362" i="39"/>
  <c r="AB362" i="39"/>
  <c r="AD362" i="39"/>
  <c r="X359" i="39"/>
  <c r="W359" i="39"/>
  <c r="AC359" i="39"/>
  <c r="Q341" i="39"/>
  <c r="AQ341" i="39"/>
  <c r="W337" i="39"/>
  <c r="X337" i="39"/>
  <c r="AC337" i="39"/>
  <c r="AG303" i="39"/>
  <c r="AA303" i="39"/>
  <c r="AQ338" i="39"/>
  <c r="Q338" i="39"/>
  <c r="Q331" i="39"/>
  <c r="AQ331" i="39"/>
  <c r="AC323" i="39"/>
  <c r="W323" i="39"/>
  <c r="X323" i="39"/>
  <c r="AG334" i="39"/>
  <c r="AA334" i="39"/>
  <c r="AD328" i="39"/>
  <c r="AK328" i="39"/>
  <c r="AB328" i="39"/>
  <c r="AQ298" i="39"/>
  <c r="Q298" i="39"/>
  <c r="AG373" i="39"/>
  <c r="AA373" i="39"/>
  <c r="AE352" i="39"/>
  <c r="AG341" i="39"/>
  <c r="AA341" i="39"/>
  <c r="AE334" i="39"/>
  <c r="AO332" i="39"/>
  <c r="W309" i="39"/>
  <c r="X309" i="39"/>
  <c r="AC309" i="39"/>
  <c r="AE304" i="39"/>
  <c r="AE337" i="39"/>
  <c r="AQ311" i="39"/>
  <c r="Q311" i="39"/>
  <c r="AG298" i="39"/>
  <c r="AA298" i="39"/>
  <c r="AE322" i="39"/>
  <c r="AB303" i="39"/>
  <c r="AK303" i="39"/>
  <c r="AD303" i="39"/>
  <c r="AC299" i="39"/>
  <c r="X299" i="39"/>
  <c r="W299" i="39"/>
  <c r="AO331" i="39"/>
  <c r="Q328" i="39"/>
  <c r="AQ328" i="39"/>
  <c r="AB317" i="39"/>
  <c r="AD317" i="39"/>
  <c r="AK317" i="39"/>
  <c r="X314" i="39"/>
  <c r="AC314" i="39"/>
  <c r="W314" i="39"/>
  <c r="AO299" i="39"/>
  <c r="Q296" i="39"/>
  <c r="AQ296" i="39"/>
  <c r="AB260" i="39"/>
  <c r="AK260" i="39"/>
  <c r="AD260" i="39"/>
  <c r="AC303" i="39"/>
  <c r="W303" i="39"/>
  <c r="X303" i="39"/>
  <c r="AE292" i="39"/>
  <c r="AE287" i="39"/>
  <c r="AA283" i="39"/>
  <c r="AG283" i="39"/>
  <c r="AK277" i="39"/>
  <c r="AB277" i="39"/>
  <c r="AD277" i="39"/>
  <c r="Q252" i="39"/>
  <c r="AQ252" i="39"/>
  <c r="Q269" i="39"/>
  <c r="AQ269" i="39"/>
  <c r="AG336" i="39"/>
  <c r="AA336" i="39"/>
  <c r="AE315" i="39"/>
  <c r="AG304" i="39"/>
  <c r="AA304" i="39"/>
  <c r="AK293" i="39"/>
  <c r="AB293" i="39"/>
  <c r="AD293" i="39"/>
  <c r="AG276" i="39"/>
  <c r="AA276" i="39"/>
  <c r="AD270" i="39"/>
  <c r="AK270" i="39"/>
  <c r="AB270" i="39"/>
  <c r="AO278" i="39"/>
  <c r="AD265" i="39"/>
  <c r="AB265" i="39"/>
  <c r="AK265" i="39"/>
  <c r="AQ260" i="39"/>
  <c r="Q260" i="39"/>
  <c r="Q294" i="39"/>
  <c r="AQ294" i="39"/>
  <c r="AE271" i="39"/>
  <c r="AA267" i="39"/>
  <c r="AG267" i="39"/>
  <c r="AB288" i="39"/>
  <c r="AK288" i="39"/>
  <c r="AD288" i="39"/>
  <c r="AQ284" i="39"/>
  <c r="Q284" i="39"/>
  <c r="AE263" i="39"/>
  <c r="AD254" i="39"/>
  <c r="AB254" i="39"/>
  <c r="AK254" i="39"/>
  <c r="AA278" i="39"/>
  <c r="AG278" i="39"/>
  <c r="AG253" i="39"/>
  <c r="AA253" i="39"/>
  <c r="AB211" i="39"/>
  <c r="AK211" i="39"/>
  <c r="AD211" i="39"/>
  <c r="AE244" i="39"/>
  <c r="AK283" i="39"/>
  <c r="AB283" i="39"/>
  <c r="AD283" i="39"/>
  <c r="X280" i="39"/>
  <c r="W280" i="39"/>
  <c r="AC280" i="39"/>
  <c r="Q262" i="39"/>
  <c r="AQ262" i="39"/>
  <c r="AG236" i="39"/>
  <c r="AA236" i="39"/>
  <c r="Q230" i="39"/>
  <c r="AQ230" i="39"/>
  <c r="Q222" i="39"/>
  <c r="AQ222" i="39"/>
  <c r="W247" i="39"/>
  <c r="X247" i="39"/>
  <c r="AC247" i="39"/>
  <c r="Q219" i="39"/>
  <c r="AQ219" i="39"/>
  <c r="AQ247" i="39"/>
  <c r="Q247" i="39"/>
  <c r="AG231" i="39"/>
  <c r="AA231" i="39"/>
  <c r="AA255" i="39"/>
  <c r="AG255" i="39"/>
  <c r="AD249" i="39"/>
  <c r="AK249" i="39"/>
  <c r="AB249" i="39"/>
  <c r="W238" i="39"/>
  <c r="X238" i="39"/>
  <c r="AC238" i="39"/>
  <c r="AE217" i="39"/>
  <c r="AG254" i="39"/>
  <c r="AA254" i="39"/>
  <c r="AO231" i="39"/>
  <c r="AQ210" i="39"/>
  <c r="Q210" i="39"/>
  <c r="AE195" i="39"/>
  <c r="AD209" i="39"/>
  <c r="AB209" i="39"/>
  <c r="AK209" i="39"/>
  <c r="W226" i="39"/>
  <c r="X226" i="39"/>
  <c r="AC226" i="39"/>
  <c r="Q200" i="39"/>
  <c r="AQ200" i="39"/>
  <c r="AB251" i="39"/>
  <c r="AD251" i="39"/>
  <c r="AK251" i="39"/>
  <c r="X248" i="39"/>
  <c r="W248" i="39"/>
  <c r="AC248" i="39"/>
  <c r="AD233" i="39"/>
  <c r="AK233" i="39"/>
  <c r="AB233" i="39"/>
  <c r="AE210" i="39"/>
  <c r="AA206" i="39"/>
  <c r="AG206" i="39"/>
  <c r="AK200" i="39"/>
  <c r="AB200" i="39"/>
  <c r="AD200" i="39"/>
  <c r="AC191" i="39"/>
  <c r="W191" i="39"/>
  <c r="X191" i="39"/>
  <c r="AE206" i="39"/>
  <c r="AA202" i="39"/>
  <c r="AG202" i="39"/>
  <c r="AB196" i="39"/>
  <c r="AD196" i="39"/>
  <c r="AK196" i="39"/>
  <c r="AQ214" i="39"/>
  <c r="Q214" i="39"/>
  <c r="AE199" i="39"/>
  <c r="AB226" i="39"/>
  <c r="AD226" i="39"/>
  <c r="AK226" i="39"/>
  <c r="X223" i="39"/>
  <c r="AC223" i="39"/>
  <c r="W223" i="39"/>
  <c r="AO208" i="39"/>
  <c r="Q205" i="39"/>
  <c r="AQ205" i="39"/>
  <c r="AB194" i="39"/>
  <c r="AD194" i="39"/>
  <c r="AK194" i="39"/>
  <c r="AQ177" i="39"/>
  <c r="Q177" i="39"/>
  <c r="AD183" i="39"/>
  <c r="AB183" i="39"/>
  <c r="AK183" i="39"/>
  <c r="AA174" i="39"/>
  <c r="AG174" i="39"/>
  <c r="W163" i="39"/>
  <c r="AC163" i="39"/>
  <c r="X163" i="39"/>
  <c r="Q217" i="39"/>
  <c r="AQ217" i="39"/>
  <c r="AK206" i="39"/>
  <c r="AB206" i="39"/>
  <c r="AD206" i="39"/>
  <c r="X203" i="39"/>
  <c r="AC203" i="39"/>
  <c r="W203" i="39"/>
  <c r="AB169" i="39"/>
  <c r="AK169" i="39"/>
  <c r="AD169" i="39"/>
  <c r="AB165" i="39"/>
  <c r="AK165" i="39"/>
  <c r="AD165" i="39"/>
  <c r="AD167" i="39"/>
  <c r="AB167" i="39"/>
  <c r="AK167" i="39"/>
  <c r="AD158" i="39"/>
  <c r="AB158" i="39"/>
  <c r="AK158" i="39"/>
  <c r="AQ184" i="39"/>
  <c r="Q184" i="39"/>
  <c r="W180" i="39"/>
  <c r="X180" i="39"/>
  <c r="AC180" i="39"/>
  <c r="AE160" i="39"/>
  <c r="AC175" i="39"/>
  <c r="W175" i="39"/>
  <c r="X175" i="39"/>
  <c r="Q155" i="39"/>
  <c r="AQ155" i="39"/>
  <c r="X190" i="39"/>
  <c r="W190" i="39"/>
  <c r="AC190" i="39"/>
  <c r="AO176" i="39"/>
  <c r="AE173" i="39"/>
  <c r="Q140" i="39"/>
  <c r="AQ140" i="39"/>
  <c r="AE166" i="39"/>
  <c r="AA183" i="39"/>
  <c r="AG183" i="39"/>
  <c r="W147" i="39"/>
  <c r="AC147" i="39"/>
  <c r="X147" i="39"/>
  <c r="AB152" i="39"/>
  <c r="AK152" i="39"/>
  <c r="AD152" i="39"/>
  <c r="AG141" i="39"/>
  <c r="AA141" i="39"/>
  <c r="AE157" i="39"/>
  <c r="AG146" i="39"/>
  <c r="AA146" i="39"/>
  <c r="AD90" i="39"/>
  <c r="AB90" i="39"/>
  <c r="AK90" i="39"/>
  <c r="X149" i="39"/>
  <c r="AC149" i="39"/>
  <c r="W149" i="39"/>
  <c r="AE152" i="39"/>
  <c r="AA138" i="39"/>
  <c r="AG138" i="39"/>
  <c r="AA106" i="39"/>
  <c r="AG106" i="39"/>
  <c r="AO149" i="39"/>
  <c r="Q146" i="39"/>
  <c r="AQ146" i="39"/>
  <c r="Q151" i="39"/>
  <c r="AQ151" i="39"/>
  <c r="AO136" i="39"/>
  <c r="AE111" i="39"/>
  <c r="AE133" i="39"/>
  <c r="AC130" i="39"/>
  <c r="X130" i="39"/>
  <c r="W130" i="39"/>
  <c r="W127" i="39"/>
  <c r="AC127" i="39"/>
  <c r="X127" i="39"/>
  <c r="X138" i="39"/>
  <c r="W138" i="39"/>
  <c r="AC138" i="39"/>
  <c r="AQ121" i="39"/>
  <c r="Q121" i="39"/>
  <c r="AE129" i="39"/>
  <c r="AG118" i="39"/>
  <c r="AA118" i="39"/>
  <c r="AQ97" i="39"/>
  <c r="Q97" i="39"/>
  <c r="AE118" i="39"/>
  <c r="AA107" i="39"/>
  <c r="AG107" i="39"/>
  <c r="AA68" i="39"/>
  <c r="AG68" i="39"/>
  <c r="AA128" i="39"/>
  <c r="AG128" i="39"/>
  <c r="AE107" i="39"/>
  <c r="AE117" i="39"/>
  <c r="Q123" i="39"/>
  <c r="AQ123" i="39"/>
  <c r="AB112" i="39"/>
  <c r="AK112" i="39"/>
  <c r="AD112" i="39"/>
  <c r="AC109" i="39"/>
  <c r="W109" i="39"/>
  <c r="X109" i="39"/>
  <c r="Q105" i="39"/>
  <c r="AQ105" i="39"/>
  <c r="Q98" i="39"/>
  <c r="AQ98" i="39"/>
  <c r="Q90" i="39"/>
  <c r="AQ90" i="39"/>
  <c r="AG56" i="39"/>
  <c r="AA56" i="39"/>
  <c r="AB91" i="39"/>
  <c r="AK91" i="39"/>
  <c r="AD91" i="39"/>
  <c r="AC88" i="39"/>
  <c r="W88" i="39"/>
  <c r="X88" i="39"/>
  <c r="AD82" i="39"/>
  <c r="AK82" i="39"/>
  <c r="AB82" i="39"/>
  <c r="AB86" i="39"/>
  <c r="AK86" i="39"/>
  <c r="AD86" i="39"/>
  <c r="AE82" i="39"/>
  <c r="AD61" i="39"/>
  <c r="AK61" i="39"/>
  <c r="AB61" i="39"/>
  <c r="AE80" i="39"/>
  <c r="AB83" i="39"/>
  <c r="AK83" i="39"/>
  <c r="AD83" i="39"/>
  <c r="AA72" i="39"/>
  <c r="AG72" i="39"/>
  <c r="AB71" i="39"/>
  <c r="AK71" i="39"/>
  <c r="AD71" i="39"/>
  <c r="Q78" i="39"/>
  <c r="AQ78" i="39"/>
  <c r="AQ74" i="39"/>
  <c r="Q74" i="39"/>
  <c r="Q67" i="39"/>
  <c r="AQ67" i="39"/>
  <c r="AG76" i="39"/>
  <c r="AA76" i="39"/>
  <c r="AD53" i="39"/>
  <c r="AB53" i="39"/>
  <c r="AK53" i="39"/>
  <c r="AG64" i="39"/>
  <c r="AA64" i="39"/>
  <c r="AQ59" i="39"/>
  <c r="Q59" i="39"/>
  <c r="AE68" i="39"/>
  <c r="AG57" i="39"/>
  <c r="AA57" i="39"/>
  <c r="AE53" i="39"/>
  <c r="AA62" i="39"/>
  <c r="AG62" i="39"/>
  <c r="AB60" i="39"/>
  <c r="AK60" i="39"/>
  <c r="AD60" i="39"/>
  <c r="AC57" i="39"/>
  <c r="W57" i="39"/>
  <c r="X57" i="39"/>
  <c r="AD62" i="39"/>
  <c r="AB62" i="39"/>
  <c r="AK62" i="39"/>
  <c r="W59" i="39"/>
  <c r="X59" i="39"/>
  <c r="AC59" i="39"/>
  <c r="W279" i="39"/>
  <c r="X279" i="39"/>
  <c r="AC279" i="39"/>
  <c r="X266" i="39"/>
  <c r="AC266" i="39"/>
  <c r="W266" i="39"/>
  <c r="W258" i="39"/>
  <c r="AC258" i="39"/>
  <c r="X258" i="39"/>
  <c r="Q290" i="39"/>
  <c r="AQ290" i="39"/>
  <c r="AK279" i="39"/>
  <c r="AB279" i="39"/>
  <c r="AD279" i="39"/>
  <c r="X276" i="39"/>
  <c r="W276" i="39"/>
  <c r="AC276" i="39"/>
  <c r="Q258" i="39"/>
  <c r="AQ258" i="39"/>
  <c r="Q241" i="39"/>
  <c r="AQ241" i="39"/>
  <c r="AK228" i="39"/>
  <c r="AB228" i="39"/>
  <c r="AD228" i="39"/>
  <c r="AG249" i="39"/>
  <c r="AA249" i="39"/>
  <c r="AA345" i="39"/>
  <c r="AG345" i="39"/>
  <c r="AG314" i="39"/>
  <c r="AA314" i="39"/>
  <c r="AD308" i="39"/>
  <c r="AK308" i="39"/>
  <c r="AB308" i="39"/>
  <c r="AK335" i="39"/>
  <c r="AB335" i="39"/>
  <c r="AD335" i="39"/>
  <c r="AC324" i="39"/>
  <c r="W324" i="39"/>
  <c r="X324" i="39"/>
  <c r="AE280" i="39"/>
  <c r="AG272" i="39"/>
  <c r="AA272" i="39"/>
  <c r="AQ285" i="39"/>
  <c r="Q285" i="39"/>
  <c r="AC277" i="39"/>
  <c r="W277" i="39"/>
  <c r="X277" i="39"/>
  <c r="Q282" i="39"/>
  <c r="AQ282" i="39"/>
  <c r="AK271" i="39"/>
  <c r="AB271" i="39"/>
  <c r="AD271" i="39"/>
  <c r="X268" i="39"/>
  <c r="AC268" i="39"/>
  <c r="W268" i="39"/>
  <c r="Q239" i="39"/>
  <c r="AQ239" i="39"/>
  <c r="AG248" i="39"/>
  <c r="AA248" i="39"/>
  <c r="AD242" i="39"/>
  <c r="AK242" i="39"/>
  <c r="AB242" i="39"/>
  <c r="AB236" i="39"/>
  <c r="AK236" i="39"/>
  <c r="AD236" i="39"/>
  <c r="AK212" i="39"/>
  <c r="AB212" i="39"/>
  <c r="AD212" i="39"/>
  <c r="AA261" i="39"/>
  <c r="AG261" i="39"/>
  <c r="AG241" i="39"/>
  <c r="AA241" i="39"/>
  <c r="AG400" i="39"/>
  <c r="AA400" i="39"/>
  <c r="Q385" i="39"/>
  <c r="AQ385" i="39"/>
  <c r="W354" i="39"/>
  <c r="X354" i="39"/>
  <c r="AC354" i="39"/>
  <c r="Q382" i="39"/>
  <c r="AQ382" i="39"/>
  <c r="AO374" i="39"/>
  <c r="AE371" i="39"/>
  <c r="AE378" i="39"/>
  <c r="AE366" i="39"/>
  <c r="AA362" i="39"/>
  <c r="AG362" i="39"/>
  <c r="AK356" i="39"/>
  <c r="AD356" i="39"/>
  <c r="AC345" i="39"/>
  <c r="W345" i="39"/>
  <c r="X345" i="39"/>
  <c r="AA391" i="39"/>
  <c r="AG391" i="39"/>
  <c r="AC52" i="39"/>
  <c r="W52" i="39"/>
  <c r="X52" i="39"/>
  <c r="AA388" i="39"/>
  <c r="AG388" i="39"/>
  <c r="AC372" i="39"/>
  <c r="W372" i="39"/>
  <c r="X372" i="39"/>
  <c r="AO367" i="39"/>
  <c r="Q346" i="39"/>
  <c r="AQ346" i="39"/>
  <c r="AG52" i="39"/>
  <c r="AA52" i="39"/>
  <c r="W389" i="39"/>
  <c r="X389" i="39"/>
  <c r="AC389" i="39"/>
  <c r="AC369" i="39"/>
  <c r="W369" i="39"/>
  <c r="X369" i="39"/>
  <c r="AB347" i="39"/>
  <c r="AK347" i="39"/>
  <c r="AD347" i="39"/>
  <c r="Q343" i="39"/>
  <c r="AQ343" i="39"/>
  <c r="AC396" i="39"/>
  <c r="W396" i="39"/>
  <c r="X396" i="39"/>
  <c r="Q378" i="39"/>
  <c r="AQ378" i="39"/>
  <c r="AG395" i="39"/>
  <c r="AA395" i="39"/>
  <c r="AB380" i="39"/>
  <c r="AK380" i="39"/>
  <c r="AD380" i="39"/>
  <c r="AQ368" i="39"/>
  <c r="Q368" i="39"/>
  <c r="AC360" i="39"/>
  <c r="W360" i="39"/>
  <c r="X360" i="39"/>
  <c r="W358" i="39"/>
  <c r="X358" i="39"/>
  <c r="AC358" i="39"/>
  <c r="AE348" i="39"/>
  <c r="AG369" i="39"/>
  <c r="AA369" i="39"/>
  <c r="AD336" i="39"/>
  <c r="AK336" i="39"/>
  <c r="AB336" i="39"/>
  <c r="AE317" i="39"/>
  <c r="AA313" i="39"/>
  <c r="AG313" i="39"/>
  <c r="AK307" i="39"/>
  <c r="AB307" i="39"/>
  <c r="AD307" i="39"/>
  <c r="AQ302" i="39"/>
  <c r="Q302" i="39"/>
  <c r="AB334" i="39"/>
  <c r="AK334" i="39"/>
  <c r="AD334" i="39"/>
  <c r="Q330" i="39"/>
  <c r="AQ330" i="39"/>
  <c r="AG311" i="39"/>
  <c r="AA311" i="39"/>
  <c r="AQ299" i="39"/>
  <c r="Q299" i="39"/>
  <c r="AB337" i="39"/>
  <c r="AK337" i="39"/>
  <c r="AD337" i="39"/>
  <c r="AD332" i="39"/>
  <c r="AK332" i="39"/>
  <c r="AB332" i="39"/>
  <c r="AE309" i="39"/>
  <c r="AE305" i="39"/>
  <c r="W317" i="39"/>
  <c r="AC317" i="39"/>
  <c r="X317" i="39"/>
  <c r="AE307" i="39"/>
  <c r="AO372" i="39"/>
  <c r="Q369" i="39"/>
  <c r="AQ369" i="39"/>
  <c r="AK358" i="39"/>
  <c r="AB358" i="39"/>
  <c r="AD358" i="39"/>
  <c r="X355" i="39"/>
  <c r="W355" i="39"/>
  <c r="AC355" i="39"/>
  <c r="AO340" i="39"/>
  <c r="AG330" i="39"/>
  <c r="AA330" i="39"/>
  <c r="AD324" i="39"/>
  <c r="AK324" i="39"/>
  <c r="AB324" i="39"/>
  <c r="AG337" i="39"/>
  <c r="AA337" i="39"/>
  <c r="AE329" i="39"/>
  <c r="AA325" i="39"/>
  <c r="AG325" i="39"/>
  <c r="AB319" i="39"/>
  <c r="AD319" i="39"/>
  <c r="AK319" i="39"/>
  <c r="W308" i="39"/>
  <c r="X308" i="39"/>
  <c r="AC308" i="39"/>
  <c r="AQ303" i="39"/>
  <c r="Q303" i="39"/>
  <c r="AC336" i="39"/>
  <c r="W336" i="39"/>
  <c r="X336" i="39"/>
  <c r="AE324" i="39"/>
  <c r="AB314" i="39"/>
  <c r="AK314" i="39"/>
  <c r="AD314" i="39"/>
  <c r="AQ310" i="39"/>
  <c r="Q310" i="39"/>
  <c r="AG340" i="39"/>
  <c r="AA340" i="39"/>
  <c r="AG318" i="39"/>
  <c r="AA318" i="39"/>
  <c r="AD312" i="39"/>
  <c r="AK312" i="39"/>
  <c r="AB312" i="39"/>
  <c r="AA324" i="39"/>
  <c r="AG324" i="39"/>
  <c r="AE320" i="39"/>
  <c r="AE303" i="39"/>
  <c r="AG292" i="39"/>
  <c r="AA292" i="39"/>
  <c r="AD286" i="39"/>
  <c r="AK286" i="39"/>
  <c r="AB286" i="39"/>
  <c r="AG288" i="39"/>
  <c r="AA288" i="39"/>
  <c r="AD282" i="39"/>
  <c r="AK282" i="39"/>
  <c r="AB282" i="39"/>
  <c r="AE294" i="39"/>
  <c r="AE289" i="39"/>
  <c r="Q273" i="39"/>
  <c r="AQ273" i="39"/>
  <c r="AE259" i="39"/>
  <c r="AE282" i="39"/>
  <c r="AB272" i="39"/>
  <c r="AK272" i="39"/>
  <c r="AD272" i="39"/>
  <c r="Q268" i="39"/>
  <c r="AQ268" i="39"/>
  <c r="Q332" i="39"/>
  <c r="AQ332" i="39"/>
  <c r="AB321" i="39"/>
  <c r="AD321" i="39"/>
  <c r="AK321" i="39"/>
  <c r="X318" i="39"/>
  <c r="AC318" i="39"/>
  <c r="W318" i="39"/>
  <c r="Q300" i="39"/>
  <c r="AQ300" i="39"/>
  <c r="Q293" i="39"/>
  <c r="AQ293" i="39"/>
  <c r="AE252" i="39"/>
  <c r="AB294" i="39"/>
  <c r="AK294" i="39"/>
  <c r="AD294" i="39"/>
  <c r="AE275" i="39"/>
  <c r="AA271" i="39"/>
  <c r="AG271" i="39"/>
  <c r="W283" i="39"/>
  <c r="X283" i="39"/>
  <c r="AC283" i="39"/>
  <c r="AO266" i="39"/>
  <c r="AB296" i="39"/>
  <c r="AK296" i="39"/>
  <c r="AD296" i="39"/>
  <c r="AA293" i="39"/>
  <c r="AG293" i="39"/>
  <c r="AQ283" i="39"/>
  <c r="Q283" i="39"/>
  <c r="AE268" i="39"/>
  <c r="AB253" i="39"/>
  <c r="AD253" i="39"/>
  <c r="AK253" i="39"/>
  <c r="X292" i="39"/>
  <c r="AC292" i="39"/>
  <c r="W292" i="39"/>
  <c r="AO277" i="39"/>
  <c r="Q274" i="39"/>
  <c r="AQ274" i="39"/>
  <c r="AB263" i="39"/>
  <c r="AK263" i="39"/>
  <c r="AD263" i="39"/>
  <c r="AC260" i="39"/>
  <c r="X260" i="39"/>
  <c r="W260" i="39"/>
  <c r="AE251" i="39"/>
  <c r="AA247" i="39"/>
  <c r="AG247" i="39"/>
  <c r="AK241" i="39"/>
  <c r="AB241" i="39"/>
  <c r="AD241" i="39"/>
  <c r="AG245" i="39"/>
  <c r="AA245" i="39"/>
  <c r="AG240" i="39"/>
  <c r="AA240" i="39"/>
  <c r="AD234" i="39"/>
  <c r="AK234" i="39"/>
  <c r="AB234" i="39"/>
  <c r="AG290" i="39"/>
  <c r="AA290" i="39"/>
  <c r="AE269" i="39"/>
  <c r="AA258" i="39"/>
  <c r="AG258" i="39"/>
  <c r="W246" i="39"/>
  <c r="X246" i="39"/>
  <c r="AC246" i="39"/>
  <c r="Q218" i="39"/>
  <c r="AQ218" i="39"/>
  <c r="AA230" i="39"/>
  <c r="AG230" i="39"/>
  <c r="AD258" i="39"/>
  <c r="AB258" i="39"/>
  <c r="AK258" i="39"/>
  <c r="AQ245" i="39"/>
  <c r="Q245" i="39"/>
  <c r="AC237" i="39"/>
  <c r="W237" i="39"/>
  <c r="X237" i="39"/>
  <c r="AA216" i="39"/>
  <c r="AG216" i="39"/>
  <c r="AO253" i="39"/>
  <c r="Q250" i="39"/>
  <c r="AQ250" i="39"/>
  <c r="AK239" i="39"/>
  <c r="AB239" i="39"/>
  <c r="AD239" i="39"/>
  <c r="X236" i="39"/>
  <c r="W236" i="39"/>
  <c r="AC236" i="39"/>
  <c r="AG224" i="39"/>
  <c r="AA224" i="39"/>
  <c r="W202" i="39"/>
  <c r="AC202" i="39"/>
  <c r="X202" i="39"/>
  <c r="W198" i="39"/>
  <c r="AC198" i="39"/>
  <c r="X198" i="39"/>
  <c r="W225" i="39"/>
  <c r="X225" i="39"/>
  <c r="AC225" i="39"/>
  <c r="AB203" i="39"/>
  <c r="AK203" i="39"/>
  <c r="AD203" i="39"/>
  <c r="Q199" i="39"/>
  <c r="AQ199" i="39"/>
  <c r="AE237" i="39"/>
  <c r="W222" i="39"/>
  <c r="AC222" i="39"/>
  <c r="X222" i="39"/>
  <c r="Q196" i="39"/>
  <c r="AQ196" i="39"/>
  <c r="AE190" i="39"/>
  <c r="AQ191" i="39"/>
  <c r="Q191" i="39"/>
  <c r="AA200" i="39"/>
  <c r="AG200" i="39"/>
  <c r="AA228" i="39"/>
  <c r="AG228" i="39"/>
  <c r="AG195" i="39"/>
  <c r="AA195" i="39"/>
  <c r="AG233" i="39"/>
  <c r="AA233" i="39"/>
  <c r="AE212" i="39"/>
  <c r="AA201" i="39"/>
  <c r="AG201" i="39"/>
  <c r="AG190" i="39"/>
  <c r="AA190" i="39"/>
  <c r="AQ176" i="39"/>
  <c r="Q176" i="39"/>
  <c r="AC171" i="39"/>
  <c r="W171" i="39"/>
  <c r="X171" i="39"/>
  <c r="AE184" i="39"/>
  <c r="AQ170" i="39"/>
  <c r="Q170" i="39"/>
  <c r="AB182" i="39"/>
  <c r="AD182" i="39"/>
  <c r="AK182" i="39"/>
  <c r="AA178" i="39"/>
  <c r="AG178" i="39"/>
  <c r="AB173" i="39"/>
  <c r="AK173" i="39"/>
  <c r="AD173" i="39"/>
  <c r="AE224" i="39"/>
  <c r="AG213" i="39"/>
  <c r="AA213" i="39"/>
  <c r="AG156" i="39"/>
  <c r="AA156" i="39"/>
  <c r="AB166" i="39"/>
  <c r="AD166" i="39"/>
  <c r="AK166" i="39"/>
  <c r="X179" i="39"/>
  <c r="AC179" i="39"/>
  <c r="W179" i="39"/>
  <c r="AC174" i="39"/>
  <c r="W174" i="39"/>
  <c r="X174" i="39"/>
  <c r="Q192" i="39"/>
  <c r="AQ192" i="39"/>
  <c r="AA185" i="39"/>
  <c r="AG185" i="39"/>
  <c r="AD179" i="39"/>
  <c r="AB179" i="39"/>
  <c r="AK179" i="39"/>
  <c r="W162" i="39"/>
  <c r="X162" i="39"/>
  <c r="AC162" i="39"/>
  <c r="AG169" i="39"/>
  <c r="AA169" i="39"/>
  <c r="AA137" i="39"/>
  <c r="AG137" i="39"/>
  <c r="Q141" i="39"/>
  <c r="AQ141" i="39"/>
  <c r="Q183" i="39"/>
  <c r="AQ183" i="39"/>
  <c r="AB172" i="39"/>
  <c r="AD172" i="39"/>
  <c r="AK172" i="39"/>
  <c r="X169" i="39"/>
  <c r="AC169" i="39"/>
  <c r="W169" i="39"/>
  <c r="W165" i="39"/>
  <c r="AC165" i="39"/>
  <c r="X165" i="39"/>
  <c r="AQ138" i="39"/>
  <c r="Q138" i="39"/>
  <c r="AO182" i="39"/>
  <c r="Q179" i="39"/>
  <c r="AQ179" i="39"/>
  <c r="AB168" i="39"/>
  <c r="AD168" i="39"/>
  <c r="AK168" i="39"/>
  <c r="AE165" i="39"/>
  <c r="W159" i="39"/>
  <c r="AC159" i="39"/>
  <c r="X159" i="39"/>
  <c r="AO165" i="39"/>
  <c r="X160" i="39"/>
  <c r="AC160" i="39"/>
  <c r="W160" i="39"/>
  <c r="AO145" i="39"/>
  <c r="Q142" i="39"/>
  <c r="AQ142" i="39"/>
  <c r="AE138" i="39"/>
  <c r="Q137" i="39"/>
  <c r="AQ137" i="39"/>
  <c r="Q117" i="39"/>
  <c r="AQ117" i="39"/>
  <c r="Q152" i="39"/>
  <c r="AQ152" i="39"/>
  <c r="AB141" i="39"/>
  <c r="AK141" i="39"/>
  <c r="AD141" i="39"/>
  <c r="Q109" i="39"/>
  <c r="AQ109" i="39"/>
  <c r="AG103" i="39"/>
  <c r="AA103" i="39"/>
  <c r="AE153" i="39"/>
  <c r="AG142" i="39"/>
  <c r="AA142" i="39"/>
  <c r="AK137" i="39"/>
  <c r="AB137" i="39"/>
  <c r="AD137" i="39"/>
  <c r="AA147" i="39"/>
  <c r="AG147" i="39"/>
  <c r="AE143" i="39"/>
  <c r="AE136" i="39"/>
  <c r="AE135" i="39"/>
  <c r="AA136" i="39"/>
  <c r="AG136" i="39"/>
  <c r="AQ132" i="39"/>
  <c r="Q132" i="39"/>
  <c r="AE106" i="39"/>
  <c r="AB110" i="39"/>
  <c r="AK110" i="39"/>
  <c r="AD110" i="39"/>
  <c r="AQ120" i="39"/>
  <c r="Q120" i="39"/>
  <c r="AC104" i="39"/>
  <c r="X104" i="39"/>
  <c r="W104" i="39"/>
  <c r="W132" i="39"/>
  <c r="X132" i="39"/>
  <c r="AC132" i="39"/>
  <c r="AO117" i="39"/>
  <c r="Q114" i="39"/>
  <c r="AQ114" i="39"/>
  <c r="Q96" i="39"/>
  <c r="AQ96" i="39"/>
  <c r="AB124" i="39"/>
  <c r="AK124" i="39"/>
  <c r="AD124" i="39"/>
  <c r="X121" i="39"/>
  <c r="AC121" i="39"/>
  <c r="W121" i="39"/>
  <c r="AO127" i="39"/>
  <c r="Q124" i="39"/>
  <c r="AQ124" i="39"/>
  <c r="AB113" i="39"/>
  <c r="AK113" i="39"/>
  <c r="AD113" i="39"/>
  <c r="AC110" i="39"/>
  <c r="X110" i="39"/>
  <c r="W110" i="39"/>
  <c r="W106" i="39"/>
  <c r="AC106" i="39"/>
  <c r="X106" i="39"/>
  <c r="AD123" i="39"/>
  <c r="AK123" i="39"/>
  <c r="AB123" i="39"/>
  <c r="W120" i="39"/>
  <c r="X120" i="39"/>
  <c r="AC120" i="39"/>
  <c r="AA119" i="39"/>
  <c r="AG119" i="39"/>
  <c r="AA105" i="39"/>
  <c r="AG105" i="39"/>
  <c r="AE98" i="39"/>
  <c r="AB103" i="39"/>
  <c r="AK103" i="39"/>
  <c r="AD103" i="39"/>
  <c r="X100" i="39"/>
  <c r="AC100" i="39"/>
  <c r="W100" i="39"/>
  <c r="AQ93" i="39"/>
  <c r="Q93" i="39"/>
  <c r="AB100" i="39"/>
  <c r="AK100" i="39"/>
  <c r="AD100" i="39"/>
  <c r="AA96" i="39"/>
  <c r="AG96" i="39"/>
  <c r="AG89" i="39"/>
  <c r="AA89" i="39"/>
  <c r="AG101" i="39"/>
  <c r="AA101" i="39"/>
  <c r="AE101" i="39"/>
  <c r="AC54" i="39"/>
  <c r="W54" i="39"/>
  <c r="X54" i="39"/>
  <c r="AB92" i="39"/>
  <c r="AK92" i="39"/>
  <c r="AD92" i="39"/>
  <c r="X89" i="39"/>
  <c r="AC89" i="39"/>
  <c r="W89" i="39"/>
  <c r="AE90" i="39"/>
  <c r="AG86" i="39"/>
  <c r="AA86" i="39"/>
  <c r="X81" i="39"/>
  <c r="AC81" i="39"/>
  <c r="W81" i="39"/>
  <c r="AE78" i="39"/>
  <c r="AC56" i="39"/>
  <c r="W56" i="39"/>
  <c r="X56" i="39"/>
  <c r="AA60" i="39"/>
  <c r="AG60" i="39"/>
  <c r="AB64" i="39"/>
  <c r="AK64" i="39"/>
  <c r="AD64" i="39"/>
  <c r="AE58" i="39"/>
  <c r="AO56" i="39"/>
  <c r="Q53" i="39"/>
  <c r="AQ53" i="39"/>
  <c r="Q58" i="39"/>
  <c r="AQ58" i="39"/>
  <c r="AG67" i="39"/>
  <c r="AA67" i="39"/>
  <c r="AA309" i="39"/>
  <c r="AG309" i="39"/>
  <c r="AG339" i="39"/>
  <c r="AA339" i="39"/>
  <c r="AB330" i="39"/>
  <c r="AK330" i="39"/>
  <c r="AD330" i="39"/>
  <c r="Q326" i="39"/>
  <c r="AQ326" i="39"/>
  <c r="AG307" i="39"/>
  <c r="AA307" i="39"/>
  <c r="AB302" i="39"/>
  <c r="AK302" i="39"/>
  <c r="AD302" i="39"/>
  <c r="Q321" i="39"/>
  <c r="AQ321" i="39"/>
  <c r="AB310" i="39"/>
  <c r="AK310" i="39"/>
  <c r="AD310" i="39"/>
  <c r="AQ306" i="39"/>
  <c r="Q306" i="39"/>
  <c r="AG256" i="39"/>
  <c r="AA256" i="39"/>
  <c r="AE369" i="39"/>
  <c r="AB359" i="39"/>
  <c r="AK359" i="39"/>
  <c r="AD359" i="39"/>
  <c r="Q355" i="39"/>
  <c r="AQ355" i="39"/>
  <c r="AA358" i="39"/>
  <c r="AG358" i="39"/>
  <c r="AK352" i="39"/>
  <c r="AB352" i="39"/>
  <c r="AD352" i="39"/>
  <c r="AC341" i="39"/>
  <c r="W341" i="39"/>
  <c r="X341" i="39"/>
  <c r="AD392" i="39"/>
  <c r="AB392" i="39"/>
  <c r="AK392" i="39"/>
  <c r="Q389" i="39"/>
  <c r="AQ389" i="39"/>
  <c r="AB378" i="39"/>
  <c r="AK378" i="39"/>
  <c r="AD378" i="39"/>
  <c r="AG390" i="39"/>
  <c r="AA390" i="39"/>
  <c r="AB375" i="39"/>
  <c r="AK375" i="39"/>
  <c r="AD375" i="39"/>
  <c r="Q371" i="39"/>
  <c r="AQ371" i="39"/>
  <c r="AA352" i="39"/>
  <c r="AG352" i="39"/>
  <c r="AB388" i="39"/>
  <c r="AK388" i="39"/>
  <c r="AD388" i="39"/>
  <c r="AD373" i="39"/>
  <c r="AB373" i="39"/>
  <c r="AK373" i="39"/>
  <c r="W325" i="39"/>
  <c r="AC325" i="39"/>
  <c r="X325" i="39"/>
  <c r="Q325" i="39"/>
  <c r="AQ325" i="39"/>
  <c r="AE360" i="39"/>
  <c r="AA349" i="39"/>
  <c r="AG349" i="39"/>
  <c r="Q317" i="39"/>
  <c r="AQ317" i="39"/>
  <c r="AG312" i="39"/>
  <c r="AA312" i="39"/>
  <c r="AA277" i="39"/>
  <c r="AG277" i="39"/>
  <c r="AO254" i="39"/>
  <c r="AE375" i="39"/>
  <c r="AO393" i="39"/>
  <c r="Q390" i="39"/>
  <c r="AQ390" i="39"/>
  <c r="AD379" i="39"/>
  <c r="AB379" i="39"/>
  <c r="AK379" i="39"/>
  <c r="Q354" i="39"/>
  <c r="AQ354" i="39"/>
  <c r="AO342" i="39"/>
  <c r="AG363" i="39"/>
  <c r="AA363" i="39"/>
  <c r="AK357" i="39"/>
  <c r="AB357" i="39"/>
  <c r="AG306" i="39"/>
  <c r="AA306" i="39"/>
  <c r="W301" i="39"/>
  <c r="AC301" i="39"/>
  <c r="X301" i="39"/>
  <c r="AE388" i="39"/>
  <c r="AA381" i="39"/>
  <c r="AG381" i="39"/>
  <c r="AE374" i="39"/>
  <c r="AA370" i="39"/>
  <c r="AG370" i="39"/>
  <c r="AK364" i="39"/>
  <c r="AB364" i="39"/>
  <c r="AD364" i="39"/>
  <c r="X353" i="39"/>
  <c r="AC353" i="39"/>
  <c r="W353" i="39"/>
  <c r="AE341" i="39"/>
  <c r="AE389" i="39"/>
  <c r="AG378" i="39"/>
  <c r="AA378" i="39"/>
  <c r="AE370" i="39"/>
  <c r="AG367" i="39"/>
  <c r="AA367" i="39"/>
  <c r="AD361" i="39"/>
  <c r="AK361" i="39"/>
  <c r="AB361" i="39"/>
  <c r="AB384" i="39"/>
  <c r="AK384" i="39"/>
  <c r="AD384" i="39"/>
  <c r="W381" i="39"/>
  <c r="X381" i="39"/>
  <c r="AC381" i="39"/>
  <c r="Q352" i="39"/>
  <c r="AQ352" i="39"/>
  <c r="AC344" i="39"/>
  <c r="W344" i="39"/>
  <c r="X344" i="39"/>
  <c r="X394" i="39"/>
  <c r="AC394" i="39"/>
  <c r="W394" i="39"/>
  <c r="AB381" i="39"/>
  <c r="AK381" i="39"/>
  <c r="AD381" i="39"/>
  <c r="X378" i="39"/>
  <c r="AC378" i="39"/>
  <c r="W378" i="39"/>
  <c r="AG360" i="39"/>
  <c r="AA360" i="39"/>
  <c r="AA399" i="39"/>
  <c r="AG399" i="39"/>
  <c r="AK394" i="39"/>
  <c r="AB394" i="39"/>
  <c r="AD394" i="39"/>
  <c r="AC391" i="39"/>
  <c r="W391" i="39"/>
  <c r="X391" i="39"/>
  <c r="Q376" i="39"/>
  <c r="AQ376" i="39"/>
  <c r="AC368" i="39"/>
  <c r="W368" i="39"/>
  <c r="X368" i="39"/>
  <c r="AO363" i="39"/>
  <c r="AE359" i="39"/>
  <c r="Q342" i="39"/>
  <c r="AQ342" i="39"/>
  <c r="AE385" i="39"/>
  <c r="AE354" i="39"/>
  <c r="AA350" i="39"/>
  <c r="AG350" i="39"/>
  <c r="AB344" i="39"/>
  <c r="AD344" i="39"/>
  <c r="AK344" i="39"/>
  <c r="AO394" i="39"/>
  <c r="AB371" i="39"/>
  <c r="AK371" i="39"/>
  <c r="AD371" i="39"/>
  <c r="AQ367" i="39"/>
  <c r="Q367" i="39"/>
  <c r="AA348" i="39"/>
  <c r="AG348" i="39"/>
  <c r="Q399" i="39"/>
  <c r="AQ399" i="39"/>
  <c r="AE387" i="39"/>
  <c r="AB377" i="39"/>
  <c r="AK377" i="39"/>
  <c r="AD377" i="39"/>
  <c r="AA374" i="39"/>
  <c r="AG374" i="39"/>
  <c r="AD368" i="39"/>
  <c r="AK368" i="39"/>
  <c r="AB368" i="39"/>
  <c r="W357" i="39"/>
  <c r="X357" i="39"/>
  <c r="AC357" i="39"/>
  <c r="AE345" i="39"/>
  <c r="AO368" i="39"/>
  <c r="Q365" i="39"/>
  <c r="AQ365" i="39"/>
  <c r="AK354" i="39"/>
  <c r="AB354" i="39"/>
  <c r="AD354" i="39"/>
  <c r="X351" i="39"/>
  <c r="AC351" i="39"/>
  <c r="W351" i="39"/>
  <c r="W329" i="39"/>
  <c r="X329" i="39"/>
  <c r="AC329" i="39"/>
  <c r="Q329" i="39"/>
  <c r="AQ329" i="39"/>
  <c r="AE314" i="39"/>
  <c r="AQ337" i="39"/>
  <c r="Q337" i="39"/>
  <c r="W321" i="39"/>
  <c r="AC321" i="39"/>
  <c r="X321" i="39"/>
  <c r="AA333" i="39"/>
  <c r="AG333" i="39"/>
  <c r="AK327" i="39"/>
  <c r="AB327" i="39"/>
  <c r="AD327" i="39"/>
  <c r="AC316" i="39"/>
  <c r="W316" i="39"/>
  <c r="X316" i="39"/>
  <c r="AG365" i="39"/>
  <c r="AA365" i="39"/>
  <c r="AE361" i="39"/>
  <c r="AE344" i="39"/>
  <c r="W313" i="39"/>
  <c r="AC313" i="39"/>
  <c r="X313" i="39"/>
  <c r="Q315" i="39"/>
  <c r="AQ315" i="39"/>
  <c r="AC307" i="39"/>
  <c r="W307" i="39"/>
  <c r="X307" i="39"/>
  <c r="AC335" i="39"/>
  <c r="W335" i="39"/>
  <c r="X335" i="39"/>
  <c r="AQ309" i="39"/>
  <c r="Q309" i="39"/>
  <c r="AO339" i="39"/>
  <c r="AO324" i="39"/>
  <c r="AO302" i="39"/>
  <c r="AE298" i="39"/>
  <c r="Q320" i="39"/>
  <c r="AQ320" i="39"/>
  <c r="AD309" i="39"/>
  <c r="AK309" i="39"/>
  <c r="AB309" i="39"/>
  <c r="X306" i="39"/>
  <c r="W306" i="39"/>
  <c r="AC306" i="39"/>
  <c r="W275" i="39"/>
  <c r="X275" i="39"/>
  <c r="AC275" i="39"/>
  <c r="AO258" i="39"/>
  <c r="AB298" i="39"/>
  <c r="AK298" i="39"/>
  <c r="AD298" i="39"/>
  <c r="W295" i="39"/>
  <c r="X295" i="39"/>
  <c r="AC295" i="39"/>
  <c r="W271" i="39"/>
  <c r="AC271" i="39"/>
  <c r="X271" i="39"/>
  <c r="X293" i="39"/>
  <c r="AC293" i="39"/>
  <c r="W293" i="39"/>
  <c r="AE286" i="39"/>
  <c r="AB276" i="39"/>
  <c r="AK276" i="39"/>
  <c r="AD276" i="39"/>
  <c r="Q272" i="39"/>
  <c r="AQ272" i="39"/>
  <c r="Q259" i="39"/>
  <c r="AQ259" i="39"/>
  <c r="X297" i="39"/>
  <c r="AC297" i="39"/>
  <c r="W297" i="39"/>
  <c r="Q267" i="39"/>
  <c r="AQ267" i="39"/>
  <c r="AD261" i="39"/>
  <c r="AB261" i="39"/>
  <c r="AK261" i="39"/>
  <c r="AA328" i="39"/>
  <c r="AG328" i="39"/>
  <c r="AA296" i="39"/>
  <c r="AG296" i="39"/>
  <c r="AE279" i="39"/>
  <c r="AA275" i="39"/>
  <c r="AG275" i="39"/>
  <c r="AK269" i="39"/>
  <c r="AB269" i="39"/>
  <c r="AD269" i="39"/>
  <c r="AG259" i="39"/>
  <c r="AA259" i="39"/>
  <c r="AE297" i="39"/>
  <c r="W287" i="39"/>
  <c r="X287" i="39"/>
  <c r="AC287" i="39"/>
  <c r="W282" i="39"/>
  <c r="X282" i="39"/>
  <c r="AC282" i="39"/>
  <c r="AE270" i="39"/>
  <c r="AA257" i="39"/>
  <c r="AG257" i="39"/>
  <c r="AB252" i="39"/>
  <c r="AK252" i="39"/>
  <c r="AD252" i="39"/>
  <c r="AA270" i="39"/>
  <c r="AG270" i="39"/>
  <c r="AG252" i="39"/>
  <c r="AA252" i="39"/>
  <c r="AD246" i="39"/>
  <c r="AK246" i="39"/>
  <c r="AB246" i="39"/>
  <c r="Q237" i="39"/>
  <c r="AQ237" i="39"/>
  <c r="AE248" i="39"/>
  <c r="W230" i="39"/>
  <c r="X230" i="39"/>
  <c r="AC230" i="39"/>
  <c r="AO289" i="39"/>
  <c r="Q286" i="39"/>
  <c r="AQ286" i="39"/>
  <c r="AK275" i="39"/>
  <c r="AB275" i="39"/>
  <c r="AD275" i="39"/>
  <c r="X272" i="39"/>
  <c r="AC272" i="39"/>
  <c r="W272" i="39"/>
  <c r="AE239" i="39"/>
  <c r="AA235" i="39"/>
  <c r="AG235" i="39"/>
  <c r="AC245" i="39"/>
  <c r="W245" i="39"/>
  <c r="X245" i="39"/>
  <c r="AG265" i="39"/>
  <c r="AA265" i="39"/>
  <c r="AE261" i="39"/>
  <c r="AB248" i="39"/>
  <c r="AK248" i="39"/>
  <c r="AD248" i="39"/>
  <c r="AQ244" i="39"/>
  <c r="Q244" i="39"/>
  <c r="AE231" i="39"/>
  <c r="AG215" i="39"/>
  <c r="AA215" i="39"/>
  <c r="AE257" i="39"/>
  <c r="AG246" i="39"/>
  <c r="AA246" i="39"/>
  <c r="AE242" i="39"/>
  <c r="AO230" i="39"/>
  <c r="AE227" i="39"/>
  <c r="AC201" i="39"/>
  <c r="W201" i="39"/>
  <c r="X201" i="39"/>
  <c r="AK208" i="39"/>
  <c r="AB208" i="39"/>
  <c r="AD208" i="39"/>
  <c r="AC197" i="39"/>
  <c r="W197" i="39"/>
  <c r="X197" i="39"/>
  <c r="AC224" i="39"/>
  <c r="W224" i="39"/>
  <c r="X224" i="39"/>
  <c r="Q198" i="39"/>
  <c r="AQ198" i="39"/>
  <c r="Q254" i="39"/>
  <c r="AQ254" i="39"/>
  <c r="AK243" i="39"/>
  <c r="AB243" i="39"/>
  <c r="AD243" i="39"/>
  <c r="X240" i="39"/>
  <c r="W240" i="39"/>
  <c r="AC240" i="39"/>
  <c r="AD232" i="39"/>
  <c r="AK232" i="39"/>
  <c r="AB232" i="39"/>
  <c r="AC221" i="39"/>
  <c r="W221" i="39"/>
  <c r="X221" i="39"/>
  <c r="AB199" i="39"/>
  <c r="AK199" i="39"/>
  <c r="AD199" i="39"/>
  <c r="Q195" i="39"/>
  <c r="AQ195" i="39"/>
  <c r="AE205" i="39"/>
  <c r="AB195" i="39"/>
  <c r="AK195" i="39"/>
  <c r="AD195" i="39"/>
  <c r="AE203" i="39"/>
  <c r="Q187" i="39"/>
  <c r="AQ187" i="39"/>
  <c r="AO201" i="39"/>
  <c r="AO232" i="39"/>
  <c r="Q229" i="39"/>
  <c r="AQ229" i="39"/>
  <c r="AD218" i="39"/>
  <c r="AK218" i="39"/>
  <c r="AB218" i="39"/>
  <c r="X215" i="39"/>
  <c r="AC215" i="39"/>
  <c r="W215" i="39"/>
  <c r="Q197" i="39"/>
  <c r="AQ197" i="39"/>
  <c r="Q165" i="39"/>
  <c r="AQ165" i="39"/>
  <c r="AB156" i="39"/>
  <c r="AK156" i="39"/>
  <c r="AD156" i="39"/>
  <c r="AB181" i="39"/>
  <c r="AK181" i="39"/>
  <c r="AD181" i="39"/>
  <c r="AG177" i="39"/>
  <c r="AA177" i="39"/>
  <c r="AQ159" i="39"/>
  <c r="Q159" i="39"/>
  <c r="AG173" i="39"/>
  <c r="AA173" i="39"/>
  <c r="AD230" i="39"/>
  <c r="AK230" i="39"/>
  <c r="AB230" i="39"/>
  <c r="X227" i="39"/>
  <c r="W227" i="39"/>
  <c r="AC227" i="39"/>
  <c r="AO212" i="39"/>
  <c r="Q209" i="39"/>
  <c r="AQ209" i="39"/>
  <c r="AB198" i="39"/>
  <c r="AD198" i="39"/>
  <c r="AK198" i="39"/>
  <c r="X195" i="39"/>
  <c r="AC195" i="39"/>
  <c r="W195" i="39"/>
  <c r="W189" i="39"/>
  <c r="X189" i="39"/>
  <c r="AC189" i="39"/>
  <c r="AE164" i="39"/>
  <c r="AC154" i="39"/>
  <c r="X154" i="39"/>
  <c r="W154" i="39"/>
  <c r="AC178" i="39"/>
  <c r="X178" i="39"/>
  <c r="W178" i="39"/>
  <c r="AA157" i="39"/>
  <c r="AG157" i="39"/>
  <c r="AA188" i="39"/>
  <c r="AG188" i="39"/>
  <c r="W168" i="39"/>
  <c r="AC168" i="39"/>
  <c r="X168" i="39"/>
  <c r="Q153" i="39"/>
  <c r="AQ153" i="39"/>
  <c r="AB185" i="39"/>
  <c r="AD185" i="39"/>
  <c r="AK185" i="39"/>
  <c r="AG152" i="39"/>
  <c r="AA152" i="39"/>
  <c r="AA179" i="39"/>
  <c r="AG179" i="39"/>
  <c r="AA175" i="39"/>
  <c r="AG175" i="39"/>
  <c r="AE171" i="39"/>
  <c r="AA163" i="39"/>
  <c r="AG163" i="39"/>
  <c r="W158" i="39"/>
  <c r="AC158" i="39"/>
  <c r="X158" i="39"/>
  <c r="AE140" i="39"/>
  <c r="AE125" i="39"/>
  <c r="AE149" i="39"/>
  <c r="AB144" i="39"/>
  <c r="AK144" i="39"/>
  <c r="AD144" i="39"/>
  <c r="X141" i="39"/>
  <c r="AC141" i="39"/>
  <c r="W141" i="39"/>
  <c r="Q113" i="39"/>
  <c r="AQ113" i="39"/>
  <c r="AA148" i="39"/>
  <c r="AG148" i="39"/>
  <c r="AB159" i="39"/>
  <c r="AK159" i="39"/>
  <c r="AD159" i="39"/>
  <c r="X156" i="39"/>
  <c r="AC156" i="39"/>
  <c r="W156" i="39"/>
  <c r="AO141" i="39"/>
  <c r="AE137" i="39"/>
  <c r="AO146" i="39"/>
  <c r="Q143" i="39"/>
  <c r="AQ143" i="39"/>
  <c r="AG134" i="39"/>
  <c r="AA134" i="39"/>
  <c r="Q135" i="39"/>
  <c r="AQ135" i="39"/>
  <c r="AE116" i="39"/>
  <c r="AG109" i="39"/>
  <c r="AA109" i="39"/>
  <c r="AD101" i="39"/>
  <c r="AK101" i="39"/>
  <c r="AB101" i="39"/>
  <c r="Q134" i="39"/>
  <c r="AQ134" i="39"/>
  <c r="AB109" i="39"/>
  <c r="AK109" i="39"/>
  <c r="AD109" i="39"/>
  <c r="AB136" i="39"/>
  <c r="AK136" i="39"/>
  <c r="AD136" i="39"/>
  <c r="AB133" i="39"/>
  <c r="AK133" i="39"/>
  <c r="AD133" i="39"/>
  <c r="W119" i="39"/>
  <c r="X119" i="39"/>
  <c r="AC119" i="39"/>
  <c r="AA110" i="39"/>
  <c r="AG110" i="39"/>
  <c r="AA131" i="39"/>
  <c r="AG131" i="39"/>
  <c r="AE110" i="39"/>
  <c r="AA120" i="39"/>
  <c r="AG120" i="39"/>
  <c r="AC105" i="39"/>
  <c r="W105" i="39"/>
  <c r="X105" i="39"/>
  <c r="AG130" i="39"/>
  <c r="AA130" i="39"/>
  <c r="AD104" i="39"/>
  <c r="AB104" i="39"/>
  <c r="AK104" i="39"/>
  <c r="AO118" i="39"/>
  <c r="Q115" i="39"/>
  <c r="AQ115" i="39"/>
  <c r="AQ99" i="39"/>
  <c r="Q99" i="39"/>
  <c r="Q101" i="39"/>
  <c r="AQ101" i="39"/>
  <c r="AB97" i="39"/>
  <c r="AK97" i="39"/>
  <c r="AD97" i="39"/>
  <c r="AQ92" i="39"/>
  <c r="Q92" i="39"/>
  <c r="AE96" i="39"/>
  <c r="AB69" i="39"/>
  <c r="AK69" i="39"/>
  <c r="AD69" i="39"/>
  <c r="AE86" i="39"/>
  <c r="AB76" i="39"/>
  <c r="AD76" i="39"/>
  <c r="AK76" i="39"/>
  <c r="AA99" i="39"/>
  <c r="AG99" i="39"/>
  <c r="AG93" i="39"/>
  <c r="AA93" i="39"/>
  <c r="AE89" i="39"/>
  <c r="Q94" i="39"/>
  <c r="AQ94" i="39"/>
  <c r="AQ87" i="39"/>
  <c r="Q87" i="39"/>
  <c r="AC93" i="39"/>
  <c r="X93" i="39"/>
  <c r="W93" i="39"/>
  <c r="X75" i="39"/>
  <c r="AC75" i="39"/>
  <c r="W75" i="39"/>
  <c r="AE84" i="39"/>
  <c r="AO75" i="39"/>
  <c r="AQ72" i="39"/>
  <c r="Q72" i="39"/>
  <c r="Q86" i="39"/>
  <c r="AQ86" i="39"/>
  <c r="W82" i="39"/>
  <c r="X82" i="39"/>
  <c r="AC82" i="39"/>
  <c r="AD56" i="39"/>
  <c r="AB56" i="39"/>
  <c r="AK56" i="39"/>
  <c r="AA74" i="39"/>
  <c r="AG74" i="39"/>
  <c r="AE70" i="39"/>
  <c r="AB72" i="39"/>
  <c r="AK72" i="39"/>
  <c r="AD72" i="39"/>
  <c r="AC69" i="39"/>
  <c r="W69" i="39"/>
  <c r="X69" i="39"/>
  <c r="AC62" i="39"/>
  <c r="W62" i="39"/>
  <c r="X62" i="39"/>
  <c r="AG73" i="39"/>
  <c r="AA73" i="39"/>
  <c r="AE69" i="39"/>
  <c r="AE60" i="39"/>
  <c r="AE65" i="39"/>
  <c r="AA54" i="39"/>
  <c r="AG54" i="39"/>
  <c r="AO66" i="39"/>
  <c r="Q63" i="39"/>
  <c r="AQ63" i="39"/>
  <c r="Q65" i="39"/>
  <c r="AQ65" i="39"/>
  <c r="AD54" i="39"/>
  <c r="AK54" i="39"/>
  <c r="AB54" i="39"/>
  <c r="AK393" i="39"/>
  <c r="AD393" i="39"/>
  <c r="AB393" i="39"/>
  <c r="Q401" i="39"/>
  <c r="AQ401" i="39"/>
  <c r="AK390" i="39"/>
  <c r="AD390" i="39"/>
  <c r="AB390" i="39"/>
  <c r="W387" i="39"/>
  <c r="X387" i="39"/>
  <c r="AC387" i="39"/>
  <c r="Q358" i="39"/>
  <c r="AQ358" i="39"/>
  <c r="AA218" i="39"/>
  <c r="AG218" i="39"/>
  <c r="AG392" i="39"/>
  <c r="AA392" i="39"/>
  <c r="AG394" i="39"/>
  <c r="AA394" i="39"/>
  <c r="AE390" i="39"/>
  <c r="AB399" i="39"/>
  <c r="AK399" i="39"/>
  <c r="AD399" i="39"/>
  <c r="AB398" i="39"/>
  <c r="AD398" i="39"/>
  <c r="AK398" i="39"/>
  <c r="AC395" i="39"/>
  <c r="W395" i="39"/>
  <c r="X395" i="39"/>
  <c r="AC352" i="39"/>
  <c r="X352" i="39"/>
  <c r="W352" i="39"/>
  <c r="W350" i="39"/>
  <c r="AC350" i="39"/>
  <c r="X350" i="39"/>
  <c r="AB355" i="39"/>
  <c r="AK355" i="39"/>
  <c r="AD355" i="39"/>
  <c r="Q351" i="39"/>
  <c r="AQ351" i="39"/>
  <c r="AC386" i="39"/>
  <c r="W386" i="39"/>
  <c r="X386" i="39"/>
  <c r="AE372" i="39"/>
  <c r="AG361" i="39"/>
  <c r="AA361" i="39"/>
  <c r="AE357" i="39"/>
  <c r="AB306" i="39"/>
  <c r="AK306" i="39"/>
  <c r="AD306" i="39"/>
  <c r="AD300" i="39"/>
  <c r="AK300" i="39"/>
  <c r="AB300" i="39"/>
  <c r="AG310" i="39"/>
  <c r="AA310" i="39"/>
  <c r="AC304" i="39"/>
  <c r="W304" i="39"/>
  <c r="X304" i="39"/>
  <c r="AK331" i="39"/>
  <c r="AB331" i="39"/>
  <c r="AD331" i="39"/>
  <c r="AC320" i="39"/>
  <c r="W320" i="39"/>
  <c r="X320" i="39"/>
  <c r="AE302" i="39"/>
  <c r="X347" i="39"/>
  <c r="AC347" i="39"/>
  <c r="W347" i="39"/>
  <c r="AA317" i="39"/>
  <c r="AG317" i="39"/>
  <c r="AD311" i="39"/>
  <c r="AK311" i="39"/>
  <c r="AB311" i="39"/>
  <c r="AE295" i="39"/>
  <c r="AA291" i="39"/>
  <c r="AG291" i="39"/>
  <c r="AK285" i="39"/>
  <c r="AB285" i="39"/>
  <c r="AD285" i="39"/>
  <c r="X274" i="39"/>
  <c r="AC274" i="39"/>
  <c r="W274" i="39"/>
  <c r="AB264" i="39"/>
  <c r="AK264" i="39"/>
  <c r="AD264" i="39"/>
  <c r="AA305" i="39"/>
  <c r="AG305" i="39"/>
  <c r="W286" i="39"/>
  <c r="X286" i="39"/>
  <c r="AC286" i="39"/>
  <c r="AC281" i="39"/>
  <c r="W281" i="39"/>
  <c r="X281" i="39"/>
  <c r="AO276" i="39"/>
  <c r="AA214" i="39"/>
  <c r="AG214" i="39"/>
  <c r="AO245" i="39"/>
  <c r="Q242" i="39"/>
  <c r="AQ242" i="39"/>
  <c r="AG223" i="39"/>
  <c r="AA223" i="39"/>
  <c r="AD217" i="39"/>
  <c r="AK217" i="39"/>
  <c r="AB217" i="39"/>
  <c r="AA168" i="39"/>
  <c r="AG168" i="39"/>
  <c r="AC151" i="39"/>
  <c r="W151" i="39"/>
  <c r="X151" i="39"/>
  <c r="Q175" i="39"/>
  <c r="AQ175" i="39"/>
  <c r="AE120" i="39"/>
  <c r="AA151" i="39"/>
  <c r="AG151" i="39"/>
  <c r="AC140" i="39"/>
  <c r="W140" i="39"/>
  <c r="X140" i="39"/>
  <c r="Q144" i="39"/>
  <c r="AQ144" i="39"/>
  <c r="AC135" i="39"/>
  <c r="W135" i="39"/>
  <c r="X135" i="39"/>
  <c r="AD122" i="39"/>
  <c r="AK122" i="39"/>
  <c r="AB122" i="39"/>
  <c r="AE162" i="39"/>
  <c r="AE145" i="39"/>
  <c r="Q127" i="39"/>
  <c r="AQ127" i="39"/>
  <c r="AB116" i="39"/>
  <c r="AK116" i="39"/>
  <c r="X113" i="39"/>
  <c r="AC113" i="39"/>
  <c r="W113" i="39"/>
  <c r="Q116" i="39"/>
  <c r="AQ116" i="39"/>
  <c r="Q126" i="39"/>
  <c r="AQ126" i="39"/>
  <c r="AD115" i="39"/>
  <c r="AK115" i="39"/>
  <c r="AB115" i="39"/>
  <c r="W112" i="39"/>
  <c r="X112" i="39"/>
  <c r="AC112" i="39"/>
  <c r="AE122" i="39"/>
  <c r="AA111" i="39"/>
  <c r="AG111" i="39"/>
  <c r="AC90" i="39"/>
  <c r="W90" i="39"/>
  <c r="X90" i="39"/>
  <c r="AC77" i="39"/>
  <c r="W77" i="39"/>
  <c r="X77" i="39"/>
  <c r="Q103" i="39"/>
  <c r="AQ103" i="39"/>
  <c r="AD105" i="39"/>
  <c r="AB105" i="39"/>
  <c r="AK105" i="39"/>
  <c r="AC102" i="39"/>
  <c r="W102" i="39"/>
  <c r="X102" i="39"/>
  <c r="W95" i="39"/>
  <c r="X95" i="39"/>
  <c r="AC95" i="39"/>
  <c r="AA88" i="39"/>
  <c r="AG88" i="39"/>
  <c r="AE104" i="39"/>
  <c r="AG84" i="39"/>
  <c r="AA84" i="39"/>
  <c r="AQ77" i="39"/>
  <c r="Q77" i="39"/>
  <c r="Q95" i="39"/>
  <c r="AQ95" i="39"/>
  <c r="Q89" i="39"/>
  <c r="AQ89" i="39"/>
  <c r="AO77" i="39"/>
  <c r="AA90" i="39"/>
  <c r="AG90" i="39"/>
  <c r="AC84" i="39"/>
  <c r="X84" i="39"/>
  <c r="W84" i="39"/>
  <c r="Q84" i="39"/>
  <c r="AQ84" i="39"/>
  <c r="AB79" i="39"/>
  <c r="AK79" i="39"/>
  <c r="AD79" i="39"/>
  <c r="X83" i="39"/>
  <c r="AC83" i="39"/>
  <c r="W83" i="39"/>
  <c r="AG79" i="39"/>
  <c r="AA79" i="39"/>
  <c r="AQ71" i="39"/>
  <c r="Q71" i="39"/>
  <c r="AB81" i="39"/>
  <c r="AD81" i="39"/>
  <c r="AK81" i="39"/>
  <c r="AB67" i="39"/>
  <c r="AK67" i="39"/>
  <c r="AD67" i="39"/>
  <c r="AC74" i="39"/>
  <c r="X74" i="39"/>
  <c r="W74" i="39"/>
  <c r="AE66" i="39"/>
  <c r="AE79" i="39"/>
  <c r="AG69" i="39"/>
  <c r="AA69" i="39"/>
  <c r="AO54" i="39"/>
  <c r="Q70" i="39"/>
  <c r="AQ70" i="39"/>
  <c r="W58" i="39"/>
  <c r="X58" i="39"/>
  <c r="AC58" i="39"/>
  <c r="AE75" i="39"/>
  <c r="AO72" i="39"/>
  <c r="Q69" i="39"/>
  <c r="AQ69" i="39"/>
  <c r="AO62" i="39"/>
  <c r="AK66" i="39"/>
  <c r="AB66" i="39"/>
  <c r="AD66" i="39"/>
  <c r="X63" i="39"/>
  <c r="AC63" i="39"/>
  <c r="W63" i="39"/>
  <c r="AC68" i="39"/>
  <c r="W68" i="39"/>
  <c r="X68" i="39"/>
  <c r="AG59" i="39"/>
  <c r="AA59" i="39"/>
  <c r="AE55" i="39"/>
  <c r="AG61" i="39"/>
  <c r="AA61" i="39"/>
  <c r="AE57" i="39"/>
  <c r="AG280" i="39"/>
  <c r="AA280" i="39"/>
  <c r="AD274" i="39"/>
  <c r="AK274" i="39"/>
  <c r="AB274" i="39"/>
  <c r="AQ265" i="39"/>
  <c r="Q265" i="39"/>
  <c r="X334" i="39"/>
  <c r="W334" i="39"/>
  <c r="AC334" i="39"/>
  <c r="AE285" i="39"/>
  <c r="AA274" i="39"/>
  <c r="AG274" i="39"/>
  <c r="AC249" i="39"/>
  <c r="W249" i="39"/>
  <c r="X249" i="39"/>
  <c r="X217" i="39"/>
  <c r="AC217" i="39"/>
  <c r="W217" i="39"/>
  <c r="W214" i="39"/>
  <c r="AC214" i="39"/>
  <c r="X214" i="39"/>
  <c r="W242" i="39"/>
  <c r="X242" i="39"/>
  <c r="AC242" i="39"/>
  <c r="AQ256" i="39"/>
  <c r="Q256" i="39"/>
  <c r="AB385" i="39"/>
  <c r="AK385" i="39"/>
  <c r="AD385" i="39"/>
  <c r="AG397" i="39"/>
  <c r="AA397" i="39"/>
  <c r="AE393" i="39"/>
  <c r="AG372" i="39"/>
  <c r="AA372" i="39"/>
  <c r="AE342" i="39"/>
  <c r="Q388" i="39"/>
  <c r="AQ388" i="39"/>
  <c r="AO380" i="39"/>
  <c r="Q360" i="39"/>
  <c r="AQ360" i="39"/>
  <c r="AD395" i="39"/>
  <c r="AB395" i="39"/>
  <c r="AK395" i="39"/>
  <c r="W392" i="39"/>
  <c r="X392" i="39"/>
  <c r="AC392" i="39"/>
  <c r="W400" i="39"/>
  <c r="AC400" i="39"/>
  <c r="X400" i="39"/>
  <c r="AA401" i="39"/>
  <c r="AG401" i="39"/>
  <c r="AE397" i="39"/>
  <c r="Q375" i="39"/>
  <c r="AQ375" i="39"/>
  <c r="AA356" i="39"/>
  <c r="AG356" i="39"/>
  <c r="AB391" i="39"/>
  <c r="AK391" i="39"/>
  <c r="AD391" i="39"/>
  <c r="AC388" i="39"/>
  <c r="W388" i="39"/>
  <c r="X388" i="39"/>
  <c r="AC377" i="39"/>
  <c r="W377" i="39"/>
  <c r="X377" i="39"/>
  <c r="W366" i="39"/>
  <c r="X366" i="39"/>
  <c r="AC366" i="39"/>
  <c r="Q340" i="39"/>
  <c r="AQ340" i="39"/>
  <c r="AE383" i="39"/>
  <c r="AQ366" i="39"/>
  <c r="Q366" i="39"/>
  <c r="AE398" i="39"/>
  <c r="AG387" i="39"/>
  <c r="AA387" i="39"/>
  <c r="Q377" i="39"/>
  <c r="AQ377" i="39"/>
  <c r="AQ364" i="39"/>
  <c r="Q364" i="39"/>
  <c r="AC356" i="39"/>
  <c r="W356" i="39"/>
  <c r="X356" i="39"/>
  <c r="AE340" i="39"/>
  <c r="X328" i="39"/>
  <c r="AC328" i="39"/>
  <c r="W328" i="39"/>
  <c r="AE308" i="39"/>
  <c r="Q323" i="39"/>
  <c r="AQ323" i="39"/>
  <c r="AC315" i="39"/>
  <c r="W315" i="39"/>
  <c r="X315" i="39"/>
  <c r="AE306" i="39"/>
  <c r="AO364" i="39"/>
  <c r="Q361" i="39"/>
  <c r="AQ361" i="39"/>
  <c r="AK350" i="39"/>
  <c r="AB350" i="39"/>
  <c r="AD350" i="39"/>
  <c r="AA329" i="39"/>
  <c r="AG329" i="39"/>
  <c r="AK323" i="39"/>
  <c r="AB323" i="39"/>
  <c r="AD323" i="39"/>
  <c r="AC312" i="39"/>
  <c r="W312" i="39"/>
  <c r="X312" i="39"/>
  <c r="AE328" i="39"/>
  <c r="AB318" i="39"/>
  <c r="AK318" i="39"/>
  <c r="AD318" i="39"/>
  <c r="Q314" i="39"/>
  <c r="AQ314" i="39"/>
  <c r="Q339" i="39"/>
  <c r="AQ339" i="39"/>
  <c r="AA323" i="39"/>
  <c r="AG323" i="39"/>
  <c r="AE327" i="39"/>
  <c r="AG316" i="39"/>
  <c r="AA316" i="39"/>
  <c r="AE291" i="39"/>
  <c r="AA287" i="39"/>
  <c r="AG287" i="39"/>
  <c r="AK281" i="39"/>
  <c r="AB281" i="39"/>
  <c r="AD281" i="39"/>
  <c r="AC270" i="39"/>
  <c r="W270" i="39"/>
  <c r="X270" i="39"/>
  <c r="Q271" i="39"/>
  <c r="AQ271" i="39"/>
  <c r="AG281" i="39"/>
  <c r="AA281" i="39"/>
  <c r="Q324" i="39"/>
  <c r="AQ324" i="39"/>
  <c r="AD313" i="39"/>
  <c r="AK313" i="39"/>
  <c r="AB313" i="39"/>
  <c r="X310" i="39"/>
  <c r="W310" i="39"/>
  <c r="AC310" i="39"/>
  <c r="AO295" i="39"/>
  <c r="W291" i="39"/>
  <c r="AC291" i="39"/>
  <c r="X291" i="39"/>
  <c r="AE281" i="39"/>
  <c r="AE264" i="39"/>
  <c r="Q297" i="39"/>
  <c r="AQ297" i="39"/>
  <c r="AE274" i="39"/>
  <c r="AO263" i="39"/>
  <c r="AQ289" i="39"/>
  <c r="Q289" i="39"/>
  <c r="AQ264" i="39"/>
  <c r="Q264" i="39"/>
  <c r="X256" i="39"/>
  <c r="W256" i="39"/>
  <c r="AC256" i="39"/>
  <c r="AO270" i="39"/>
  <c r="AG260" i="39"/>
  <c r="AA260" i="39"/>
  <c r="Q251" i="39"/>
  <c r="AQ251" i="39"/>
  <c r="AD287" i="39"/>
  <c r="AK287" i="39"/>
  <c r="AB287" i="39"/>
  <c r="X284" i="39"/>
  <c r="W284" i="39"/>
  <c r="AC284" i="39"/>
  <c r="Q266" i="39"/>
  <c r="AQ266" i="39"/>
  <c r="W235" i="39"/>
  <c r="X235" i="39"/>
  <c r="AC235" i="39"/>
  <c r="AE250" i="39"/>
  <c r="AB240" i="39"/>
  <c r="AK240" i="39"/>
  <c r="AD240" i="39"/>
  <c r="Q236" i="39"/>
  <c r="AQ236" i="39"/>
  <c r="AD225" i="39"/>
  <c r="AB225" i="39"/>
  <c r="AK225" i="39"/>
  <c r="AE247" i="39"/>
  <c r="AG244" i="39"/>
  <c r="AA244" i="39"/>
  <c r="AD238" i="39"/>
  <c r="AK238" i="39"/>
  <c r="AB238" i="39"/>
  <c r="AE256" i="39"/>
  <c r="AE243" i="39"/>
  <c r="AA239" i="39"/>
  <c r="AG239" i="39"/>
  <c r="AO233" i="39"/>
  <c r="W229" i="39"/>
  <c r="X229" i="39"/>
  <c r="AC229" i="39"/>
  <c r="AG282" i="39"/>
  <c r="AA282" i="39"/>
  <c r="AE278" i="39"/>
  <c r="W251" i="39"/>
  <c r="AC251" i="39"/>
  <c r="X251" i="39"/>
  <c r="AA220" i="39"/>
  <c r="AG220" i="39"/>
  <c r="Q261" i="39"/>
  <c r="AQ261" i="39"/>
  <c r="AC257" i="39"/>
  <c r="W257" i="39"/>
  <c r="X257" i="39"/>
  <c r="AQ243" i="39"/>
  <c r="Q243" i="39"/>
  <c r="Q208" i="39"/>
  <c r="AQ208" i="39"/>
  <c r="AC200" i="39"/>
  <c r="W200" i="39"/>
  <c r="X200" i="39"/>
  <c r="AD188" i="39"/>
  <c r="AB188" i="39"/>
  <c r="AK188" i="39"/>
  <c r="Q204" i="39"/>
  <c r="AQ204" i="39"/>
  <c r="AC196" i="39"/>
  <c r="W196" i="39"/>
  <c r="X196" i="39"/>
  <c r="AG212" i="39"/>
  <c r="AA212" i="39"/>
  <c r="AG250" i="39"/>
  <c r="AA250" i="39"/>
  <c r="AE246" i="39"/>
  <c r="AQ228" i="39"/>
  <c r="Q228" i="39"/>
  <c r="AC220" i="39"/>
  <c r="W220" i="39"/>
  <c r="X220" i="39"/>
  <c r="AO215" i="39"/>
  <c r="Q194" i="39"/>
  <c r="AQ194" i="39"/>
  <c r="AE189" i="39"/>
  <c r="AQ190" i="39"/>
  <c r="Q190" i="39"/>
  <c r="AG199" i="39"/>
  <c r="AA199" i="39"/>
  <c r="AD193" i="39"/>
  <c r="AB193" i="39"/>
  <c r="AK193" i="39"/>
  <c r="AG227" i="39"/>
  <c r="AA227" i="39"/>
  <c r="AD221" i="39"/>
  <c r="AB221" i="39"/>
  <c r="AK221" i="39"/>
  <c r="AE198" i="39"/>
  <c r="AA194" i="39"/>
  <c r="AG194" i="39"/>
  <c r="AG225" i="39"/>
  <c r="AA225" i="39"/>
  <c r="AE221" i="39"/>
  <c r="AE204" i="39"/>
  <c r="AA189" i="39"/>
  <c r="AG189" i="39"/>
  <c r="AC170" i="39"/>
  <c r="W170" i="39"/>
  <c r="X170" i="39"/>
  <c r="W155" i="39"/>
  <c r="AC155" i="39"/>
  <c r="X155" i="39"/>
  <c r="AE183" i="39"/>
  <c r="AQ169" i="39"/>
  <c r="Q169" i="39"/>
  <c r="AG165" i="39"/>
  <c r="AA165" i="39"/>
  <c r="AA155" i="39"/>
  <c r="AG155" i="39"/>
  <c r="AA176" i="39"/>
  <c r="AG176" i="39"/>
  <c r="AE177" i="39"/>
  <c r="AE216" i="39"/>
  <c r="AA205" i="39"/>
  <c r="AG205" i="39"/>
  <c r="AE201" i="39"/>
  <c r="W188" i="39"/>
  <c r="X188" i="39"/>
  <c r="AC188" i="39"/>
  <c r="AE168" i="39"/>
  <c r="AB164" i="39"/>
  <c r="AK164" i="39"/>
  <c r="AD164" i="39"/>
  <c r="AE156" i="39"/>
  <c r="Q182" i="39"/>
  <c r="AQ182" i="39"/>
  <c r="AA184" i="39"/>
  <c r="AG184" i="39"/>
  <c r="AD178" i="39"/>
  <c r="AB178" i="39"/>
  <c r="AK178" i="39"/>
  <c r="W167" i="39"/>
  <c r="AC167" i="39"/>
  <c r="X167" i="39"/>
  <c r="AG149" i="39"/>
  <c r="AA149" i="39"/>
  <c r="AB145" i="39"/>
  <c r="AK145" i="39"/>
  <c r="AD145" i="39"/>
  <c r="AG192" i="39"/>
  <c r="AA192" i="39"/>
  <c r="AE188" i="39"/>
  <c r="Q171" i="39"/>
  <c r="AQ171" i="39"/>
  <c r="AC157" i="39"/>
  <c r="W157" i="39"/>
  <c r="X157" i="39"/>
  <c r="AA161" i="39"/>
  <c r="AG161" i="39"/>
  <c r="W139" i="39"/>
  <c r="X139" i="39"/>
  <c r="AC139" i="39"/>
  <c r="AG124" i="39"/>
  <c r="AA124" i="39"/>
  <c r="AD155" i="39"/>
  <c r="AB155" i="39"/>
  <c r="AK155" i="39"/>
  <c r="W152" i="39"/>
  <c r="X152" i="39"/>
  <c r="AC152" i="39"/>
  <c r="AE150" i="39"/>
  <c r="AG108" i="39"/>
  <c r="AA108" i="39"/>
  <c r="AD130" i="39"/>
  <c r="AB130" i="39"/>
  <c r="AK130" i="39"/>
  <c r="AA132" i="39"/>
  <c r="AG132" i="39"/>
  <c r="AA140" i="39"/>
  <c r="AG140" i="39"/>
  <c r="Q133" i="39"/>
  <c r="AQ133" i="39"/>
  <c r="AD127" i="39"/>
  <c r="AK127" i="39"/>
  <c r="AB127" i="39"/>
  <c r="W124" i="39"/>
  <c r="X124" i="39"/>
  <c r="AC124" i="39"/>
  <c r="AK396" i="39"/>
  <c r="AB396" i="39"/>
  <c r="AD396" i="39"/>
  <c r="AC398" i="39"/>
  <c r="W398" i="39"/>
  <c r="X398" i="39"/>
  <c r="AE401" i="39"/>
  <c r="AE384" i="39"/>
  <c r="AE373" i="39"/>
  <c r="AB363" i="39"/>
  <c r="AK363" i="39"/>
  <c r="AD363" i="39"/>
  <c r="Q359" i="39"/>
  <c r="AQ359" i="39"/>
  <c r="AE381" i="39"/>
  <c r="AA366" i="39"/>
  <c r="AG366" i="39"/>
  <c r="AK360" i="39"/>
  <c r="AB360" i="39"/>
  <c r="AD360" i="39"/>
  <c r="AC349" i="39"/>
  <c r="W349" i="39"/>
  <c r="X349" i="39"/>
  <c r="AC376" i="39"/>
  <c r="W376" i="39"/>
  <c r="X376" i="39"/>
  <c r="AO371" i="39"/>
  <c r="Q350" i="39"/>
  <c r="AQ350" i="39"/>
  <c r="AE395" i="39"/>
  <c r="AE399" i="39"/>
  <c r="AE392" i="39"/>
  <c r="AE377" i="39"/>
  <c r="AG359" i="39"/>
  <c r="AA359" i="39"/>
  <c r="AD353" i="39"/>
  <c r="AK353" i="39"/>
  <c r="AB353" i="39"/>
  <c r="AQ398" i="39"/>
  <c r="Q398" i="39"/>
  <c r="X397" i="39"/>
  <c r="AC397" i="39"/>
  <c r="W397" i="39"/>
  <c r="AO400" i="39"/>
  <c r="Q397" i="39"/>
  <c r="AQ397" i="39"/>
  <c r="AK386" i="39"/>
  <c r="AB386" i="39"/>
  <c r="AD386" i="39"/>
  <c r="AC383" i="39"/>
  <c r="W383" i="39"/>
  <c r="X383" i="39"/>
  <c r="Q374" i="39"/>
  <c r="AQ374" i="39"/>
  <c r="AO362" i="39"/>
  <c r="AE394" i="39"/>
  <c r="AK376" i="39"/>
  <c r="AB376" i="39"/>
  <c r="AD376" i="39"/>
  <c r="W365" i="39"/>
  <c r="X365" i="39"/>
  <c r="AC365" i="39"/>
  <c r="AB343" i="39"/>
  <c r="AK343" i="39"/>
  <c r="AD343" i="39"/>
  <c r="AE391" i="39"/>
  <c r="Q383" i="39"/>
  <c r="AQ383" i="39"/>
  <c r="AG379" i="39"/>
  <c r="AA379" i="39"/>
  <c r="AE350" i="39"/>
  <c r="AG347" i="39"/>
  <c r="AA347" i="39"/>
  <c r="AD341" i="39"/>
  <c r="AB341" i="39"/>
  <c r="AK341" i="39"/>
  <c r="AO386" i="39"/>
  <c r="AE396" i="39"/>
  <c r="Q380" i="39"/>
  <c r="AQ380" i="39"/>
  <c r="AE376" i="39"/>
  <c r="AB367" i="39"/>
  <c r="AK367" i="39"/>
  <c r="AD367" i="39"/>
  <c r="AQ363" i="39"/>
  <c r="Q363" i="39"/>
  <c r="AA344" i="39"/>
  <c r="AG344" i="39"/>
  <c r="AE338" i="39"/>
  <c r="X375" i="39"/>
  <c r="AC375" i="39"/>
  <c r="W375" i="39"/>
  <c r="AO360" i="39"/>
  <c r="Q357" i="39"/>
  <c r="AQ357" i="39"/>
  <c r="AB346" i="39"/>
  <c r="AD346" i="39"/>
  <c r="AK346" i="39"/>
  <c r="X343" i="39"/>
  <c r="AC343" i="39"/>
  <c r="W343" i="39"/>
  <c r="Q335" i="39"/>
  <c r="AQ335" i="39"/>
  <c r="AC327" i="39"/>
  <c r="X327" i="39"/>
  <c r="W327" i="39"/>
  <c r="AO322" i="39"/>
  <c r="AE318" i="39"/>
  <c r="AO316" i="39"/>
  <c r="Q327" i="39"/>
  <c r="AQ327" i="39"/>
  <c r="AC319" i="39"/>
  <c r="W319" i="39"/>
  <c r="X319" i="39"/>
  <c r="AE310" i="39"/>
  <c r="AE336" i="39"/>
  <c r="AB326" i="39"/>
  <c r="AK326" i="39"/>
  <c r="AD326" i="39"/>
  <c r="Q322" i="39"/>
  <c r="AQ322" i="39"/>
  <c r="AE368" i="39"/>
  <c r="AA357" i="39"/>
  <c r="AG357" i="39"/>
  <c r="AE353" i="39"/>
  <c r="AE335" i="39"/>
  <c r="Q319" i="39"/>
  <c r="AQ319" i="39"/>
  <c r="AC311" i="39"/>
  <c r="W311" i="39"/>
  <c r="X311" i="39"/>
  <c r="AO306" i="39"/>
  <c r="AO334" i="39"/>
  <c r="AE330" i="39"/>
  <c r="Q313" i="39"/>
  <c r="AQ313" i="39"/>
  <c r="AO329" i="39"/>
  <c r="AE326" i="39"/>
  <c r="AE301" i="39"/>
  <c r="W333" i="39"/>
  <c r="X333" i="39"/>
  <c r="AC333" i="39"/>
  <c r="AE323" i="39"/>
  <c r="AQ307" i="39"/>
  <c r="Q307" i="39"/>
  <c r="AK333" i="39"/>
  <c r="AB333" i="39"/>
  <c r="AD333" i="39"/>
  <c r="X330" i="39"/>
  <c r="W330" i="39"/>
  <c r="AC330" i="39"/>
  <c r="AO315" i="39"/>
  <c r="Q312" i="39"/>
  <c r="AQ312" i="39"/>
  <c r="AD301" i="39"/>
  <c r="AK301" i="39"/>
  <c r="AB301" i="39"/>
  <c r="X298" i="39"/>
  <c r="W298" i="39"/>
  <c r="AC298" i="39"/>
  <c r="Q281" i="39"/>
  <c r="AQ281" i="39"/>
  <c r="AC273" i="39"/>
  <c r="X273" i="39"/>
  <c r="W273" i="39"/>
  <c r="AO268" i="39"/>
  <c r="AG264" i="39"/>
  <c r="AA264" i="39"/>
  <c r="AD257" i="39"/>
  <c r="AB257" i="39"/>
  <c r="AK257" i="39"/>
  <c r="AO304" i="39"/>
  <c r="Q301" i="39"/>
  <c r="AQ301" i="39"/>
  <c r="Q277" i="39"/>
  <c r="AQ277" i="39"/>
  <c r="AC269" i="39"/>
  <c r="W269" i="39"/>
  <c r="X269" i="39"/>
  <c r="AC265" i="39"/>
  <c r="W265" i="39"/>
  <c r="X265" i="39"/>
  <c r="AO256" i="39"/>
  <c r="AG285" i="39"/>
  <c r="AA285" i="39"/>
  <c r="AO287" i="39"/>
  <c r="AE284" i="39"/>
  <c r="AE266" i="39"/>
  <c r="AE331" i="39"/>
  <c r="AA320" i="39"/>
  <c r="AG320" i="39"/>
  <c r="AE316" i="39"/>
  <c r="AE299" i="39"/>
  <c r="AC290" i="39"/>
  <c r="W290" i="39"/>
  <c r="X290" i="39"/>
  <c r="AB268" i="39"/>
  <c r="AK268" i="39"/>
  <c r="AD268" i="39"/>
  <c r="AQ257" i="39"/>
  <c r="Q257" i="39"/>
  <c r="AC285" i="39"/>
  <c r="W285" i="39"/>
  <c r="X285" i="39"/>
  <c r="AE276" i="39"/>
  <c r="AC296" i="39"/>
  <c r="W296" i="39"/>
  <c r="X296" i="39"/>
  <c r="AB292" i="39"/>
  <c r="AK292" i="39"/>
  <c r="AD292" i="39"/>
  <c r="AQ288" i="39"/>
  <c r="Q288" i="39"/>
  <c r="AA269" i="39"/>
  <c r="AG269" i="39"/>
  <c r="AG263" i="39"/>
  <c r="AA263" i="39"/>
  <c r="AG295" i="39"/>
  <c r="AA295" i="39"/>
  <c r="AD290" i="39"/>
  <c r="AK290" i="39"/>
  <c r="AB290" i="39"/>
  <c r="AE267" i="39"/>
  <c r="AA294" i="39"/>
  <c r="AG294" i="39"/>
  <c r="AE290" i="39"/>
  <c r="AE273" i="39"/>
  <c r="AA262" i="39"/>
  <c r="AG262" i="39"/>
  <c r="AE258" i="39"/>
  <c r="AE255" i="39"/>
  <c r="AA251" i="39"/>
  <c r="AG251" i="39"/>
  <c r="AK245" i="39"/>
  <c r="AB245" i="39"/>
  <c r="AD245" i="39"/>
  <c r="X234" i="39"/>
  <c r="AC234" i="39"/>
  <c r="W234" i="39"/>
  <c r="Q235" i="39"/>
  <c r="AQ235" i="39"/>
  <c r="AB224" i="39"/>
  <c r="AD224" i="39"/>
  <c r="AK224" i="39"/>
  <c r="AD262" i="39"/>
  <c r="AK262" i="39"/>
  <c r="AB262" i="39"/>
  <c r="X259" i="39"/>
  <c r="W259" i="39"/>
  <c r="AC259" i="39"/>
  <c r="AC255" i="39"/>
  <c r="X255" i="39"/>
  <c r="W255" i="39"/>
  <c r="AE245" i="39"/>
  <c r="AC228" i="39"/>
  <c r="W228" i="39"/>
  <c r="X228" i="39"/>
  <c r="AO281" i="39"/>
  <c r="Q278" i="39"/>
  <c r="AQ278" i="39"/>
  <c r="AB267" i="39"/>
  <c r="AD267" i="39"/>
  <c r="AK267" i="39"/>
  <c r="X264" i="39"/>
  <c r="W264" i="39"/>
  <c r="AC264" i="39"/>
  <c r="AC250" i="39"/>
  <c r="W250" i="39"/>
  <c r="X250" i="39"/>
  <c r="AE238" i="39"/>
  <c r="W218" i="39"/>
  <c r="X218" i="39"/>
  <c r="AC218" i="39"/>
  <c r="AO239" i="39"/>
  <c r="AE236" i="39"/>
  <c r="W243" i="39"/>
  <c r="X243" i="39"/>
  <c r="AC243" i="39"/>
  <c r="AO225" i="39"/>
  <c r="AG219" i="39"/>
  <c r="AA219" i="39"/>
  <c r="AB256" i="39"/>
  <c r="AK256" i="39"/>
  <c r="AD256" i="39"/>
  <c r="AD229" i="39"/>
  <c r="AK229" i="39"/>
  <c r="AB229" i="39"/>
  <c r="AE219" i="39"/>
  <c r="AE249" i="39"/>
  <c r="AA238" i="39"/>
  <c r="AG238" i="39"/>
  <c r="AE234" i="39"/>
  <c r="AO229" i="39"/>
  <c r="W206" i="39"/>
  <c r="X206" i="39"/>
  <c r="AC206" i="39"/>
  <c r="Q207" i="39"/>
  <c r="AQ207" i="39"/>
  <c r="AB187" i="39"/>
  <c r="AK187" i="39"/>
  <c r="AD187" i="39"/>
  <c r="AB207" i="39"/>
  <c r="AK207" i="39"/>
  <c r="AD207" i="39"/>
  <c r="Q203" i="39"/>
  <c r="AQ203" i="39"/>
  <c r="AO218" i="39"/>
  <c r="AE215" i="39"/>
  <c r="AO249" i="39"/>
  <c r="Q246" i="39"/>
  <c r="AQ246" i="39"/>
  <c r="AK235" i="39"/>
  <c r="AB235" i="39"/>
  <c r="AD235" i="39"/>
  <c r="AB231" i="39"/>
  <c r="AK231" i="39"/>
  <c r="AD231" i="39"/>
  <c r="AQ227" i="39"/>
  <c r="Q227" i="39"/>
  <c r="AA208" i="39"/>
  <c r="AG208" i="39"/>
  <c r="AA204" i="39"/>
  <c r="AG204" i="39"/>
  <c r="AO189" i="39"/>
  <c r="AE185" i="39"/>
  <c r="Q186" i="39"/>
  <c r="AQ186" i="39"/>
  <c r="W210" i="39"/>
  <c r="AC210" i="39"/>
  <c r="X210" i="39"/>
  <c r="AO224" i="39"/>
  <c r="Q221" i="39"/>
  <c r="AQ221" i="39"/>
  <c r="AB210" i="39"/>
  <c r="AD210" i="39"/>
  <c r="AK210" i="39"/>
  <c r="X207" i="39"/>
  <c r="W207" i="39"/>
  <c r="AC207" i="39"/>
  <c r="AO173" i="39"/>
  <c r="AO168" i="39"/>
  <c r="AG153" i="39"/>
  <c r="AA153" i="39"/>
  <c r="AE176" i="39"/>
  <c r="AA172" i="39"/>
  <c r="AG172" i="39"/>
  <c r="Q233" i="39"/>
  <c r="AQ233" i="39"/>
  <c r="AB222" i="39"/>
  <c r="AD222" i="39"/>
  <c r="AK222" i="39"/>
  <c r="X219" i="39"/>
  <c r="W219" i="39"/>
  <c r="AC219" i="39"/>
  <c r="AO204" i="39"/>
  <c r="Q201" i="39"/>
  <c r="AQ201" i="39"/>
  <c r="AC187" i="39"/>
  <c r="W187" i="39"/>
  <c r="X187" i="39"/>
  <c r="AO162" i="39"/>
  <c r="AE191" i="39"/>
  <c r="AQ174" i="39"/>
  <c r="Q174" i="39"/>
  <c r="AC166" i="39"/>
  <c r="W166" i="39"/>
  <c r="X166" i="39"/>
  <c r="Q188" i="39"/>
  <c r="AQ188" i="39"/>
  <c r="W184" i="39"/>
  <c r="X184" i="39"/>
  <c r="AC184" i="39"/>
  <c r="AE174" i="39"/>
  <c r="AD150" i="39"/>
  <c r="AB150" i="39"/>
  <c r="AK150" i="39"/>
  <c r="AE182" i="39"/>
  <c r="AA171" i="39"/>
  <c r="AG171" i="39"/>
  <c r="AE178" i="39"/>
  <c r="AG167" i="39"/>
  <c r="AA167" i="39"/>
  <c r="AD163" i="39"/>
  <c r="AB163" i="39"/>
  <c r="AK163" i="39"/>
  <c r="AC143" i="39"/>
  <c r="W143" i="39"/>
  <c r="X143" i="39"/>
  <c r="AE121" i="39"/>
  <c r="AA162" i="39"/>
  <c r="AG162" i="39"/>
  <c r="AE158" i="39"/>
  <c r="AE141" i="39"/>
  <c r="AB117" i="39"/>
  <c r="AK117" i="39"/>
  <c r="AO150" i="39"/>
  <c r="Q147" i="39"/>
  <c r="AQ147" i="39"/>
  <c r="AK139" i="39"/>
  <c r="AB139" i="39"/>
  <c r="AD139" i="39"/>
  <c r="AE151" i="39"/>
  <c r="AG121" i="39"/>
  <c r="AA121" i="39"/>
  <c r="Q162" i="39"/>
  <c r="AQ162" i="39"/>
  <c r="AD151" i="39"/>
  <c r="AB151" i="39"/>
  <c r="AK151" i="39"/>
  <c r="W148" i="39"/>
  <c r="X148" i="39"/>
  <c r="AC148" i="39"/>
  <c r="AC153" i="39"/>
  <c r="W153" i="39"/>
  <c r="X153" i="39"/>
  <c r="AE139" i="39"/>
  <c r="W111" i="39"/>
  <c r="X111" i="39"/>
  <c r="AC111" i="39"/>
  <c r="AC101" i="39"/>
  <c r="W101" i="39"/>
  <c r="X101" i="39"/>
  <c r="AC133" i="39"/>
  <c r="W133" i="39"/>
  <c r="X133" i="39"/>
  <c r="AC123" i="39"/>
  <c r="W123" i="39"/>
  <c r="X123" i="39"/>
  <c r="AO139" i="39"/>
  <c r="Q136" i="39"/>
  <c r="AQ136" i="39"/>
  <c r="AQ125" i="39"/>
  <c r="Q125" i="39"/>
  <c r="AE130" i="39"/>
  <c r="AE113" i="39"/>
  <c r="AA123" i="39"/>
  <c r="AG123" i="39"/>
  <c r="AE123" i="39"/>
  <c r="AA112" i="39"/>
  <c r="AG112" i="39"/>
  <c r="AG122" i="39"/>
  <c r="AA122" i="39"/>
  <c r="AB128" i="39"/>
  <c r="AK128" i="39"/>
  <c r="AD128" i="39"/>
  <c r="AC125" i="39"/>
  <c r="W125" i="39"/>
  <c r="X125" i="39"/>
  <c r="AO110" i="39"/>
  <c r="Q107" i="39"/>
  <c r="AQ107" i="39"/>
  <c r="AB96" i="39"/>
  <c r="AK96" i="39"/>
  <c r="AD96" i="39"/>
  <c r="AA102" i="39"/>
  <c r="AG102" i="39"/>
  <c r="AE99" i="39"/>
  <c r="AE93" i="39"/>
  <c r="AB99" i="39"/>
  <c r="AK99" i="39"/>
  <c r="AD99" i="39"/>
  <c r="AK95" i="39"/>
  <c r="AB95" i="39"/>
  <c r="AD95" i="39"/>
  <c r="W92" i="39"/>
  <c r="X92" i="39"/>
  <c r="AC92" i="39"/>
  <c r="AE76" i="39"/>
  <c r="AA91" i="39"/>
  <c r="AG91" i="39"/>
  <c r="AQ83" i="39"/>
  <c r="Q83" i="39"/>
  <c r="W76" i="39"/>
  <c r="X76" i="39"/>
  <c r="AC76" i="39"/>
  <c r="AD85" i="39"/>
  <c r="AK85" i="39"/>
  <c r="AB85" i="39"/>
  <c r="AB88" i="39"/>
  <c r="AK88" i="39"/>
  <c r="AD88" i="39"/>
  <c r="X78" i="39"/>
  <c r="W78" i="39"/>
  <c r="AC78" i="39"/>
  <c r="W70" i="39"/>
  <c r="AC70" i="39"/>
  <c r="X70" i="39"/>
  <c r="AQ81" i="39"/>
  <c r="Q81" i="39"/>
  <c r="AE85" i="39"/>
  <c r="AD78" i="39"/>
  <c r="AK78" i="39"/>
  <c r="AB78" i="39"/>
  <c r="AB65" i="39"/>
  <c r="AK65" i="39"/>
  <c r="AD65" i="39"/>
  <c r="W80" i="39"/>
  <c r="AC80" i="39"/>
  <c r="X80" i="39"/>
  <c r="X61" i="39"/>
  <c r="W61" i="39"/>
  <c r="AC61" i="39"/>
  <c r="AE73" i="39"/>
  <c r="Q75" i="39"/>
  <c r="AQ75" i="39"/>
  <c r="Q68" i="39"/>
  <c r="AQ68" i="39"/>
  <c r="AG55" i="39"/>
  <c r="AA55" i="39"/>
  <c r="AO58" i="39"/>
  <c r="Q55" i="39"/>
  <c r="AQ55" i="39"/>
  <c r="Q57" i="39"/>
  <c r="AQ57" i="39"/>
  <c r="AG308" i="39"/>
  <c r="AA308" i="39"/>
  <c r="AB284" i="39"/>
  <c r="AK284" i="39"/>
  <c r="AD284" i="39"/>
  <c r="Q280" i="39"/>
  <c r="AQ280" i="39"/>
  <c r="AG297" i="39"/>
  <c r="AA297" i="39"/>
  <c r="AB223" i="39"/>
  <c r="AK223" i="39"/>
  <c r="AD223" i="39"/>
  <c r="AD255" i="39"/>
  <c r="AK255" i="39"/>
  <c r="AB255" i="39"/>
  <c r="X252" i="39"/>
  <c r="AC252" i="39"/>
  <c r="W252" i="39"/>
  <c r="Q234" i="39"/>
  <c r="AQ234" i="39"/>
  <c r="AA222" i="39"/>
  <c r="AG222" i="39"/>
  <c r="AK216" i="39"/>
  <c r="AD216" i="39"/>
  <c r="AB216" i="39"/>
  <c r="X205" i="39"/>
  <c r="AC205" i="39"/>
  <c r="W205" i="39"/>
  <c r="AD192" i="39"/>
  <c r="AK192" i="39"/>
  <c r="AB192" i="39"/>
  <c r="Q206" i="39"/>
  <c r="AQ206" i="39"/>
  <c r="AB186" i="39"/>
  <c r="AK186" i="39"/>
  <c r="AD186" i="39"/>
  <c r="Q202" i="39"/>
  <c r="AQ202" i="39"/>
  <c r="AG211" i="39"/>
  <c r="AA211" i="39"/>
  <c r="AD205" i="39"/>
  <c r="AK205" i="39"/>
  <c r="AB205" i="39"/>
  <c r="AG242" i="39"/>
  <c r="AA242" i="39"/>
  <c r="AQ226" i="39"/>
  <c r="Q226" i="39"/>
  <c r="AO214" i="39"/>
  <c r="AQ189" i="39"/>
  <c r="Q189" i="39"/>
  <c r="W185" i="39"/>
  <c r="X185" i="39"/>
  <c r="AC185" i="39"/>
  <c r="AE202" i="39"/>
  <c r="AA198" i="39"/>
  <c r="AG198" i="39"/>
  <c r="AO185" i="39"/>
  <c r="AA226" i="39"/>
  <c r="AG226" i="39"/>
  <c r="AD220" i="39"/>
  <c r="AB220" i="39"/>
  <c r="AK220" i="39"/>
  <c r="W209" i="39"/>
  <c r="X209" i="39"/>
  <c r="AC209" i="39"/>
  <c r="AE197" i="39"/>
  <c r="AG193" i="39"/>
  <c r="AA193" i="39"/>
  <c r="AE228" i="39"/>
  <c r="AA217" i="39"/>
  <c r="AG217" i="39"/>
  <c r="AE213" i="39"/>
  <c r="AE192" i="39"/>
  <c r="AA182" i="39"/>
  <c r="AG182" i="39"/>
  <c r="AQ168" i="39"/>
  <c r="Q168" i="39"/>
  <c r="AE180" i="39"/>
  <c r="Q166" i="39"/>
  <c r="AQ166" i="39"/>
  <c r="AE155" i="39"/>
  <c r="AD175" i="39"/>
  <c r="AK175" i="39"/>
  <c r="AB175" i="39"/>
  <c r="Q156" i="39"/>
  <c r="AQ156" i="39"/>
  <c r="AA229" i="39"/>
  <c r="AG229" i="39"/>
  <c r="AE225" i="39"/>
  <c r="AE208" i="39"/>
  <c r="AA197" i="39"/>
  <c r="AG197" i="39"/>
  <c r="AE193" i="39"/>
  <c r="AB161" i="39"/>
  <c r="AK161" i="39"/>
  <c r="AD161" i="39"/>
  <c r="AE147" i="39"/>
  <c r="AE181" i="39"/>
  <c r="Q181" i="39"/>
  <c r="AQ181" i="39"/>
  <c r="AQ161" i="39"/>
  <c r="Q161" i="39"/>
  <c r="AB177" i="39"/>
  <c r="AK177" i="39"/>
  <c r="AD177" i="39"/>
  <c r="AQ173" i="39"/>
  <c r="Q173" i="39"/>
  <c r="AB157" i="39"/>
  <c r="AK157" i="39"/>
  <c r="AD157" i="39"/>
  <c r="W183" i="39"/>
  <c r="X183" i="39"/>
  <c r="AC183" i="39"/>
  <c r="Q157" i="39"/>
  <c r="AQ157" i="39"/>
  <c r="AE148" i="39"/>
  <c r="AG144" i="39"/>
  <c r="AA144" i="39"/>
  <c r="AO170" i="39"/>
  <c r="Q167" i="39"/>
  <c r="AQ167" i="39"/>
  <c r="AE144" i="39"/>
  <c r="AB184" i="39"/>
  <c r="AD184" i="39"/>
  <c r="AK184" i="39"/>
  <c r="X181" i="39"/>
  <c r="W181" i="39"/>
  <c r="AC181" i="39"/>
  <c r="AD142" i="39"/>
  <c r="AK142" i="39"/>
  <c r="AB142" i="39"/>
  <c r="Q163" i="39"/>
  <c r="AQ163" i="39"/>
  <c r="AC142" i="39"/>
  <c r="X142" i="39"/>
  <c r="W142" i="39"/>
  <c r="X164" i="39"/>
  <c r="AC164" i="39"/>
  <c r="W164" i="39"/>
  <c r="AG160" i="39"/>
  <c r="AA160" i="39"/>
  <c r="AD154" i="39"/>
  <c r="AK154" i="39"/>
  <c r="AB154" i="39"/>
  <c r="AO137" i="39"/>
  <c r="AO161" i="39"/>
  <c r="Q158" i="39"/>
  <c r="AQ158" i="39"/>
  <c r="AD147" i="39"/>
  <c r="AK147" i="39"/>
  <c r="AB147" i="39"/>
  <c r="W144" i="39"/>
  <c r="X144" i="39"/>
  <c r="AC144" i="39"/>
  <c r="AG116" i="39"/>
  <c r="AA116" i="39"/>
  <c r="AA143" i="39"/>
  <c r="AG143" i="39"/>
  <c r="AQ139" i="39"/>
  <c r="Q139" i="39"/>
  <c r="AB118" i="39"/>
  <c r="AK118" i="39"/>
  <c r="AD118" i="39"/>
  <c r="AG158" i="39"/>
  <c r="AA158" i="39"/>
  <c r="AE154" i="39"/>
  <c r="AE142" i="39"/>
  <c r="AO128" i="39"/>
  <c r="AC107" i="39"/>
  <c r="W107" i="39"/>
  <c r="X107" i="39"/>
  <c r="AE134" i="39"/>
  <c r="AG113" i="39"/>
  <c r="AA113" i="39"/>
  <c r="AB126" i="39"/>
  <c r="AK126" i="39"/>
  <c r="AD126" i="39"/>
  <c r="AE109" i="39"/>
  <c r="AO105" i="39"/>
  <c r="AA135" i="39"/>
  <c r="AG135" i="39"/>
  <c r="AC122" i="39"/>
  <c r="X122" i="39"/>
  <c r="W122" i="39"/>
  <c r="AE132" i="39"/>
  <c r="Q130" i="39"/>
  <c r="AQ130" i="39"/>
  <c r="AD119" i="39"/>
  <c r="AK119" i="39"/>
  <c r="AB119" i="39"/>
  <c r="W116" i="39"/>
  <c r="X116" i="39"/>
  <c r="AC116" i="39"/>
  <c r="Q104" i="39"/>
  <c r="AQ104" i="39"/>
  <c r="W87" i="39"/>
  <c r="AC87" i="39"/>
  <c r="X87" i="39"/>
  <c r="AO122" i="39"/>
  <c r="Q119" i="39"/>
  <c r="AQ119" i="39"/>
  <c r="AB108" i="39"/>
  <c r="AK108" i="39"/>
  <c r="AD108" i="39"/>
  <c r="AO102" i="39"/>
  <c r="AB129" i="39"/>
  <c r="AK129" i="39"/>
  <c r="AD129" i="39"/>
  <c r="AC126" i="39"/>
  <c r="W126" i="39"/>
  <c r="X126" i="39"/>
  <c r="AO111" i="39"/>
  <c r="Q108" i="39"/>
  <c r="AQ108" i="39"/>
  <c r="AO121" i="39"/>
  <c r="Q118" i="39"/>
  <c r="AQ118" i="39"/>
  <c r="AD107" i="39"/>
  <c r="AK107" i="39"/>
  <c r="AB107" i="39"/>
  <c r="AG100" i="39"/>
  <c r="AA100" i="39"/>
  <c r="AE131" i="39"/>
  <c r="AE114" i="39"/>
  <c r="AA58" i="39"/>
  <c r="AG58" i="39"/>
  <c r="AE100" i="39"/>
  <c r="AO101" i="39"/>
  <c r="AC98" i="39"/>
  <c r="W98" i="39"/>
  <c r="X98" i="39"/>
  <c r="AE97" i="39"/>
  <c r="AC85" i="39"/>
  <c r="W85" i="39"/>
  <c r="X85" i="39"/>
  <c r="AG83" i="39"/>
  <c r="AA83" i="39"/>
  <c r="AE102" i="39"/>
  <c r="AD94" i="39"/>
  <c r="AK94" i="39"/>
  <c r="AB94" i="39"/>
  <c r="Q82" i="39"/>
  <c r="AQ82" i="39"/>
  <c r="AA70" i="39"/>
  <c r="AG70" i="39"/>
  <c r="AO90" i="39"/>
  <c r="AG78" i="39"/>
  <c r="AA78" i="39"/>
  <c r="AA95" i="39"/>
  <c r="AG95" i="39"/>
  <c r="AE91" i="39"/>
  <c r="AQ73" i="39"/>
  <c r="Q73" i="39"/>
  <c r="AE61" i="39"/>
  <c r="Q85" i="39"/>
  <c r="AQ85" i="39"/>
  <c r="AA81" i="39"/>
  <c r="AG81" i="39"/>
  <c r="AE71" i="39"/>
  <c r="AC64" i="39"/>
  <c r="W64" i="39"/>
  <c r="X64" i="39"/>
  <c r="Q76" i="39"/>
  <c r="AQ76" i="39"/>
  <c r="X73" i="39"/>
  <c r="AC73" i="39"/>
  <c r="W73" i="39"/>
  <c r="AQ64" i="39"/>
  <c r="Q64" i="39"/>
  <c r="AG71" i="39"/>
  <c r="AA71" i="39"/>
  <c r="AE67" i="39"/>
  <c r="AB58" i="39"/>
  <c r="AD58" i="39"/>
  <c r="AK58" i="39"/>
  <c r="X55" i="39"/>
  <c r="AC55" i="39"/>
  <c r="W55" i="39"/>
  <c r="AB63" i="39"/>
  <c r="AK63" i="39"/>
  <c r="AD63" i="39"/>
  <c r="AC60" i="39"/>
  <c r="W60" i="39"/>
  <c r="X60" i="39"/>
  <c r="AE62" i="39"/>
  <c r="AE64" i="39"/>
  <c r="AG53" i="39"/>
  <c r="AA53" i="39"/>
  <c r="W20" i="39"/>
  <c r="W38" i="39"/>
  <c r="W43" i="39"/>
  <c r="X34" i="39"/>
  <c r="X24" i="39"/>
  <c r="X9" i="39"/>
  <c r="W29" i="39"/>
  <c r="X13" i="39"/>
  <c r="W4" i="39"/>
  <c r="X18" i="39"/>
  <c r="X40" i="39"/>
  <c r="X10" i="39"/>
  <c r="X36" i="39"/>
  <c r="W7" i="39"/>
  <c r="X47" i="39"/>
  <c r="X27" i="39"/>
  <c r="X17" i="39"/>
  <c r="W37" i="39"/>
  <c r="X51" i="39"/>
  <c r="X5" i="39"/>
  <c r="X44" i="39"/>
  <c r="W49" i="39"/>
  <c r="X41" i="39"/>
  <c r="X30" i="39"/>
  <c r="W6" i="39"/>
  <c r="X23" i="39"/>
  <c r="W32" i="39"/>
  <c r="W46" i="39"/>
  <c r="X48" i="39"/>
  <c r="W42" i="39"/>
  <c r="W16" i="39"/>
  <c r="X21" i="39"/>
  <c r="X25" i="39"/>
  <c r="X12" i="39"/>
  <c r="W31" i="39"/>
  <c r="X39" i="39"/>
  <c r="W36" i="39"/>
  <c r="X22" i="39"/>
  <c r="W10" i="39"/>
  <c r="W17" i="39"/>
  <c r="X26" i="39"/>
  <c r="W34" i="39"/>
  <c r="W41" i="39"/>
  <c r="W26" i="39"/>
  <c r="X6" i="39"/>
  <c r="W13" i="39"/>
  <c r="W44" i="39"/>
  <c r="W51" i="39"/>
  <c r="W24" i="39"/>
  <c r="X8" i="39"/>
  <c r="W22" i="39"/>
  <c r="W50" i="39"/>
  <c r="W18" i="39"/>
  <c r="X37" i="39"/>
  <c r="W9" i="39"/>
  <c r="X45" i="39"/>
  <c r="W2" i="39"/>
  <c r="W8" i="39"/>
  <c r="X19" i="39"/>
  <c r="W35" i="39"/>
  <c r="X35" i="39"/>
  <c r="W23" i="39"/>
  <c r="W40" i="39"/>
  <c r="W19" i="39"/>
  <c r="X29" i="39"/>
  <c r="W3" i="39"/>
  <c r="W48" i="39"/>
  <c r="W28" i="39"/>
  <c r="W14" i="39"/>
  <c r="X3" i="39"/>
  <c r="W11" i="39"/>
  <c r="X14" i="39"/>
  <c r="X50" i="39"/>
  <c r="X28" i="39"/>
  <c r="X11" i="39"/>
  <c r="X31" i="39"/>
  <c r="W39" i="39"/>
  <c r="X32" i="39"/>
  <c r="X7" i="39"/>
  <c r="X38" i="39"/>
  <c r="X16" i="39"/>
  <c r="X42" i="39"/>
  <c r="X4" i="39"/>
  <c r="W45" i="39"/>
  <c r="W25" i="39"/>
  <c r="X46" i="39"/>
  <c r="W12" i="39"/>
  <c r="W47" i="39"/>
  <c r="X20" i="39"/>
  <c r="B2" i="43"/>
  <c r="Q2" i="39"/>
  <c r="X43" i="39"/>
  <c r="W30" i="39"/>
  <c r="X49" i="39"/>
  <c r="W27" i="39"/>
  <c r="W33" i="39"/>
  <c r="X33" i="39"/>
  <c r="W15" i="39"/>
  <c r="W21" i="39"/>
  <c r="W5" i="39"/>
  <c r="X15" i="39"/>
  <c r="AR51" i="39"/>
  <c r="AQ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U50" i="39"/>
  <c r="AR49" i="39"/>
  <c r="AQ49" i="39"/>
  <c r="AM49" i="39"/>
  <c r="AL49" i="39"/>
  <c r="AK49" i="39"/>
  <c r="AJ49" i="39"/>
  <c r="AI49" i="39"/>
  <c r="AG49" i="39"/>
  <c r="AD49" i="39"/>
  <c r="AC49" i="39"/>
  <c r="AT49" i="39"/>
  <c r="AO49" i="39" s="1"/>
  <c r="AB49" i="39"/>
  <c r="AE49" i="39" s="1"/>
  <c r="U49" i="39"/>
  <c r="AR48" i="39"/>
  <c r="AQ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U48" i="39"/>
  <c r="AR47" i="39"/>
  <c r="AQ47" i="39"/>
  <c r="AM47" i="39"/>
  <c r="AL47" i="39"/>
  <c r="AK47" i="39"/>
  <c r="AJ47" i="39"/>
  <c r="AI47" i="39"/>
  <c r="AG47" i="39"/>
  <c r="AD47" i="39"/>
  <c r="AC47" i="39"/>
  <c r="AT47" i="39"/>
  <c r="AO47" i="39" s="1"/>
  <c r="AB47" i="39"/>
  <c r="AE47" i="39" s="1"/>
  <c r="AT46" i="39"/>
  <c r="AO46" i="39" s="1"/>
  <c r="AR46" i="39"/>
  <c r="AQ46" i="39"/>
  <c r="AM46" i="39"/>
  <c r="AL46" i="39"/>
  <c r="AK46" i="39"/>
  <c r="AJ46" i="39"/>
  <c r="AI46" i="39"/>
  <c r="AG46" i="39"/>
  <c r="AD46" i="39"/>
  <c r="AC46" i="39"/>
  <c r="AB46" i="39"/>
  <c r="AE46" i="39" s="1"/>
  <c r="V46" i="39"/>
  <c r="AV46" i="39" s="1"/>
  <c r="AR45" i="39"/>
  <c r="AQ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V45" i="39"/>
  <c r="AV45" i="39" s="1"/>
  <c r="AT44" i="39"/>
  <c r="AR44" i="39"/>
  <c r="AQ44" i="39"/>
  <c r="AM44" i="39"/>
  <c r="AL44" i="39"/>
  <c r="AK44" i="39"/>
  <c r="AJ44" i="39"/>
  <c r="AI44" i="39"/>
  <c r="AG44" i="39"/>
  <c r="AD44" i="39"/>
  <c r="AC44" i="39"/>
  <c r="AB44" i="39"/>
  <c r="AE44" i="39" s="1"/>
  <c r="V44" i="39"/>
  <c r="AR43" i="39"/>
  <c r="AQ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M41" i="39"/>
  <c r="AL41" i="39"/>
  <c r="AK41" i="39"/>
  <c r="AJ41" i="39"/>
  <c r="AI41" i="39"/>
  <c r="AG41" i="39"/>
  <c r="AD41" i="39"/>
  <c r="AC41" i="39"/>
  <c r="AT41" i="39"/>
  <c r="AO41" i="39" s="1"/>
  <c r="AB41" i="39"/>
  <c r="AE41" i="39" s="1"/>
  <c r="V41" i="39"/>
  <c r="AR40" i="39"/>
  <c r="AQ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U38" i="39"/>
  <c r="AR37" i="39"/>
  <c r="AQ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V37" i="39"/>
  <c r="AV37" i="39" s="1"/>
  <c r="AR36" i="39"/>
  <c r="AQ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U36" i="39"/>
  <c r="AR35" i="39"/>
  <c r="AQ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V34" i="39"/>
  <c r="AU34" i="39" s="1"/>
  <c r="AR33" i="39"/>
  <c r="AQ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V33" i="39"/>
  <c r="AU33" i="39" s="1"/>
  <c r="AR32" i="39"/>
  <c r="AQ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V32" i="39"/>
  <c r="AV32" i="39" s="1"/>
  <c r="AT31" i="39"/>
  <c r="AR31" i="39"/>
  <c r="AQ31" i="39"/>
  <c r="AM31" i="39"/>
  <c r="AL31" i="39"/>
  <c r="AK31" i="39"/>
  <c r="AJ31" i="39"/>
  <c r="AI31" i="39"/>
  <c r="AG31" i="39"/>
  <c r="AD31" i="39"/>
  <c r="AC31" i="39"/>
  <c r="AB31" i="39"/>
  <c r="AE31" i="39" s="1"/>
  <c r="V31" i="39"/>
  <c r="AV31" i="39" s="1"/>
  <c r="AT30" i="39"/>
  <c r="AR30" i="39"/>
  <c r="AQ30" i="39"/>
  <c r="AM30" i="39"/>
  <c r="AL30" i="39"/>
  <c r="AK30" i="39"/>
  <c r="AJ30" i="39"/>
  <c r="AI30" i="39"/>
  <c r="AG30" i="39"/>
  <c r="AD30" i="39"/>
  <c r="AC30" i="39"/>
  <c r="AB30" i="39"/>
  <c r="AE30" i="39" s="1"/>
  <c r="V30" i="39"/>
  <c r="AU30" i="39" s="1"/>
  <c r="AR29" i="39"/>
  <c r="AQ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U29" i="39"/>
  <c r="AR28" i="39"/>
  <c r="AQ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U27" i="39"/>
  <c r="AR26" i="39"/>
  <c r="AQ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V26" i="39"/>
  <c r="AV26" i="39" s="1"/>
  <c r="AT25" i="39"/>
  <c r="AR25" i="39"/>
  <c r="AQ25" i="39"/>
  <c r="AM25" i="39"/>
  <c r="AL25" i="39"/>
  <c r="AK25" i="39"/>
  <c r="AJ25" i="39"/>
  <c r="AI25" i="39"/>
  <c r="AG25" i="39"/>
  <c r="AD25" i="39"/>
  <c r="AC25" i="39"/>
  <c r="AB25" i="39"/>
  <c r="AE25" i="39" s="1"/>
  <c r="V25" i="39"/>
  <c r="AR24" i="39"/>
  <c r="AQ24" i="39"/>
  <c r="AM24" i="39"/>
  <c r="AL24" i="39"/>
  <c r="AK24" i="39"/>
  <c r="AJ24" i="39"/>
  <c r="AI24" i="39"/>
  <c r="AG24" i="39"/>
  <c r="AD24" i="39"/>
  <c r="AC24" i="39"/>
  <c r="AT24" i="39"/>
  <c r="AO24" i="39" s="1"/>
  <c r="AB24" i="39"/>
  <c r="AE24" i="39" s="1"/>
  <c r="V24" i="39"/>
  <c r="AR23" i="39"/>
  <c r="AQ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V23" i="39"/>
  <c r="AV23" i="39" s="1"/>
  <c r="AR22" i="39"/>
  <c r="AQ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V22" i="39"/>
  <c r="AU22" i="39" s="1"/>
  <c r="AR21" i="39"/>
  <c r="AQ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U21" i="39"/>
  <c r="AR20" i="39"/>
  <c r="AQ20" i="39"/>
  <c r="AM20" i="39"/>
  <c r="AL20" i="39"/>
  <c r="AK20" i="39"/>
  <c r="AJ20" i="39"/>
  <c r="AI20" i="39"/>
  <c r="AG20" i="39"/>
  <c r="AD20" i="39"/>
  <c r="AC20" i="39"/>
  <c r="AT20" i="39"/>
  <c r="AO20" i="39" s="1"/>
  <c r="AB20" i="39"/>
  <c r="AE20" i="39" s="1"/>
  <c r="AH20" i="39"/>
  <c r="AR19" i="39"/>
  <c r="AQ19" i="39"/>
  <c r="AM19" i="39"/>
  <c r="AL19" i="39"/>
  <c r="AK19" i="39"/>
  <c r="AJ19" i="39"/>
  <c r="AI19" i="39"/>
  <c r="AG19" i="39"/>
  <c r="AD19" i="39"/>
  <c r="AC19" i="39"/>
  <c r="AT19" i="39"/>
  <c r="AO19" i="39" s="1"/>
  <c r="AB19" i="39"/>
  <c r="AE19" i="39" s="1"/>
  <c r="AH19" i="39"/>
  <c r="AR18" i="39"/>
  <c r="AQ18" i="39"/>
  <c r="AM18" i="39"/>
  <c r="AL18" i="39"/>
  <c r="AK18" i="39"/>
  <c r="AJ18" i="39"/>
  <c r="AI18" i="39"/>
  <c r="AG18" i="39"/>
  <c r="AD18" i="39"/>
  <c r="AC18" i="39"/>
  <c r="AT18" i="39"/>
  <c r="AO18" i="39" s="1"/>
  <c r="AB18" i="39"/>
  <c r="AE18" i="39" s="1"/>
  <c r="AH18" i="39"/>
  <c r="AT17" i="39"/>
  <c r="AR17" i="39"/>
  <c r="AQ17" i="39"/>
  <c r="AM17" i="39"/>
  <c r="AL17" i="39"/>
  <c r="AK17" i="39"/>
  <c r="AJ17" i="39"/>
  <c r="AI17" i="39"/>
  <c r="AG17" i="39"/>
  <c r="AD17" i="39"/>
  <c r="AC17" i="39"/>
  <c r="AB17" i="39"/>
  <c r="AE17" i="39" s="1"/>
  <c r="V17" i="39"/>
  <c r="AS17" i="39" s="1"/>
  <c r="AR16" i="39"/>
  <c r="AQ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M15" i="39"/>
  <c r="AL15" i="39"/>
  <c r="AK15" i="39"/>
  <c r="AJ15" i="39"/>
  <c r="AI15" i="39"/>
  <c r="AG15" i="39"/>
  <c r="AD15" i="39"/>
  <c r="AC15" i="39"/>
  <c r="AT15" i="39"/>
  <c r="AO15" i="39" s="1"/>
  <c r="AB15" i="39"/>
  <c r="AE15" i="39" s="1"/>
  <c r="AR14" i="39"/>
  <c r="AQ14" i="39"/>
  <c r="AM14" i="39"/>
  <c r="AL14" i="39"/>
  <c r="AK14" i="39"/>
  <c r="AJ14" i="39"/>
  <c r="AI14" i="39"/>
  <c r="AG14" i="39"/>
  <c r="AD14" i="39"/>
  <c r="AC14" i="39"/>
  <c r="AT14" i="39"/>
  <c r="AO14" i="39" s="1"/>
  <c r="AB14" i="39"/>
  <c r="AE14" i="39" s="1"/>
  <c r="V14" i="39"/>
  <c r="AU14" i="39" s="1"/>
  <c r="AR13" i="39"/>
  <c r="AQ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V13" i="39"/>
  <c r="AV13" i="39" s="1"/>
  <c r="AR12" i="39"/>
  <c r="AQ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M11" i="39"/>
  <c r="AL11" i="39"/>
  <c r="AK11" i="39"/>
  <c r="AJ11" i="39"/>
  <c r="AI11" i="39"/>
  <c r="AG11" i="39"/>
  <c r="AC11" i="39"/>
  <c r="AT11" i="39"/>
  <c r="AO11" i="39" s="1"/>
  <c r="AB11" i="39"/>
  <c r="AE11" i="39" s="1"/>
  <c r="AH11" i="39"/>
  <c r="AR10" i="39"/>
  <c r="AQ10" i="39"/>
  <c r="AM10" i="39"/>
  <c r="AL10" i="39"/>
  <c r="AK10" i="39"/>
  <c r="AJ10" i="39"/>
  <c r="AI10" i="39"/>
  <c r="AG10" i="39"/>
  <c r="AC10" i="39"/>
  <c r="AT10" i="39"/>
  <c r="AB10" i="39"/>
  <c r="AE10" i="39" s="1"/>
  <c r="V10" i="39"/>
  <c r="AV10" i="39" s="1"/>
  <c r="AR9" i="39"/>
  <c r="AQ9" i="39"/>
  <c r="AM9" i="39"/>
  <c r="AL9" i="39"/>
  <c r="AK9" i="39"/>
  <c r="AJ9" i="39"/>
  <c r="AI9" i="39"/>
  <c r="AG9" i="39"/>
  <c r="AC9" i="39"/>
  <c r="AT9" i="39"/>
  <c r="AB9" i="39"/>
  <c r="AE9" i="39" s="1"/>
  <c r="V9" i="39"/>
  <c r="AR8" i="39"/>
  <c r="AQ8" i="39"/>
  <c r="AM8" i="39"/>
  <c r="AL8" i="39"/>
  <c r="AK8" i="39"/>
  <c r="AJ8" i="39"/>
  <c r="AI8" i="39"/>
  <c r="AG8" i="39"/>
  <c r="AC8" i="39"/>
  <c r="AT8" i="39"/>
  <c r="AB8" i="39"/>
  <c r="AE8" i="39" s="1"/>
  <c r="AR7" i="39"/>
  <c r="AQ7" i="39"/>
  <c r="AM7" i="39"/>
  <c r="AL7" i="39"/>
  <c r="AK7" i="39"/>
  <c r="AJ7" i="39"/>
  <c r="AI7" i="39"/>
  <c r="AG7" i="39"/>
  <c r="AC7" i="39"/>
  <c r="AT7" i="39"/>
  <c r="AB7" i="39"/>
  <c r="AE7" i="39" s="1"/>
  <c r="AR6" i="39"/>
  <c r="AQ6" i="39"/>
  <c r="AM6" i="39"/>
  <c r="AL6" i="39"/>
  <c r="AK6" i="39"/>
  <c r="AJ6" i="39"/>
  <c r="AI6" i="39"/>
  <c r="AG6" i="39"/>
  <c r="AC6" i="39"/>
  <c r="AB6" i="39"/>
  <c r="AE6" i="39" s="1"/>
  <c r="U6" i="39"/>
  <c r="AR5" i="39"/>
  <c r="AQ5" i="39"/>
  <c r="AM5" i="39"/>
  <c r="AL5" i="39"/>
  <c r="AK5" i="39"/>
  <c r="AJ5" i="39"/>
  <c r="AI5" i="39"/>
  <c r="AG5" i="39"/>
  <c r="AC5" i="39"/>
  <c r="AB5" i="39"/>
  <c r="AE5" i="39" s="1"/>
  <c r="AH5" i="39"/>
  <c r="AR4" i="39"/>
  <c r="AQ4" i="39"/>
  <c r="AM4" i="39"/>
  <c r="AL4" i="39"/>
  <c r="AK4" i="39"/>
  <c r="AJ4" i="39"/>
  <c r="AI4" i="39"/>
  <c r="AG4" i="39"/>
  <c r="AC4" i="39"/>
  <c r="AB4" i="39"/>
  <c r="AE4" i="39" s="1"/>
  <c r="AH4" i="39"/>
  <c r="AR3" i="39"/>
  <c r="AQ3" i="39"/>
  <c r="AM3" i="39"/>
  <c r="AL3" i="39"/>
  <c r="AK3" i="39"/>
  <c r="AJ3" i="39"/>
  <c r="AI3" i="39"/>
  <c r="AG3" i="39"/>
  <c r="AC3" i="39"/>
  <c r="AE3" i="39"/>
  <c r="AR2" i="39"/>
  <c r="AQ2" i="39"/>
  <c r="AM2" i="39"/>
  <c r="AL2" i="39"/>
  <c r="AK2" i="39"/>
  <c r="AJ2" i="39"/>
  <c r="AI2" i="39"/>
  <c r="AG2" i="39"/>
  <c r="AC2" i="39"/>
  <c r="AT2" i="39"/>
  <c r="AO2" i="39" s="1"/>
  <c r="AE2" i="39"/>
  <c r="V2" i="39"/>
  <c r="AU2" i="39" s="1"/>
  <c r="Y186" i="39" l="1"/>
  <c r="AO186" i="39" s="1"/>
  <c r="AN222" i="39"/>
  <c r="AH70" i="39"/>
  <c r="V70" i="39"/>
  <c r="U70" i="39"/>
  <c r="AH100" i="39"/>
  <c r="U100" i="39"/>
  <c r="V100" i="39"/>
  <c r="V222" i="39"/>
  <c r="AH222" i="39"/>
  <c r="U222" i="39"/>
  <c r="U122" i="39"/>
  <c r="V122" i="39"/>
  <c r="AH122" i="39"/>
  <c r="V171" i="39"/>
  <c r="U171" i="39"/>
  <c r="AH171" i="39"/>
  <c r="U208" i="39"/>
  <c r="AH208" i="39"/>
  <c r="V208" i="39"/>
  <c r="V238" i="39"/>
  <c r="AH238" i="39"/>
  <c r="U238" i="39"/>
  <c r="V320" i="39"/>
  <c r="U320" i="39"/>
  <c r="AH320" i="39"/>
  <c r="AH264" i="39"/>
  <c r="U264" i="39"/>
  <c r="V264" i="39"/>
  <c r="V155" i="39"/>
  <c r="U155" i="39"/>
  <c r="AH155" i="39"/>
  <c r="U323" i="39"/>
  <c r="AH323" i="39"/>
  <c r="V323" i="39"/>
  <c r="V59" i="39"/>
  <c r="AH59" i="39"/>
  <c r="U59" i="39"/>
  <c r="AH392" i="39"/>
  <c r="U392" i="39"/>
  <c r="V392" i="39"/>
  <c r="U109" i="39"/>
  <c r="AH109" i="39"/>
  <c r="V109" i="39"/>
  <c r="V246" i="39"/>
  <c r="U246" i="39"/>
  <c r="AH246" i="39"/>
  <c r="U296" i="39"/>
  <c r="V296" i="39"/>
  <c r="AH296" i="39"/>
  <c r="V365" i="39"/>
  <c r="U365" i="39"/>
  <c r="AH365" i="39"/>
  <c r="U363" i="39"/>
  <c r="V363" i="39"/>
  <c r="AH363" i="39"/>
  <c r="V201" i="39"/>
  <c r="U201" i="39"/>
  <c r="AH201" i="39"/>
  <c r="V258" i="39"/>
  <c r="AH258" i="39"/>
  <c r="U258" i="39"/>
  <c r="V240" i="39"/>
  <c r="AH240" i="39"/>
  <c r="U240" i="39"/>
  <c r="U247" i="39"/>
  <c r="V247" i="39"/>
  <c r="AH247" i="39"/>
  <c r="V400" i="39"/>
  <c r="AS400" i="39" s="1"/>
  <c r="AH400" i="39"/>
  <c r="U400" i="39"/>
  <c r="U248" i="39"/>
  <c r="V248" i="39"/>
  <c r="AH248" i="39"/>
  <c r="U314" i="39"/>
  <c r="V314" i="39"/>
  <c r="AH314" i="39"/>
  <c r="AH118" i="39"/>
  <c r="U118" i="39"/>
  <c r="V118" i="39"/>
  <c r="U202" i="39"/>
  <c r="V202" i="39"/>
  <c r="AH202" i="39"/>
  <c r="U253" i="39"/>
  <c r="AH253" i="39"/>
  <c r="V253" i="39"/>
  <c r="U342" i="39"/>
  <c r="V342" i="39"/>
  <c r="AH342" i="39"/>
  <c r="U351" i="39"/>
  <c r="V351" i="39"/>
  <c r="AH351" i="39"/>
  <c r="U338" i="39"/>
  <c r="AH338" i="39"/>
  <c r="V338" i="39"/>
  <c r="V159" i="39"/>
  <c r="AH159" i="39"/>
  <c r="U159" i="39"/>
  <c r="AH335" i="39"/>
  <c r="U335" i="39"/>
  <c r="V335" i="39"/>
  <c r="U393" i="39"/>
  <c r="V393" i="39"/>
  <c r="AH393" i="39"/>
  <c r="U380" i="39"/>
  <c r="V380" i="39"/>
  <c r="AH380" i="39"/>
  <c r="AH97" i="39"/>
  <c r="V97" i="39"/>
  <c r="U97" i="39"/>
  <c r="U150" i="39"/>
  <c r="V150" i="39"/>
  <c r="AH150" i="39"/>
  <c r="AH196" i="39"/>
  <c r="U196" i="39"/>
  <c r="V196" i="39"/>
  <c r="V234" i="39"/>
  <c r="U234" i="39"/>
  <c r="AH234" i="39"/>
  <c r="U232" i="39"/>
  <c r="AH232" i="39"/>
  <c r="V232" i="39"/>
  <c r="AH273" i="39"/>
  <c r="U273" i="39"/>
  <c r="V273" i="39"/>
  <c r="U322" i="39"/>
  <c r="V322" i="39"/>
  <c r="AH322" i="39"/>
  <c r="U104" i="39"/>
  <c r="V104" i="39"/>
  <c r="AH104" i="39"/>
  <c r="V286" i="39"/>
  <c r="U286" i="39"/>
  <c r="AH286" i="39"/>
  <c r="V71" i="39"/>
  <c r="U71" i="39"/>
  <c r="AH71" i="39"/>
  <c r="AH81" i="39"/>
  <c r="U81" i="39"/>
  <c r="V81" i="39"/>
  <c r="V144" i="39"/>
  <c r="AH144" i="39"/>
  <c r="U144" i="39"/>
  <c r="U226" i="39"/>
  <c r="V226" i="39"/>
  <c r="AH226" i="39"/>
  <c r="AH219" i="39"/>
  <c r="U219" i="39"/>
  <c r="V219" i="39"/>
  <c r="U263" i="39"/>
  <c r="V263" i="39"/>
  <c r="AH263" i="39"/>
  <c r="U347" i="39"/>
  <c r="V347" i="39"/>
  <c r="AH347" i="39"/>
  <c r="U366" i="39"/>
  <c r="V366" i="39"/>
  <c r="AH366" i="39"/>
  <c r="AH149" i="39"/>
  <c r="U149" i="39"/>
  <c r="V149" i="39"/>
  <c r="V205" i="39"/>
  <c r="U205" i="39"/>
  <c r="AH205" i="39"/>
  <c r="U165" i="39"/>
  <c r="V165" i="39"/>
  <c r="AH165" i="39"/>
  <c r="U199" i="39"/>
  <c r="V199" i="39"/>
  <c r="AH199" i="39"/>
  <c r="V250" i="39"/>
  <c r="U250" i="39"/>
  <c r="AH250" i="39"/>
  <c r="U329" i="39"/>
  <c r="V329" i="39"/>
  <c r="AH329" i="39"/>
  <c r="U69" i="39"/>
  <c r="V69" i="39"/>
  <c r="AH69" i="39"/>
  <c r="V79" i="39"/>
  <c r="AH79" i="39"/>
  <c r="U79" i="39"/>
  <c r="V223" i="39"/>
  <c r="AH223" i="39"/>
  <c r="U223" i="39"/>
  <c r="U370" i="39"/>
  <c r="V370" i="39"/>
  <c r="AH370" i="39"/>
  <c r="U105" i="39"/>
  <c r="V105" i="39"/>
  <c r="AH105" i="39"/>
  <c r="V136" i="39"/>
  <c r="AH136" i="39"/>
  <c r="U136" i="39"/>
  <c r="U200" i="39"/>
  <c r="AH200" i="39"/>
  <c r="V200" i="39"/>
  <c r="U64" i="39"/>
  <c r="AH64" i="39"/>
  <c r="V64" i="39"/>
  <c r="AH68" i="39"/>
  <c r="U68" i="39"/>
  <c r="V68" i="39"/>
  <c r="AH141" i="39"/>
  <c r="U141" i="39"/>
  <c r="V141" i="39"/>
  <c r="U255" i="39"/>
  <c r="AH255" i="39"/>
  <c r="V255" i="39"/>
  <c r="U236" i="39"/>
  <c r="V236" i="39"/>
  <c r="AH236" i="39"/>
  <c r="V304" i="39"/>
  <c r="AH304" i="39"/>
  <c r="U304" i="39"/>
  <c r="V341" i="39"/>
  <c r="U341" i="39"/>
  <c r="AH341" i="39"/>
  <c r="AH386" i="39"/>
  <c r="U386" i="39"/>
  <c r="V386" i="39"/>
  <c r="V210" i="39"/>
  <c r="AH210" i="39"/>
  <c r="U210" i="39"/>
  <c r="U299" i="39"/>
  <c r="AH299" i="39"/>
  <c r="V299" i="39"/>
  <c r="U383" i="39"/>
  <c r="V383" i="39"/>
  <c r="AH383" i="39"/>
  <c r="V82" i="39"/>
  <c r="U82" i="39"/>
  <c r="AH82" i="39"/>
  <c r="V186" i="39"/>
  <c r="AH186" i="39"/>
  <c r="U186" i="39"/>
  <c r="V353" i="39"/>
  <c r="U353" i="39"/>
  <c r="AH353" i="39"/>
  <c r="U114" i="39"/>
  <c r="V114" i="39"/>
  <c r="AH114" i="39"/>
  <c r="AH126" i="39"/>
  <c r="U126" i="39"/>
  <c r="V126" i="39"/>
  <c r="U117" i="39"/>
  <c r="AH117" i="39"/>
  <c r="V117" i="39"/>
  <c r="V154" i="39"/>
  <c r="AH154" i="39"/>
  <c r="U154" i="39"/>
  <c r="AH182" i="39"/>
  <c r="U182" i="39"/>
  <c r="V182" i="39"/>
  <c r="U95" i="39"/>
  <c r="AH95" i="39"/>
  <c r="V95" i="39"/>
  <c r="U102" i="39"/>
  <c r="V102" i="39"/>
  <c r="AH102" i="39"/>
  <c r="V251" i="39"/>
  <c r="AH251" i="39"/>
  <c r="U251" i="39"/>
  <c r="AH294" i="39"/>
  <c r="U294" i="39"/>
  <c r="V294" i="39"/>
  <c r="V357" i="39"/>
  <c r="AH357" i="39"/>
  <c r="U357" i="39"/>
  <c r="U344" i="39"/>
  <c r="AH344" i="39"/>
  <c r="V344" i="39"/>
  <c r="U244" i="39"/>
  <c r="V244" i="39"/>
  <c r="AH244" i="39"/>
  <c r="U287" i="39"/>
  <c r="V287" i="39"/>
  <c r="AH287" i="39"/>
  <c r="U401" i="39"/>
  <c r="V401" i="39"/>
  <c r="AS401" i="39" s="1"/>
  <c r="AH401" i="39"/>
  <c r="V280" i="39"/>
  <c r="AH280" i="39"/>
  <c r="U280" i="39"/>
  <c r="U90" i="39"/>
  <c r="V90" i="39"/>
  <c r="AH90" i="39"/>
  <c r="U84" i="39"/>
  <c r="AH84" i="39"/>
  <c r="V84" i="39"/>
  <c r="U305" i="39"/>
  <c r="V305" i="39"/>
  <c r="AH305" i="39"/>
  <c r="U131" i="39"/>
  <c r="V131" i="39"/>
  <c r="AH131" i="39"/>
  <c r="V175" i="39"/>
  <c r="AH175" i="39"/>
  <c r="U175" i="39"/>
  <c r="V188" i="39"/>
  <c r="AH188" i="39"/>
  <c r="U188" i="39"/>
  <c r="U367" i="39"/>
  <c r="V367" i="39"/>
  <c r="AH367" i="39"/>
  <c r="AH339" i="39"/>
  <c r="U339" i="39"/>
  <c r="V339" i="39"/>
  <c r="AH60" i="39"/>
  <c r="U60" i="39"/>
  <c r="V60" i="39"/>
  <c r="V96" i="39"/>
  <c r="U96" i="39"/>
  <c r="AH96" i="39"/>
  <c r="V233" i="39"/>
  <c r="AH233" i="39"/>
  <c r="U233" i="39"/>
  <c r="U245" i="39"/>
  <c r="AH245" i="39"/>
  <c r="V245" i="39"/>
  <c r="U292" i="39"/>
  <c r="V292" i="39"/>
  <c r="AH292" i="39"/>
  <c r="V369" i="39"/>
  <c r="U369" i="39"/>
  <c r="AH369" i="39"/>
  <c r="U52" i="39"/>
  <c r="V52" i="39"/>
  <c r="AH52" i="39"/>
  <c r="U391" i="39"/>
  <c r="V391" i="39"/>
  <c r="AH391" i="39"/>
  <c r="AH241" i="39"/>
  <c r="U241" i="39"/>
  <c r="V241" i="39"/>
  <c r="U62" i="39"/>
  <c r="V62" i="39"/>
  <c r="AH62" i="39"/>
  <c r="U56" i="39"/>
  <c r="AH56" i="39"/>
  <c r="V56" i="39"/>
  <c r="U206" i="39"/>
  <c r="V206" i="39"/>
  <c r="AH206" i="39"/>
  <c r="AH231" i="39"/>
  <c r="U231" i="39"/>
  <c r="V231" i="39"/>
  <c r="U382" i="39"/>
  <c r="V382" i="39"/>
  <c r="AH382" i="39"/>
  <c r="V221" i="39"/>
  <c r="AH221" i="39"/>
  <c r="U221" i="39"/>
  <c r="AH319" i="39"/>
  <c r="U319" i="39"/>
  <c r="V319" i="39"/>
  <c r="AH302" i="39"/>
  <c r="U302" i="39"/>
  <c r="V302" i="39"/>
  <c r="U145" i="39"/>
  <c r="AH145" i="39"/>
  <c r="V145" i="39"/>
  <c r="U203" i="39"/>
  <c r="V203" i="39"/>
  <c r="AH203" i="39"/>
  <c r="V78" i="39"/>
  <c r="AH78" i="39"/>
  <c r="U78" i="39"/>
  <c r="V229" i="39"/>
  <c r="AH229" i="39"/>
  <c r="U229" i="39"/>
  <c r="V91" i="39"/>
  <c r="U91" i="39"/>
  <c r="AH91" i="39"/>
  <c r="V112" i="39"/>
  <c r="U112" i="39"/>
  <c r="AH112" i="39"/>
  <c r="V162" i="39"/>
  <c r="U162" i="39"/>
  <c r="AH162" i="39"/>
  <c r="U108" i="39"/>
  <c r="V108" i="39"/>
  <c r="AH108" i="39"/>
  <c r="V184" i="39"/>
  <c r="AH184" i="39"/>
  <c r="U184" i="39"/>
  <c r="V225" i="39"/>
  <c r="U225" i="39"/>
  <c r="AH225" i="39"/>
  <c r="U227" i="39"/>
  <c r="V227" i="39"/>
  <c r="AH227" i="39"/>
  <c r="AH212" i="39"/>
  <c r="U212" i="39"/>
  <c r="V212" i="39"/>
  <c r="AH218" i="39"/>
  <c r="U218" i="39"/>
  <c r="V218" i="39"/>
  <c r="U54" i="39"/>
  <c r="V54" i="39"/>
  <c r="AH54" i="39"/>
  <c r="U93" i="39"/>
  <c r="V93" i="39"/>
  <c r="AH93" i="39"/>
  <c r="U173" i="39"/>
  <c r="AH173" i="39"/>
  <c r="V173" i="39"/>
  <c r="U215" i="39"/>
  <c r="AH215" i="39"/>
  <c r="V215" i="39"/>
  <c r="V252" i="39"/>
  <c r="AH252" i="39"/>
  <c r="U252" i="39"/>
  <c r="V328" i="39"/>
  <c r="U328" i="39"/>
  <c r="AH328" i="39"/>
  <c r="V333" i="39"/>
  <c r="AH333" i="39"/>
  <c r="U333" i="39"/>
  <c r="U306" i="39"/>
  <c r="V306" i="39"/>
  <c r="AH306" i="39"/>
  <c r="U390" i="39"/>
  <c r="V390" i="39"/>
  <c r="AH390" i="39"/>
  <c r="U307" i="39"/>
  <c r="AH307" i="39"/>
  <c r="V307" i="39"/>
  <c r="V119" i="39"/>
  <c r="AH119" i="39"/>
  <c r="U119" i="39"/>
  <c r="U137" i="39"/>
  <c r="V137" i="39"/>
  <c r="AH137" i="39"/>
  <c r="V290" i="39"/>
  <c r="U290" i="39"/>
  <c r="AH290" i="39"/>
  <c r="U271" i="39"/>
  <c r="V271" i="39"/>
  <c r="AH271" i="39"/>
  <c r="U330" i="39"/>
  <c r="V330" i="39"/>
  <c r="AH330" i="39"/>
  <c r="U395" i="39"/>
  <c r="V395" i="39"/>
  <c r="AH395" i="39"/>
  <c r="U362" i="39"/>
  <c r="V362" i="39"/>
  <c r="AH362" i="39"/>
  <c r="U272" i="39"/>
  <c r="V272" i="39"/>
  <c r="AH272" i="39"/>
  <c r="V345" i="39"/>
  <c r="U345" i="39"/>
  <c r="AH345" i="39"/>
  <c r="U107" i="39"/>
  <c r="V107" i="39"/>
  <c r="AH107" i="39"/>
  <c r="V106" i="39"/>
  <c r="AH106" i="39"/>
  <c r="U106" i="39"/>
  <c r="V183" i="39"/>
  <c r="AH183" i="39"/>
  <c r="U183" i="39"/>
  <c r="V278" i="39"/>
  <c r="AH278" i="39"/>
  <c r="U278" i="39"/>
  <c r="AH389" i="39"/>
  <c r="U389" i="39"/>
  <c r="V389" i="39"/>
  <c r="AH191" i="39"/>
  <c r="U191" i="39"/>
  <c r="V191" i="39"/>
  <c r="AH289" i="39"/>
  <c r="U289" i="39"/>
  <c r="V289" i="39"/>
  <c r="U354" i="39"/>
  <c r="V354" i="39"/>
  <c r="AH354" i="39"/>
  <c r="U343" i="39"/>
  <c r="V343" i="39"/>
  <c r="AH343" i="39"/>
  <c r="V127" i="39"/>
  <c r="AH127" i="39"/>
  <c r="U127" i="39"/>
  <c r="V164" i="39"/>
  <c r="U164" i="39"/>
  <c r="AH164" i="39"/>
  <c r="V266" i="39"/>
  <c r="U266" i="39"/>
  <c r="AH266" i="39"/>
  <c r="U301" i="39"/>
  <c r="AH301" i="39"/>
  <c r="V301" i="39"/>
  <c r="AH63" i="39"/>
  <c r="U63" i="39"/>
  <c r="V63" i="39"/>
  <c r="AH66" i="39"/>
  <c r="U66" i="39"/>
  <c r="V66" i="39"/>
  <c r="U207" i="39"/>
  <c r="V207" i="39"/>
  <c r="AH207" i="39"/>
  <c r="V217" i="39"/>
  <c r="AH217" i="39"/>
  <c r="U217" i="39"/>
  <c r="U198" i="39"/>
  <c r="V198" i="39"/>
  <c r="AH198" i="39"/>
  <c r="V211" i="39"/>
  <c r="AH211" i="39"/>
  <c r="U211" i="39"/>
  <c r="AH121" i="39"/>
  <c r="U121" i="39"/>
  <c r="V121" i="39"/>
  <c r="V167" i="39"/>
  <c r="AH167" i="39"/>
  <c r="U167" i="39"/>
  <c r="U269" i="39"/>
  <c r="AH269" i="39"/>
  <c r="V269" i="39"/>
  <c r="U379" i="39"/>
  <c r="V379" i="39"/>
  <c r="AH379" i="39"/>
  <c r="V359" i="39"/>
  <c r="AH359" i="39"/>
  <c r="U359" i="39"/>
  <c r="U161" i="39"/>
  <c r="AH161" i="39"/>
  <c r="V161" i="39"/>
  <c r="V192" i="39"/>
  <c r="U192" i="39"/>
  <c r="AH192" i="39"/>
  <c r="V282" i="39"/>
  <c r="U282" i="39"/>
  <c r="AH282" i="39"/>
  <c r="V239" i="39"/>
  <c r="AH239" i="39"/>
  <c r="U239" i="39"/>
  <c r="AH281" i="39"/>
  <c r="U281" i="39"/>
  <c r="V281" i="39"/>
  <c r="V316" i="39"/>
  <c r="U316" i="39"/>
  <c r="AH316" i="39"/>
  <c r="AH372" i="39"/>
  <c r="U372" i="39"/>
  <c r="V372" i="39"/>
  <c r="U151" i="39"/>
  <c r="V151" i="39"/>
  <c r="AH151" i="39"/>
  <c r="U317" i="39"/>
  <c r="V317" i="39"/>
  <c r="AH317" i="39"/>
  <c r="AH110" i="39"/>
  <c r="U110" i="39"/>
  <c r="V110" i="39"/>
  <c r="V179" i="39"/>
  <c r="AH179" i="39"/>
  <c r="U179" i="39"/>
  <c r="AH157" i="39"/>
  <c r="U157" i="39"/>
  <c r="V157" i="39"/>
  <c r="V265" i="39"/>
  <c r="AH265" i="39"/>
  <c r="U265" i="39"/>
  <c r="U257" i="39"/>
  <c r="V257" i="39"/>
  <c r="AH257" i="39"/>
  <c r="U374" i="39"/>
  <c r="V374" i="39"/>
  <c r="AH374" i="39"/>
  <c r="AH348" i="39"/>
  <c r="U348" i="39"/>
  <c r="V348" i="39"/>
  <c r="U399" i="39"/>
  <c r="V399" i="39"/>
  <c r="AH399" i="39"/>
  <c r="AH381" i="39"/>
  <c r="U381" i="39"/>
  <c r="V381" i="39"/>
  <c r="U142" i="39"/>
  <c r="V142" i="39"/>
  <c r="AH142" i="39"/>
  <c r="V190" i="39"/>
  <c r="AH190" i="39"/>
  <c r="U190" i="39"/>
  <c r="U195" i="39"/>
  <c r="V195" i="39"/>
  <c r="AH195" i="39"/>
  <c r="U216" i="39"/>
  <c r="AH216" i="39"/>
  <c r="V216" i="39"/>
  <c r="U288" i="39"/>
  <c r="V288" i="39"/>
  <c r="AH288" i="39"/>
  <c r="U318" i="39"/>
  <c r="V318" i="39"/>
  <c r="AH318" i="39"/>
  <c r="U325" i="39"/>
  <c r="V325" i="39"/>
  <c r="AH325" i="39"/>
  <c r="U313" i="39"/>
  <c r="V313" i="39"/>
  <c r="AH313" i="39"/>
  <c r="U388" i="39"/>
  <c r="V388" i="39"/>
  <c r="AH388" i="39"/>
  <c r="U57" i="39"/>
  <c r="V57" i="39"/>
  <c r="AH57" i="39"/>
  <c r="AH72" i="39"/>
  <c r="U72" i="39"/>
  <c r="V72" i="39"/>
  <c r="U276" i="39"/>
  <c r="V276" i="39"/>
  <c r="AH276" i="39"/>
  <c r="U336" i="39"/>
  <c r="V336" i="39"/>
  <c r="AH336" i="39"/>
  <c r="V334" i="39"/>
  <c r="AH334" i="39"/>
  <c r="U334" i="39"/>
  <c r="V384" i="39"/>
  <c r="AH384" i="39"/>
  <c r="U384" i="39"/>
  <c r="U133" i="39"/>
  <c r="V133" i="39"/>
  <c r="AH133" i="39"/>
  <c r="U300" i="39"/>
  <c r="V300" i="39"/>
  <c r="AH300" i="39"/>
  <c r="U315" i="39"/>
  <c r="AH315" i="39"/>
  <c r="V315" i="39"/>
  <c r="AH129" i="39"/>
  <c r="U129" i="39"/>
  <c r="V129" i="39"/>
  <c r="AH113" i="39"/>
  <c r="U113" i="39"/>
  <c r="V113" i="39"/>
  <c r="AH58" i="39"/>
  <c r="U58" i="39"/>
  <c r="V58" i="39"/>
  <c r="V308" i="39"/>
  <c r="U308" i="39"/>
  <c r="AH308" i="39"/>
  <c r="V55" i="39"/>
  <c r="U55" i="39"/>
  <c r="AH55" i="39"/>
  <c r="U172" i="39"/>
  <c r="AH172" i="39"/>
  <c r="V172" i="39"/>
  <c r="V140" i="39"/>
  <c r="U140" i="39"/>
  <c r="AH140" i="39"/>
  <c r="AH220" i="39"/>
  <c r="U220" i="39"/>
  <c r="V220" i="39"/>
  <c r="U260" i="39"/>
  <c r="AH260" i="39"/>
  <c r="V260" i="39"/>
  <c r="U387" i="39"/>
  <c r="V387" i="39"/>
  <c r="AH387" i="39"/>
  <c r="AH356" i="39"/>
  <c r="U356" i="39"/>
  <c r="V356" i="39"/>
  <c r="V61" i="39"/>
  <c r="AH61" i="39"/>
  <c r="U61" i="39"/>
  <c r="V168" i="39"/>
  <c r="AH168" i="39"/>
  <c r="U168" i="39"/>
  <c r="U310" i="39"/>
  <c r="V310" i="39"/>
  <c r="AH310" i="39"/>
  <c r="AH134" i="39"/>
  <c r="U134" i="39"/>
  <c r="V134" i="39"/>
  <c r="V148" i="39"/>
  <c r="U148" i="39"/>
  <c r="AH148" i="39"/>
  <c r="V152" i="39"/>
  <c r="U152" i="39"/>
  <c r="AH152" i="39"/>
  <c r="U235" i="39"/>
  <c r="V235" i="39"/>
  <c r="AH235" i="39"/>
  <c r="U275" i="39"/>
  <c r="V275" i="39"/>
  <c r="AH275" i="39"/>
  <c r="U360" i="39"/>
  <c r="AH360" i="39"/>
  <c r="V360" i="39"/>
  <c r="AH378" i="39"/>
  <c r="U378" i="39"/>
  <c r="V378" i="39"/>
  <c r="V349" i="39"/>
  <c r="U349" i="39"/>
  <c r="AH349" i="39"/>
  <c r="U352" i="39"/>
  <c r="AH352" i="39"/>
  <c r="V352" i="39"/>
  <c r="V358" i="39"/>
  <c r="AH358" i="39"/>
  <c r="U358" i="39"/>
  <c r="V256" i="39"/>
  <c r="AH256" i="39"/>
  <c r="U256" i="39"/>
  <c r="U309" i="39"/>
  <c r="V309" i="39"/>
  <c r="AH309" i="39"/>
  <c r="U101" i="39"/>
  <c r="V101" i="39"/>
  <c r="AH101" i="39"/>
  <c r="V169" i="39"/>
  <c r="AH169" i="39"/>
  <c r="U169" i="39"/>
  <c r="V156" i="39"/>
  <c r="AH156" i="39"/>
  <c r="U156" i="39"/>
  <c r="U261" i="39"/>
  <c r="V261" i="39"/>
  <c r="AH261" i="39"/>
  <c r="AH249" i="39"/>
  <c r="U249" i="39"/>
  <c r="V249" i="39"/>
  <c r="U138" i="39"/>
  <c r="V138" i="39"/>
  <c r="AH138" i="39"/>
  <c r="U298" i="39"/>
  <c r="AH298" i="39"/>
  <c r="V298" i="39"/>
  <c r="V373" i="39"/>
  <c r="U373" i="39"/>
  <c r="AH373" i="39"/>
  <c r="U375" i="39"/>
  <c r="V375" i="39"/>
  <c r="AH375" i="39"/>
  <c r="U396" i="39"/>
  <c r="V396" i="39"/>
  <c r="AH396" i="39"/>
  <c r="U125" i="39"/>
  <c r="AH125" i="39"/>
  <c r="V125" i="39"/>
  <c r="U346" i="39"/>
  <c r="V346" i="39"/>
  <c r="AH346" i="39"/>
  <c r="U355" i="39"/>
  <c r="V355" i="39"/>
  <c r="AH355" i="39"/>
  <c r="AH139" i="39"/>
  <c r="U139" i="39"/>
  <c r="V139" i="39"/>
  <c r="AH180" i="39"/>
  <c r="U180" i="39"/>
  <c r="V180" i="39"/>
  <c r="U385" i="39"/>
  <c r="V385" i="39"/>
  <c r="AH385" i="39"/>
  <c r="AH327" i="39"/>
  <c r="U327" i="39"/>
  <c r="V327" i="39"/>
  <c r="U85" i="39"/>
  <c r="V85" i="39"/>
  <c r="AH85" i="39"/>
  <c r="AH92" i="39"/>
  <c r="U92" i="39"/>
  <c r="V92" i="39"/>
  <c r="U268" i="39"/>
  <c r="V268" i="39"/>
  <c r="AH268" i="39"/>
  <c r="U285" i="39"/>
  <c r="AH285" i="39"/>
  <c r="V285" i="39"/>
  <c r="AH124" i="39"/>
  <c r="U124" i="39"/>
  <c r="V124" i="39"/>
  <c r="AH176" i="39"/>
  <c r="U176" i="39"/>
  <c r="V176" i="39"/>
  <c r="V53" i="39"/>
  <c r="AH53" i="39"/>
  <c r="U53" i="39"/>
  <c r="U135" i="39"/>
  <c r="V135" i="39"/>
  <c r="AH135" i="39"/>
  <c r="V158" i="39"/>
  <c r="AH158" i="39"/>
  <c r="U158" i="39"/>
  <c r="U143" i="39"/>
  <c r="V143" i="39"/>
  <c r="AH143" i="39"/>
  <c r="V193" i="39"/>
  <c r="U193" i="39"/>
  <c r="AH193" i="39"/>
  <c r="U297" i="39"/>
  <c r="V297" i="39"/>
  <c r="AH297" i="39"/>
  <c r="U123" i="39"/>
  <c r="V123" i="39"/>
  <c r="AH123" i="39"/>
  <c r="AH204" i="39"/>
  <c r="U204" i="39"/>
  <c r="V204" i="39"/>
  <c r="V262" i="39"/>
  <c r="AH262" i="39"/>
  <c r="U262" i="39"/>
  <c r="U194" i="39"/>
  <c r="V194" i="39"/>
  <c r="AH194" i="39"/>
  <c r="V111" i="39"/>
  <c r="AH111" i="39"/>
  <c r="U111" i="39"/>
  <c r="U291" i="39"/>
  <c r="V291" i="39"/>
  <c r="AH291" i="39"/>
  <c r="U394" i="39"/>
  <c r="V394" i="39"/>
  <c r="AH394" i="39"/>
  <c r="U74" i="39"/>
  <c r="V74" i="39"/>
  <c r="AH74" i="39"/>
  <c r="U99" i="39"/>
  <c r="V99" i="39"/>
  <c r="AH99" i="39"/>
  <c r="V120" i="39"/>
  <c r="AH120" i="39"/>
  <c r="U120" i="39"/>
  <c r="V270" i="39"/>
  <c r="U270" i="39"/>
  <c r="AH270" i="39"/>
  <c r="U277" i="39"/>
  <c r="AH277" i="39"/>
  <c r="V277" i="39"/>
  <c r="V67" i="39"/>
  <c r="U67" i="39"/>
  <c r="AH67" i="39"/>
  <c r="U86" i="39"/>
  <c r="V86" i="39"/>
  <c r="AH86" i="39"/>
  <c r="U178" i="39"/>
  <c r="AH178" i="39"/>
  <c r="V178" i="39"/>
  <c r="AH340" i="39"/>
  <c r="U340" i="39"/>
  <c r="V340" i="39"/>
  <c r="V337" i="39"/>
  <c r="U337" i="39"/>
  <c r="AH337" i="39"/>
  <c r="U76" i="39"/>
  <c r="AH76" i="39"/>
  <c r="V76" i="39"/>
  <c r="AH146" i="39"/>
  <c r="U146" i="39"/>
  <c r="V146" i="39"/>
  <c r="AH174" i="39"/>
  <c r="U174" i="39"/>
  <c r="V174" i="39"/>
  <c r="V254" i="39"/>
  <c r="U254" i="39"/>
  <c r="AH254" i="39"/>
  <c r="U283" i="39"/>
  <c r="V283" i="39"/>
  <c r="AH283" i="39"/>
  <c r="AH303" i="39"/>
  <c r="U303" i="39"/>
  <c r="V303" i="39"/>
  <c r="U368" i="39"/>
  <c r="AH368" i="39"/>
  <c r="V368" i="39"/>
  <c r="V209" i="39"/>
  <c r="AH209" i="39"/>
  <c r="U209" i="39"/>
  <c r="U331" i="39"/>
  <c r="AH331" i="39"/>
  <c r="V331" i="39"/>
  <c r="AH376" i="39"/>
  <c r="U376" i="39"/>
  <c r="V376" i="39"/>
  <c r="AH364" i="39"/>
  <c r="U364" i="39"/>
  <c r="V364" i="39"/>
  <c r="U77" i="39"/>
  <c r="V77" i="39"/>
  <c r="AH77" i="39"/>
  <c r="U170" i="39"/>
  <c r="AH170" i="39"/>
  <c r="V170" i="39"/>
  <c r="AH166" i="39"/>
  <c r="U166" i="39"/>
  <c r="V166" i="39"/>
  <c r="U377" i="39"/>
  <c r="V377" i="39"/>
  <c r="AH377" i="39"/>
  <c r="U65" i="39"/>
  <c r="V65" i="39"/>
  <c r="AH65" i="39"/>
  <c r="U115" i="39"/>
  <c r="V115" i="39"/>
  <c r="AH115" i="39"/>
  <c r="U187" i="39"/>
  <c r="AH187" i="39"/>
  <c r="V187" i="39"/>
  <c r="U83" i="39"/>
  <c r="AH83" i="39"/>
  <c r="V83" i="39"/>
  <c r="AH116" i="39"/>
  <c r="V116" i="39"/>
  <c r="U116" i="39"/>
  <c r="V160" i="39"/>
  <c r="AH160" i="39"/>
  <c r="U160" i="39"/>
  <c r="V197" i="39"/>
  <c r="U197" i="39"/>
  <c r="AH197" i="39"/>
  <c r="V242" i="39"/>
  <c r="U242" i="39"/>
  <c r="AH242" i="39"/>
  <c r="U153" i="39"/>
  <c r="AH153" i="39"/>
  <c r="V153" i="39"/>
  <c r="V295" i="39"/>
  <c r="AH295" i="39"/>
  <c r="U295" i="39"/>
  <c r="U132" i="39"/>
  <c r="AH132" i="39"/>
  <c r="V132" i="39"/>
  <c r="V189" i="39"/>
  <c r="AH189" i="39"/>
  <c r="U189" i="39"/>
  <c r="U397" i="39"/>
  <c r="V397" i="39"/>
  <c r="AH397" i="39"/>
  <c r="V274" i="39"/>
  <c r="U274" i="39"/>
  <c r="AH274" i="39"/>
  <c r="U88" i="39"/>
  <c r="V88" i="39"/>
  <c r="AH88" i="39"/>
  <c r="U214" i="39"/>
  <c r="AH214" i="39"/>
  <c r="V214" i="39"/>
  <c r="V361" i="39"/>
  <c r="U361" i="39"/>
  <c r="AH361" i="39"/>
  <c r="V73" i="39"/>
  <c r="AH73" i="39"/>
  <c r="U73" i="39"/>
  <c r="U130" i="39"/>
  <c r="V130" i="39"/>
  <c r="AH130" i="39"/>
  <c r="V163" i="39"/>
  <c r="U163" i="39"/>
  <c r="AH163" i="39"/>
  <c r="AH177" i="39"/>
  <c r="U177" i="39"/>
  <c r="V177" i="39"/>
  <c r="AH259" i="39"/>
  <c r="U259" i="39"/>
  <c r="V259" i="39"/>
  <c r="U350" i="39"/>
  <c r="V350" i="39"/>
  <c r="AH350" i="39"/>
  <c r="V312" i="39"/>
  <c r="U312" i="39"/>
  <c r="AH312" i="39"/>
  <c r="AH89" i="39"/>
  <c r="U89" i="39"/>
  <c r="V89" i="39"/>
  <c r="V147" i="39"/>
  <c r="AH147" i="39"/>
  <c r="U147" i="39"/>
  <c r="AH103" i="39"/>
  <c r="U103" i="39"/>
  <c r="V103" i="39"/>
  <c r="V185" i="39"/>
  <c r="AH185" i="39"/>
  <c r="U185" i="39"/>
  <c r="V213" i="39"/>
  <c r="U213" i="39"/>
  <c r="AH213" i="39"/>
  <c r="AH228" i="39"/>
  <c r="U228" i="39"/>
  <c r="V228" i="39"/>
  <c r="U224" i="39"/>
  <c r="AH224" i="39"/>
  <c r="V224" i="39"/>
  <c r="AH230" i="39"/>
  <c r="U230" i="39"/>
  <c r="V230" i="39"/>
  <c r="AH293" i="39"/>
  <c r="U293" i="39"/>
  <c r="V293" i="39"/>
  <c r="V324" i="39"/>
  <c r="U324" i="39"/>
  <c r="AH324" i="39"/>
  <c r="AH311" i="39"/>
  <c r="U311" i="39"/>
  <c r="V311" i="39"/>
  <c r="V128" i="39"/>
  <c r="AH128" i="39"/>
  <c r="U128" i="39"/>
  <c r="U267" i="39"/>
  <c r="V267" i="39"/>
  <c r="AH267" i="39"/>
  <c r="U371" i="39"/>
  <c r="V371" i="39"/>
  <c r="AH371" i="39"/>
  <c r="V279" i="39"/>
  <c r="AH279" i="39"/>
  <c r="U279" i="39"/>
  <c r="V332" i="39"/>
  <c r="AH332" i="39"/>
  <c r="U332" i="39"/>
  <c r="U321" i="39"/>
  <c r="V321" i="39"/>
  <c r="AH321" i="39"/>
  <c r="U326" i="39"/>
  <c r="V326" i="39"/>
  <c r="AH326" i="39"/>
  <c r="U284" i="39"/>
  <c r="V284" i="39"/>
  <c r="AH284" i="39"/>
  <c r="V398" i="39"/>
  <c r="AH398" i="39"/>
  <c r="U398" i="39"/>
  <c r="U75" i="39"/>
  <c r="AH75" i="39"/>
  <c r="V75" i="39"/>
  <c r="V80" i="39"/>
  <c r="AH80" i="39"/>
  <c r="U80" i="39"/>
  <c r="AH94" i="39"/>
  <c r="U94" i="39"/>
  <c r="V94" i="39"/>
  <c r="AH98" i="39"/>
  <c r="U98" i="39"/>
  <c r="V98" i="39"/>
  <c r="U87" i="39"/>
  <c r="V87" i="39"/>
  <c r="AH87" i="39"/>
  <c r="AH181" i="39"/>
  <c r="U181" i="39"/>
  <c r="V181" i="39"/>
  <c r="U237" i="39"/>
  <c r="AH237" i="39"/>
  <c r="V237" i="39"/>
  <c r="U243" i="39"/>
  <c r="V243" i="39"/>
  <c r="AH243" i="39"/>
  <c r="AO23" i="39"/>
  <c r="AO50" i="39"/>
  <c r="AO12" i="39"/>
  <c r="AO22" i="39"/>
  <c r="AO38" i="39"/>
  <c r="AO9" i="39"/>
  <c r="AO25" i="39"/>
  <c r="AO28" i="39"/>
  <c r="AO36" i="39"/>
  <c r="AO44" i="39"/>
  <c r="AO10" i="39"/>
  <c r="AO29" i="39"/>
  <c r="AO8" i="39"/>
  <c r="AO21" i="39"/>
  <c r="AO48" i="39"/>
  <c r="AO31" i="39"/>
  <c r="AO16" i="39"/>
  <c r="AO34" i="39"/>
  <c r="AO26" i="39"/>
  <c r="AO33" i="39"/>
  <c r="AO45" i="39"/>
  <c r="AO51" i="39"/>
  <c r="AO37" i="39"/>
  <c r="AO35" i="39"/>
  <c r="AO27" i="39"/>
  <c r="AO30" i="39"/>
  <c r="AO32" i="39"/>
  <c r="AO39" i="39"/>
  <c r="AO13" i="39"/>
  <c r="AO17" i="39"/>
  <c r="AH33" i="39"/>
  <c r="V12" i="39"/>
  <c r="AV12" i="39" s="1"/>
  <c r="U33" i="39"/>
  <c r="U14" i="39"/>
  <c r="V11" i="39"/>
  <c r="AV11" i="39" s="1"/>
  <c r="U31" i="39"/>
  <c r="U4" i="39"/>
  <c r="V21" i="39"/>
  <c r="AS21" i="39" s="1"/>
  <c r="U41" i="39"/>
  <c r="V19" i="39"/>
  <c r="AV19" i="39" s="1"/>
  <c r="AU23" i="39"/>
  <c r="AS9" i="39"/>
  <c r="U45" i="39"/>
  <c r="AU9" i="39"/>
  <c r="AT3" i="39"/>
  <c r="V38" i="39"/>
  <c r="AV38" i="39" s="1"/>
  <c r="V35" i="39"/>
  <c r="AV35" i="39" s="1"/>
  <c r="U19" i="39"/>
  <c r="AT43" i="39"/>
  <c r="V50" i="39"/>
  <c r="AU50" i="39" s="1"/>
  <c r="V40" i="39"/>
  <c r="AV40" i="39" s="1"/>
  <c r="AH45" i="39"/>
  <c r="AH50" i="39"/>
  <c r="AH36" i="39"/>
  <c r="U10" i="39"/>
  <c r="AS10" i="39"/>
  <c r="U18" i="39"/>
  <c r="V5" i="39"/>
  <c r="V20" i="39"/>
  <c r="AV20" i="39" s="1"/>
  <c r="AT5" i="39"/>
  <c r="V36" i="39"/>
  <c r="AS36" i="39" s="1"/>
  <c r="V43" i="39"/>
  <c r="AU43" i="39" s="1"/>
  <c r="AH46" i="39"/>
  <c r="AT4" i="39"/>
  <c r="AU26" i="39"/>
  <c r="V29" i="39"/>
  <c r="AS29" i="39" s="1"/>
  <c r="AU37" i="39"/>
  <c r="V6" i="39"/>
  <c r="AU6" i="39" s="1"/>
  <c r="U9" i="39"/>
  <c r="AU10" i="39"/>
  <c r="U44" i="39"/>
  <c r="AH48" i="39"/>
  <c r="AH29" i="39"/>
  <c r="U32" i="39"/>
  <c r="AV9" i="39"/>
  <c r="AH13" i="39"/>
  <c r="V18" i="39"/>
  <c r="AS18" i="39" s="1"/>
  <c r="AH31" i="39"/>
  <c r="AH41" i="39"/>
  <c r="U43" i="39"/>
  <c r="U46" i="39"/>
  <c r="V48" i="39"/>
  <c r="AU48" i="39" s="1"/>
  <c r="AS22" i="39"/>
  <c r="AU17" i="39"/>
  <c r="U13" i="39"/>
  <c r="U17" i="39"/>
  <c r="AU13" i="39"/>
  <c r="U5" i="39"/>
  <c r="AH10" i="39"/>
  <c r="AV17" i="39"/>
  <c r="U20" i="39"/>
  <c r="V27" i="39"/>
  <c r="AV27" i="39" s="1"/>
  <c r="AS33" i="39"/>
  <c r="U12" i="39"/>
  <c r="AU31" i="39"/>
  <c r="AS31" i="39"/>
  <c r="AV2" i="39"/>
  <c r="AS2" i="39"/>
  <c r="AH2" i="39"/>
  <c r="AU24" i="39"/>
  <c r="AV24" i="39"/>
  <c r="AS24" i="39"/>
  <c r="V7" i="39"/>
  <c r="AH7" i="39"/>
  <c r="U7" i="39"/>
  <c r="AV14" i="39"/>
  <c r="AS14" i="39"/>
  <c r="U2" i="39"/>
  <c r="AH14" i="39"/>
  <c r="V16" i="39"/>
  <c r="AH16" i="39"/>
  <c r="U16" i="39"/>
  <c r="AU25" i="39"/>
  <c r="AS25" i="39"/>
  <c r="AV25" i="39"/>
  <c r="AH6" i="39"/>
  <c r="AH3" i="39"/>
  <c r="V3" i="39"/>
  <c r="U3" i="39"/>
  <c r="V8" i="39"/>
  <c r="AH8" i="39"/>
  <c r="U8" i="39"/>
  <c r="V15" i="39"/>
  <c r="AH15" i="39"/>
  <c r="U15" i="39"/>
  <c r="AH22" i="39"/>
  <c r="AH23" i="39"/>
  <c r="AH37" i="39"/>
  <c r="AU41" i="39"/>
  <c r="AS41" i="39"/>
  <c r="AT42" i="39"/>
  <c r="AH51" i="39"/>
  <c r="V51" i="39"/>
  <c r="AS13" i="39"/>
  <c r="AH21" i="39"/>
  <c r="U22" i="39"/>
  <c r="U23" i="39"/>
  <c r="U24" i="39"/>
  <c r="AH24" i="39"/>
  <c r="U25" i="39"/>
  <c r="AH25" i="39"/>
  <c r="U26" i="39"/>
  <c r="AH30" i="39"/>
  <c r="AV34" i="39"/>
  <c r="AU44" i="39"/>
  <c r="AS44" i="39"/>
  <c r="AH9" i="39"/>
  <c r="AH17" i="39"/>
  <c r="AS23" i="39"/>
  <c r="AS26" i="39"/>
  <c r="U30" i="39"/>
  <c r="AV33" i="39"/>
  <c r="U37" i="39"/>
  <c r="AV41" i="39"/>
  <c r="AH44" i="39"/>
  <c r="U51" i="39"/>
  <c r="V28" i="39"/>
  <c r="AH28" i="39"/>
  <c r="AS30" i="39"/>
  <c r="AS37" i="39"/>
  <c r="V47" i="39"/>
  <c r="AH47" i="39"/>
  <c r="V39" i="39"/>
  <c r="AH39" i="39"/>
  <c r="AT40" i="39"/>
  <c r="AH42" i="39"/>
  <c r="V42" i="39"/>
  <c r="V4" i="39"/>
  <c r="U11" i="39"/>
  <c r="AV22" i="39"/>
  <c r="AH27" i="39"/>
  <c r="U28" i="39"/>
  <c r="AV30" i="39"/>
  <c r="AH34" i="39"/>
  <c r="U35" i="39"/>
  <c r="AV44" i="39"/>
  <c r="AU46" i="39"/>
  <c r="AS46" i="39"/>
  <c r="U47" i="39"/>
  <c r="V49" i="39"/>
  <c r="AH49" i="39"/>
  <c r="AU32" i="39"/>
  <c r="AS32" i="39"/>
  <c r="U34" i="39"/>
  <c r="AH38" i="39"/>
  <c r="U39" i="39"/>
  <c r="U42" i="39"/>
  <c r="AH26" i="39"/>
  <c r="AH32" i="39"/>
  <c r="AS34" i="39"/>
  <c r="AU45" i="39"/>
  <c r="AS45" i="39"/>
  <c r="U40" i="39"/>
  <c r="AU12" i="39" l="1"/>
  <c r="AU87" i="39"/>
  <c r="AV87" i="39"/>
  <c r="AS87" i="39"/>
  <c r="AS398" i="39"/>
  <c r="AU398" i="39"/>
  <c r="AV398" i="39"/>
  <c r="AV321" i="39"/>
  <c r="AS321" i="39"/>
  <c r="AU321" i="39"/>
  <c r="AS128" i="39"/>
  <c r="AU128" i="39"/>
  <c r="AV128" i="39"/>
  <c r="AV228" i="39"/>
  <c r="AS228" i="39"/>
  <c r="AU228" i="39"/>
  <c r="AV185" i="39"/>
  <c r="AS185" i="39"/>
  <c r="AU185" i="39"/>
  <c r="AS259" i="39"/>
  <c r="AV259" i="39"/>
  <c r="AU259" i="39"/>
  <c r="AV163" i="39"/>
  <c r="AS163" i="39"/>
  <c r="AU163" i="39"/>
  <c r="AV189" i="39"/>
  <c r="AS189" i="39"/>
  <c r="AU189" i="39"/>
  <c r="AS65" i="39"/>
  <c r="AU65" i="39"/>
  <c r="AV65" i="39"/>
  <c r="AS170" i="39"/>
  <c r="AU170" i="39"/>
  <c r="AV170" i="39"/>
  <c r="AS99" i="39"/>
  <c r="AU99" i="39"/>
  <c r="AV99" i="39"/>
  <c r="AU123" i="39"/>
  <c r="AV123" i="39"/>
  <c r="AS123" i="39"/>
  <c r="AV92" i="39"/>
  <c r="AS92" i="39"/>
  <c r="AU92" i="39"/>
  <c r="AS125" i="39"/>
  <c r="AV125" i="39"/>
  <c r="AU125" i="39"/>
  <c r="AS138" i="39"/>
  <c r="AU138" i="39"/>
  <c r="AV138" i="39"/>
  <c r="AS378" i="39"/>
  <c r="AU378" i="39"/>
  <c r="AV378" i="39"/>
  <c r="AS57" i="39"/>
  <c r="AU57" i="39"/>
  <c r="AV57" i="39"/>
  <c r="AU161" i="39"/>
  <c r="AS161" i="39"/>
  <c r="AV161" i="39"/>
  <c r="AS330" i="39"/>
  <c r="AU330" i="39"/>
  <c r="AV330" i="39"/>
  <c r="AS215" i="39"/>
  <c r="AU215" i="39"/>
  <c r="AV215" i="39"/>
  <c r="AU162" i="39"/>
  <c r="AS162" i="39"/>
  <c r="AV162" i="39"/>
  <c r="AS145" i="39"/>
  <c r="AV145" i="39"/>
  <c r="AU145" i="39"/>
  <c r="AS292" i="39"/>
  <c r="AU292" i="39"/>
  <c r="AV292" i="39"/>
  <c r="AS84" i="39"/>
  <c r="AU84" i="39"/>
  <c r="AV84" i="39"/>
  <c r="AS280" i="39"/>
  <c r="AU280" i="39"/>
  <c r="AV280" i="39"/>
  <c r="AS244" i="39"/>
  <c r="AU244" i="39"/>
  <c r="AV244" i="39"/>
  <c r="AS294" i="39"/>
  <c r="AU294" i="39"/>
  <c r="AV294" i="39"/>
  <c r="AS186" i="39"/>
  <c r="AU186" i="39"/>
  <c r="AV186" i="39"/>
  <c r="AS69" i="39"/>
  <c r="AV69" i="39"/>
  <c r="AU69" i="39"/>
  <c r="AU205" i="39"/>
  <c r="AV205" i="39"/>
  <c r="AS205" i="39"/>
  <c r="AS347" i="39"/>
  <c r="AV347" i="39"/>
  <c r="AU347" i="39"/>
  <c r="AU104" i="39"/>
  <c r="AS104" i="39"/>
  <c r="AV104" i="39"/>
  <c r="AU232" i="39"/>
  <c r="AV232" i="39"/>
  <c r="AS232" i="39"/>
  <c r="AS380" i="39"/>
  <c r="AU380" i="39"/>
  <c r="AV380" i="39"/>
  <c r="AV202" i="39"/>
  <c r="AU202" i="39"/>
  <c r="AS202" i="39"/>
  <c r="AS237" i="39"/>
  <c r="AU237" i="39"/>
  <c r="AV237" i="39"/>
  <c r="AS371" i="39"/>
  <c r="AU371" i="39"/>
  <c r="AV371" i="39"/>
  <c r="AS311" i="39"/>
  <c r="AU311" i="39"/>
  <c r="AV311" i="39"/>
  <c r="AV103" i="39"/>
  <c r="AS103" i="39"/>
  <c r="AU103" i="39"/>
  <c r="AU361" i="39"/>
  <c r="AS361" i="39"/>
  <c r="AV361" i="39"/>
  <c r="AV132" i="39"/>
  <c r="AS132" i="39"/>
  <c r="AU132" i="39"/>
  <c r="AS187" i="39"/>
  <c r="AU187" i="39"/>
  <c r="AV187" i="39"/>
  <c r="AS376" i="39"/>
  <c r="AU376" i="39"/>
  <c r="AV376" i="39"/>
  <c r="AU209" i="39"/>
  <c r="AS209" i="39"/>
  <c r="AV209" i="39"/>
  <c r="AV283" i="39"/>
  <c r="AS283" i="39"/>
  <c r="AU283" i="39"/>
  <c r="AS146" i="39"/>
  <c r="AU146" i="39"/>
  <c r="AV146" i="39"/>
  <c r="AV337" i="39"/>
  <c r="AS337" i="39"/>
  <c r="AU337" i="39"/>
  <c r="AS86" i="39"/>
  <c r="AU86" i="39"/>
  <c r="AV86" i="39"/>
  <c r="AV291" i="39"/>
  <c r="AS291" i="39"/>
  <c r="AU291" i="39"/>
  <c r="AU143" i="39"/>
  <c r="AV143" i="39"/>
  <c r="AS143" i="39"/>
  <c r="AV358" i="39"/>
  <c r="AS358" i="39"/>
  <c r="AU358" i="39"/>
  <c r="AS148" i="39"/>
  <c r="AU148" i="39"/>
  <c r="AV148" i="39"/>
  <c r="AS113" i="39"/>
  <c r="AU113" i="39"/>
  <c r="AV113" i="39"/>
  <c r="AV325" i="39"/>
  <c r="AU325" i="39"/>
  <c r="AS325" i="39"/>
  <c r="AU216" i="39"/>
  <c r="AV216" i="39"/>
  <c r="AS216" i="39"/>
  <c r="AS190" i="39"/>
  <c r="AU190" i="39"/>
  <c r="AV190" i="39"/>
  <c r="AS399" i="39"/>
  <c r="AU399" i="39"/>
  <c r="AV399" i="39"/>
  <c r="AV317" i="39"/>
  <c r="AS317" i="39"/>
  <c r="AU317" i="39"/>
  <c r="AV239" i="39"/>
  <c r="AS239" i="39"/>
  <c r="AU239" i="39"/>
  <c r="AV269" i="39"/>
  <c r="AS269" i="39"/>
  <c r="AU269" i="39"/>
  <c r="AS63" i="39"/>
  <c r="AU63" i="39"/>
  <c r="AV63" i="39"/>
  <c r="AU266" i="39"/>
  <c r="AS266" i="39"/>
  <c r="AV266" i="39"/>
  <c r="AS343" i="39"/>
  <c r="AU343" i="39"/>
  <c r="AV343" i="39"/>
  <c r="AS191" i="39"/>
  <c r="AU191" i="39"/>
  <c r="AV191" i="39"/>
  <c r="AU278" i="39"/>
  <c r="AS278" i="39"/>
  <c r="AV278" i="39"/>
  <c r="AU107" i="39"/>
  <c r="AV107" i="39"/>
  <c r="AS107" i="39"/>
  <c r="AV137" i="39"/>
  <c r="AU137" i="39"/>
  <c r="AS137" i="39"/>
  <c r="AV333" i="39"/>
  <c r="AS333" i="39"/>
  <c r="AU333" i="39"/>
  <c r="AU229" i="39"/>
  <c r="AV229" i="39"/>
  <c r="AS229" i="39"/>
  <c r="AU62" i="39"/>
  <c r="AV62" i="39"/>
  <c r="AS62" i="39"/>
  <c r="AU175" i="39"/>
  <c r="AV175" i="39"/>
  <c r="AS175" i="39"/>
  <c r="AV95" i="39"/>
  <c r="AU95" i="39"/>
  <c r="AS95" i="39"/>
  <c r="AU154" i="39"/>
  <c r="AS154" i="39"/>
  <c r="AV154" i="39"/>
  <c r="AU114" i="39"/>
  <c r="AS114" i="39"/>
  <c r="AV114" i="39"/>
  <c r="AS255" i="39"/>
  <c r="AV255" i="39"/>
  <c r="AU255" i="39"/>
  <c r="AS199" i="39"/>
  <c r="AV199" i="39"/>
  <c r="AU199" i="39"/>
  <c r="AS149" i="39"/>
  <c r="AU149" i="39"/>
  <c r="AV149" i="39"/>
  <c r="AV226" i="39"/>
  <c r="AS226" i="39"/>
  <c r="AU226" i="39"/>
  <c r="AS248" i="39"/>
  <c r="AU248" i="39"/>
  <c r="AV248" i="39"/>
  <c r="AU201" i="39"/>
  <c r="AV201" i="39"/>
  <c r="AS201" i="39"/>
  <c r="AS296" i="39"/>
  <c r="AU296" i="39"/>
  <c r="AV296" i="39"/>
  <c r="AV392" i="39"/>
  <c r="AS392" i="39"/>
  <c r="AU392" i="39"/>
  <c r="AV222" i="39"/>
  <c r="AS222" i="39"/>
  <c r="AU222" i="39"/>
  <c r="AU98" i="39"/>
  <c r="AV98" i="39"/>
  <c r="AS98" i="39"/>
  <c r="AS80" i="39"/>
  <c r="AU80" i="39"/>
  <c r="AV80" i="39"/>
  <c r="AS284" i="39"/>
  <c r="AU284" i="39"/>
  <c r="AV284" i="39"/>
  <c r="AV230" i="39"/>
  <c r="AU230" i="39"/>
  <c r="AS230" i="39"/>
  <c r="AU130" i="39"/>
  <c r="AV130" i="39"/>
  <c r="AS130" i="39"/>
  <c r="AV214" i="39"/>
  <c r="AU214" i="39"/>
  <c r="AS214" i="39"/>
  <c r="AU274" i="39"/>
  <c r="AV274" i="39"/>
  <c r="AS274" i="39"/>
  <c r="AS160" i="39"/>
  <c r="AU160" i="39"/>
  <c r="AV160" i="39"/>
  <c r="AS368" i="39"/>
  <c r="AU368" i="39"/>
  <c r="AV368" i="39"/>
  <c r="AS340" i="39"/>
  <c r="AU340" i="39"/>
  <c r="AV340" i="39"/>
  <c r="AS285" i="39"/>
  <c r="AU285" i="39"/>
  <c r="AV285" i="39"/>
  <c r="AU385" i="39"/>
  <c r="AV385" i="39"/>
  <c r="AS385" i="39"/>
  <c r="AS249" i="39"/>
  <c r="AU249" i="39"/>
  <c r="AV249" i="39"/>
  <c r="AS156" i="39"/>
  <c r="AV156" i="39"/>
  <c r="AU156" i="39"/>
  <c r="AV309" i="39"/>
  <c r="AS309" i="39"/>
  <c r="AU309" i="39"/>
  <c r="AU352" i="39"/>
  <c r="AV352" i="39"/>
  <c r="AS352" i="39"/>
  <c r="AV235" i="39"/>
  <c r="AU235" i="39"/>
  <c r="AS235" i="39"/>
  <c r="AS134" i="39"/>
  <c r="AV134" i="39"/>
  <c r="AU134" i="39"/>
  <c r="AV168" i="39"/>
  <c r="AS168" i="39"/>
  <c r="AU168" i="39"/>
  <c r="AU387" i="39"/>
  <c r="AV387" i="39"/>
  <c r="AS387" i="39"/>
  <c r="AS55" i="39"/>
  <c r="AV55" i="39"/>
  <c r="AU55" i="39"/>
  <c r="AV384" i="39"/>
  <c r="AS384" i="39"/>
  <c r="AU384" i="39"/>
  <c r="AS276" i="39"/>
  <c r="AU276" i="39"/>
  <c r="AV276" i="39"/>
  <c r="AU257" i="39"/>
  <c r="AS257" i="39"/>
  <c r="AV257" i="39"/>
  <c r="AU217" i="39"/>
  <c r="AV217" i="39"/>
  <c r="AS217" i="39"/>
  <c r="AV362" i="39"/>
  <c r="AS362" i="39"/>
  <c r="AU362" i="39"/>
  <c r="AU390" i="39"/>
  <c r="AV390" i="39"/>
  <c r="AS390" i="39"/>
  <c r="AU54" i="39"/>
  <c r="AV54" i="39"/>
  <c r="AS54" i="39"/>
  <c r="AV184" i="39"/>
  <c r="AS184" i="39"/>
  <c r="AU184" i="39"/>
  <c r="AS52" i="39"/>
  <c r="AU52" i="39"/>
  <c r="AV52" i="39"/>
  <c r="AS245" i="39"/>
  <c r="AU245" i="39"/>
  <c r="AV245" i="39"/>
  <c r="AS96" i="39"/>
  <c r="AV96" i="39"/>
  <c r="AU96" i="39"/>
  <c r="AS367" i="39"/>
  <c r="AU367" i="39"/>
  <c r="AV367" i="39"/>
  <c r="AU401" i="39"/>
  <c r="AV401" i="39"/>
  <c r="AS344" i="39"/>
  <c r="AU344" i="39"/>
  <c r="AV344" i="39"/>
  <c r="AS117" i="39"/>
  <c r="AV117" i="39"/>
  <c r="AU117" i="39"/>
  <c r="AU341" i="39"/>
  <c r="AS341" i="39"/>
  <c r="AV341" i="39"/>
  <c r="AV64" i="39"/>
  <c r="AS64" i="39"/>
  <c r="AU64" i="39"/>
  <c r="AU136" i="39"/>
  <c r="AV136" i="39"/>
  <c r="AS136" i="39"/>
  <c r="AU150" i="39"/>
  <c r="AS150" i="39"/>
  <c r="AV150" i="39"/>
  <c r="AV159" i="39"/>
  <c r="AS159" i="39"/>
  <c r="AU159" i="39"/>
  <c r="AV342" i="39"/>
  <c r="AS342" i="39"/>
  <c r="AU342" i="39"/>
  <c r="AS118" i="39"/>
  <c r="AU118" i="39"/>
  <c r="AV118" i="39"/>
  <c r="AU320" i="39"/>
  <c r="AS320" i="39"/>
  <c r="AV320" i="39"/>
  <c r="AS100" i="39"/>
  <c r="AU100" i="39"/>
  <c r="AV100" i="39"/>
  <c r="AS75" i="39"/>
  <c r="AV75" i="39"/>
  <c r="AU75" i="39"/>
  <c r="AS177" i="39"/>
  <c r="AU177" i="39"/>
  <c r="AV177" i="39"/>
  <c r="AS377" i="39"/>
  <c r="AU377" i="39"/>
  <c r="AV377" i="39"/>
  <c r="AU270" i="39"/>
  <c r="AV270" i="39"/>
  <c r="AS270" i="39"/>
  <c r="AU74" i="39"/>
  <c r="AV74" i="39"/>
  <c r="AS74" i="39"/>
  <c r="AV262" i="39"/>
  <c r="AU262" i="39"/>
  <c r="AS262" i="39"/>
  <c r="AU297" i="39"/>
  <c r="AV297" i="39"/>
  <c r="AS297" i="39"/>
  <c r="AU53" i="39"/>
  <c r="AS53" i="39"/>
  <c r="AV53" i="39"/>
  <c r="AS355" i="39"/>
  <c r="AU355" i="39"/>
  <c r="AV355" i="39"/>
  <c r="AU373" i="39"/>
  <c r="AS373" i="39"/>
  <c r="AV373" i="39"/>
  <c r="AS360" i="39"/>
  <c r="AU360" i="39"/>
  <c r="AV360" i="39"/>
  <c r="AU300" i="39"/>
  <c r="AV300" i="39"/>
  <c r="AS300" i="39"/>
  <c r="AS388" i="39"/>
  <c r="AU388" i="39"/>
  <c r="AV388" i="39"/>
  <c r="AU142" i="39"/>
  <c r="AS142" i="39"/>
  <c r="AV142" i="39"/>
  <c r="AV348" i="39"/>
  <c r="AS348" i="39"/>
  <c r="AU348" i="39"/>
  <c r="AU316" i="39"/>
  <c r="AS316" i="39"/>
  <c r="AV316" i="39"/>
  <c r="AV271" i="39"/>
  <c r="AU271" i="39"/>
  <c r="AS271" i="39"/>
  <c r="AS173" i="39"/>
  <c r="AV173" i="39"/>
  <c r="AU173" i="39"/>
  <c r="AS227" i="39"/>
  <c r="AV227" i="39"/>
  <c r="AU227" i="39"/>
  <c r="AS112" i="39"/>
  <c r="AU112" i="39"/>
  <c r="AV112" i="39"/>
  <c r="AS302" i="39"/>
  <c r="AV302" i="39"/>
  <c r="AU302" i="39"/>
  <c r="AU221" i="39"/>
  <c r="AS221" i="39"/>
  <c r="AV221" i="39"/>
  <c r="AV206" i="39"/>
  <c r="AU206" i="39"/>
  <c r="AS206" i="39"/>
  <c r="AS241" i="39"/>
  <c r="AU241" i="39"/>
  <c r="AV241" i="39"/>
  <c r="AS60" i="39"/>
  <c r="AV60" i="39"/>
  <c r="AU60" i="39"/>
  <c r="AU131" i="39"/>
  <c r="AV131" i="39"/>
  <c r="AS131" i="39"/>
  <c r="AU82" i="39"/>
  <c r="AV82" i="39"/>
  <c r="AS82" i="39"/>
  <c r="AS223" i="39"/>
  <c r="AU223" i="39"/>
  <c r="AV223" i="39"/>
  <c r="AV329" i="39"/>
  <c r="AU329" i="39"/>
  <c r="AS329" i="39"/>
  <c r="AS263" i="39"/>
  <c r="AV263" i="39"/>
  <c r="AU263" i="39"/>
  <c r="AS71" i="39"/>
  <c r="AU71" i="39"/>
  <c r="AV71" i="39"/>
  <c r="AS322" i="39"/>
  <c r="AV322" i="39"/>
  <c r="AU322" i="39"/>
  <c r="AS393" i="39"/>
  <c r="AU393" i="39"/>
  <c r="AV393" i="39"/>
  <c r="AS338" i="39"/>
  <c r="AV338" i="39"/>
  <c r="AU338" i="39"/>
  <c r="AS240" i="39"/>
  <c r="AU240" i="39"/>
  <c r="AV240" i="39"/>
  <c r="AS363" i="39"/>
  <c r="AU363" i="39"/>
  <c r="AV363" i="39"/>
  <c r="AU171" i="39"/>
  <c r="AS171" i="39"/>
  <c r="AV171" i="39"/>
  <c r="AS181" i="39"/>
  <c r="AU181" i="39"/>
  <c r="AV181" i="39"/>
  <c r="AU332" i="39"/>
  <c r="AS332" i="39"/>
  <c r="AV332" i="39"/>
  <c r="AV267" i="39"/>
  <c r="AS267" i="39"/>
  <c r="AU267" i="39"/>
  <c r="AU312" i="39"/>
  <c r="AS312" i="39"/>
  <c r="AV312" i="39"/>
  <c r="AV397" i="39"/>
  <c r="AS397" i="39"/>
  <c r="AU397" i="39"/>
  <c r="AU242" i="39"/>
  <c r="AS242" i="39"/>
  <c r="AV242" i="39"/>
  <c r="AV116" i="39"/>
  <c r="AS116" i="39"/>
  <c r="AU116" i="39"/>
  <c r="AU77" i="39"/>
  <c r="AV77" i="39"/>
  <c r="AS77" i="39"/>
  <c r="AS331" i="39"/>
  <c r="AU331" i="39"/>
  <c r="AV331" i="39"/>
  <c r="AU76" i="39"/>
  <c r="AS76" i="39"/>
  <c r="AV76" i="39"/>
  <c r="AU204" i="39"/>
  <c r="AV204" i="39"/>
  <c r="AS204" i="39"/>
  <c r="AV176" i="39"/>
  <c r="AU176" i="39"/>
  <c r="AS176" i="39"/>
  <c r="AU85" i="39"/>
  <c r="AV85" i="39"/>
  <c r="AS85" i="39"/>
  <c r="AV180" i="39"/>
  <c r="AS180" i="39"/>
  <c r="AU180" i="39"/>
  <c r="AS396" i="39"/>
  <c r="AU396" i="39"/>
  <c r="AV396" i="39"/>
  <c r="AS298" i="39"/>
  <c r="AU298" i="39"/>
  <c r="AV298" i="39"/>
  <c r="AS260" i="39"/>
  <c r="AU260" i="39"/>
  <c r="AV260" i="39"/>
  <c r="AS140" i="39"/>
  <c r="AU140" i="39"/>
  <c r="AV140" i="39"/>
  <c r="AS129" i="39"/>
  <c r="AU129" i="39"/>
  <c r="AV129" i="39"/>
  <c r="AS72" i="39"/>
  <c r="AU72" i="39"/>
  <c r="AV72" i="39"/>
  <c r="AS318" i="39"/>
  <c r="AU318" i="39"/>
  <c r="AV318" i="39"/>
  <c r="AU179" i="39"/>
  <c r="AS179" i="39"/>
  <c r="AV179" i="39"/>
  <c r="AU151" i="39"/>
  <c r="AV151" i="39"/>
  <c r="AS151" i="39"/>
  <c r="AS281" i="39"/>
  <c r="AU281" i="39"/>
  <c r="AV281" i="39"/>
  <c r="AU282" i="39"/>
  <c r="AS282" i="39"/>
  <c r="AV282" i="39"/>
  <c r="AS211" i="39"/>
  <c r="AV211" i="39"/>
  <c r="AU211" i="39"/>
  <c r="AS207" i="39"/>
  <c r="AU207" i="39"/>
  <c r="AV207" i="39"/>
  <c r="AV301" i="39"/>
  <c r="AS301" i="39"/>
  <c r="AU301" i="39"/>
  <c r="AS164" i="39"/>
  <c r="AU164" i="39"/>
  <c r="AV164" i="39"/>
  <c r="AV354" i="39"/>
  <c r="AU354" i="39"/>
  <c r="AS354" i="39"/>
  <c r="AV389" i="39"/>
  <c r="AS389" i="39"/>
  <c r="AU389" i="39"/>
  <c r="AU183" i="39"/>
  <c r="AS183" i="39"/>
  <c r="AV183" i="39"/>
  <c r="AU328" i="39"/>
  <c r="AV328" i="39"/>
  <c r="AS328" i="39"/>
  <c r="AV218" i="39"/>
  <c r="AU218" i="39"/>
  <c r="AS218" i="39"/>
  <c r="AV108" i="39"/>
  <c r="AS108" i="39"/>
  <c r="AU108" i="39"/>
  <c r="AS78" i="39"/>
  <c r="AV78" i="39"/>
  <c r="AU78" i="39"/>
  <c r="AU90" i="39"/>
  <c r="AV90" i="39"/>
  <c r="AS90" i="39"/>
  <c r="AS182" i="39"/>
  <c r="AU182" i="39"/>
  <c r="AV182" i="39"/>
  <c r="AV210" i="39"/>
  <c r="AS210" i="39"/>
  <c r="AU210" i="39"/>
  <c r="AS141" i="39"/>
  <c r="AU141" i="39"/>
  <c r="AV141" i="39"/>
  <c r="AU105" i="39"/>
  <c r="AS105" i="39"/>
  <c r="AV105" i="39"/>
  <c r="AS165" i="39"/>
  <c r="AU165" i="39"/>
  <c r="AV165" i="39"/>
  <c r="AS253" i="39"/>
  <c r="AU253" i="39"/>
  <c r="AV253" i="39"/>
  <c r="AV155" i="39"/>
  <c r="AS155" i="39"/>
  <c r="AU155" i="39"/>
  <c r="AU94" i="39"/>
  <c r="AS94" i="39"/>
  <c r="AV94" i="39"/>
  <c r="AS326" i="39"/>
  <c r="AU326" i="39"/>
  <c r="AV326" i="39"/>
  <c r="AS224" i="39"/>
  <c r="AU224" i="39"/>
  <c r="AV224" i="39"/>
  <c r="AU213" i="39"/>
  <c r="AV213" i="39"/>
  <c r="AS213" i="39"/>
  <c r="AU115" i="39"/>
  <c r="AV115" i="39"/>
  <c r="AS115" i="39"/>
  <c r="AS166" i="39"/>
  <c r="AU166" i="39"/>
  <c r="AV166" i="39"/>
  <c r="AS303" i="39"/>
  <c r="AU303" i="39"/>
  <c r="AV303" i="39"/>
  <c r="AU254" i="39"/>
  <c r="AS254" i="39"/>
  <c r="AV254" i="39"/>
  <c r="AU178" i="39"/>
  <c r="AS178" i="39"/>
  <c r="AV178" i="39"/>
  <c r="AS67" i="39"/>
  <c r="AU67" i="39"/>
  <c r="AV67" i="39"/>
  <c r="AU111" i="39"/>
  <c r="AV111" i="39"/>
  <c r="AS111" i="39"/>
  <c r="AU158" i="39"/>
  <c r="AS158" i="39"/>
  <c r="AV158" i="39"/>
  <c r="AS169" i="39"/>
  <c r="AU169" i="39"/>
  <c r="AV169" i="39"/>
  <c r="AU61" i="39"/>
  <c r="AV61" i="39"/>
  <c r="AS61" i="39"/>
  <c r="AV172" i="39"/>
  <c r="AS172" i="39"/>
  <c r="AU172" i="39"/>
  <c r="AU308" i="39"/>
  <c r="AS308" i="39"/>
  <c r="AV308" i="39"/>
  <c r="AS334" i="39"/>
  <c r="AU334" i="39"/>
  <c r="AV334" i="39"/>
  <c r="AS195" i="39"/>
  <c r="AU195" i="39"/>
  <c r="AV195" i="39"/>
  <c r="AV381" i="39"/>
  <c r="AS381" i="39"/>
  <c r="AU381" i="39"/>
  <c r="AS110" i="39"/>
  <c r="AU110" i="39"/>
  <c r="AV110" i="39"/>
  <c r="AS359" i="39"/>
  <c r="AU359" i="39"/>
  <c r="AV359" i="39"/>
  <c r="AU345" i="39"/>
  <c r="AS345" i="39"/>
  <c r="AV345" i="39"/>
  <c r="AU395" i="39"/>
  <c r="AS395" i="39"/>
  <c r="AV395" i="39"/>
  <c r="AU119" i="39"/>
  <c r="AV119" i="39"/>
  <c r="AS119" i="39"/>
  <c r="AS306" i="39"/>
  <c r="AU306" i="39"/>
  <c r="AV306" i="39"/>
  <c r="AU382" i="39"/>
  <c r="AV382" i="39"/>
  <c r="AS382" i="39"/>
  <c r="AV56" i="39"/>
  <c r="AU56" i="39"/>
  <c r="AS56" i="39"/>
  <c r="AV287" i="39"/>
  <c r="AS287" i="39"/>
  <c r="AU287" i="39"/>
  <c r="AV251" i="39"/>
  <c r="AS251" i="39"/>
  <c r="AU251" i="39"/>
  <c r="AS126" i="39"/>
  <c r="AU126" i="39"/>
  <c r="AV126" i="39"/>
  <c r="AU353" i="39"/>
  <c r="AV353" i="39"/>
  <c r="AS353" i="39"/>
  <c r="AS383" i="39"/>
  <c r="AU383" i="39"/>
  <c r="AV383" i="39"/>
  <c r="AS386" i="39"/>
  <c r="AU386" i="39"/>
  <c r="AV386" i="39"/>
  <c r="AU304" i="39"/>
  <c r="AS304" i="39"/>
  <c r="AV304" i="39"/>
  <c r="AV200" i="39"/>
  <c r="AS200" i="39"/>
  <c r="AU200" i="39"/>
  <c r="AV366" i="39"/>
  <c r="AS366" i="39"/>
  <c r="AU366" i="39"/>
  <c r="AS219" i="39"/>
  <c r="AU219" i="39"/>
  <c r="AV219" i="39"/>
  <c r="AV144" i="39"/>
  <c r="AS144" i="39"/>
  <c r="AU144" i="39"/>
  <c r="AU273" i="39"/>
  <c r="AV273" i="39"/>
  <c r="AS273" i="39"/>
  <c r="AU234" i="39"/>
  <c r="AV234" i="39"/>
  <c r="AS234" i="39"/>
  <c r="AS97" i="39"/>
  <c r="AU97" i="39"/>
  <c r="AV97" i="39"/>
  <c r="AS335" i="39"/>
  <c r="AU335" i="39"/>
  <c r="AV335" i="39"/>
  <c r="AV400" i="39"/>
  <c r="AU400" i="39"/>
  <c r="AU246" i="39"/>
  <c r="AS246" i="39"/>
  <c r="AV246" i="39"/>
  <c r="AS264" i="39"/>
  <c r="AU264" i="39"/>
  <c r="AV264" i="39"/>
  <c r="AU238" i="39"/>
  <c r="AS238" i="39"/>
  <c r="AV238" i="39"/>
  <c r="AU122" i="39"/>
  <c r="AS122" i="39"/>
  <c r="AV122" i="39"/>
  <c r="AU324" i="39"/>
  <c r="AV324" i="39"/>
  <c r="AS324" i="39"/>
  <c r="AU147" i="39"/>
  <c r="AV147" i="39"/>
  <c r="AS147" i="39"/>
  <c r="AV350" i="39"/>
  <c r="AU350" i="39"/>
  <c r="AS350" i="39"/>
  <c r="AU73" i="39"/>
  <c r="AV73" i="39"/>
  <c r="AS73" i="39"/>
  <c r="AS88" i="39"/>
  <c r="AV88" i="39"/>
  <c r="AU88" i="39"/>
  <c r="AU295" i="39"/>
  <c r="AV295" i="39"/>
  <c r="AS295" i="39"/>
  <c r="AS83" i="39"/>
  <c r="AV83" i="39"/>
  <c r="AU83" i="39"/>
  <c r="AS364" i="39"/>
  <c r="AU364" i="39"/>
  <c r="AV364" i="39"/>
  <c r="AV174" i="39"/>
  <c r="AS174" i="39"/>
  <c r="AU174" i="39"/>
  <c r="AS277" i="39"/>
  <c r="AU277" i="39"/>
  <c r="AV277" i="39"/>
  <c r="AS120" i="39"/>
  <c r="AU120" i="39"/>
  <c r="AV120" i="39"/>
  <c r="AS394" i="39"/>
  <c r="AU394" i="39"/>
  <c r="AV394" i="39"/>
  <c r="AS268" i="39"/>
  <c r="AV268" i="39"/>
  <c r="AU268" i="39"/>
  <c r="AU327" i="39"/>
  <c r="AV327" i="39"/>
  <c r="AS327" i="39"/>
  <c r="AV346" i="39"/>
  <c r="AS346" i="39"/>
  <c r="AU346" i="39"/>
  <c r="AU261" i="39"/>
  <c r="AS261" i="39"/>
  <c r="AV261" i="39"/>
  <c r="AU256" i="39"/>
  <c r="AV256" i="39"/>
  <c r="AS256" i="39"/>
  <c r="AV152" i="39"/>
  <c r="AS152" i="39"/>
  <c r="AU152" i="39"/>
  <c r="AS310" i="39"/>
  <c r="AU310" i="39"/>
  <c r="AV310" i="39"/>
  <c r="AS356" i="39"/>
  <c r="AU356" i="39"/>
  <c r="AV356" i="39"/>
  <c r="AV58" i="39"/>
  <c r="AS58" i="39"/>
  <c r="AU58" i="39"/>
  <c r="AS133" i="39"/>
  <c r="AV133" i="39"/>
  <c r="AU133" i="39"/>
  <c r="AV313" i="39"/>
  <c r="AS313" i="39"/>
  <c r="AU313" i="39"/>
  <c r="AU265" i="39"/>
  <c r="AS265" i="39"/>
  <c r="AV265" i="39"/>
  <c r="AS372" i="39"/>
  <c r="AU372" i="39"/>
  <c r="AV372" i="39"/>
  <c r="AU167" i="39"/>
  <c r="AS167" i="39"/>
  <c r="AV167" i="39"/>
  <c r="AV198" i="39"/>
  <c r="AS198" i="39"/>
  <c r="AU198" i="39"/>
  <c r="AV66" i="39"/>
  <c r="AS66" i="39"/>
  <c r="AU66" i="39"/>
  <c r="AS289" i="39"/>
  <c r="AU289" i="39"/>
  <c r="AV289" i="39"/>
  <c r="AS307" i="39"/>
  <c r="AU307" i="39"/>
  <c r="AV307" i="39"/>
  <c r="AS91" i="39"/>
  <c r="AU91" i="39"/>
  <c r="AV91" i="39"/>
  <c r="AS203" i="39"/>
  <c r="AU203" i="39"/>
  <c r="AV203" i="39"/>
  <c r="AS319" i="39"/>
  <c r="AU319" i="39"/>
  <c r="AV319" i="39"/>
  <c r="AU369" i="39"/>
  <c r="AS369" i="39"/>
  <c r="AV369" i="39"/>
  <c r="AS339" i="39"/>
  <c r="AU339" i="39"/>
  <c r="AV339" i="39"/>
  <c r="AU188" i="39"/>
  <c r="AS188" i="39"/>
  <c r="AV188" i="39"/>
  <c r="AV305" i="39"/>
  <c r="AS305" i="39"/>
  <c r="AU305" i="39"/>
  <c r="AV79" i="39"/>
  <c r="AS79" i="39"/>
  <c r="AU79" i="39"/>
  <c r="AU81" i="39"/>
  <c r="AV81" i="39"/>
  <c r="AS81" i="39"/>
  <c r="AU286" i="39"/>
  <c r="AS286" i="39"/>
  <c r="AV286" i="39"/>
  <c r="AS196" i="39"/>
  <c r="AU196" i="39"/>
  <c r="AV196" i="39"/>
  <c r="AS314" i="39"/>
  <c r="AU314" i="39"/>
  <c r="AV314" i="39"/>
  <c r="AU258" i="39"/>
  <c r="AV258" i="39"/>
  <c r="AS258" i="39"/>
  <c r="AS109" i="39"/>
  <c r="AV109" i="39"/>
  <c r="AU109" i="39"/>
  <c r="AS59" i="39"/>
  <c r="AU59" i="39"/>
  <c r="AV59" i="39"/>
  <c r="AS208" i="39"/>
  <c r="AU208" i="39"/>
  <c r="AV208" i="39"/>
  <c r="AV70" i="39"/>
  <c r="AS70" i="39"/>
  <c r="AU70" i="39"/>
  <c r="AV243" i="39"/>
  <c r="AS243" i="39"/>
  <c r="AU243" i="39"/>
  <c r="AV279" i="39"/>
  <c r="AS279" i="39"/>
  <c r="AU279" i="39"/>
  <c r="AS293" i="39"/>
  <c r="AU293" i="39"/>
  <c r="AV293" i="39"/>
  <c r="AS89" i="39"/>
  <c r="AU89" i="39"/>
  <c r="AV89" i="39"/>
  <c r="AV153" i="39"/>
  <c r="AS153" i="39"/>
  <c r="AU153" i="39"/>
  <c r="AU197" i="39"/>
  <c r="AS197" i="39"/>
  <c r="AV197" i="39"/>
  <c r="AV194" i="39"/>
  <c r="AS194" i="39"/>
  <c r="AU194" i="39"/>
  <c r="AU193" i="39"/>
  <c r="AS193" i="39"/>
  <c r="AV193" i="39"/>
  <c r="AU135" i="39"/>
  <c r="AV135" i="39"/>
  <c r="AS135" i="39"/>
  <c r="AV124" i="39"/>
  <c r="AS124" i="39"/>
  <c r="AU124" i="39"/>
  <c r="AU139" i="39"/>
  <c r="AV139" i="39"/>
  <c r="AS139" i="39"/>
  <c r="AS375" i="39"/>
  <c r="AU375" i="39"/>
  <c r="AV375" i="39"/>
  <c r="AU101" i="39"/>
  <c r="AV101" i="39"/>
  <c r="AS101" i="39"/>
  <c r="AU349" i="39"/>
  <c r="AV349" i="39"/>
  <c r="AS349" i="39"/>
  <c r="AV275" i="39"/>
  <c r="AU275" i="39"/>
  <c r="AS275" i="39"/>
  <c r="AS220" i="39"/>
  <c r="AU220" i="39"/>
  <c r="AV220" i="39"/>
  <c r="AS315" i="39"/>
  <c r="AU315" i="39"/>
  <c r="AV315" i="39"/>
  <c r="AV336" i="39"/>
  <c r="AS336" i="39"/>
  <c r="AU336" i="39"/>
  <c r="AS288" i="39"/>
  <c r="AU288" i="39"/>
  <c r="AV288" i="39"/>
  <c r="AV374" i="39"/>
  <c r="AS374" i="39"/>
  <c r="AU374" i="39"/>
  <c r="AS157" i="39"/>
  <c r="AV157" i="39"/>
  <c r="AU157" i="39"/>
  <c r="AU192" i="39"/>
  <c r="AS192" i="39"/>
  <c r="AV192" i="39"/>
  <c r="AU379" i="39"/>
  <c r="AV379" i="39"/>
  <c r="AS379" i="39"/>
  <c r="AS121" i="39"/>
  <c r="AU121" i="39"/>
  <c r="AV121" i="39"/>
  <c r="AU127" i="39"/>
  <c r="AV127" i="39"/>
  <c r="AS127" i="39"/>
  <c r="AU106" i="39"/>
  <c r="AV106" i="39"/>
  <c r="AS106" i="39"/>
  <c r="AS272" i="39"/>
  <c r="AU272" i="39"/>
  <c r="AV272" i="39"/>
  <c r="AU290" i="39"/>
  <c r="AS290" i="39"/>
  <c r="AV290" i="39"/>
  <c r="AS252" i="39"/>
  <c r="AU252" i="39"/>
  <c r="AV252" i="39"/>
  <c r="AS93" i="39"/>
  <c r="AU93" i="39"/>
  <c r="AV93" i="39"/>
  <c r="AV212" i="39"/>
  <c r="AS212" i="39"/>
  <c r="AU212" i="39"/>
  <c r="AU225" i="39"/>
  <c r="AS225" i="39"/>
  <c r="AV225" i="39"/>
  <c r="AS231" i="39"/>
  <c r="AU231" i="39"/>
  <c r="AV231" i="39"/>
  <c r="AS391" i="39"/>
  <c r="AU391" i="39"/>
  <c r="AV391" i="39"/>
  <c r="AU233" i="39"/>
  <c r="AS233" i="39"/>
  <c r="AV233" i="39"/>
  <c r="AU357" i="39"/>
  <c r="AS357" i="39"/>
  <c r="AV357" i="39"/>
  <c r="AS102" i="39"/>
  <c r="AU102" i="39"/>
  <c r="AV102" i="39"/>
  <c r="AS299" i="39"/>
  <c r="AU299" i="39"/>
  <c r="AV299" i="39"/>
  <c r="AS236" i="39"/>
  <c r="AU236" i="39"/>
  <c r="AV236" i="39"/>
  <c r="AV68" i="39"/>
  <c r="AU68" i="39"/>
  <c r="AS68" i="39"/>
  <c r="AV370" i="39"/>
  <c r="AS370" i="39"/>
  <c r="AU370" i="39"/>
  <c r="AU250" i="39"/>
  <c r="AS250" i="39"/>
  <c r="AV250" i="39"/>
  <c r="AS351" i="39"/>
  <c r="AU351" i="39"/>
  <c r="AV351" i="39"/>
  <c r="AV247" i="39"/>
  <c r="AS247" i="39"/>
  <c r="AU247" i="39"/>
  <c r="AU365" i="39"/>
  <c r="AS365" i="39"/>
  <c r="AV365" i="39"/>
  <c r="AV323" i="39"/>
  <c r="AS323" i="39"/>
  <c r="AU323" i="39"/>
  <c r="AU35" i="39"/>
  <c r="AS35" i="39"/>
  <c r="AS11" i="39"/>
  <c r="AO40" i="39"/>
  <c r="AO5" i="39"/>
  <c r="AO43" i="39"/>
  <c r="AO42" i="39"/>
  <c r="AO4" i="39"/>
  <c r="AO3" i="39"/>
  <c r="AS12" i="39"/>
  <c r="AU11" i="39"/>
  <c r="AV29" i="39"/>
  <c r="AV21" i="39"/>
  <c r="AV50" i="39"/>
  <c r="AU21" i="39"/>
  <c r="AS20" i="39"/>
  <c r="AU20" i="39"/>
  <c r="AS19" i="39"/>
  <c r="AS50" i="39"/>
  <c r="AU29" i="39"/>
  <c r="AU38" i="39"/>
  <c r="AS38" i="39"/>
  <c r="AU19" i="39"/>
  <c r="AU40" i="39"/>
  <c r="AS5" i="39"/>
  <c r="AU36" i="39"/>
  <c r="AU5" i="39"/>
  <c r="AS43" i="39"/>
  <c r="AS27" i="39"/>
  <c r="AV36" i="39"/>
  <c r="AU27" i="39"/>
  <c r="AV5" i="39"/>
  <c r="AV43" i="39"/>
  <c r="AV6" i="39"/>
  <c r="AV48" i="39"/>
  <c r="AS48" i="39"/>
  <c r="AV18" i="39"/>
  <c r="AU1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S3" i="39"/>
  <c r="AV3" i="39"/>
  <c r="AU3" i="39"/>
  <c r="AT6" i="39" l="1"/>
  <c r="AS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<sst xmlns="http://schemas.openxmlformats.org/spreadsheetml/2006/main" count="40045" uniqueCount="28714">
  <si>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</si>
  <si>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</si>
  <si>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</si>
  <si>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</si>
  <si>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</si>
  <si>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</si>
  <si>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</si>
  <si>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</si>
  <si>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</si>
  <si>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</si>
  <si>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</si>
  <si>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</si>
  <si>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</si>
  <si>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</si>
  <si>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</si>
  <si>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</si>
  <si>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</si>
  <si>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</si>
  <si>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</si>
  <si>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</si>
  <si>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</si>
  <si>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</si>
  <si>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</si>
  <si>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</si>
  <si>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</si>
  <si>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</si>
  <si>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</si>
  <si>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</si>
  <si>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</si>
  <si>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</si>
  <si>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</si>
  <si>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</si>
  <si>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</si>
  <si>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</si>
  <si>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</si>
  <si>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</si>
  <si>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</si>
  <si>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</si>
  <si>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</si>
  <si>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</si>
  <si>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</si>
  <si>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</si>
  <si>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</si>
  <si>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</si>
  <si>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</si>
  <si>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</si>
  <si>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</si>
  <si>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</si>
  <si>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</si>
  <si>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</si>
  <si>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</si>
  <si>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</si>
  <si>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</si>
  <si>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</si>
  <si>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</si>
  <si>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</si>
  <si>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</si>
  <si>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</si>
  <si>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</si>
  <si>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</si>
  <si>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</si>
  <si>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</si>
  <si>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</si>
  <si>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</si>
  <si>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</si>
  <si>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</si>
  <si>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</si>
  <si>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</si>
  <si>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</si>
  <si>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</si>
  <si>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</si>
  <si>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</si>
  <si>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</si>
  <si>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</si>
  <si>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</si>
  <si>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</si>
  <si>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</si>
  <si>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</si>
  <si>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</si>
  <si>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</si>
  <si>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</si>
  <si>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</si>
  <si>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</si>
  <si>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</si>
  <si>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</si>
  <si>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</si>
  <si>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</si>
  <si>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</si>
  <si>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</si>
  <si>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</si>
  <si>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</si>
  <si>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</si>
  <si>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</si>
  <si>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</si>
  <si>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</si>
  <si>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</si>
  <si>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</si>
  <si>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</si>
  <si>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</si>
  <si>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</si>
  <si>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</si>
  <si>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</si>
  <si>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</si>
  <si>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</si>
  <si>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</si>
  <si>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</si>
  <si>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</si>
  <si>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</si>
  <si>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</si>
  <si>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</si>
  <si>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</si>
  <si>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</si>
  <si>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</si>
  <si>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</si>
  <si>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</si>
  <si>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</si>
  <si>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</si>
  <si>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</si>
  <si>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</si>
  <si>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</si>
  <si>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</si>
  <si>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</si>
  <si>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</si>
  <si>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</si>
  <si>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</si>
  <si>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</si>
  <si>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</si>
  <si>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</si>
  <si>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</si>
  <si>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</si>
  <si>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</si>
  <si>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</si>
  <si>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</si>
  <si>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</si>
  <si>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</si>
  <si>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</si>
  <si>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</si>
  <si>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</si>
  <si>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</si>
  <si>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</si>
  <si>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</si>
  <si>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</si>
  <si>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</si>
  <si>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</si>
  <si>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</si>
  <si>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</si>
  <si>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</si>
  <si>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</si>
  <si>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</si>
  <si>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</si>
  <si>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</si>
  <si>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</si>
  <si>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</si>
  <si>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</si>
  <si>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</si>
  <si>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</si>
  <si>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</si>
  <si>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</si>
  <si>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</si>
  <si>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</si>
  <si>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</si>
  <si>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</si>
  <si>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</si>
  <si>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</si>
  <si>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</si>
  <si>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</si>
  <si>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</si>
  <si>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</si>
  <si>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</si>
  <si>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</si>
  <si>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</si>
  <si>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</si>
  <si>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</si>
  <si>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</si>
  <si>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</si>
  <si>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</si>
  <si>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</si>
  <si>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</si>
  <si>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</si>
  <si>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</si>
  <si>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</si>
  <si>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</si>
  <si>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</si>
  <si>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</si>
  <si>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</si>
  <si>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</si>
  <si>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</si>
  <si>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</si>
  <si>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</si>
  <si>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</si>
  <si>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</si>
  <si>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</si>
  <si>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</si>
  <si>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</si>
  <si>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</si>
  <si>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</si>
  <si>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</si>
  <si>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</si>
  <si>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</si>
  <si>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</si>
  <si>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</si>
  <si>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</si>
  <si>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</si>
  <si>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</si>
  <si>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</si>
  <si>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</si>
  <si>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</si>
  <si>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</si>
  <si>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</si>
  <si>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</si>
  <si>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</si>
  <si>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</si>
  <si>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</si>
  <si>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</si>
  <si>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</si>
  <si>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</si>
  <si>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</si>
  <si>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</si>
  <si>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</si>
  <si>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</si>
  <si>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</si>
  <si>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</si>
  <si>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</si>
  <si>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</si>
  <si>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</si>
  <si>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</si>
  <si>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</si>
  <si>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</si>
  <si>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</si>
  <si>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</si>
  <si>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</si>
  <si>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</si>
  <si>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</si>
  <si>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</si>
  <si>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</si>
  <si>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</si>
  <si>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</si>
  <si>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</si>
  <si>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</si>
  <si>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</si>
  <si>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</si>
  <si>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</si>
  <si>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</si>
  <si>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</si>
  <si>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</si>
  <si>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</si>
  <si>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</si>
  <si>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</si>
  <si>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</si>
  <si>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</si>
  <si>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</si>
  <si>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</si>
  <si>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</si>
  <si>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</si>
  <si>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</si>
  <si>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</si>
  <si>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</si>
  <si>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</si>
  <si>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</si>
  <si>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</si>
  <si>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</si>
  <si>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</si>
  <si>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</si>
  <si>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</si>
  <si>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</si>
  <si>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</si>
  <si>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</si>
  <si>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</si>
  <si>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</si>
  <si>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</si>
  <si>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</si>
  <si>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</si>
  <si>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</si>
  <si>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</si>
  <si>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</si>
  <si>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</si>
  <si>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</si>
  <si>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</si>
  <si>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</si>
  <si>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</si>
  <si>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</si>
  <si>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</si>
  <si>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</si>
  <si>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</si>
  <si>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</si>
  <si>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</si>
  <si>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</si>
  <si>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</si>
  <si>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</si>
  <si>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</si>
  <si>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</si>
  <si>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</si>
  <si>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</si>
  <si>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</si>
  <si>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</si>
  <si>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</si>
  <si>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</si>
  <si>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</si>
  <si>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</si>
  <si>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</si>
  <si>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</si>
  <si>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</si>
  <si>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</si>
  <si>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</si>
  <si>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</si>
  <si>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</si>
  <si>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</si>
  <si>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</si>
  <si>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</si>
  <si>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</si>
  <si>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</si>
  <si>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</si>
  <si>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</si>
  <si>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</si>
  <si>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</si>
  <si>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</si>
  <si>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</si>
  <si>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</si>
  <si>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</si>
  <si>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</si>
  <si>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</si>
  <si>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</si>
  <si>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</si>
  <si>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</si>
  <si>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</si>
  <si>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</si>
  <si>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</si>
  <si>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</si>
  <si>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</si>
  <si>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</si>
  <si>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</si>
  <si>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</si>
  <si>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</si>
  <si>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</si>
  <si>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</si>
  <si>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</si>
  <si>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</si>
  <si>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</si>
  <si>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</si>
  <si>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</si>
  <si>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</si>
  <si>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</si>
  <si>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</si>
  <si>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</si>
  <si>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</si>
  <si>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</si>
  <si>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</si>
  <si>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</si>
  <si>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</si>
  <si>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</si>
  <si>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</si>
  <si>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</si>
  <si>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</si>
  <si>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</si>
  <si>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</si>
  <si>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</si>
  <si>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</si>
  <si>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</si>
  <si>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</si>
  <si>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</si>
  <si>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</si>
  <si>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</si>
  <si>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</si>
  <si>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</si>
  <si>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</si>
  <si>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</si>
  <si>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</si>
  <si>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</si>
  <si>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</si>
  <si>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</si>
  <si>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</si>
  <si>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</si>
  <si>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</si>
  <si>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</si>
  <si>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</si>
  <si>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</si>
  <si>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</si>
  <si>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</si>
  <si>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</si>
  <si>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</si>
  <si>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</si>
  <si>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</si>
  <si>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</si>
  <si>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</si>
  <si>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</si>
  <si>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</si>
  <si>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</si>
  <si>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</si>
  <si>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</si>
  <si>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</si>
  <si>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</si>
  <si>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</si>
  <si>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</si>
  <si>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</si>
  <si>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</si>
  <si>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</si>
  <si>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</si>
  <si>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</si>
  <si>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</si>
  <si>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</si>
  <si>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</si>
  <si>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</si>
  <si>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</si>
  <si>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</si>
  <si>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</si>
  <si>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</si>
  <si>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</si>
  <si>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</si>
  <si>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</si>
  <si>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</si>
  <si>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</si>
  <si>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</si>
  <si>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</si>
  <si>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</si>
  <si>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</si>
  <si>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</si>
  <si>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</si>
  <si>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</si>
  <si>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</si>
  <si>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</si>
  <si>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</si>
  <si>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</si>
  <si>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</si>
  <si>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</si>
  <si>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</si>
  <si>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</si>
  <si>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</si>
  <si>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</si>
  <si>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</si>
  <si>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</si>
  <si>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</si>
  <si>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</si>
  <si>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</si>
  <si>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</si>
  <si>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</si>
  <si>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</si>
  <si>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</si>
  <si>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</si>
  <si>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</si>
  <si>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</si>
  <si>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</si>
  <si>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</si>
  <si>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</si>
  <si>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</si>
  <si>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</si>
  <si>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</si>
  <si>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</si>
  <si>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</si>
  <si>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</si>
  <si>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</si>
  <si>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</si>
  <si>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</si>
  <si>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</si>
  <si>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</si>
  <si>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</si>
  <si>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</si>
  <si>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</si>
  <si>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</si>
  <si>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</si>
  <si>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</si>
  <si>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</si>
  <si>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</si>
  <si>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</si>
  <si>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</si>
  <si>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</si>
  <si>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</si>
  <si>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</si>
  <si>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</si>
  <si>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</si>
  <si>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</si>
  <si>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</si>
  <si>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</si>
  <si>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</si>
  <si>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</si>
  <si>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</si>
  <si>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</si>
  <si>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</si>
  <si>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</si>
  <si>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</si>
  <si>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</si>
  <si>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</si>
  <si>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</si>
  <si>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</si>
  <si>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</si>
  <si>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</si>
  <si>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</si>
  <si>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</si>
  <si>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</si>
  <si>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</si>
  <si>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</si>
  <si>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</si>
  <si>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</si>
  <si>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</si>
  <si>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</si>
  <si>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</si>
  <si>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</si>
  <si>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</si>
  <si>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</si>
  <si>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</si>
  <si>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</si>
  <si>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</si>
  <si>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</si>
  <si>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</si>
  <si>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</si>
  <si>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</si>
  <si>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</si>
  <si>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</si>
  <si>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</si>
  <si>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</si>
  <si>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</si>
  <si>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</si>
  <si>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</si>
  <si>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</si>
  <si>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</si>
  <si>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</si>
  <si>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</si>
  <si>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</si>
  <si>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</si>
  <si>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</si>
  <si>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</si>
  <si>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</si>
  <si>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</si>
  <si>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</si>
  <si>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</si>
  <si>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</si>
  <si>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</si>
  <si>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</si>
  <si>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</si>
  <si>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</si>
  <si>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</si>
  <si>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</si>
  <si>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</si>
  <si>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</si>
  <si>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</si>
  <si>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</si>
  <si>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</si>
  <si>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</si>
  <si>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</si>
  <si>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</si>
  <si>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</si>
  <si>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</si>
  <si>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</si>
  <si>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</si>
  <si>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</si>
  <si>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</si>
  <si>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</si>
  <si>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</si>
  <si>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</si>
  <si>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</si>
  <si>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</si>
  <si>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</si>
  <si>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</si>
  <si>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</si>
  <si>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</si>
  <si>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</si>
  <si>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</si>
  <si>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</si>
  <si>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</si>
  <si>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</si>
  <si>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</si>
  <si>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</si>
  <si>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</si>
  <si>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</si>
  <si>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</si>
  <si>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</si>
  <si>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</si>
  <si>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</si>
  <si>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</si>
  <si>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</si>
  <si>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</si>
  <si>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</si>
  <si>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</si>
  <si>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</si>
  <si>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</si>
  <si>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</si>
  <si>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</si>
  <si>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</si>
  <si>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</si>
  <si>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</si>
  <si>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</si>
  <si>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</si>
  <si>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</si>
  <si>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</si>
  <si>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</si>
  <si>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</si>
  <si>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</si>
  <si>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</si>
  <si>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</si>
  <si>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</si>
  <si>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</si>
  <si>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</si>
  <si>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</si>
  <si>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</si>
  <si>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</si>
  <si>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</si>
  <si>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</si>
  <si>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</si>
  <si>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</si>
  <si>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</si>
  <si>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</si>
  <si>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</si>
  <si>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</si>
  <si>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</si>
  <si>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</si>
  <si>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</si>
  <si>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</si>
  <si>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</si>
  <si>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</si>
  <si>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</si>
  <si>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</si>
  <si>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</si>
  <si>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</si>
  <si>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</si>
  <si>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</si>
  <si>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</si>
  <si>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</si>
  <si>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</si>
  <si>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</si>
  <si>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</si>
  <si>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</si>
  <si>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</si>
  <si>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</si>
  <si>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</si>
  <si>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</si>
  <si>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</si>
  <si>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</si>
  <si>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</si>
  <si>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</si>
  <si>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</si>
  <si>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</si>
  <si>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</si>
  <si>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</si>
  <si>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</si>
  <si>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</si>
  <si>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</si>
  <si>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</si>
  <si>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</si>
  <si>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</si>
  <si>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</si>
  <si>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</si>
  <si>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</si>
  <si>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</si>
  <si>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</si>
  <si>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</si>
  <si>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</si>
  <si>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</si>
  <si>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</si>
  <si>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</si>
  <si>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</si>
  <si>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</si>
  <si>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</si>
  <si>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</si>
  <si>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</si>
  <si>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</si>
  <si>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</si>
  <si>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</si>
  <si>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</si>
  <si>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</si>
  <si>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</si>
  <si>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</si>
  <si>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</si>
  <si>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</si>
  <si>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</si>
  <si>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</si>
  <si>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</si>
  <si>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</si>
  <si>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</si>
  <si>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</si>
  <si>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</si>
  <si>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</si>
  <si>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</si>
  <si>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</si>
  <si>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</si>
  <si>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</si>
  <si>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</si>
  <si>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</si>
  <si>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</si>
  <si>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</si>
  <si>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</si>
  <si>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</si>
  <si>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</si>
  <si>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</si>
  <si>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</si>
  <si>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</si>
  <si>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</si>
  <si>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</si>
  <si>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</si>
  <si>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</si>
  <si>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</si>
  <si>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</si>
  <si>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</si>
  <si>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</si>
  <si>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</si>
  <si>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</si>
  <si>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</si>
  <si>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</si>
  <si>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</si>
  <si>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</si>
  <si>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</si>
  <si>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</si>
  <si>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</si>
  <si>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</si>
  <si>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</si>
  <si>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</si>
  <si>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</si>
  <si>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</si>
  <si>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</si>
  <si>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</si>
  <si>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</si>
  <si>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</si>
  <si>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</si>
  <si>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</si>
  <si>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</si>
  <si>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</si>
  <si>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</si>
  <si>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</si>
  <si>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</si>
  <si>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</si>
  <si>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</si>
  <si>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</si>
  <si>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</si>
  <si>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</si>
  <si>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</si>
  <si>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</si>
  <si>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</si>
  <si>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</si>
  <si>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</si>
  <si>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</si>
  <si>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</si>
  <si>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</si>
  <si>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</si>
  <si>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</si>
  <si>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</si>
  <si>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</si>
  <si>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</si>
  <si>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</si>
  <si>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</si>
  <si>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</si>
  <si>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</si>
  <si>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</si>
  <si>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</si>
  <si>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</si>
  <si>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</si>
  <si>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</si>
  <si>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</si>
  <si>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</si>
  <si>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</si>
  <si>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</si>
  <si>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</si>
  <si>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</si>
  <si>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</si>
  <si>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</si>
  <si>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</si>
  <si>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</si>
  <si>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</si>
  <si>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</si>
  <si>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</si>
  <si>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</si>
  <si>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</si>
  <si>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</si>
  <si>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</si>
  <si>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</si>
  <si>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</si>
  <si>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</si>
  <si>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</si>
  <si>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</si>
  <si>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</si>
  <si>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</si>
  <si>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</si>
  <si>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</si>
  <si>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</si>
  <si>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</si>
  <si>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</si>
  <si>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</si>
  <si>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</si>
  <si>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</si>
  <si>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</si>
  <si>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</si>
  <si>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</si>
  <si>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</si>
  <si>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</si>
  <si>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</si>
  <si>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</si>
  <si>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</si>
  <si>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</si>
  <si>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</si>
  <si>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</si>
  <si>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</si>
  <si>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</si>
  <si>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</si>
  <si>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</si>
  <si>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</si>
  <si>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</si>
  <si>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</si>
  <si>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</si>
  <si>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</si>
  <si>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</si>
  <si>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</si>
  <si>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</si>
  <si>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</si>
  <si>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</si>
  <si>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</si>
  <si>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</si>
  <si>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</si>
  <si>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</si>
  <si>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</si>
  <si>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</si>
  <si>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</si>
  <si>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</si>
  <si>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</si>
  <si>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</si>
  <si>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</si>
  <si>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</si>
  <si>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</si>
  <si>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</si>
  <si>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</si>
  <si>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</si>
  <si>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</si>
  <si>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</si>
  <si>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</si>
  <si>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</si>
  <si>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</si>
  <si>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</si>
  <si>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</si>
  <si>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</si>
  <si>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</si>
  <si>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</si>
  <si>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</si>
  <si>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</si>
  <si>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</si>
  <si>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</si>
  <si>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</si>
  <si>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</si>
  <si>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</si>
  <si>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</si>
  <si>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</si>
  <si>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</si>
  <si>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</si>
  <si>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</si>
  <si>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</si>
  <si>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</si>
  <si>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</si>
  <si>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</si>
  <si>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</si>
  <si>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</si>
  <si>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</si>
  <si>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</si>
  <si>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</si>
  <si>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</si>
  <si>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</si>
  <si>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</si>
  <si>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</si>
  <si>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</si>
  <si>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</si>
  <si>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</si>
  <si>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</si>
  <si>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</si>
  <si>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</si>
  <si>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</si>
  <si>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</si>
  <si>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</si>
  <si>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</si>
  <si>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</si>
  <si>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</si>
  <si>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</si>
  <si>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</si>
  <si>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</si>
  <si>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</si>
  <si>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</si>
  <si>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</si>
  <si>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</si>
  <si>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</si>
  <si>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</si>
  <si>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</si>
  <si>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</si>
  <si>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</si>
  <si>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</si>
  <si>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</si>
  <si>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</si>
  <si>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</si>
  <si>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</si>
  <si>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</si>
  <si>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</si>
  <si>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</si>
  <si>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</si>
  <si>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</si>
  <si>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</si>
  <si>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</si>
  <si>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</si>
  <si>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</si>
  <si>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</si>
  <si>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</si>
  <si>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</si>
  <si>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</si>
  <si>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</si>
  <si>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</si>
  <si>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</si>
  <si>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</si>
  <si>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</si>
  <si>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</si>
  <si>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</si>
  <si>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</si>
  <si>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</si>
  <si>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</si>
  <si>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</si>
  <si>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</si>
  <si>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</si>
  <si>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</si>
  <si>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</si>
  <si>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</si>
  <si>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</si>
  <si>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</si>
  <si>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</si>
  <si>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</si>
  <si>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</si>
  <si>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</si>
  <si>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</si>
  <si>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</si>
  <si>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</si>
  <si>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</si>
  <si>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</si>
  <si>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</si>
  <si>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</si>
  <si>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</si>
  <si>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</si>
  <si>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</si>
  <si>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</si>
  <si>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</si>
  <si>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</si>
  <si>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</si>
  <si>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</si>
  <si>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</si>
  <si>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</si>
  <si>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</si>
  <si>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</si>
  <si>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</si>
  <si>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</si>
  <si>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</si>
  <si>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</si>
  <si>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</si>
  <si>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</si>
  <si>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</si>
  <si>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</si>
  <si>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</si>
  <si>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</si>
  <si>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</si>
  <si>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</si>
  <si>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</si>
  <si>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</si>
  <si>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</si>
  <si>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</si>
  <si>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</si>
  <si>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</si>
  <si>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</si>
  <si>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</si>
  <si>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</si>
  <si>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</si>
  <si>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</si>
  <si>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</si>
  <si>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</si>
  <si>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</si>
  <si>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</si>
  <si>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</si>
  <si>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</si>
  <si>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</si>
  <si>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</si>
  <si>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</si>
  <si>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</si>
  <si>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</si>
  <si>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</si>
  <si>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</si>
  <si>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</si>
  <si>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</si>
  <si>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</si>
  <si>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</si>
  <si>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</si>
  <si>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</si>
  <si>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</si>
  <si>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</si>
  <si>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</si>
  <si>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</si>
  <si>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</si>
  <si>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</si>
  <si>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</si>
  <si>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</si>
  <si>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</si>
  <si>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</si>
  <si>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</si>
  <si>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</si>
  <si>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</si>
  <si>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</si>
  <si>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</si>
  <si>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</si>
  <si>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</si>
  <si>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</si>
  <si>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</si>
  <si>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</si>
  <si>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</si>
  <si>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</si>
  <si>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</si>
  <si>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</si>
  <si>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</si>
  <si>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</si>
  <si>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</si>
  <si>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</si>
  <si>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</si>
  <si>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</si>
  <si>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</si>
  <si>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</si>
  <si>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</si>
  <si>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</si>
  <si>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</si>
  <si>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</si>
  <si>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</si>
  <si>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</si>
  <si>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</si>
  <si>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</si>
  <si>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</si>
  <si>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</si>
  <si>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</si>
  <si>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</si>
  <si>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</si>
  <si>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</si>
  <si>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</si>
  <si>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</si>
  <si>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</si>
  <si>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</si>
  <si>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</si>
  <si>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</si>
  <si>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</si>
  <si>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</si>
  <si>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</si>
  <si>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</si>
  <si>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</si>
  <si>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</si>
  <si>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</si>
  <si>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</si>
  <si>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</si>
  <si>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</si>
  <si>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</si>
  <si>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</si>
  <si>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</si>
  <si>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</si>
  <si>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</si>
  <si>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</si>
  <si>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</si>
  <si>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</si>
  <si>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</si>
  <si>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</si>
  <si>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</si>
  <si>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</si>
  <si>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</si>
  <si>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</si>
  <si>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</si>
  <si>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</si>
  <si>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</si>
  <si>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</si>
  <si>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</si>
  <si>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</si>
  <si>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</si>
  <si>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</si>
  <si>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</si>
  <si>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</si>
  <si>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</si>
  <si>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</si>
  <si>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</si>
  <si>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</si>
  <si>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</si>
  <si>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</si>
  <si>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</si>
  <si>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</si>
  <si>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</si>
  <si>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</si>
  <si>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</si>
  <si>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</si>
  <si>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</si>
  <si>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</si>
  <si>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</si>
  <si>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</si>
  <si>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</si>
  <si>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</si>
  <si>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</si>
  <si>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</si>
  <si>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</si>
  <si>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</si>
  <si>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</si>
  <si>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</si>
  <si>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</si>
  <si>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</si>
  <si>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</si>
  <si>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</si>
  <si>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</si>
  <si>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</si>
  <si>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</si>
  <si>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</si>
  <si>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</si>
  <si>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</si>
  <si>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</si>
  <si>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</si>
  <si>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</si>
  <si>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</si>
  <si>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</si>
  <si>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</si>
  <si>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</si>
  <si>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</si>
  <si>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</si>
  <si>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</si>
  <si>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</si>
  <si>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</si>
  <si>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</si>
  <si>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</si>
  <si>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</si>
  <si>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</si>
  <si>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</si>
  <si>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</si>
  <si>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</si>
  <si>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</si>
  <si>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</si>
  <si>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</si>
  <si>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</si>
  <si>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</si>
  <si>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</si>
  <si>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</si>
  <si>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</si>
  <si>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</si>
  <si>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</si>
  <si>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</si>
  <si>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</si>
  <si>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</si>
  <si>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</si>
  <si>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</si>
  <si>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</si>
  <si>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</si>
  <si>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</si>
  <si>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</si>
  <si>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</si>
  <si>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</si>
  <si>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</si>
  <si>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</si>
  <si>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</si>
  <si>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</si>
  <si>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</si>
  <si>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</si>
  <si>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</si>
  <si>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</si>
  <si>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</si>
  <si>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</si>
  <si>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</si>
  <si>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</si>
  <si>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</si>
  <si>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</si>
  <si>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</si>
  <si>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</si>
  <si>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</si>
  <si>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</si>
  <si>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</si>
  <si>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</si>
  <si>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</si>
  <si>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</si>
  <si>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</si>
  <si>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</si>
  <si>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</si>
  <si>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</si>
  <si>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</si>
  <si>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</si>
  <si>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</si>
  <si>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</si>
  <si>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</si>
  <si>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</si>
  <si>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</si>
  <si>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</si>
  <si>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</si>
  <si>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</si>
  <si>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</si>
  <si>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</si>
  <si>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</si>
  <si>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</si>
  <si>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</si>
  <si>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</si>
  <si>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</si>
  <si>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</si>
  <si>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</si>
  <si>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</si>
  <si>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</si>
  <si>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</si>
  <si>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</si>
  <si>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</si>
  <si>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</si>
  <si>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</si>
  <si>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</si>
  <si>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</si>
  <si>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</si>
  <si>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</si>
  <si>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</si>
  <si>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</si>
  <si>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</si>
  <si>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</si>
  <si>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</si>
  <si>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</si>
  <si>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</si>
  <si>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</si>
  <si>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</si>
  <si>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</si>
  <si>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</si>
  <si>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</si>
  <si>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</si>
  <si>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</si>
  <si>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</si>
  <si>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</si>
  <si>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</si>
  <si>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</si>
  <si>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</si>
  <si>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</si>
  <si>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</si>
  <si>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</si>
  <si>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</si>
  <si>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</si>
  <si>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</si>
  <si>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</si>
  <si>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</si>
  <si>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</si>
  <si>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</si>
  <si>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</si>
  <si>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</si>
  <si>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</si>
  <si>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</si>
  <si>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</si>
  <si>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</si>
  <si>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</si>
  <si>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</si>
  <si>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</si>
  <si>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</si>
  <si>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</si>
  <si>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</si>
  <si>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</si>
  <si>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</si>
  <si>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</si>
  <si>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</si>
  <si>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</si>
  <si>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</si>
  <si>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</si>
  <si>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</si>
  <si>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</si>
  <si>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</si>
  <si>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</si>
  <si>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</si>
  <si>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</si>
  <si>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</si>
  <si>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</si>
  <si>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</si>
  <si>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</si>
  <si>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</si>
  <si>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</si>
  <si>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</si>
  <si>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</si>
  <si>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</si>
  <si>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</si>
  <si>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</si>
  <si>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</si>
  <si>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</si>
  <si>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</si>
  <si>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</si>
  <si>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</si>
  <si>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</si>
  <si>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</si>
  <si>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</si>
  <si>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</si>
  <si>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</si>
  <si>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</si>
  <si>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</si>
  <si>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</si>
  <si>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</si>
  <si>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</si>
  <si>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</si>
  <si>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</si>
  <si>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</si>
  <si>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</si>
  <si>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</si>
  <si>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</si>
  <si>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</si>
  <si>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</si>
  <si>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</si>
  <si>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</si>
  <si>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</si>
  <si>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</si>
  <si>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</si>
  <si>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</si>
  <si>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</si>
  <si>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</si>
  <si>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</si>
  <si>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</si>
  <si>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</si>
  <si>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</si>
  <si>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</si>
  <si>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</si>
  <si>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</si>
  <si>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</si>
  <si>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</si>
  <si>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</si>
  <si>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</si>
  <si>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</si>
  <si>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</si>
  <si>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</si>
  <si>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</si>
  <si>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</si>
  <si>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</si>
  <si>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</si>
  <si>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</si>
  <si>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</si>
  <si>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</si>
  <si>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</si>
  <si>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</si>
  <si>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</si>
  <si>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</si>
  <si>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</si>
  <si>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</si>
  <si>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</si>
  <si>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</si>
  <si>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</si>
  <si>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</si>
  <si>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</si>
  <si>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</si>
  <si>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</si>
  <si>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</si>
  <si>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</si>
  <si>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</si>
  <si>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</si>
  <si>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</si>
  <si>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</si>
  <si>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</si>
  <si>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</si>
  <si>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</si>
  <si>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</si>
  <si>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</si>
  <si>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</si>
  <si>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</si>
  <si>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</si>
  <si>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</si>
  <si>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</si>
  <si>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</si>
  <si>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</si>
  <si>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</si>
  <si>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</si>
  <si>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</si>
  <si>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</si>
  <si>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</si>
  <si>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</si>
  <si>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</si>
  <si>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</si>
  <si>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</si>
  <si>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</si>
  <si>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</si>
  <si>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</si>
  <si>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</si>
  <si>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</si>
  <si>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</si>
  <si>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</si>
  <si>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</si>
  <si>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</si>
  <si>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</si>
  <si>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</si>
  <si>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</si>
  <si>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</si>
  <si>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</si>
  <si>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</si>
  <si>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</si>
  <si>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</si>
  <si>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</si>
  <si>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</si>
  <si>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</si>
  <si>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</si>
  <si>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</si>
  <si>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</si>
  <si>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</si>
  <si>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</si>
  <si>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</si>
  <si>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</si>
  <si>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</si>
  <si>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</si>
  <si>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</si>
  <si>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</si>
  <si>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</si>
  <si>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</si>
  <si>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</si>
  <si>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</si>
  <si>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</si>
  <si>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</si>
  <si>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</si>
  <si>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</si>
  <si>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</si>
  <si>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</si>
  <si>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</si>
  <si>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</si>
  <si>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</si>
  <si>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</si>
  <si>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</si>
  <si>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</si>
  <si>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</si>
  <si>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</si>
  <si>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</si>
  <si>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</si>
  <si>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</si>
  <si>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</si>
  <si>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</si>
  <si>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</si>
  <si>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</si>
  <si>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</si>
  <si>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</si>
  <si>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</si>
  <si>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</si>
  <si>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</si>
  <si>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</si>
  <si>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</si>
  <si>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</si>
  <si>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</si>
  <si>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</si>
  <si>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</si>
  <si>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</si>
  <si>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</si>
  <si>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</si>
  <si>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</si>
  <si>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</si>
  <si>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</si>
  <si>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</si>
  <si>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</si>
  <si>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</si>
  <si>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</si>
  <si>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</si>
  <si>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</si>
  <si>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</si>
  <si>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</si>
  <si>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</si>
  <si>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</si>
  <si>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</si>
  <si>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</si>
  <si>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</si>
  <si>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</si>
  <si>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</si>
  <si>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</si>
  <si>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</si>
  <si>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</si>
  <si>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</si>
  <si>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</si>
  <si>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</si>
  <si>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</si>
  <si>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</si>
  <si>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</si>
  <si>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</si>
  <si>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</si>
  <si>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</si>
  <si>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</si>
  <si>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</si>
  <si>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</si>
  <si>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</si>
  <si>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</si>
  <si>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</si>
  <si>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</si>
  <si>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</si>
  <si>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</si>
  <si>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</si>
  <si>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</si>
  <si>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</si>
  <si>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</si>
  <si>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</si>
  <si>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</si>
  <si>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</si>
  <si>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</si>
  <si>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</si>
  <si>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</si>
  <si>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</si>
  <si>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</si>
  <si>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</si>
  <si>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</si>
  <si>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</si>
  <si>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</si>
  <si>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</si>
  <si>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</si>
  <si>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</si>
  <si>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</si>
  <si>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</si>
  <si>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</si>
  <si>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</si>
  <si>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</si>
  <si>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</si>
  <si>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</si>
  <si>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</si>
  <si>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</si>
  <si>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</si>
  <si>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</si>
  <si>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</si>
  <si>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</si>
  <si>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</si>
  <si>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</si>
  <si>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</si>
  <si>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</si>
  <si>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</si>
  <si>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</si>
  <si>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</si>
  <si>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</si>
  <si>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</si>
  <si>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</si>
  <si>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</si>
  <si>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</si>
  <si>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</si>
  <si>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</si>
  <si>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</si>
  <si>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</si>
  <si>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</si>
  <si>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</si>
  <si>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</si>
  <si>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</si>
  <si>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</si>
  <si>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</si>
  <si>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</si>
  <si>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</si>
  <si>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</si>
  <si>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</si>
  <si>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</si>
  <si>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</si>
  <si>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</si>
  <si>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</si>
  <si>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</si>
  <si>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</si>
  <si>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</si>
  <si>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</si>
  <si>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</si>
  <si>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</si>
  <si>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</si>
  <si>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</si>
  <si>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</si>
  <si>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</si>
  <si>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</si>
  <si>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</si>
  <si>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</si>
  <si>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</si>
  <si>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</si>
  <si>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</si>
  <si>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</si>
  <si>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</si>
  <si>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</si>
  <si>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</si>
  <si>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</si>
  <si>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</si>
  <si>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</si>
  <si>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</si>
  <si>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</si>
  <si>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</si>
  <si>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</si>
  <si>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</si>
  <si>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</si>
  <si>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</si>
  <si>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</si>
  <si>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</si>
  <si>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</si>
  <si>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</si>
  <si>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</si>
  <si>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</si>
  <si>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</si>
  <si>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</si>
  <si>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</si>
  <si>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</si>
  <si>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</si>
  <si>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</si>
  <si>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</si>
  <si>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</si>
  <si>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</si>
  <si>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</si>
  <si>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</si>
  <si>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</si>
  <si>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</si>
  <si>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</si>
  <si>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</si>
  <si>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</si>
  <si>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</si>
  <si>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</si>
  <si>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</si>
  <si>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</si>
  <si>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</si>
  <si>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</si>
  <si>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</si>
  <si>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</si>
  <si>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</si>
  <si>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</si>
  <si>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</si>
  <si>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</si>
  <si>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</si>
  <si>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</si>
  <si>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</si>
  <si>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</si>
  <si>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</si>
  <si>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</si>
  <si>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</si>
  <si>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</si>
  <si>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</si>
  <si>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</si>
  <si>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</si>
  <si>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</si>
  <si>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</si>
  <si>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</si>
  <si>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</si>
  <si>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</si>
  <si>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</si>
  <si>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</si>
  <si>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</si>
  <si>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</si>
  <si>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</si>
  <si>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</si>
  <si>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</si>
  <si>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</si>
  <si>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</si>
  <si>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</si>
  <si>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</si>
  <si>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</si>
  <si>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</si>
  <si>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</si>
  <si>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</si>
  <si>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</si>
  <si>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</si>
  <si>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</si>
  <si>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</si>
  <si>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</si>
  <si>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</si>
  <si>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</si>
  <si>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</si>
  <si>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</si>
  <si>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</si>
  <si>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</si>
  <si>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</si>
  <si>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</si>
  <si>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</si>
  <si>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</si>
  <si>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</si>
  <si>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</si>
  <si>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</si>
  <si>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</si>
  <si>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</si>
  <si>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</si>
  <si>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</si>
  <si>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</si>
  <si>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</si>
  <si>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</si>
  <si>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</si>
  <si>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</si>
  <si>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</si>
  <si>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</si>
  <si>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</si>
  <si>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</si>
  <si>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</si>
  <si>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</si>
  <si>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</si>
  <si>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</si>
  <si>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</si>
  <si>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</si>
  <si>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</si>
  <si>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</si>
  <si>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</si>
  <si>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</si>
  <si>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</si>
  <si>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</si>
  <si>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</si>
  <si>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</si>
  <si>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</si>
  <si>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</si>
  <si>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</si>
  <si>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</si>
  <si>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</si>
  <si>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</si>
  <si>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</si>
  <si>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</si>
  <si>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</si>
  <si>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</si>
  <si>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</si>
  <si>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</si>
  <si>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</si>
  <si>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</si>
  <si>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</si>
  <si>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</si>
  <si>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</si>
  <si>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</si>
  <si>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</si>
  <si>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</si>
  <si>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</si>
  <si>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</si>
  <si>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</si>
  <si>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</si>
  <si>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</si>
  <si>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</si>
  <si>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</si>
  <si>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</si>
  <si>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</si>
  <si>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</si>
  <si>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</si>
  <si>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</si>
  <si>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</si>
  <si>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</si>
  <si>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</si>
  <si>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</si>
  <si>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</si>
  <si>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</si>
  <si>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</si>
  <si>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</si>
  <si>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</si>
  <si>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</si>
  <si>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</si>
  <si>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</si>
  <si>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</si>
  <si>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</si>
  <si>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</si>
  <si>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</si>
  <si>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</si>
  <si>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</si>
  <si>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</si>
  <si>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</si>
  <si>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</si>
  <si>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</si>
  <si>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</si>
  <si>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</si>
  <si>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</si>
  <si>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</si>
  <si>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</si>
  <si>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</si>
  <si>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</si>
  <si>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</si>
  <si>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</si>
  <si>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</si>
  <si>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</si>
  <si>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</si>
  <si>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</si>
  <si>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</si>
  <si>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</si>
  <si>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</si>
  <si>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</si>
  <si>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</si>
  <si>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</si>
  <si>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</si>
  <si>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</si>
  <si>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</si>
  <si>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</si>
  <si>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</si>
  <si>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</si>
  <si>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</si>
  <si>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</si>
  <si>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</si>
  <si>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</si>
  <si>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</si>
  <si>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</si>
  <si>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</si>
  <si>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</si>
  <si>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</si>
  <si>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</si>
  <si>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</si>
  <si>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</si>
  <si>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</si>
  <si>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</si>
  <si>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</si>
  <si>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</si>
  <si>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</si>
  <si>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</si>
  <si>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</si>
  <si>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</si>
  <si>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</si>
  <si>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</si>
  <si>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</si>
  <si>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</si>
  <si>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</si>
  <si>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</si>
  <si>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</si>
  <si>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</si>
  <si>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</si>
  <si>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</si>
  <si>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</si>
  <si>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</si>
  <si>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</si>
  <si>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</si>
  <si>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</si>
  <si>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</si>
  <si>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</si>
  <si>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</si>
  <si>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</si>
  <si>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</si>
  <si>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</si>
  <si>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</si>
  <si>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</si>
  <si>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</si>
  <si>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</si>
  <si>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</si>
  <si>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</si>
  <si>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</si>
  <si>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</si>
  <si>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</si>
  <si>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</si>
  <si>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</si>
  <si>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</si>
  <si>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</si>
  <si>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</si>
  <si>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</si>
  <si>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</si>
  <si>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</si>
  <si>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</si>
  <si>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</si>
  <si>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</si>
  <si>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</si>
  <si>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</si>
  <si>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</si>
  <si>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</si>
  <si>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</si>
  <si>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</si>
  <si>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</si>
  <si>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</si>
  <si>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</si>
  <si>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</si>
  <si>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</si>
  <si>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</si>
  <si>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</si>
  <si>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</si>
  <si>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</si>
  <si>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</si>
  <si>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</si>
  <si>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</si>
  <si>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</si>
  <si>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</si>
  <si>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</si>
  <si>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</si>
  <si>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</si>
  <si>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</si>
  <si>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</si>
  <si>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</si>
  <si>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</si>
  <si>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</si>
  <si>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</si>
  <si>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</si>
  <si>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</si>
  <si>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</si>
  <si>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</si>
  <si>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</si>
  <si>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</si>
  <si>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</si>
  <si>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</si>
  <si>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</si>
  <si>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</si>
  <si>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</si>
  <si>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</si>
  <si>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</si>
  <si>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</si>
  <si>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</si>
  <si>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</si>
  <si>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</si>
  <si>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</si>
  <si>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</si>
  <si>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</si>
  <si>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</si>
  <si>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</si>
  <si>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</si>
  <si>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</si>
  <si>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</si>
  <si>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</si>
  <si>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</si>
  <si>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</si>
  <si>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</si>
  <si>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</si>
  <si>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</si>
  <si>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</si>
  <si>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</si>
  <si>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</si>
  <si>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</si>
  <si>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</si>
  <si>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</si>
  <si>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</si>
  <si>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</si>
  <si>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</si>
  <si>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</si>
  <si>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</si>
  <si>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</si>
  <si>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</si>
  <si>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</si>
  <si>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</si>
  <si>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</si>
  <si>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</si>
  <si>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</si>
  <si>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</si>
  <si>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</si>
  <si>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</si>
  <si>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</si>
  <si>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</si>
  <si>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</si>
  <si>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</si>
  <si>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</si>
  <si>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</si>
  <si>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</si>
  <si>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</si>
  <si>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</si>
  <si>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</si>
  <si>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</si>
  <si>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</si>
  <si>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</si>
  <si>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</si>
  <si>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</si>
  <si>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</si>
  <si>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</si>
  <si>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</si>
  <si>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</si>
  <si>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</si>
  <si>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</si>
  <si>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</si>
  <si>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</si>
  <si>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</si>
  <si>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</si>
  <si>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</si>
  <si>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</si>
  <si>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</si>
  <si>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</si>
  <si>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</si>
  <si>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</si>
  <si>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</si>
  <si>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</si>
  <si>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</si>
  <si>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</si>
  <si>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</si>
  <si>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</si>
  <si>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</si>
  <si>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</si>
  <si>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</si>
  <si>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</si>
  <si>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</si>
  <si>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</si>
  <si>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</si>
  <si>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</si>
  <si>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</si>
  <si>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</si>
  <si>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</si>
  <si>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</si>
  <si>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</si>
  <si>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</si>
  <si>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</si>
  <si>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</si>
  <si>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</si>
  <si>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</si>
  <si>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</si>
  <si>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</si>
  <si>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</si>
  <si>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</si>
  <si>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</si>
  <si>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</si>
  <si>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</si>
  <si>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</si>
  <si>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</si>
  <si>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</si>
  <si>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</si>
  <si>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</si>
  <si>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</si>
  <si>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</si>
  <si>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</si>
  <si>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</si>
  <si>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</si>
  <si>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</si>
  <si>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</si>
  <si>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</si>
  <si>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</si>
  <si>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</si>
  <si>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</si>
  <si>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</si>
  <si>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</si>
  <si>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</si>
  <si>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</si>
  <si>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</si>
  <si>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</si>
  <si>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</si>
  <si>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</si>
  <si>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</si>
  <si>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</si>
  <si>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</si>
  <si>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</si>
  <si>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</si>
  <si>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</si>
  <si>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</si>
  <si>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</si>
  <si>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</si>
  <si>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</si>
  <si>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</si>
  <si>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</si>
  <si>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</si>
  <si>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</si>
  <si>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</si>
  <si>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</si>
  <si>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</si>
  <si>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</si>
  <si>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</si>
  <si>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</si>
  <si>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</si>
  <si>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</si>
  <si>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</si>
  <si>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</si>
  <si>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</si>
  <si>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</si>
  <si>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</si>
  <si>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</si>
  <si>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</si>
  <si>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</si>
  <si>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</si>
  <si>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</si>
  <si>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</si>
  <si>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</si>
  <si>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</si>
  <si>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</si>
  <si>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</si>
  <si>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</si>
  <si>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</si>
  <si>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</si>
  <si>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</si>
  <si>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</si>
  <si>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</si>
  <si>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</si>
  <si>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</si>
  <si>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</si>
  <si>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</si>
  <si>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</si>
  <si>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</si>
  <si>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</si>
  <si>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</si>
  <si>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</si>
  <si>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</si>
  <si>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</si>
  <si>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</si>
  <si>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</si>
  <si>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</si>
  <si>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</si>
  <si>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</si>
  <si>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</si>
  <si>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</si>
  <si>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</si>
  <si>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</si>
  <si>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</si>
  <si>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</si>
  <si>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</si>
  <si>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</si>
  <si>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</si>
  <si>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</si>
  <si>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</si>
  <si>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</si>
  <si>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</si>
  <si>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</si>
  <si>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</si>
  <si>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</si>
  <si>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</si>
  <si>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</si>
  <si>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</si>
  <si>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</si>
  <si>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</si>
  <si>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</si>
  <si>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</si>
  <si>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</si>
  <si>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</si>
  <si>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</si>
  <si>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</si>
  <si>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</si>
  <si>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</si>
  <si>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</si>
  <si>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</si>
  <si>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</si>
  <si>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</si>
  <si>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</si>
  <si>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</si>
  <si>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</si>
  <si>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</si>
  <si>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</si>
  <si>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</si>
  <si>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</si>
  <si>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</si>
  <si>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</si>
  <si>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</si>
  <si>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</si>
  <si>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</si>
  <si>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</si>
  <si>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</si>
  <si>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</si>
  <si>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</si>
  <si>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</si>
  <si>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</si>
  <si>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</si>
  <si>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</si>
  <si>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</si>
  <si>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</si>
  <si>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</si>
  <si>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</si>
  <si>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</si>
  <si>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</si>
  <si>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</si>
  <si>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</si>
  <si>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</si>
  <si>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</si>
  <si>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</si>
  <si>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</si>
  <si>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</si>
  <si>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</si>
  <si>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</si>
  <si>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</si>
  <si>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</si>
  <si>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</si>
  <si>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</si>
  <si>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</si>
  <si>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</si>
  <si>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</si>
  <si>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</si>
  <si>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</si>
  <si>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</si>
  <si>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</si>
  <si>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</si>
  <si>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</si>
  <si>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</si>
  <si>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</si>
  <si>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</si>
  <si>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</si>
  <si>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</si>
  <si>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</si>
  <si>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</si>
  <si>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</si>
  <si>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</si>
  <si>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</si>
  <si>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</si>
  <si>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</si>
  <si>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</si>
  <si>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</si>
  <si>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</si>
  <si>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</si>
  <si>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</si>
  <si>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</si>
  <si>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</si>
  <si>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</si>
  <si>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</si>
  <si>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</si>
  <si>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</si>
  <si>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</si>
  <si>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</si>
  <si>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</si>
  <si>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</si>
  <si>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</si>
  <si>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</si>
  <si>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</si>
  <si>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</si>
  <si>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</si>
  <si>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</si>
  <si>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</si>
  <si>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</si>
  <si>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</si>
  <si>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</si>
  <si>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</si>
  <si>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</si>
  <si>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</si>
  <si>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</si>
  <si>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</si>
  <si>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</si>
  <si>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</si>
  <si>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</si>
  <si>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</si>
  <si>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</si>
  <si>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</si>
  <si>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</si>
  <si>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</si>
  <si>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</si>
  <si>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</si>
  <si>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</si>
  <si>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</si>
  <si>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</si>
  <si>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</si>
  <si>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</si>
  <si>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</si>
  <si>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</si>
  <si>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</si>
  <si>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</si>
  <si>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</si>
  <si>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</si>
  <si>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</si>
  <si>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</si>
  <si>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</si>
  <si>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</si>
  <si>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</si>
  <si>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</si>
  <si>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</si>
  <si>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</si>
  <si>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</si>
  <si>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</si>
  <si>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</si>
  <si>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</si>
  <si>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</si>
  <si>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</si>
  <si>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</si>
  <si>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</si>
  <si>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</si>
  <si>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</si>
  <si>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</si>
  <si>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</si>
  <si>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</si>
  <si>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</si>
  <si>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</si>
  <si>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</si>
  <si>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</si>
  <si>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</si>
  <si>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</si>
  <si>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</si>
  <si>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</si>
  <si>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</si>
  <si>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</si>
  <si>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</si>
  <si>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</si>
  <si>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</si>
  <si>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</si>
  <si>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</si>
  <si>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</si>
  <si>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</si>
  <si>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</si>
  <si>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</si>
  <si>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</si>
  <si>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</si>
  <si>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</si>
  <si>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</si>
  <si>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</si>
  <si>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</si>
  <si>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</si>
  <si>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</si>
  <si>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</si>
  <si>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</si>
  <si>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</si>
  <si>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</si>
  <si>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</si>
  <si>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</si>
  <si>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</si>
  <si>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</si>
  <si>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</si>
  <si>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</si>
  <si>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</si>
  <si>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</si>
  <si>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</si>
  <si>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</si>
  <si>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</si>
  <si>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</si>
  <si>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</si>
  <si>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</si>
  <si>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</si>
  <si>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</si>
  <si>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</si>
  <si>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</si>
  <si>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</si>
  <si>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</si>
  <si>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</si>
  <si>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</si>
  <si>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</si>
  <si>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</si>
  <si>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</si>
  <si>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</si>
  <si>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</si>
  <si>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</si>
  <si>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</si>
  <si>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</si>
  <si>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</si>
  <si>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</si>
  <si>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</si>
  <si>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</si>
  <si>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</si>
  <si>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</si>
  <si>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</si>
  <si>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</si>
  <si>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</si>
  <si>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</si>
  <si>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</si>
  <si>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</si>
  <si>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</si>
  <si>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</si>
  <si>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</si>
  <si>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</si>
  <si>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</si>
  <si>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</si>
  <si>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</si>
  <si>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</si>
  <si>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</si>
  <si>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</si>
  <si>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</si>
  <si>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</si>
  <si>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</si>
  <si>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</si>
  <si>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</si>
  <si>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</si>
  <si>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</si>
  <si>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</si>
  <si>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</si>
  <si>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</si>
  <si>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</si>
  <si>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</si>
  <si>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</si>
  <si>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</si>
  <si>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</si>
  <si>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</si>
  <si>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</si>
  <si>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</si>
  <si>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</si>
  <si>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</si>
  <si>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</si>
  <si>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</si>
  <si>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</si>
  <si>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</si>
  <si>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</si>
  <si>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</si>
  <si>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</si>
  <si>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</si>
  <si>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</si>
  <si>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</si>
  <si>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</si>
  <si>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</si>
  <si>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</si>
  <si>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</si>
  <si>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</si>
  <si>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</si>
  <si>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</si>
  <si>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</si>
  <si>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</si>
  <si>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</si>
  <si>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</si>
  <si>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</si>
  <si>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</si>
  <si>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</si>
  <si>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</si>
  <si>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</si>
  <si>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</si>
  <si>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</si>
  <si>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</si>
  <si>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</si>
  <si>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</si>
  <si>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</si>
  <si>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</si>
  <si>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</si>
  <si>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</si>
  <si>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</si>
  <si>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</si>
  <si>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</si>
  <si>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</si>
  <si>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</si>
  <si>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</si>
  <si>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</si>
  <si>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</si>
  <si>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</si>
  <si>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</si>
  <si>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</si>
  <si>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</si>
  <si>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</si>
  <si>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</si>
  <si>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</si>
  <si>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</si>
  <si>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</si>
  <si>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</si>
  <si>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</si>
  <si>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</si>
  <si>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</si>
  <si>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</si>
  <si>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</si>
  <si>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</si>
  <si>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</si>
  <si>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</si>
  <si>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</si>
  <si>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</si>
  <si>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</si>
  <si>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</si>
  <si>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</si>
  <si>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</si>
  <si>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</si>
  <si>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</si>
  <si>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</si>
  <si>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</si>
  <si>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</si>
  <si>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</si>
  <si>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</si>
  <si>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</si>
  <si>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</si>
  <si>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</si>
  <si>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</si>
  <si>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</si>
  <si>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</si>
  <si>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</si>
  <si>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</si>
  <si>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</si>
  <si>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</si>
  <si>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</si>
  <si>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</si>
  <si>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</si>
  <si>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</si>
  <si>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</si>
  <si>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</si>
  <si>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</si>
  <si>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</si>
  <si>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</si>
  <si>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</si>
  <si>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</si>
  <si>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</si>
  <si>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</si>
  <si>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</si>
  <si>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</si>
  <si>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</si>
  <si>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</si>
  <si>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</si>
  <si>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</si>
  <si>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</si>
  <si>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</si>
  <si>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</si>
  <si>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</si>
  <si>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</si>
  <si>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</si>
  <si>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</si>
  <si>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</si>
  <si>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</si>
  <si>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</si>
  <si>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</si>
  <si>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</si>
  <si>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</si>
  <si>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</si>
  <si>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</si>
  <si>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</si>
  <si>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</si>
  <si>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</si>
  <si>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</si>
  <si>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</si>
  <si>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</si>
  <si>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</si>
  <si>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</si>
  <si>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</si>
  <si>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</si>
  <si>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</si>
  <si>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</si>
  <si>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</si>
  <si>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</si>
  <si>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</si>
  <si>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</si>
  <si>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</si>
  <si>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</si>
  <si>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</si>
  <si>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</si>
  <si>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</si>
  <si>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</si>
  <si>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</si>
  <si>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</si>
  <si>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</si>
  <si>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</si>
  <si>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</si>
  <si>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</si>
  <si>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</si>
  <si>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</si>
  <si>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</si>
  <si>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</si>
  <si>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</si>
  <si>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</si>
  <si>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</si>
  <si>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</si>
  <si>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</si>
  <si>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</si>
  <si>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</si>
  <si>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</si>
  <si>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</si>
  <si>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</si>
  <si>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</si>
  <si>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</si>
  <si>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</si>
  <si>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</si>
  <si>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</si>
  <si>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</si>
  <si>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</si>
  <si>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</si>
  <si>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</si>
  <si>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</si>
  <si>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</si>
  <si>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</si>
  <si>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</si>
  <si>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</si>
  <si>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</si>
  <si>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</si>
  <si>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</si>
  <si>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</si>
  <si>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</si>
  <si>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</si>
  <si>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</si>
  <si>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</si>
  <si>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</si>
  <si>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</si>
  <si>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</si>
  <si>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</si>
  <si>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</si>
  <si>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</si>
  <si>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</si>
  <si>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</si>
  <si>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</si>
  <si>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</si>
  <si>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</si>
  <si>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</si>
  <si>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</si>
  <si>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</si>
  <si>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</si>
  <si>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</si>
  <si>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</si>
  <si>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</si>
  <si>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</si>
  <si>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</si>
  <si>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</si>
  <si>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</si>
  <si>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</si>
  <si>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</si>
  <si>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</si>
  <si>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</si>
  <si>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</si>
  <si>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</si>
  <si>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</si>
  <si>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</si>
  <si>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</si>
  <si>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</si>
  <si>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</si>
  <si>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</si>
  <si>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</si>
  <si>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</si>
  <si>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</si>
  <si>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</si>
  <si>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</si>
  <si>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</si>
  <si>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</si>
  <si>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</si>
  <si>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</si>
  <si>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</si>
  <si>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</si>
  <si>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</si>
  <si>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</si>
  <si>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</si>
  <si>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</si>
  <si>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</si>
  <si>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</si>
  <si>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</si>
  <si>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</si>
  <si>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</si>
  <si>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</si>
  <si>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</si>
  <si>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</si>
  <si>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</si>
  <si>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</si>
  <si>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</si>
  <si>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</si>
  <si>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</si>
  <si>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</si>
  <si>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</si>
  <si>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</si>
  <si>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</si>
  <si>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</si>
  <si>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</si>
  <si>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</si>
  <si>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</si>
  <si>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</si>
  <si>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</si>
  <si>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</si>
  <si>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</si>
  <si>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</si>
  <si>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</si>
  <si>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</si>
  <si>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</si>
  <si>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</si>
  <si>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</si>
  <si>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</si>
  <si>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</si>
  <si>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</si>
  <si>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</si>
  <si>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</si>
  <si>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</si>
  <si>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</si>
  <si>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</si>
  <si>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</si>
  <si>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</si>
  <si>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</si>
  <si>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</si>
  <si>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</si>
  <si>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</si>
  <si>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</si>
  <si>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</si>
  <si>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</si>
  <si>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</si>
  <si>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</si>
  <si>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</si>
  <si>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</si>
  <si>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</si>
  <si>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</si>
  <si>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</si>
  <si>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</si>
  <si>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</si>
  <si>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</si>
  <si>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</si>
  <si>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</si>
  <si>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</si>
  <si>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</si>
  <si>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</si>
  <si>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</si>
  <si>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</si>
  <si>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</si>
  <si>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</si>
  <si>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</si>
  <si>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</si>
  <si>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</si>
  <si>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</si>
  <si>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</si>
  <si>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</si>
  <si>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</si>
  <si>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</si>
  <si>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</si>
  <si>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</si>
  <si>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</si>
  <si>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</si>
  <si>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</si>
  <si>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</si>
  <si>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</si>
  <si>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</si>
  <si>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</si>
  <si>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</si>
  <si>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</si>
  <si>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</si>
  <si>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</si>
  <si>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</si>
  <si>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</si>
  <si>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</si>
  <si>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</si>
  <si>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</si>
  <si>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</si>
  <si>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</si>
  <si>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</si>
  <si>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</si>
  <si>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</si>
  <si>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</si>
  <si>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</si>
  <si>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</si>
  <si>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</si>
  <si>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</si>
  <si>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</si>
  <si>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</si>
  <si>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</si>
  <si>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</si>
  <si>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</si>
  <si>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</si>
  <si>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</si>
  <si>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</si>
  <si>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</si>
  <si>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</si>
  <si>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</si>
  <si>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</si>
  <si>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</si>
  <si>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</si>
  <si>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</si>
  <si>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</si>
  <si>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</si>
  <si>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</si>
  <si>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</si>
  <si>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</si>
  <si>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</si>
  <si>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</si>
  <si>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</si>
  <si>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</si>
  <si>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</si>
  <si>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</si>
  <si>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</si>
  <si>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</si>
  <si>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</si>
  <si>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</si>
  <si>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</si>
  <si>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</si>
  <si>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</si>
  <si>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</si>
  <si>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</si>
  <si>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</si>
  <si>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</si>
  <si>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</si>
  <si>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</si>
  <si>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</si>
  <si>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</si>
  <si>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</si>
  <si>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</si>
  <si>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</si>
  <si>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</si>
  <si>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</si>
  <si>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</si>
  <si>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</si>
  <si>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</si>
  <si>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</si>
  <si>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</si>
  <si>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</si>
  <si>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</si>
  <si>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</si>
  <si>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</si>
  <si>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</si>
  <si>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</si>
  <si>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</si>
  <si>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</si>
  <si>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</si>
  <si>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</si>
  <si>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</si>
  <si>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</si>
  <si>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</si>
  <si>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</si>
  <si>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</si>
  <si>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</si>
  <si>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</si>
  <si>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</si>
  <si>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</si>
  <si>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</si>
  <si>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</si>
  <si>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</si>
  <si>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</si>
  <si>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</si>
  <si>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</si>
  <si>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</si>
  <si>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</si>
  <si>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</si>
  <si>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</si>
  <si>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</si>
  <si>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</si>
  <si>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</si>
  <si>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</si>
  <si>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</si>
  <si>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</si>
  <si>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</si>
  <si>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</si>
  <si>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</si>
  <si>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</si>
  <si>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</si>
  <si>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</si>
  <si>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</si>
  <si>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</si>
  <si>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</si>
  <si>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</si>
  <si>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</si>
  <si>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</si>
  <si>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</si>
  <si>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</si>
  <si>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</si>
  <si>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</si>
  <si>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</si>
  <si>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</si>
  <si>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</si>
  <si>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</si>
  <si>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</si>
  <si>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</si>
  <si>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</si>
  <si>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</si>
  <si>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</si>
  <si>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</si>
  <si>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</si>
  <si>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</si>
  <si>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</si>
  <si>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</si>
  <si>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</si>
  <si>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</si>
  <si>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</si>
  <si>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</si>
  <si>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</si>
  <si>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</si>
  <si>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</si>
  <si>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</si>
  <si>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</si>
  <si>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</si>
  <si>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</si>
  <si>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</si>
  <si>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</si>
  <si>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</si>
  <si>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</si>
  <si>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</si>
  <si>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</si>
  <si>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</si>
  <si>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</si>
  <si>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</si>
  <si>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</si>
  <si>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</si>
  <si>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</si>
  <si>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</si>
  <si>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</si>
  <si>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</si>
  <si>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</si>
  <si>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</si>
  <si>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</si>
  <si>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</si>
  <si>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</si>
  <si>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</si>
  <si>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</si>
  <si>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</si>
  <si>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</si>
  <si>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</si>
  <si>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</si>
  <si>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</si>
  <si>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</si>
  <si>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</si>
  <si>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</si>
  <si>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</si>
  <si>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</si>
  <si>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</si>
  <si>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</si>
  <si>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</si>
  <si>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</si>
  <si>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</si>
  <si>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</si>
  <si>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</si>
  <si>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</si>
  <si>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</si>
  <si>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</si>
  <si>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</si>
  <si>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</si>
  <si>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</si>
  <si>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</si>
  <si>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</si>
  <si>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</si>
  <si>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</si>
  <si>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</si>
  <si>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</si>
  <si>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</si>
  <si>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</si>
  <si>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</si>
  <si>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</si>
  <si>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</si>
  <si>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</si>
  <si>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</si>
  <si>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</si>
  <si>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</si>
  <si>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</si>
  <si>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</si>
  <si>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</si>
  <si>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</si>
  <si>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</si>
  <si>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</si>
  <si>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</si>
  <si>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</si>
  <si>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</si>
  <si>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</si>
  <si>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</si>
  <si>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</si>
  <si>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</si>
  <si>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</si>
  <si>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</si>
  <si>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</si>
  <si>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</si>
  <si>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</si>
  <si>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</si>
  <si>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</si>
  <si>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</si>
  <si>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</si>
  <si>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</si>
  <si>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</si>
  <si>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</si>
  <si>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</si>
  <si>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</si>
  <si>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</si>
  <si>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</si>
  <si>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</si>
  <si>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</si>
  <si>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</si>
  <si>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</si>
  <si>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</si>
  <si>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</si>
  <si>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</si>
  <si>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</si>
  <si>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</si>
  <si>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</si>
  <si>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</si>
  <si>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</si>
  <si>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</si>
  <si>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</si>
  <si>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</si>
  <si>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</si>
  <si>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</si>
  <si>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</si>
  <si>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</si>
  <si>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</si>
  <si>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</si>
  <si>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</si>
  <si>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</si>
  <si>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</si>
  <si>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</si>
  <si>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</si>
  <si>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</si>
  <si>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</si>
  <si>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</si>
  <si>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</si>
  <si>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</si>
  <si>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</si>
  <si>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</si>
  <si>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</si>
  <si>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</si>
  <si>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</si>
  <si>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</si>
  <si>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</si>
  <si>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</si>
  <si>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</si>
  <si>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</si>
  <si>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</si>
  <si>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</si>
  <si>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</si>
  <si>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</si>
  <si>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</si>
  <si>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</si>
  <si>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</si>
  <si>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</si>
  <si>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</si>
  <si>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</si>
  <si>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</si>
  <si>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</si>
  <si>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</si>
  <si>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</si>
  <si>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</si>
  <si>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</si>
  <si>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</si>
  <si>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</si>
  <si>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</si>
  <si>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</si>
  <si>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</si>
  <si>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</si>
  <si>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</si>
  <si>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</si>
  <si>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</si>
  <si>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</si>
  <si>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</si>
  <si>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</si>
  <si>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</si>
  <si>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</si>
  <si>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</si>
  <si>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</si>
  <si>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</si>
  <si>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</si>
  <si>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</si>
  <si>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</si>
  <si>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</si>
  <si>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</si>
  <si>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</si>
  <si>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</si>
  <si>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</si>
  <si>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</si>
  <si>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</si>
  <si>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</si>
  <si>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</si>
  <si>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</si>
  <si>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</si>
  <si>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</si>
  <si>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</si>
  <si>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</si>
  <si>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</si>
  <si>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</si>
  <si>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</si>
  <si>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</si>
  <si>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</si>
  <si>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</si>
  <si>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</si>
  <si>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</si>
  <si>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</si>
  <si>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</si>
  <si>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</si>
  <si>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</si>
  <si>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</si>
  <si>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</si>
  <si>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</si>
  <si>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</si>
  <si>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</si>
  <si>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</si>
  <si>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</si>
  <si>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</si>
  <si>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</si>
  <si>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</si>
  <si>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</si>
  <si>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</si>
  <si>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</si>
  <si>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</si>
  <si>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</si>
  <si>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</si>
  <si>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</si>
  <si>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</si>
  <si>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</si>
  <si>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</si>
  <si>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</si>
  <si>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</si>
  <si>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</si>
  <si>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</si>
  <si>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</si>
  <si>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</si>
  <si>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</si>
  <si>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</si>
  <si>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</si>
  <si>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</si>
  <si>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</si>
  <si>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</si>
  <si>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</si>
  <si>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</si>
  <si>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</si>
  <si>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</si>
  <si>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</si>
  <si>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</si>
  <si>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</si>
  <si>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</si>
  <si>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</si>
  <si>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</si>
  <si>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</si>
  <si>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</si>
  <si>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</si>
  <si>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</si>
  <si>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</si>
  <si>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</si>
  <si>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</si>
  <si>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</si>
  <si>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</si>
  <si>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</si>
  <si>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</si>
  <si>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</si>
  <si>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</si>
  <si>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</si>
  <si>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</si>
  <si>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</si>
  <si>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</si>
  <si>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</si>
  <si>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</si>
  <si>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</si>
  <si>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</si>
  <si>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</si>
  <si>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</si>
  <si>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</si>
  <si>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</si>
  <si>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</si>
  <si>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</si>
  <si>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</si>
  <si>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</si>
  <si>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</si>
  <si>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</si>
  <si>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</si>
  <si>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</si>
  <si>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</si>
  <si>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</si>
  <si>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</si>
  <si>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</si>
  <si>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</si>
  <si>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</si>
  <si>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</si>
  <si>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</si>
  <si>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</si>
  <si>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</si>
  <si>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</si>
  <si>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</si>
  <si>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</si>
  <si>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</si>
  <si>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</si>
  <si>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</si>
  <si>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</si>
  <si>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</si>
  <si>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</si>
  <si>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</si>
  <si>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</si>
  <si>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</si>
  <si>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</si>
  <si>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</si>
  <si>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</si>
  <si>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</si>
  <si>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</si>
  <si>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</si>
  <si>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</si>
  <si>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</si>
  <si>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</si>
  <si>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</si>
  <si>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</si>
  <si>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</si>
  <si>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</si>
  <si>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</si>
  <si>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</si>
  <si>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</si>
  <si>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</si>
  <si>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</si>
  <si>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</si>
  <si>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</si>
  <si>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</si>
  <si>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</si>
  <si>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</si>
  <si>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</si>
  <si>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</si>
  <si>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</si>
  <si>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</si>
  <si>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</si>
  <si>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</si>
  <si>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</si>
  <si>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</si>
  <si>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</si>
  <si>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</si>
  <si>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</si>
  <si>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</si>
  <si>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</si>
  <si>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</si>
  <si>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</si>
  <si>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</si>
  <si>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</si>
  <si>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</si>
  <si>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</si>
  <si>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</si>
  <si>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</si>
  <si>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</si>
  <si>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</si>
  <si>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</si>
  <si>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</si>
  <si>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</si>
  <si>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</si>
  <si>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</si>
  <si>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</si>
  <si>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</si>
  <si>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</si>
  <si>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</si>
  <si>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</si>
  <si>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</si>
  <si>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</si>
  <si>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</si>
  <si>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</si>
  <si>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</si>
  <si>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</si>
  <si>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</si>
  <si>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</si>
  <si>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</si>
  <si>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</si>
  <si>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</si>
  <si>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</si>
  <si>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</si>
  <si>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</si>
  <si>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</si>
  <si>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</si>
  <si>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</si>
  <si>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</si>
  <si>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</si>
  <si>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</si>
  <si>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</si>
  <si>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</si>
  <si>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</si>
  <si>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</si>
  <si>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</si>
  <si>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</si>
  <si>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</si>
  <si>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</si>
  <si>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</si>
  <si>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</si>
  <si>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</si>
  <si>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</si>
  <si>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</si>
  <si>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</si>
  <si>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</si>
  <si>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</si>
  <si>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</si>
  <si>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</si>
  <si>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</si>
  <si>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</si>
  <si>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</si>
  <si>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</si>
  <si>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</si>
  <si>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</si>
  <si>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</si>
  <si>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</si>
  <si>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</si>
  <si>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</si>
  <si>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</si>
  <si>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</si>
  <si>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</si>
  <si>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</si>
  <si>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</si>
  <si>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</si>
  <si>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</si>
  <si>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</si>
  <si>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</si>
  <si>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</si>
  <si>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</si>
  <si>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</si>
  <si>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</si>
  <si>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</si>
  <si>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</si>
  <si>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</si>
  <si>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</si>
  <si>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</si>
  <si>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</si>
  <si>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</si>
  <si>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</si>
  <si>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</si>
  <si>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</si>
  <si>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</si>
  <si>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</si>
  <si>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</si>
  <si>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</si>
  <si>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</si>
  <si>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</si>
  <si>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</si>
  <si>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</si>
  <si>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</si>
  <si>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</si>
  <si>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</si>
  <si>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</si>
  <si>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</si>
  <si>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</si>
  <si>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</si>
  <si>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</si>
  <si>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</si>
  <si>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</si>
  <si>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</si>
  <si>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</si>
  <si>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</si>
  <si>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</si>
  <si>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</si>
  <si>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</si>
  <si>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</si>
  <si>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</si>
  <si>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</si>
  <si>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</si>
  <si>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</si>
  <si>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</si>
  <si>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</si>
  <si>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</si>
  <si>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</si>
  <si>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</si>
  <si>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</si>
  <si>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</si>
  <si>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</si>
  <si>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</si>
  <si>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</si>
  <si>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</si>
  <si>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</si>
  <si>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</si>
  <si>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</si>
  <si>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</si>
  <si>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</si>
  <si>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</si>
  <si>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</si>
  <si>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</si>
  <si>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</si>
  <si>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</si>
  <si>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</si>
  <si>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</si>
  <si>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</si>
  <si>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</si>
  <si>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</si>
  <si>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</si>
  <si>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</si>
  <si>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</si>
  <si>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</si>
  <si>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</si>
  <si>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</si>
  <si>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</si>
  <si>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</si>
  <si>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</si>
  <si>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</si>
  <si>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</si>
  <si>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</si>
  <si>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</si>
  <si>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</si>
  <si>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</si>
  <si>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</si>
  <si>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</si>
  <si>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</si>
  <si>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</si>
  <si>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</si>
  <si>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</si>
  <si>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</si>
  <si>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</si>
  <si>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</si>
  <si>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</si>
  <si>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</si>
  <si>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</si>
  <si>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</si>
  <si>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</si>
  <si>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</si>
  <si>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</si>
  <si>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</si>
  <si>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</si>
  <si>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</si>
  <si>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</si>
  <si>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</si>
  <si>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</si>
  <si>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</si>
  <si>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</si>
  <si>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</si>
  <si>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</si>
  <si>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</si>
  <si>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</si>
  <si>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</si>
  <si>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</si>
  <si>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</si>
  <si>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</si>
  <si>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</si>
  <si>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</si>
  <si>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</si>
  <si>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</si>
  <si>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</si>
  <si>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</si>
  <si>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</si>
  <si>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</si>
  <si>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</si>
  <si>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</si>
  <si>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</si>
  <si>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</si>
  <si>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</si>
  <si>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</si>
  <si>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</si>
  <si>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</si>
  <si>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</si>
  <si>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</si>
  <si>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</si>
  <si>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</si>
  <si>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</si>
  <si>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</si>
  <si>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</si>
  <si>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</si>
  <si>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</si>
  <si>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</si>
  <si>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</si>
  <si>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</si>
  <si>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</si>
  <si>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</si>
  <si>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</si>
  <si>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</si>
  <si>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</si>
  <si>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</si>
  <si>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</si>
  <si>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</si>
  <si>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</si>
  <si>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</si>
  <si>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</si>
  <si>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</si>
  <si>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</si>
  <si>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</si>
  <si>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</si>
  <si>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</si>
  <si>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</si>
  <si>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</si>
  <si>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</si>
  <si>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</si>
  <si>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</si>
  <si>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</si>
  <si>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</si>
  <si>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</si>
  <si>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</si>
  <si>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</si>
  <si>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</si>
  <si>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</si>
  <si>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</si>
  <si>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</si>
  <si>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</si>
  <si>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</si>
  <si>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</si>
  <si>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</si>
  <si>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</si>
  <si>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</si>
  <si>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</si>
  <si>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</si>
  <si>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</si>
  <si>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</si>
  <si>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</si>
  <si>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</si>
  <si>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</si>
  <si>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</si>
  <si>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</si>
  <si>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</si>
  <si>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</si>
  <si>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</si>
  <si>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</si>
  <si>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</si>
  <si>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</si>
  <si>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</si>
  <si>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</si>
  <si>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</si>
  <si>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</si>
  <si>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</si>
  <si>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</si>
  <si>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</si>
  <si>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</si>
  <si>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</si>
  <si>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</si>
  <si>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</si>
  <si>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</si>
  <si>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</si>
  <si>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</si>
  <si>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</si>
  <si>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</si>
  <si>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</si>
  <si>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</si>
  <si>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</si>
  <si>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</si>
  <si>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</si>
  <si>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</si>
  <si>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</si>
  <si>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</si>
  <si>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</si>
  <si>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</si>
  <si>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</si>
  <si>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</si>
  <si>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</si>
  <si>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</si>
  <si>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</si>
  <si>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</si>
  <si>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</si>
  <si>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</si>
  <si>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</si>
  <si>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</si>
  <si>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</si>
  <si>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</si>
  <si>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</si>
  <si>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</si>
  <si>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</si>
  <si>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</si>
  <si>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</si>
  <si>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</si>
  <si>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</si>
  <si>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</si>
  <si>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</si>
  <si>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</si>
  <si>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</si>
  <si>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</si>
  <si>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</si>
  <si>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</si>
  <si>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</si>
  <si>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</si>
  <si>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</si>
  <si>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</si>
  <si>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</si>
  <si>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</si>
  <si>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</si>
  <si>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</si>
  <si>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</si>
  <si>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</si>
  <si>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</si>
  <si>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</si>
  <si>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</si>
  <si>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</si>
  <si>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</si>
  <si>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</si>
  <si>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</si>
  <si>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</si>
  <si>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</si>
  <si>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</si>
  <si>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</si>
  <si>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</si>
  <si>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</si>
  <si>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</si>
  <si>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</si>
  <si>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</si>
  <si>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</si>
  <si>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</si>
  <si>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</si>
  <si>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</si>
  <si>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</si>
  <si>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</si>
  <si>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</si>
  <si>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</si>
  <si>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</si>
  <si>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</si>
  <si>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</si>
  <si>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</si>
  <si>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</si>
  <si>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</si>
  <si>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</si>
  <si>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</si>
  <si>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</si>
  <si>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</si>
  <si>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</si>
  <si>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</si>
  <si>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</si>
  <si>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</si>
  <si>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</si>
  <si>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</si>
  <si>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</si>
  <si>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</si>
  <si>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</si>
  <si>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</si>
  <si>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</si>
  <si>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</si>
  <si>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</si>
  <si>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</si>
  <si>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</si>
  <si>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</si>
  <si>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</si>
  <si>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</si>
  <si>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</si>
  <si>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</si>
  <si>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</si>
  <si>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</si>
  <si>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</si>
  <si>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</si>
  <si>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</si>
  <si>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</si>
  <si>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</si>
  <si>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</si>
  <si>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</si>
  <si>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</si>
  <si>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</si>
  <si>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</si>
  <si>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</si>
  <si>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</si>
  <si>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</si>
  <si>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</si>
  <si>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</si>
  <si>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</si>
  <si>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</si>
  <si>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</si>
  <si>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</si>
  <si>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</si>
  <si>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</si>
  <si>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</si>
  <si>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</si>
  <si>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</si>
  <si>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</si>
  <si>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</si>
  <si>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</si>
  <si>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</si>
  <si>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</si>
  <si>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</si>
  <si>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</si>
  <si>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</si>
  <si>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</si>
  <si>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</si>
  <si>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</si>
  <si>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</si>
  <si>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</si>
  <si>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</si>
  <si>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</si>
  <si>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</si>
  <si>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</si>
  <si>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</si>
  <si>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</si>
  <si>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</si>
  <si>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</si>
  <si>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</si>
  <si>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</si>
  <si>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</si>
  <si>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</si>
  <si>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</si>
  <si>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</si>
  <si>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</si>
  <si>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</si>
  <si>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</si>
  <si>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</si>
  <si>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</si>
  <si>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</si>
  <si>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</si>
  <si>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</si>
  <si>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</si>
  <si>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</si>
  <si>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</si>
  <si>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</si>
  <si>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</si>
  <si>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</si>
  <si>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</si>
  <si>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</si>
  <si>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</si>
  <si>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</si>
  <si>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</si>
  <si>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</si>
  <si>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</si>
  <si>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</si>
  <si>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</si>
  <si>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</si>
  <si>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</si>
  <si>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</si>
  <si>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</si>
  <si>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</si>
  <si>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</si>
  <si>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</si>
  <si>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</si>
  <si>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</si>
  <si>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</si>
  <si>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</si>
  <si>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</si>
  <si>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</si>
  <si>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</si>
  <si>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</si>
  <si>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</si>
  <si>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</si>
  <si>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</si>
  <si>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</si>
  <si>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</si>
  <si>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</si>
  <si>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</si>
  <si>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</si>
  <si>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</si>
  <si>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</si>
  <si>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</si>
  <si>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</si>
  <si>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</si>
  <si>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</si>
  <si>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</si>
  <si>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</si>
  <si>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</si>
  <si>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</si>
  <si>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</si>
  <si>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</si>
  <si>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</si>
  <si>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</si>
  <si>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</si>
  <si>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</si>
  <si>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</si>
  <si>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</si>
  <si>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</si>
  <si>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</si>
  <si>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</si>
  <si>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</si>
  <si>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</si>
  <si>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</si>
  <si>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</si>
  <si>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</si>
  <si>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</si>
  <si>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</si>
  <si>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</si>
  <si>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</si>
  <si>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</si>
  <si>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</si>
  <si>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</si>
  <si>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</si>
  <si>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</si>
  <si>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</si>
  <si>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</si>
  <si>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</si>
  <si>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</si>
  <si>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</si>
  <si>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</si>
  <si>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</si>
  <si>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</si>
  <si>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</si>
  <si>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</si>
  <si>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</si>
  <si>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</si>
  <si>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</si>
  <si>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</si>
  <si>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</si>
  <si>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</si>
  <si>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</si>
  <si>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</si>
  <si>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</si>
  <si>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</si>
  <si>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</si>
  <si>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</si>
  <si>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</si>
  <si>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</si>
  <si>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</si>
  <si>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</si>
  <si>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</si>
  <si>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</si>
  <si>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</si>
  <si>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</si>
  <si>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</si>
  <si>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</si>
  <si>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</si>
  <si>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</si>
  <si>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</si>
  <si>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</si>
  <si>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</si>
  <si>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</si>
  <si>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</si>
  <si>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</si>
  <si>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</si>
  <si>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</si>
  <si>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</si>
  <si>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</si>
  <si>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</si>
  <si>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</si>
  <si>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</si>
  <si>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</si>
  <si>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</si>
  <si>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</si>
  <si>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</si>
  <si>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</si>
  <si>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</si>
  <si>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</si>
  <si>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</si>
  <si>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</si>
  <si>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</si>
  <si>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</si>
  <si>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</si>
  <si>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</si>
  <si>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</si>
  <si>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</si>
  <si>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</si>
  <si>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</si>
  <si>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</si>
  <si>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</si>
  <si>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</si>
  <si>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</si>
  <si>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</si>
  <si>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</si>
  <si>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</si>
  <si>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</si>
  <si>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</si>
  <si>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</si>
  <si>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</si>
  <si>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</si>
  <si>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</si>
  <si>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</si>
  <si>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</si>
  <si>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</si>
  <si>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</si>
  <si>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</si>
  <si>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</si>
  <si>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</si>
  <si>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</si>
  <si>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</si>
  <si>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</si>
  <si>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</si>
  <si>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</si>
  <si>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</si>
  <si>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</si>
  <si>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</si>
  <si>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</si>
  <si>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</si>
  <si>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</si>
  <si>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</si>
  <si>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</si>
  <si>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</si>
  <si>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</si>
  <si>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</si>
  <si>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</si>
  <si>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</si>
  <si>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</si>
  <si>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</si>
  <si>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</si>
  <si>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</si>
  <si>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</si>
  <si>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</si>
  <si>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</si>
  <si>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</si>
  <si>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</si>
  <si>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</si>
  <si>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</si>
  <si>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</si>
  <si>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</si>
  <si>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</si>
  <si>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</si>
  <si>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</si>
  <si>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</si>
  <si>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</si>
  <si>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</si>
  <si>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</si>
  <si>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</si>
  <si>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</si>
  <si>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</si>
  <si>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</si>
  <si>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</si>
  <si>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</si>
  <si>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</si>
  <si>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</si>
  <si>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</si>
  <si>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</si>
  <si>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</si>
  <si>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</si>
  <si>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</si>
  <si>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</si>
  <si>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</si>
  <si>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</si>
  <si>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</si>
  <si>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</si>
  <si>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</si>
  <si>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</si>
  <si>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</si>
  <si>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</si>
  <si>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</si>
  <si>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</si>
  <si>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</si>
  <si>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</si>
  <si>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</si>
  <si>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</si>
  <si>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</si>
  <si>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</si>
  <si>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</si>
  <si>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</si>
  <si>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</si>
  <si>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</si>
  <si>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</si>
  <si>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</si>
  <si>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</si>
  <si>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</si>
  <si>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</si>
  <si>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</si>
  <si>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</si>
  <si>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</si>
  <si>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</si>
  <si>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</si>
  <si>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</si>
  <si>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</si>
  <si>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</si>
  <si>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</si>
  <si>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</si>
  <si>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</si>
  <si>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</si>
  <si>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</si>
  <si>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</si>
  <si>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</si>
  <si>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</si>
  <si>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</si>
  <si>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</si>
  <si>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</si>
  <si>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</si>
  <si>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</si>
  <si>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</si>
  <si>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</si>
  <si>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</si>
  <si>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</si>
  <si>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</si>
  <si>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</si>
  <si>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</si>
  <si>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</si>
  <si>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</si>
  <si>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</si>
  <si>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</si>
  <si>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</si>
  <si>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</si>
  <si>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</si>
  <si>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</si>
  <si>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</si>
  <si>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</si>
  <si>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</si>
  <si>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</si>
  <si>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</si>
  <si>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</si>
  <si>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</si>
  <si>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</si>
  <si>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</si>
  <si>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</si>
  <si>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</si>
  <si>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</si>
  <si>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</si>
  <si>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</si>
  <si>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</si>
  <si>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</si>
  <si>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</si>
  <si>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</si>
  <si>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</si>
  <si>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</si>
  <si>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</si>
  <si>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</si>
  <si>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</si>
  <si>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</si>
  <si>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</si>
  <si>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</si>
  <si>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</si>
  <si>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</si>
  <si>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</si>
  <si>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</si>
  <si>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</si>
  <si>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</si>
  <si>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</si>
  <si>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</si>
  <si>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</si>
  <si>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</si>
  <si>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</si>
  <si>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</si>
  <si>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</si>
  <si>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</si>
  <si>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</si>
  <si>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</si>
  <si>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</si>
  <si>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</si>
  <si>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</si>
  <si>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</si>
  <si>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</si>
  <si>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</si>
  <si>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</si>
  <si>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</si>
  <si>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</si>
  <si>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</si>
  <si>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</si>
  <si>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</si>
  <si>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</si>
  <si>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</si>
  <si>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</si>
  <si>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</si>
  <si>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</si>
  <si>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</si>
  <si>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</si>
  <si>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</si>
  <si>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</si>
  <si>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</si>
  <si>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</si>
  <si>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</si>
  <si>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</si>
  <si>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</si>
  <si>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</si>
  <si>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</si>
  <si>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</si>
  <si>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</si>
  <si>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</si>
  <si>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</si>
  <si>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</si>
  <si>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</si>
  <si>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</si>
  <si>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</si>
  <si>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</si>
  <si>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</si>
  <si>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</si>
  <si>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</si>
  <si>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</si>
  <si>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</si>
  <si>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</si>
  <si>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</si>
  <si>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</si>
  <si>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</si>
  <si>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</si>
  <si>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</si>
  <si>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</si>
  <si>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</si>
  <si>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</si>
  <si>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</si>
  <si>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</si>
  <si>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</si>
  <si>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</si>
  <si>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</si>
  <si>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</si>
  <si>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</si>
  <si>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</si>
  <si>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</si>
  <si>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</si>
  <si>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</si>
  <si>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</si>
  <si>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</si>
  <si>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</si>
  <si>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</si>
  <si>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</si>
  <si>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</si>
  <si>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</si>
  <si>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</si>
  <si>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</si>
  <si>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</si>
  <si>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</si>
  <si>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</si>
  <si>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</si>
  <si>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</si>
  <si>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</si>
  <si>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</si>
  <si>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</si>
  <si>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</si>
  <si>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</si>
  <si>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</si>
  <si>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</si>
  <si>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</si>
  <si>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</si>
  <si>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</si>
  <si>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</si>
  <si>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</si>
  <si>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</si>
  <si>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</si>
  <si>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</si>
  <si>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</si>
  <si>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</si>
  <si>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</si>
  <si>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</si>
  <si>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</si>
  <si>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</si>
  <si>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</si>
  <si>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</si>
  <si>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</si>
  <si>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</si>
  <si>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</si>
  <si>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</si>
  <si>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</si>
  <si>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</si>
  <si>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</si>
  <si>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</si>
  <si>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</si>
  <si>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</si>
  <si>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</si>
  <si>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</si>
  <si>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</si>
  <si>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</si>
  <si>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</si>
  <si>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</si>
  <si>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</si>
  <si>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</si>
  <si>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</si>
  <si>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</si>
  <si>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</si>
  <si>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</si>
  <si>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</si>
  <si>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</si>
  <si>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</si>
  <si>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</si>
  <si>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</si>
  <si>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</si>
  <si>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</si>
  <si>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</si>
  <si>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</si>
  <si>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</si>
  <si>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</si>
  <si>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</si>
  <si>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</si>
  <si>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</si>
  <si>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</si>
  <si>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</si>
  <si>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</si>
  <si>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</si>
  <si>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</si>
  <si>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</si>
  <si>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</si>
  <si>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</si>
  <si>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</si>
  <si>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</si>
  <si>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</si>
  <si>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</si>
  <si>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</si>
  <si>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</si>
  <si>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</si>
  <si>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</si>
  <si>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</si>
  <si>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</si>
  <si>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</si>
  <si>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</si>
  <si>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</si>
  <si>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</si>
  <si>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</si>
  <si>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</si>
  <si>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</si>
  <si>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</si>
  <si>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</si>
  <si>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</si>
  <si>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</si>
  <si>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</si>
  <si>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</si>
  <si>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</si>
  <si>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</si>
  <si>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</si>
  <si>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</si>
  <si>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</si>
  <si>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</si>
  <si>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</si>
  <si>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</si>
  <si>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</si>
  <si>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</si>
  <si>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</si>
  <si>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</si>
  <si>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</si>
  <si>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</si>
  <si>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</si>
  <si>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</si>
  <si>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</si>
  <si>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</si>
  <si>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</si>
  <si>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</si>
  <si>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</si>
  <si>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</si>
  <si>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</si>
  <si>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</si>
  <si>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</si>
  <si>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</si>
  <si>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</si>
  <si>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</si>
  <si>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</si>
  <si>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</si>
  <si>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</si>
  <si>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</si>
  <si>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</si>
  <si>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</si>
  <si>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</si>
  <si>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</si>
  <si>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</si>
  <si>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</si>
  <si>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</si>
  <si>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</si>
  <si>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</si>
  <si>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</si>
  <si>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</si>
  <si>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</si>
  <si>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</si>
  <si>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</si>
  <si>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</si>
  <si>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</si>
  <si>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</si>
  <si>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</si>
  <si>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</si>
  <si>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</si>
  <si>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</si>
  <si>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</si>
  <si>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</si>
  <si>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</si>
  <si>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</si>
  <si>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</si>
  <si>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</si>
  <si>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</si>
  <si>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</si>
  <si>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</si>
  <si>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</si>
  <si>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</si>
  <si>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</si>
  <si>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</si>
  <si>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</si>
  <si>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</si>
  <si>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</si>
  <si>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</si>
  <si>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</si>
  <si>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</si>
  <si>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</si>
  <si>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</si>
  <si>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</si>
  <si>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</si>
  <si>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</si>
  <si>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</si>
  <si>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</si>
  <si>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</si>
  <si>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</si>
  <si>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</si>
  <si>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</si>
  <si>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</si>
  <si>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</si>
  <si>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</si>
  <si>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</si>
  <si>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</si>
  <si>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</si>
  <si>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</si>
  <si>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</si>
  <si>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</si>
  <si>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</si>
  <si>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</si>
  <si>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</si>
  <si>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</si>
  <si>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</si>
  <si>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</si>
  <si>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</si>
  <si>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</si>
  <si>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</si>
  <si>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</si>
  <si>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</si>
  <si>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</si>
  <si>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</si>
  <si>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</si>
  <si>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</si>
  <si>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</si>
  <si>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</si>
  <si>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</si>
  <si>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</si>
  <si>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</si>
  <si>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</si>
  <si>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</si>
  <si>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</si>
  <si>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</si>
  <si>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</si>
  <si>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</si>
  <si>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</si>
  <si>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</si>
  <si>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</si>
  <si>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</si>
  <si>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</si>
  <si>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</si>
  <si>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</si>
  <si>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</si>
  <si>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</si>
  <si>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</si>
  <si>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</si>
  <si>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</si>
  <si>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</si>
  <si>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</si>
  <si>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</si>
  <si>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</si>
  <si>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</si>
  <si>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</si>
  <si>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</si>
  <si>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</si>
  <si>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</si>
  <si>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</si>
  <si>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</si>
  <si>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</si>
  <si>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</si>
  <si>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</si>
  <si>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</si>
  <si>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</si>
  <si>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</si>
  <si>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</si>
  <si>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</si>
  <si>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</si>
  <si>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</si>
  <si>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</si>
  <si>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</si>
  <si>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</si>
  <si>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</si>
  <si>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</si>
  <si>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</si>
  <si>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</si>
  <si>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</si>
  <si>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</si>
  <si>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</si>
  <si>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</si>
  <si>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</si>
  <si>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</si>
  <si>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</si>
  <si>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</si>
  <si>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</si>
  <si>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</si>
  <si>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</si>
  <si>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</si>
  <si>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</si>
  <si>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</si>
  <si>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</si>
  <si>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</si>
  <si>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</si>
  <si>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</si>
  <si>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</si>
  <si>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</si>
  <si>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</si>
  <si>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</si>
  <si>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</si>
  <si>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</si>
  <si>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</si>
  <si>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</si>
  <si>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</si>
  <si>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</si>
  <si>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</si>
  <si>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</si>
  <si>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</si>
  <si>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</si>
  <si>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</si>
  <si>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</si>
  <si>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</si>
  <si>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</si>
  <si>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</si>
  <si>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</si>
  <si>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</si>
  <si>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</si>
  <si>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</si>
  <si>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</si>
  <si>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</si>
  <si>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</si>
  <si>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</si>
  <si>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</si>
  <si>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</si>
  <si>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</si>
  <si>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</si>
  <si>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</si>
  <si>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</si>
  <si>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</si>
  <si>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</si>
  <si>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</si>
  <si>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</si>
  <si>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</si>
  <si>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</si>
  <si>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</si>
  <si>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</si>
  <si>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</si>
  <si>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</si>
  <si>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</si>
  <si>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</si>
  <si>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</si>
  <si>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</si>
  <si>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</si>
  <si>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</si>
  <si>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</si>
  <si>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</si>
  <si>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</si>
  <si>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</si>
  <si>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</si>
  <si>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</si>
  <si>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</si>
  <si>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</si>
  <si>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</si>
  <si>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</si>
  <si>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</si>
  <si>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</si>
  <si>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</si>
  <si>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</si>
  <si>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</si>
  <si>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</si>
  <si>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</si>
  <si>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</si>
  <si>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</si>
  <si>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</si>
  <si>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</si>
  <si>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</si>
  <si>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</si>
  <si>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</si>
  <si>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</si>
  <si>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</si>
  <si>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</si>
  <si>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</si>
  <si>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</si>
  <si>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</si>
  <si>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</si>
  <si>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</si>
  <si>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</si>
  <si>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</si>
  <si>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</si>
  <si>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</si>
  <si>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</si>
  <si>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</si>
  <si>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</si>
  <si>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</si>
  <si>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</si>
  <si>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</si>
  <si>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</si>
  <si>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</si>
  <si>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</si>
  <si>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</si>
  <si>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</si>
  <si>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</si>
  <si>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</si>
  <si>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</si>
  <si>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</si>
  <si>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</si>
  <si>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</si>
  <si>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</si>
  <si>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</si>
  <si>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</si>
  <si>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</si>
  <si>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</si>
  <si>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</si>
  <si>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</si>
  <si>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</si>
  <si>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</si>
  <si>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</si>
  <si>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</si>
  <si>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</si>
  <si>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</si>
  <si>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</si>
  <si>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</si>
  <si>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</si>
  <si>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</si>
  <si>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</si>
  <si>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</si>
  <si>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</si>
  <si>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</si>
  <si>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</si>
  <si>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</si>
  <si>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</si>
  <si>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</si>
  <si>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</si>
  <si>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</si>
  <si>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</si>
  <si>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</si>
  <si>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</si>
  <si>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</si>
  <si>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</si>
  <si>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</si>
  <si>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</si>
  <si>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</si>
  <si>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</si>
  <si>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</si>
  <si>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</si>
  <si>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</si>
  <si>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</si>
  <si>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</si>
  <si>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</si>
  <si>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</si>
  <si>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</si>
  <si>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</si>
  <si>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</si>
  <si>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</si>
  <si>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</si>
  <si>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</si>
  <si>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</si>
  <si>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</si>
  <si>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</si>
  <si>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</si>
  <si>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</si>
  <si>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</si>
  <si>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</si>
  <si>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</si>
  <si>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</si>
  <si>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</si>
  <si>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</si>
  <si>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</si>
  <si>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</si>
  <si>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</si>
  <si>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</si>
  <si>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</si>
  <si>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</si>
  <si>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</si>
  <si>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</si>
  <si>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</si>
  <si>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</si>
  <si>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</si>
  <si>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</si>
  <si>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</si>
  <si>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</si>
  <si>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</si>
  <si>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</si>
  <si>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</si>
  <si>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</si>
  <si>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</si>
  <si>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</si>
  <si>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</si>
  <si>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</si>
  <si>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</si>
  <si>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</si>
  <si>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</si>
  <si>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</si>
  <si>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</si>
  <si>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</si>
  <si>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</si>
  <si>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</si>
  <si>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</si>
  <si>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</si>
  <si>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</si>
  <si>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</si>
  <si>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</si>
  <si>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</si>
  <si>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</si>
  <si>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</si>
  <si>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</si>
  <si>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</si>
  <si>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</si>
  <si>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</si>
  <si>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</si>
  <si>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</si>
  <si>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</si>
  <si>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</si>
  <si>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</si>
  <si>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</si>
  <si>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</si>
  <si>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</si>
  <si>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</si>
  <si>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</si>
  <si>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</si>
  <si>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</si>
  <si>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</si>
  <si>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</si>
  <si>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</si>
  <si>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</si>
  <si>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</si>
  <si>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</si>
  <si>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</si>
  <si>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</si>
  <si>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</si>
  <si>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</si>
  <si>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</si>
  <si>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</si>
  <si>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</si>
  <si>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</si>
  <si>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</si>
  <si>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</si>
  <si>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</si>
  <si>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</si>
  <si>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</si>
  <si>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</si>
  <si>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</si>
  <si>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</si>
  <si>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</si>
  <si>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</si>
  <si>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</si>
  <si>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</si>
  <si>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</si>
  <si>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</si>
  <si>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</si>
  <si>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</si>
  <si>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</si>
  <si>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</si>
  <si>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</si>
  <si>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</si>
  <si>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</si>
  <si>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</si>
  <si>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</si>
  <si>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</si>
  <si>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</si>
  <si>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</si>
  <si>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</si>
  <si>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</si>
  <si>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</si>
  <si>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</si>
  <si>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</si>
  <si>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</si>
  <si>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</si>
  <si>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</si>
  <si>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</si>
  <si>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</si>
  <si>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</si>
  <si>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</si>
  <si>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</si>
  <si>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</si>
  <si>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</si>
  <si>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</si>
  <si>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</si>
  <si>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</si>
  <si>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</si>
  <si>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</si>
  <si>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</si>
  <si>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</si>
  <si>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</si>
  <si>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</si>
  <si>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</si>
  <si>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</si>
  <si>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</si>
  <si>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</si>
  <si>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</si>
  <si>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</si>
  <si>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</si>
  <si>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</si>
  <si>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</si>
  <si>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</si>
  <si>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</si>
  <si>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</si>
  <si>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</si>
  <si>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</si>
  <si>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</si>
  <si>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</si>
  <si>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</si>
  <si>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</si>
  <si>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</si>
  <si>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</si>
  <si>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</si>
  <si>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</si>
  <si>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</si>
  <si>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</si>
  <si>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</si>
  <si>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</si>
  <si>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</si>
  <si>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</si>
  <si>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</si>
  <si>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</si>
  <si>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</si>
  <si>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</si>
  <si>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</si>
  <si>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</si>
  <si>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</si>
  <si>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</si>
  <si>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</si>
  <si>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</si>
  <si>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</si>
  <si>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</si>
  <si>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</si>
  <si>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</si>
  <si>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</si>
  <si>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</si>
  <si>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</si>
  <si>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</si>
  <si>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</si>
  <si>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</si>
  <si>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</si>
  <si>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</si>
  <si>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</si>
  <si>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</si>
  <si>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</si>
  <si>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</si>
  <si>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</si>
  <si>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</si>
  <si>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</si>
  <si>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</si>
  <si>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</si>
  <si>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</si>
  <si>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</si>
  <si>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</si>
  <si>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</si>
  <si>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</si>
  <si>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</si>
  <si>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</si>
  <si>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</si>
  <si>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</si>
  <si>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</si>
  <si>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</si>
  <si>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</si>
  <si>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</si>
  <si>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</si>
  <si>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</si>
  <si>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</si>
  <si>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</si>
  <si>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</si>
  <si>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</si>
  <si>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</si>
  <si>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</si>
  <si>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</si>
  <si>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</si>
  <si>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</si>
  <si>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</si>
  <si>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</si>
  <si>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</si>
  <si>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</si>
  <si>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</si>
  <si>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</si>
  <si>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</si>
  <si>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</si>
  <si>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</si>
  <si>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</si>
  <si>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</si>
  <si>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</si>
  <si>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</si>
  <si>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</si>
  <si>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</si>
  <si>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</si>
  <si>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</si>
  <si>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</si>
  <si>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</si>
  <si>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</si>
  <si>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</si>
  <si>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</si>
  <si>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</si>
  <si>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</si>
  <si>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</si>
  <si>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</si>
  <si>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</si>
  <si>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</si>
  <si>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</si>
  <si>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</si>
  <si>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</si>
  <si>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</si>
  <si>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</si>
  <si>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</si>
  <si>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</si>
  <si>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</si>
  <si>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</si>
  <si>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</si>
  <si>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</si>
  <si>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</si>
  <si>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</si>
  <si>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</si>
  <si>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</si>
  <si>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</si>
  <si>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</si>
  <si>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</si>
  <si>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</si>
  <si>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</si>
  <si>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</si>
  <si>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</si>
  <si>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</si>
  <si>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</si>
  <si>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</si>
  <si>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</si>
  <si>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</si>
  <si>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</si>
  <si>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</si>
  <si>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</si>
  <si>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</si>
  <si>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</si>
  <si>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</si>
  <si>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</si>
  <si>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</si>
  <si>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</si>
  <si>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</si>
  <si>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</si>
  <si>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</si>
  <si>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</si>
  <si>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</si>
  <si>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</si>
  <si>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</si>
  <si>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</si>
  <si>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</si>
  <si>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</si>
  <si>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</si>
  <si>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</si>
  <si>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</si>
  <si>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</si>
  <si>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</si>
  <si>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</si>
  <si>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</si>
  <si>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</si>
  <si>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</si>
  <si>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</si>
  <si>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</si>
  <si>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</si>
  <si>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</si>
  <si>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</si>
  <si>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</si>
  <si>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</si>
  <si>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</si>
  <si>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</si>
  <si>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</si>
  <si>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</si>
  <si>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</si>
  <si>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</si>
  <si>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</si>
  <si>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</si>
  <si>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</si>
  <si>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</si>
  <si>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</si>
  <si>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</si>
  <si>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</si>
  <si>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</si>
  <si>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</si>
  <si>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</si>
  <si>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</si>
  <si>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</si>
  <si>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</si>
  <si>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</si>
  <si>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</si>
  <si>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</si>
  <si>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</si>
  <si>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</si>
  <si>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</si>
  <si>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</si>
  <si>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</si>
  <si>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</si>
  <si>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</si>
  <si>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</si>
  <si>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</si>
  <si>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</si>
  <si>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</si>
  <si>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</si>
  <si>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</si>
  <si>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</si>
  <si>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</si>
  <si>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</si>
  <si>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</si>
  <si>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</si>
  <si>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</si>
  <si>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</si>
  <si>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</si>
  <si>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</si>
  <si>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</si>
  <si>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</si>
  <si>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</si>
  <si>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</si>
  <si>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</si>
  <si>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</si>
  <si>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</si>
  <si>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</si>
  <si>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</si>
  <si>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</si>
  <si>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</si>
  <si>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</si>
  <si>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</si>
  <si>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</si>
  <si>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</si>
  <si>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</si>
  <si>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</si>
  <si>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</si>
  <si>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</si>
  <si>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</si>
  <si>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</si>
  <si>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</si>
  <si>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</si>
  <si>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</si>
  <si>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</si>
  <si>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</si>
  <si>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</si>
  <si>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</si>
  <si>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</si>
  <si>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</si>
  <si>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</si>
  <si>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</si>
  <si>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</si>
  <si>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</si>
  <si>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</si>
  <si>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</si>
  <si>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</si>
  <si>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</si>
  <si>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</si>
  <si>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</si>
  <si>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</si>
  <si>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</si>
  <si>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</si>
  <si>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</si>
  <si>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</si>
  <si>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</si>
  <si>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</si>
  <si>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</si>
  <si>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</si>
  <si>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</si>
  <si>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</si>
  <si>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</si>
  <si>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</si>
  <si>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</si>
  <si>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</si>
  <si>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</si>
  <si>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</si>
  <si>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</si>
  <si>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</si>
  <si>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</si>
  <si>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</si>
  <si>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</si>
  <si>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</si>
  <si>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</si>
  <si>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</si>
  <si>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</si>
  <si>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</si>
  <si>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</si>
  <si>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</si>
  <si>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</si>
  <si>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</si>
  <si>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</si>
  <si>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</si>
  <si>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</si>
  <si>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</si>
  <si>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</si>
  <si>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</si>
  <si>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</si>
  <si>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</si>
  <si>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</si>
  <si>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</si>
  <si>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</si>
  <si>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</si>
  <si>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</si>
  <si>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</si>
  <si>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</si>
  <si>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</si>
  <si>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</si>
  <si>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</si>
  <si>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</si>
  <si>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</si>
  <si>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</si>
  <si>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</si>
  <si>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</si>
  <si>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</si>
  <si>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</si>
  <si>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</si>
  <si>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</si>
  <si>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</si>
  <si>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</si>
  <si>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</si>
  <si>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</si>
  <si>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</si>
  <si>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</si>
  <si>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</si>
  <si>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</si>
  <si>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</si>
  <si>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</si>
  <si>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</si>
  <si>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</si>
  <si>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</si>
  <si>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</si>
  <si>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</si>
  <si>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</si>
  <si>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</si>
  <si>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</si>
  <si>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</si>
  <si>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</si>
  <si>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</si>
  <si>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</si>
  <si>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</si>
  <si>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</si>
  <si>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</si>
  <si>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</si>
  <si>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</si>
  <si>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</si>
  <si>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</si>
  <si>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</si>
  <si>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</si>
  <si>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</si>
  <si>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</si>
  <si>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</si>
  <si>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</si>
  <si>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</si>
  <si>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</si>
  <si>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</si>
  <si>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</si>
  <si>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</si>
  <si>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</si>
  <si>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</si>
  <si>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</si>
  <si>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</si>
  <si>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</si>
  <si>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</si>
  <si>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</si>
  <si>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</si>
  <si>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</si>
  <si>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</si>
  <si>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</si>
  <si>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</si>
  <si>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</si>
  <si>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</si>
  <si>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</si>
  <si>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</si>
  <si>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</si>
  <si>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</si>
  <si>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</si>
  <si>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</si>
  <si>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</si>
  <si>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</si>
  <si>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</si>
  <si>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</si>
  <si>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</si>
  <si>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</si>
  <si>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</si>
  <si>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</si>
  <si>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</si>
  <si>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</si>
  <si>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</si>
  <si>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</si>
  <si>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</si>
  <si>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</si>
  <si>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</si>
  <si>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</si>
  <si>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</si>
  <si>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</si>
  <si>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</si>
  <si>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</si>
  <si>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</si>
  <si>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</si>
  <si>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</si>
  <si>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</si>
  <si>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</si>
  <si>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</si>
  <si>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</si>
  <si>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</si>
  <si>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</si>
  <si>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</si>
  <si>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</si>
  <si>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</si>
  <si>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</si>
  <si>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</si>
  <si>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</si>
  <si>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</si>
  <si>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</si>
  <si>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</si>
  <si>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</si>
  <si>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</si>
  <si>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</si>
  <si>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</si>
  <si>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</si>
  <si>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</si>
  <si>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</si>
  <si>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</si>
  <si>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</si>
  <si>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</si>
  <si>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</si>
  <si>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</si>
  <si>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</si>
  <si>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</si>
  <si>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</si>
  <si>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</si>
  <si>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</si>
  <si>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</si>
  <si>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</si>
  <si>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</si>
  <si>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</si>
  <si>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</si>
  <si>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</si>
  <si>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</si>
  <si>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</si>
  <si>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</si>
  <si>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</si>
  <si>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</si>
  <si>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</si>
  <si>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</si>
  <si>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</si>
  <si>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</si>
  <si>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</si>
  <si>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</si>
  <si>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</si>
  <si>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</si>
  <si>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</si>
  <si>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</si>
  <si>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</si>
  <si>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</si>
  <si>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</si>
  <si>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</si>
  <si>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</si>
  <si>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</si>
  <si>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</si>
  <si>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</si>
  <si>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</si>
  <si>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</si>
  <si>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</si>
  <si>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</si>
  <si>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</si>
  <si>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</si>
  <si>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</si>
  <si>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</si>
  <si>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</si>
  <si>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</si>
  <si>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</si>
  <si>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</si>
  <si>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</si>
  <si>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</si>
  <si>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</si>
  <si>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</si>
  <si>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</si>
  <si>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</si>
  <si>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</si>
  <si>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</si>
  <si>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</si>
  <si>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</si>
  <si>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</si>
  <si>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</si>
  <si>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</si>
  <si>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</si>
  <si>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</si>
  <si>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</si>
  <si>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</si>
  <si>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</si>
  <si>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</si>
  <si>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</si>
  <si>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</si>
  <si>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</si>
  <si>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</si>
  <si>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</si>
  <si>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</si>
  <si>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</si>
  <si>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</si>
  <si>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</si>
  <si>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</si>
  <si>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</si>
  <si>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</si>
  <si>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</si>
  <si>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</si>
  <si>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</si>
  <si>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</si>
  <si>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</si>
  <si>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</si>
  <si>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</si>
  <si>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</si>
  <si>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</si>
  <si>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</si>
  <si>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</si>
  <si>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</si>
  <si>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</si>
  <si>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</si>
  <si>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</si>
  <si>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</si>
  <si>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</si>
  <si>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</si>
  <si>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</si>
  <si>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</si>
  <si>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</si>
  <si>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</si>
  <si>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</si>
  <si>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</si>
  <si>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</si>
  <si>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</si>
  <si>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</si>
  <si>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</si>
  <si>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</si>
  <si>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</si>
  <si>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</si>
  <si>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</si>
  <si>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</si>
  <si>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</si>
  <si>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</si>
  <si>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</si>
  <si>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</si>
  <si>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</si>
  <si>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</si>
  <si>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</si>
  <si>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</si>
  <si>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</si>
  <si>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</si>
  <si>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</si>
  <si>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</si>
  <si>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</si>
  <si>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</si>
  <si>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</si>
  <si>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</si>
  <si>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</si>
  <si>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</si>
  <si>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</si>
  <si>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</si>
  <si>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</si>
  <si>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</si>
  <si>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</si>
  <si>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</si>
  <si>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</si>
  <si>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</si>
  <si>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</si>
  <si>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</si>
  <si>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</si>
  <si>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</si>
  <si>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</si>
  <si>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</si>
  <si>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</si>
  <si>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</si>
  <si>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</si>
  <si>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</si>
  <si>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</si>
  <si>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</si>
  <si>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</si>
  <si>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</si>
  <si>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</si>
  <si>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</si>
  <si>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</si>
  <si>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</si>
  <si>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</si>
  <si>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</si>
  <si>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</si>
  <si>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</si>
  <si>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</si>
  <si>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</si>
  <si>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</si>
  <si>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</si>
  <si>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</si>
  <si>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</si>
  <si>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</si>
  <si>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</si>
  <si>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</si>
  <si>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</si>
  <si>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</si>
  <si>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</si>
  <si>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</si>
  <si>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</si>
  <si>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</si>
  <si>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</si>
  <si>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</si>
  <si>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</si>
  <si>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</si>
  <si>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</si>
  <si>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</si>
  <si>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</si>
  <si>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</si>
  <si>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</si>
  <si>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</si>
  <si>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</si>
  <si>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</si>
  <si>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</si>
  <si>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</si>
  <si>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</si>
  <si>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</si>
  <si>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</si>
  <si>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</si>
  <si>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</si>
  <si>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</si>
  <si>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</si>
  <si>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</si>
  <si>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</si>
  <si>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</si>
  <si>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</si>
  <si>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</si>
  <si>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</si>
  <si>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</si>
  <si>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</si>
  <si>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</si>
  <si>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</si>
  <si>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</si>
  <si>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</si>
  <si>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</si>
  <si>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</si>
  <si>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</si>
  <si>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</si>
  <si>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</si>
  <si>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</si>
  <si>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</si>
  <si>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</si>
  <si>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</si>
  <si>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</si>
  <si>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</si>
  <si>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</si>
  <si>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</si>
  <si>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</si>
  <si>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</si>
  <si>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</si>
  <si>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</si>
  <si>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</si>
  <si>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</si>
  <si>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</si>
  <si>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</si>
  <si>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</si>
  <si>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</si>
  <si>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</si>
  <si>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</si>
  <si>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</si>
  <si>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</si>
  <si>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</si>
  <si>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</si>
  <si>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</si>
  <si>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</si>
  <si>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</si>
  <si>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</si>
  <si>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</si>
  <si>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</si>
  <si>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</si>
  <si>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</si>
  <si>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</si>
  <si>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</si>
  <si>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</si>
  <si>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</si>
  <si>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</si>
  <si>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</si>
  <si>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</si>
  <si>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</si>
  <si>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</si>
  <si>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</si>
  <si>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</si>
  <si>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</si>
  <si>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</si>
  <si>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</si>
  <si>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</si>
  <si>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</si>
  <si>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</si>
  <si>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</si>
  <si>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</si>
  <si>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</si>
  <si>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</si>
  <si>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</si>
  <si>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</si>
  <si>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</si>
  <si>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</si>
  <si>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</si>
  <si>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</si>
  <si>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</si>
  <si>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</si>
  <si>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</si>
  <si>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</si>
  <si>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</si>
  <si>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</si>
  <si>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</si>
  <si>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</si>
  <si>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</si>
  <si>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</si>
  <si>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</si>
  <si>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</si>
  <si>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</si>
  <si>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</si>
  <si>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</si>
  <si>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</si>
  <si>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</si>
  <si>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</si>
  <si>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</si>
  <si>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</si>
  <si>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</si>
  <si>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</si>
  <si>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</si>
  <si>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</si>
  <si>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</si>
  <si>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</si>
  <si>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</si>
  <si>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</si>
  <si>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</si>
  <si>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</si>
  <si>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</si>
  <si>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</si>
  <si>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</si>
  <si>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</si>
  <si>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</si>
  <si>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</si>
  <si>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</si>
  <si>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</si>
  <si>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</si>
  <si>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</si>
  <si>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</si>
  <si>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</si>
  <si>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</si>
  <si>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</si>
  <si>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</si>
  <si>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</si>
  <si>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</si>
  <si>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</si>
  <si>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</si>
  <si>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</si>
  <si>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</si>
  <si>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</si>
  <si>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</si>
  <si>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</si>
  <si>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</si>
  <si>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</si>
  <si>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</si>
  <si>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</si>
  <si>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</si>
  <si>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</si>
  <si>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</si>
  <si>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</si>
  <si>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</si>
  <si>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</si>
  <si>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</si>
  <si>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</si>
  <si>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</si>
  <si>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</si>
  <si>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</si>
  <si>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</si>
  <si>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</si>
  <si>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</si>
  <si>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</si>
  <si>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</si>
  <si>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</si>
  <si>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</si>
  <si>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</si>
  <si>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</si>
  <si>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</si>
  <si>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</si>
  <si>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</si>
  <si>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</si>
  <si>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</si>
  <si>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</si>
  <si>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</si>
  <si>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</si>
  <si>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</si>
  <si>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</si>
  <si>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</si>
  <si>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</si>
  <si>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</si>
  <si>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</si>
  <si>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</si>
  <si>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</si>
  <si>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</si>
  <si>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</si>
  <si>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</si>
  <si>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</si>
  <si>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</si>
  <si>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</si>
  <si>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</si>
  <si>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</si>
  <si>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</si>
  <si>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</si>
  <si>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</si>
  <si>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</si>
  <si>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</si>
  <si>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</si>
  <si>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</si>
  <si>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</si>
  <si>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</si>
  <si>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</si>
  <si>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</si>
  <si>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</si>
  <si>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</si>
  <si>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</si>
  <si>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</si>
  <si>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</si>
  <si>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</si>
  <si>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</si>
  <si>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</si>
  <si>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</si>
  <si>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</si>
  <si>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</si>
  <si>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</si>
  <si>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</si>
  <si>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</si>
  <si>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</si>
  <si>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</si>
  <si>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</si>
  <si>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</si>
  <si>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</si>
  <si>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</si>
  <si>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</si>
  <si>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</si>
  <si>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</si>
  <si>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</si>
  <si>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</si>
  <si>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</si>
  <si>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</si>
  <si>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</si>
  <si>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</si>
  <si>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</si>
  <si>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</si>
  <si>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</si>
  <si>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</si>
  <si>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</si>
  <si>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</si>
  <si>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</si>
  <si>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</si>
  <si>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</si>
  <si>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</si>
  <si>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</si>
  <si>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</si>
  <si>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</si>
  <si>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</si>
  <si>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</si>
  <si>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</si>
  <si>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</si>
  <si>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</si>
  <si>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</si>
  <si>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</si>
  <si>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</si>
  <si>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</si>
  <si>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</si>
  <si>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</si>
  <si>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</si>
  <si>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</si>
  <si>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</si>
  <si>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</si>
  <si>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</si>
  <si>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</si>
  <si>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</si>
  <si>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</si>
  <si>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</si>
  <si>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</si>
  <si>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</si>
  <si>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</si>
  <si>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</si>
  <si>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</si>
  <si>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</si>
  <si>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</si>
  <si>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</si>
  <si>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</si>
  <si>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</si>
  <si>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</si>
  <si>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</si>
  <si>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</si>
  <si>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</si>
  <si>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</si>
  <si>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</si>
  <si>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</si>
  <si>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</si>
  <si>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</si>
  <si>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</si>
  <si>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</si>
  <si>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</si>
  <si>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</si>
  <si>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</si>
  <si>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</si>
  <si>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</si>
  <si>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</si>
  <si>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</si>
  <si>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</si>
  <si>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</si>
  <si>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</si>
  <si>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</si>
  <si>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</si>
  <si>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</si>
  <si>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</si>
  <si>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</si>
  <si>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</si>
  <si>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</si>
  <si>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</si>
  <si>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</si>
  <si>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</si>
  <si>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</si>
  <si>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</si>
  <si>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</si>
  <si>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</si>
  <si>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</si>
  <si>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</si>
  <si>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</si>
  <si>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</si>
  <si>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</si>
  <si>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</si>
  <si>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</si>
  <si>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</si>
  <si>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</si>
  <si>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</si>
  <si>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</si>
  <si>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</si>
  <si>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</si>
  <si>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</si>
  <si>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</si>
  <si>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</si>
  <si>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</si>
  <si>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</si>
  <si>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</si>
  <si>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</si>
  <si>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</si>
  <si>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</si>
  <si>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</si>
  <si>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</si>
  <si>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</si>
  <si>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</si>
  <si>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</si>
  <si>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</si>
  <si>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</si>
  <si>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</si>
  <si>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</si>
  <si>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</si>
  <si>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</si>
  <si>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</si>
  <si>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</si>
  <si>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</si>
  <si>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</si>
  <si>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</si>
  <si>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</si>
  <si>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</si>
  <si>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</si>
  <si>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</si>
  <si>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</si>
  <si>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</si>
  <si>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</si>
  <si>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</si>
  <si>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</si>
  <si>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</si>
  <si>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</si>
  <si>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</si>
  <si>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</si>
  <si>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</si>
  <si>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</si>
  <si>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</si>
  <si>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</si>
  <si>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</si>
  <si>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</si>
  <si>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</si>
  <si>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</si>
  <si>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</si>
  <si>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</si>
  <si>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</si>
  <si>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</si>
  <si>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</si>
  <si>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</si>
  <si>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</si>
  <si>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</si>
  <si>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</si>
  <si>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</si>
  <si>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</si>
  <si>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</si>
  <si>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</si>
  <si>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</si>
  <si>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</si>
  <si>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</si>
  <si>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</si>
  <si>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</si>
  <si>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</si>
  <si>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</si>
  <si>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</si>
  <si>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</si>
  <si>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</si>
  <si>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</si>
  <si>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</si>
  <si>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</si>
  <si>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</si>
  <si>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</si>
  <si>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</si>
  <si>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</si>
  <si>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</si>
  <si>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</si>
  <si>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</si>
  <si>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</si>
  <si>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</si>
  <si>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</si>
  <si>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</si>
  <si>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</si>
  <si>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</si>
  <si>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</si>
  <si>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</si>
  <si>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</si>
  <si>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</si>
  <si>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</si>
  <si>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</si>
  <si>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</si>
  <si>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</si>
  <si>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</si>
  <si>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</si>
  <si>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</si>
  <si>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</si>
  <si>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</si>
  <si>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</si>
  <si>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</si>
  <si>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</si>
  <si>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</si>
  <si>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</si>
  <si>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</si>
  <si>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</si>
  <si>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</si>
  <si>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</si>
  <si>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</si>
  <si>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</si>
  <si>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</si>
  <si>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</si>
  <si>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</si>
  <si>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</si>
  <si>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</si>
  <si>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</si>
  <si>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</si>
  <si>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</si>
  <si>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</si>
  <si>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</si>
  <si>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</si>
  <si>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</si>
  <si>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</si>
  <si>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</si>
  <si>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</si>
  <si>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</si>
  <si>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</si>
  <si>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</si>
  <si>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</si>
  <si>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</si>
  <si>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</si>
  <si>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</si>
  <si>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</si>
  <si>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</si>
  <si>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</si>
  <si>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</si>
  <si>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</si>
  <si>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</si>
  <si>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</si>
  <si>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</si>
  <si>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</si>
  <si>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</si>
  <si>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</si>
  <si>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</si>
  <si>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</si>
  <si>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</si>
  <si>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</si>
  <si>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</si>
  <si>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</si>
  <si>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</si>
  <si>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</si>
  <si>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</si>
  <si>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</si>
  <si>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</si>
  <si>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</si>
  <si>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</si>
  <si>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</si>
  <si>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</si>
  <si>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</si>
  <si>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</si>
  <si>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</si>
  <si>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</si>
  <si>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</si>
  <si>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</si>
  <si>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</si>
  <si>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</si>
  <si>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</si>
  <si>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</si>
  <si>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</si>
  <si>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</si>
  <si>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</si>
  <si>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</si>
  <si>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</si>
  <si>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</si>
  <si>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</si>
  <si>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</si>
  <si>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</si>
  <si>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</si>
  <si>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</si>
  <si>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</si>
  <si>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</si>
  <si>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</si>
  <si>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</si>
  <si>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</si>
  <si>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</si>
  <si>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</si>
  <si>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</si>
  <si>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</si>
  <si>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</si>
  <si>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</si>
  <si>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</si>
  <si>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</si>
  <si>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</si>
  <si>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</si>
  <si>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</si>
  <si>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</si>
  <si>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</si>
  <si>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</si>
  <si>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</si>
  <si>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</si>
  <si>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</si>
  <si>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</si>
  <si>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</si>
  <si>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</si>
  <si>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</si>
  <si>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</si>
  <si>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</si>
  <si>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</si>
  <si>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</si>
  <si>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</si>
  <si>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</si>
  <si>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</si>
  <si>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</si>
  <si>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</si>
  <si>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</si>
  <si>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</si>
  <si>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</si>
  <si>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</si>
  <si>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</si>
  <si>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</si>
  <si>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</si>
  <si>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</si>
  <si>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</si>
  <si>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</si>
  <si>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</si>
  <si>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</si>
  <si>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</si>
  <si>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</si>
  <si>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</si>
  <si>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</si>
  <si>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</si>
  <si>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</si>
  <si>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</si>
  <si>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</si>
  <si>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</si>
  <si>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</si>
  <si>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</si>
  <si>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</si>
  <si>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</si>
  <si>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</si>
  <si>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</si>
  <si>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</si>
  <si>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</si>
  <si>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</si>
  <si>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</si>
  <si>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</si>
  <si>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</si>
  <si>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</si>
  <si>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</si>
  <si>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</si>
  <si>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</si>
  <si>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</si>
  <si>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</si>
  <si>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</si>
  <si>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</si>
  <si>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</si>
  <si>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</si>
  <si>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</si>
  <si>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</si>
  <si>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</si>
  <si>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</si>
  <si>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</si>
  <si>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</si>
  <si>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</si>
  <si>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</si>
  <si>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</si>
  <si>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</si>
  <si>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</si>
  <si>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</si>
  <si>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</si>
  <si>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</si>
  <si>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</si>
  <si>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</si>
  <si>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</si>
  <si>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</si>
  <si>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</si>
  <si>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</si>
  <si>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</si>
  <si>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</si>
  <si>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</si>
  <si>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</si>
  <si>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</si>
  <si>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</si>
  <si>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</si>
  <si>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</si>
  <si>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</si>
  <si>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</si>
  <si>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</si>
  <si>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</si>
  <si>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</si>
  <si>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</si>
  <si>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</si>
  <si>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</si>
  <si>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</si>
  <si>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</si>
  <si>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</si>
  <si>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</si>
  <si>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</si>
  <si>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</si>
  <si>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</si>
  <si>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</si>
  <si>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</si>
  <si>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</si>
  <si>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</si>
  <si>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</si>
  <si>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</si>
  <si>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</si>
  <si>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</si>
  <si>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</si>
  <si>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</si>
  <si>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</si>
  <si>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</si>
  <si>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</si>
  <si>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</si>
  <si>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</si>
  <si>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</si>
  <si>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</si>
  <si>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</si>
  <si>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</si>
  <si>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</si>
  <si>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</si>
  <si>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</si>
  <si>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</si>
  <si>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</si>
  <si>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</si>
  <si>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</si>
  <si>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</si>
  <si>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</si>
  <si>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</si>
  <si>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</si>
  <si>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</si>
  <si>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</si>
  <si>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</si>
  <si>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</si>
  <si>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</si>
  <si>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</si>
  <si>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</si>
  <si>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</si>
  <si>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</si>
  <si>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</si>
  <si>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</si>
  <si>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</si>
  <si>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</si>
  <si>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</si>
  <si>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</si>
  <si>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</si>
  <si>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</si>
  <si>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</si>
  <si>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</si>
  <si>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</si>
  <si>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</si>
  <si>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</si>
  <si>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</si>
  <si>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</si>
  <si>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</si>
  <si>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</si>
  <si>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</si>
  <si>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</si>
  <si>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</si>
  <si>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</si>
  <si>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</si>
  <si>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</si>
  <si>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</si>
  <si>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</si>
  <si>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</si>
  <si>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</si>
  <si>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</si>
  <si>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</si>
  <si>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</si>
  <si>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</si>
  <si>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</si>
  <si>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</si>
  <si>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</si>
  <si>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</si>
  <si>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</si>
  <si>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</si>
  <si>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</si>
  <si>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</si>
  <si>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</si>
  <si>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</si>
  <si>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</si>
  <si>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</si>
  <si>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</si>
  <si>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</si>
  <si>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</si>
  <si>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</si>
  <si>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</si>
  <si>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</si>
  <si>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</si>
  <si>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</si>
  <si>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</si>
  <si>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</si>
  <si>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</si>
  <si>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</si>
  <si>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</si>
  <si>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</si>
  <si>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</si>
  <si>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</si>
  <si>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</si>
  <si>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</si>
  <si>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</si>
  <si>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</si>
  <si>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</si>
  <si>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</si>
  <si>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</si>
  <si>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</si>
  <si>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</si>
  <si>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</si>
  <si>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</si>
  <si>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</si>
  <si>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</si>
  <si>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</si>
  <si>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</si>
  <si>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</si>
  <si>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</si>
  <si>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</si>
  <si>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</si>
  <si>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</si>
  <si>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</si>
  <si>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</si>
  <si>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</si>
  <si>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</si>
  <si>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</si>
  <si>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</si>
  <si>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</si>
  <si>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</si>
  <si>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</si>
  <si>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</si>
  <si>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</si>
  <si>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</si>
  <si>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</si>
  <si>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</si>
  <si>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</si>
  <si>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</si>
  <si>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</si>
  <si>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</si>
  <si>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</si>
  <si>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</si>
  <si>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</si>
  <si>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</si>
  <si>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</si>
  <si>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</si>
  <si>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</si>
  <si>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</si>
  <si>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</si>
  <si>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</si>
  <si>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</si>
  <si>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</si>
  <si>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</si>
  <si>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</si>
  <si>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</si>
  <si>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</si>
  <si>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</si>
  <si>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</si>
  <si>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</si>
  <si>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</si>
  <si>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</si>
  <si>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</si>
  <si>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</si>
  <si>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</si>
  <si>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</si>
  <si>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</si>
  <si>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</si>
  <si>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</si>
  <si>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</si>
  <si>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</si>
  <si>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</si>
  <si>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</si>
  <si>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</si>
  <si>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</si>
  <si>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</si>
  <si>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</si>
  <si>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</si>
  <si>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</si>
  <si>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</si>
  <si>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</si>
  <si>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</si>
  <si>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</si>
  <si>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</si>
  <si>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</si>
  <si>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</si>
  <si>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</si>
  <si>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</si>
  <si>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</si>
  <si>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</si>
  <si>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</si>
  <si>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</si>
  <si>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</si>
  <si>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</si>
  <si>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</si>
  <si>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</si>
  <si>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</si>
  <si>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</si>
  <si>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</si>
  <si>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</si>
  <si>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</si>
  <si>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</si>
  <si>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</si>
  <si>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</si>
  <si>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</si>
  <si>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</si>
  <si>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</si>
  <si>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</si>
  <si>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</si>
  <si>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</si>
  <si>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</si>
  <si>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</si>
  <si>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</si>
  <si>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</si>
  <si>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</si>
  <si>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</si>
  <si>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</si>
  <si>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</si>
  <si>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</si>
  <si>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</si>
  <si>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</si>
  <si>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</si>
  <si>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</si>
  <si>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</si>
  <si>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</si>
  <si>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</si>
  <si>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</si>
  <si>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</si>
  <si>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</si>
  <si>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</si>
  <si>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</si>
  <si>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</si>
  <si>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</si>
  <si>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</si>
  <si>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</si>
  <si>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</si>
  <si>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</si>
  <si>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</si>
  <si>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</si>
  <si>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</si>
  <si>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</si>
  <si>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</si>
  <si>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</si>
  <si>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</si>
  <si>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</si>
  <si>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</si>
  <si>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</si>
  <si>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</si>
  <si>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</si>
  <si>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</si>
  <si>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</si>
  <si>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</si>
  <si>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</si>
  <si>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</si>
  <si>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</si>
  <si>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</si>
  <si>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</si>
  <si>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</si>
  <si>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</si>
  <si>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</si>
  <si>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</si>
  <si>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</si>
  <si>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</si>
  <si>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</si>
  <si>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</si>
  <si>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</si>
  <si>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</si>
  <si>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</si>
  <si>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</si>
  <si>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</si>
  <si>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</si>
  <si>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</si>
  <si>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</si>
  <si>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</si>
  <si>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</si>
  <si>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</si>
  <si>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</si>
  <si>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</si>
  <si>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</si>
  <si>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</si>
  <si>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</si>
  <si>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</si>
  <si>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</si>
  <si>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</si>
  <si>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</si>
  <si>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</si>
  <si>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</si>
  <si>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</si>
  <si>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</si>
  <si>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</si>
  <si>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</si>
  <si>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</si>
  <si>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</si>
  <si>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</si>
  <si>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</si>
  <si>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</si>
  <si>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</si>
  <si>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</si>
  <si>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</si>
  <si>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</si>
  <si>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</si>
  <si>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</si>
  <si>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</si>
  <si>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</si>
  <si>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</si>
  <si>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</si>
  <si>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</si>
  <si>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</si>
  <si>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</si>
  <si>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</si>
  <si>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</si>
  <si>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</si>
  <si>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</si>
  <si>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</si>
  <si>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</si>
  <si>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</si>
  <si>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</si>
  <si>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</si>
  <si>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</si>
  <si>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</si>
  <si>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</si>
  <si>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</si>
  <si>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</si>
  <si>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</si>
  <si>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</si>
  <si>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</si>
  <si>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</si>
  <si>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</si>
  <si>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</si>
  <si>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</si>
  <si>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</si>
  <si>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</si>
  <si>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</si>
  <si>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</si>
  <si>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</si>
  <si>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</si>
  <si>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</si>
  <si>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</si>
  <si>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</si>
  <si>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</si>
  <si>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</si>
  <si>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</si>
  <si>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</si>
  <si>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</si>
  <si>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</si>
  <si>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</si>
  <si>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</si>
  <si>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</si>
  <si>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</si>
  <si>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</si>
  <si>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</si>
  <si>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</si>
  <si>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</si>
  <si>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</si>
  <si>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</si>
  <si>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</si>
  <si>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</si>
  <si>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</si>
  <si>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</si>
  <si>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</si>
  <si>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</si>
  <si>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</si>
  <si>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</si>
  <si>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</si>
  <si>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</si>
  <si>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</si>
  <si>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</si>
  <si>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</si>
  <si>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</si>
  <si>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</si>
  <si>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</si>
  <si>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</si>
  <si>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</si>
  <si>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</si>
  <si>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</si>
  <si>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</si>
  <si>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</si>
  <si>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</si>
  <si>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</si>
  <si>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</si>
  <si>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</si>
  <si>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</si>
  <si>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</si>
  <si>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</si>
  <si>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</si>
  <si>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</si>
  <si>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</si>
  <si>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</si>
  <si>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</si>
  <si>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</si>
  <si>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</si>
  <si>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</si>
  <si>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</si>
  <si>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</si>
  <si>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</si>
  <si>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</si>
  <si>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</si>
  <si>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</si>
  <si>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</si>
  <si>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</si>
  <si>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</si>
  <si>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</si>
  <si>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</si>
  <si>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</si>
  <si>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</si>
  <si>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</si>
  <si>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</si>
  <si>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</si>
  <si>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</si>
  <si>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</si>
  <si>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</si>
  <si>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</si>
  <si>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</si>
  <si>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</si>
  <si>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</si>
  <si>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</si>
  <si>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</si>
  <si>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</si>
  <si>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</si>
  <si>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</si>
  <si>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</si>
  <si>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</si>
  <si>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</si>
  <si>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</si>
  <si>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</si>
  <si>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</si>
  <si>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</si>
  <si>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</si>
  <si>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</si>
  <si>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</si>
  <si>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</si>
  <si>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</si>
  <si>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</si>
  <si>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</si>
  <si>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</si>
  <si>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</si>
  <si>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</si>
  <si>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</si>
  <si>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</si>
  <si>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</si>
  <si>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</si>
  <si>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</si>
  <si>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</si>
  <si>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</si>
  <si>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</si>
  <si>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</si>
  <si>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</si>
  <si>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</si>
  <si>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</si>
  <si>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</si>
  <si>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</si>
  <si>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</si>
  <si>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</si>
  <si>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</si>
  <si>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</si>
  <si>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</si>
  <si>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</si>
  <si>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</si>
  <si>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</si>
  <si>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</si>
  <si>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</si>
  <si>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</si>
  <si>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</si>
  <si>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</si>
  <si>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</si>
  <si>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</si>
  <si>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</si>
  <si>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</si>
  <si>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</si>
  <si>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</si>
  <si>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</si>
  <si>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</si>
  <si>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</si>
  <si>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</si>
  <si>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</si>
  <si>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</si>
  <si>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</si>
  <si>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</si>
  <si>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</si>
  <si>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</si>
  <si>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</si>
  <si>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</si>
  <si>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</si>
  <si>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</si>
  <si>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</si>
  <si>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</si>
  <si>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</si>
  <si>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</si>
  <si>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</si>
  <si>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</si>
  <si>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</si>
  <si>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</si>
  <si>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</si>
  <si>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</si>
  <si>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</si>
  <si>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</si>
  <si>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</si>
  <si>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</si>
  <si>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</si>
  <si>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</si>
  <si>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</si>
  <si>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</si>
  <si>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</si>
  <si>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</si>
  <si>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</si>
  <si>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</si>
  <si>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</si>
  <si>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</si>
  <si>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</si>
  <si>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</si>
  <si>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</si>
  <si>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</si>
  <si>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</si>
  <si>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</si>
  <si>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</si>
  <si>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</si>
  <si>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</si>
  <si>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</si>
  <si>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</si>
  <si>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</si>
  <si>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</si>
  <si>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</si>
  <si>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</si>
  <si>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</si>
  <si>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</si>
  <si>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</si>
  <si>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</si>
  <si>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</si>
  <si>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</si>
  <si>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</si>
  <si>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</si>
  <si>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</si>
  <si>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</si>
  <si>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</si>
  <si>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</si>
  <si>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</si>
  <si>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</si>
  <si>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</si>
  <si>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</si>
  <si>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</si>
  <si>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</si>
  <si>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</si>
  <si>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</si>
  <si>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</si>
  <si>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</si>
  <si>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</si>
  <si>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</si>
  <si>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</si>
  <si>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</si>
  <si>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</si>
  <si>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</si>
  <si>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</si>
  <si>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</si>
  <si>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</si>
  <si>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</si>
  <si>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</si>
  <si>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</si>
  <si>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</si>
  <si>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</si>
  <si>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</si>
  <si>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</si>
  <si>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</si>
  <si>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</si>
  <si>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</si>
  <si>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</si>
  <si>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</si>
  <si>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</si>
  <si>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</si>
  <si>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</si>
  <si>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</si>
  <si>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</si>
  <si>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</si>
  <si>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</si>
  <si>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</si>
  <si>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</si>
  <si>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</si>
  <si>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</si>
  <si>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</si>
  <si>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</si>
  <si>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</si>
  <si>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</si>
  <si>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</si>
  <si>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</si>
  <si>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</si>
  <si>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</si>
  <si>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</si>
  <si>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</si>
  <si>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</si>
  <si>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</si>
  <si>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</si>
  <si>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</si>
  <si>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</si>
  <si>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</si>
  <si>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</si>
  <si>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</si>
  <si>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</si>
  <si>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</si>
  <si>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</si>
  <si>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</si>
  <si>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</si>
  <si>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</si>
  <si>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</si>
  <si>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</si>
  <si>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</si>
  <si>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</si>
  <si>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</si>
  <si>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</si>
  <si>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</si>
  <si>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</si>
  <si>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</si>
  <si>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</si>
  <si>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</si>
  <si>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</si>
  <si>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</si>
  <si>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</si>
  <si>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</si>
  <si>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</si>
  <si>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</si>
  <si>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</si>
  <si>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</si>
  <si>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</si>
  <si>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</si>
  <si>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</si>
  <si>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</si>
  <si>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</si>
  <si>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</si>
  <si>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</si>
  <si>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</si>
  <si>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</si>
  <si>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</si>
  <si>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</si>
  <si>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</si>
  <si>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</si>
  <si>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</si>
  <si>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</si>
  <si>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</si>
  <si>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</si>
  <si>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</si>
  <si>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</si>
  <si>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</si>
  <si>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</si>
  <si>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</si>
  <si>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</si>
  <si>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</si>
  <si>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</si>
  <si>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</si>
  <si>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</si>
  <si>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</si>
  <si>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</si>
  <si>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</si>
  <si>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</si>
  <si>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</si>
  <si>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</si>
  <si>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</si>
  <si>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</si>
  <si>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</si>
  <si>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</si>
  <si>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</si>
  <si>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</si>
  <si>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</si>
  <si>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</si>
  <si>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</si>
  <si>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</si>
  <si>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</si>
  <si>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</si>
  <si>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</si>
  <si>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</si>
  <si>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</si>
  <si>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</si>
  <si>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</si>
  <si>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</si>
  <si>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</si>
  <si>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</si>
  <si>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</si>
  <si>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</si>
  <si>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</si>
  <si>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</si>
  <si>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</si>
  <si>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</si>
  <si>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</si>
  <si>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</si>
  <si>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</si>
  <si>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</si>
  <si>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</si>
  <si>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</si>
  <si>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</si>
  <si>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</si>
  <si>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</si>
  <si>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</si>
  <si>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</si>
  <si>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</si>
  <si>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</si>
  <si>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</si>
  <si>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</si>
  <si>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</si>
  <si>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</si>
  <si>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</si>
  <si>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</si>
  <si>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</si>
  <si>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</si>
  <si>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</si>
  <si>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</si>
  <si>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</si>
  <si>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</si>
  <si>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</si>
  <si>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</si>
  <si>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</si>
  <si>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</si>
  <si>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</si>
  <si>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</si>
  <si>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</si>
  <si>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</si>
  <si>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</si>
  <si>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</si>
  <si>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</si>
  <si>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</si>
  <si>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</si>
  <si>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</si>
  <si>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</si>
  <si>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</si>
  <si>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</si>
  <si>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</si>
  <si>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</si>
  <si>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</si>
  <si>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</si>
  <si>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</si>
  <si>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</si>
  <si>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</si>
  <si>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</si>
  <si>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</si>
  <si>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</si>
  <si>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</si>
  <si>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</si>
  <si>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</si>
  <si>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</si>
  <si>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</si>
  <si>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</si>
  <si>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</si>
  <si>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</si>
  <si>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</si>
  <si>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</si>
  <si>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</si>
  <si>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</si>
  <si>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</si>
  <si>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</si>
  <si>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</si>
  <si>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</si>
  <si>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</si>
  <si>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</si>
  <si>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</si>
  <si>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</si>
  <si>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</si>
  <si>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</si>
  <si>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</si>
  <si>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</si>
  <si>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</si>
  <si>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</si>
  <si>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</si>
  <si>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</si>
  <si>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</si>
  <si>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</si>
  <si>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</si>
  <si>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</si>
  <si>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</si>
  <si>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</si>
  <si>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</si>
  <si>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</si>
  <si>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</si>
  <si>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</si>
  <si>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</si>
  <si>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</si>
  <si>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</si>
  <si>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</si>
  <si>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</si>
  <si>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</si>
  <si>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</si>
  <si>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</si>
  <si>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</si>
  <si>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</si>
  <si>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</si>
  <si>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</si>
  <si>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</si>
  <si>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</si>
  <si>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</si>
  <si>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</si>
  <si>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</si>
  <si>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</si>
  <si>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</si>
  <si>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</si>
  <si>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</si>
  <si>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</si>
  <si>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</si>
  <si>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</si>
  <si>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</si>
  <si>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</si>
  <si>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</si>
  <si>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</si>
  <si>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</si>
  <si>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</si>
  <si>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</si>
  <si>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</si>
  <si>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</si>
  <si>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</si>
  <si>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</si>
  <si>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</si>
  <si>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</si>
  <si>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</si>
  <si>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</si>
  <si>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</si>
  <si>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</si>
  <si>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</si>
  <si>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</si>
  <si>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</si>
  <si>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</si>
  <si>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</si>
  <si>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</si>
  <si>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</si>
  <si>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</si>
  <si>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</si>
  <si>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</si>
  <si>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</si>
  <si>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</si>
  <si>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</si>
  <si>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</si>
  <si>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</si>
  <si>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</si>
  <si>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</si>
  <si>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</si>
  <si>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</si>
  <si>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</si>
  <si>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</si>
  <si>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</si>
  <si>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</si>
  <si>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</si>
  <si>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</si>
  <si>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</si>
  <si>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</si>
  <si>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</si>
  <si>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</si>
  <si>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</si>
  <si>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</si>
  <si>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</si>
  <si>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</si>
  <si>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</si>
  <si>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</si>
  <si>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</si>
  <si>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</si>
  <si>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</si>
  <si>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</si>
  <si>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</si>
  <si>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</si>
  <si>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</si>
  <si>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</si>
  <si>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</si>
  <si>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</si>
  <si>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</si>
  <si>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</si>
  <si>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</si>
  <si>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</si>
  <si>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</si>
  <si>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</si>
  <si>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</si>
  <si>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</si>
  <si>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</si>
  <si>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</si>
  <si>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</si>
  <si>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</si>
  <si>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</si>
  <si>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</si>
  <si>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</si>
  <si>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</si>
  <si>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</si>
  <si>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</si>
  <si>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</si>
  <si>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</si>
  <si>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</si>
  <si>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</si>
  <si>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</si>
  <si>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</si>
  <si>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</si>
  <si>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</si>
  <si>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</si>
  <si>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</si>
  <si>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</si>
  <si>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</si>
  <si>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</si>
  <si>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</si>
  <si>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</si>
  <si>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</si>
  <si>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</si>
  <si>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</si>
  <si>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</si>
  <si>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</si>
  <si>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</si>
  <si>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</si>
  <si>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</si>
  <si>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</si>
  <si>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</si>
  <si>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</si>
  <si>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</si>
  <si>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</si>
  <si>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</si>
  <si>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</si>
  <si>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</si>
  <si>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</si>
  <si>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</si>
  <si>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</si>
  <si>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</si>
  <si>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</si>
  <si>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</si>
  <si>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</si>
  <si>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</si>
  <si>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</si>
  <si>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</si>
  <si>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</si>
  <si>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</si>
  <si>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</si>
  <si>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</si>
  <si>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</si>
  <si>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</si>
  <si>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</si>
  <si>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</si>
  <si>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</si>
  <si>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</si>
  <si>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</si>
  <si>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</si>
  <si>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</si>
  <si>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</si>
  <si>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</si>
  <si>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</si>
  <si>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</si>
  <si>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</si>
  <si>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</si>
  <si>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</si>
  <si>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</si>
  <si>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</si>
  <si>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</si>
  <si>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</si>
  <si>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</si>
  <si>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</si>
  <si>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</si>
  <si>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</si>
  <si>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</si>
  <si>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</si>
  <si>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</si>
  <si>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</si>
  <si>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</si>
  <si>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</si>
  <si>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</si>
  <si>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</si>
  <si>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</si>
  <si>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</si>
  <si>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</si>
  <si>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</si>
  <si>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</si>
  <si>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</si>
  <si>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</si>
  <si>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</si>
  <si>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</si>
  <si>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</si>
  <si>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</si>
  <si>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</si>
  <si>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</si>
  <si>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</si>
  <si>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</si>
  <si>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</si>
  <si>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</si>
  <si>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</si>
  <si>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</si>
  <si>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</si>
  <si>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</si>
  <si>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</si>
  <si>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</si>
  <si>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</si>
  <si>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</si>
  <si>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</si>
  <si>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</si>
  <si>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</si>
  <si>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</si>
  <si>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</si>
  <si>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</si>
  <si>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</si>
  <si>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</si>
  <si>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</si>
  <si>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</si>
  <si>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</si>
  <si>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</si>
  <si>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</si>
  <si>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</si>
  <si>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</si>
  <si>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</si>
  <si>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</si>
  <si>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</si>
  <si>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</si>
  <si>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</si>
  <si>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</si>
  <si>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</si>
  <si>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</si>
  <si>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</si>
  <si>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</si>
  <si>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</si>
  <si>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</si>
  <si>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</si>
  <si>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</si>
  <si>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</si>
  <si>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</si>
  <si>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</si>
  <si>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</si>
  <si>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</si>
  <si>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</si>
  <si>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</si>
  <si>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</si>
  <si>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</si>
  <si>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</si>
  <si>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</si>
  <si>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</si>
  <si>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</si>
  <si>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</si>
  <si>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</si>
  <si>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</si>
  <si>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</si>
  <si>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</si>
  <si>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</si>
  <si>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</si>
  <si>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</si>
  <si>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</si>
  <si>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</si>
  <si>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</si>
  <si>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</si>
  <si>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</si>
  <si>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</si>
  <si>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</si>
  <si>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</si>
  <si>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</si>
  <si>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</si>
  <si>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</si>
  <si>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</si>
  <si>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</si>
  <si>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</si>
  <si>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</si>
  <si>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</si>
  <si>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</si>
  <si>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</si>
  <si>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</si>
  <si>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</si>
  <si>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</si>
  <si>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</si>
  <si>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</si>
  <si>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</si>
  <si>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</si>
  <si>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</si>
  <si>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</si>
  <si>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</si>
  <si>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</si>
  <si>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</si>
  <si>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</si>
  <si>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</si>
  <si>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</si>
  <si>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</si>
  <si>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</si>
  <si>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</si>
  <si>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</si>
  <si>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</si>
  <si>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</si>
  <si>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</si>
  <si>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</si>
  <si>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</si>
  <si>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</si>
  <si>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</si>
  <si>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</si>
  <si>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</si>
  <si>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</si>
  <si>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</si>
  <si>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</si>
  <si>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</si>
  <si>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</si>
  <si>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</si>
  <si>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</si>
  <si>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</si>
  <si>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</si>
  <si>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</si>
  <si>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</si>
  <si>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</si>
  <si>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</si>
  <si>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</si>
  <si>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</si>
  <si>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</si>
  <si>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</si>
  <si>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</si>
  <si>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</si>
  <si>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</si>
  <si>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</si>
  <si>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</si>
  <si>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</si>
  <si>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</si>
  <si>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</si>
  <si>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</si>
  <si>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</si>
  <si>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</si>
  <si>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</si>
  <si>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</si>
  <si>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</si>
  <si>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</si>
  <si>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</si>
  <si>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</si>
  <si>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</si>
  <si>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</si>
  <si>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</si>
  <si>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</si>
  <si>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</si>
  <si>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</si>
  <si>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</si>
  <si>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</si>
  <si>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</si>
  <si>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</si>
  <si>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</si>
  <si>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</si>
  <si>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</si>
  <si>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</si>
  <si>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</si>
  <si>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</si>
  <si>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</si>
  <si>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</si>
  <si>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</si>
  <si>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</si>
  <si>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</si>
  <si>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</si>
  <si>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</si>
  <si>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</si>
  <si>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</si>
  <si>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</si>
  <si>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</si>
  <si>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</si>
  <si>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</si>
  <si>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</si>
  <si>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</si>
  <si>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</si>
  <si>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</si>
  <si>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</si>
  <si>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</si>
  <si>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</si>
  <si>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</si>
  <si>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</si>
  <si>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</si>
  <si>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</si>
  <si>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</si>
  <si>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</si>
  <si>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</si>
  <si>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</si>
  <si>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</si>
  <si>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</si>
  <si>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</si>
  <si>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</si>
  <si>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</si>
  <si>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</si>
  <si>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</si>
  <si>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</si>
  <si>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</si>
  <si>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</si>
  <si>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</si>
  <si>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</si>
  <si>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</si>
  <si>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</si>
  <si>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</si>
  <si>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</si>
  <si>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</si>
  <si>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</si>
  <si>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</si>
  <si>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</si>
  <si>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</si>
  <si>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</si>
  <si>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</si>
  <si>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</si>
  <si>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</si>
  <si>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</si>
  <si>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</si>
  <si>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</si>
  <si>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</si>
  <si>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</si>
  <si>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</si>
  <si>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</si>
  <si>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</si>
  <si>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</si>
  <si>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</si>
  <si>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</si>
  <si>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</si>
  <si>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</si>
  <si>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</si>
  <si>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</si>
  <si>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</si>
  <si>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</si>
  <si>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</si>
  <si>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</si>
  <si>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</si>
  <si>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</si>
  <si>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</si>
  <si>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</si>
  <si>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</si>
  <si>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</si>
  <si>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</si>
  <si>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</si>
  <si>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</si>
  <si>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</si>
  <si>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</si>
  <si>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</si>
  <si>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</si>
  <si>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</si>
  <si>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</si>
  <si>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</si>
  <si>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</si>
  <si>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</si>
  <si>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</si>
  <si>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</si>
  <si>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</si>
  <si>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</si>
  <si>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</si>
  <si>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</si>
  <si>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</si>
  <si>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</si>
  <si>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</si>
  <si>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</si>
  <si>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</si>
  <si>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</si>
  <si>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</si>
  <si>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</si>
  <si>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</si>
  <si>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</si>
  <si>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</si>
  <si>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</si>
  <si>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</si>
  <si>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</si>
  <si>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</si>
  <si>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</si>
  <si>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</si>
  <si>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</si>
  <si>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</si>
  <si>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</si>
  <si>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</si>
  <si>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</si>
  <si>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</si>
  <si>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</si>
  <si>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</si>
  <si>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</si>
  <si>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</si>
  <si>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</si>
  <si>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</si>
  <si>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</si>
  <si>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</si>
  <si>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</si>
  <si>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</si>
  <si>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</si>
  <si>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</si>
  <si>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</si>
  <si>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</si>
  <si>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</si>
  <si>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</si>
  <si>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</si>
  <si>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</si>
  <si>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</si>
  <si>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</si>
  <si>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</si>
  <si>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</si>
  <si>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</si>
  <si>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</si>
  <si>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</si>
  <si>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</si>
  <si>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</si>
  <si>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</si>
  <si>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</si>
  <si>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</si>
  <si>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</si>
  <si>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</si>
  <si>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</si>
  <si>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</si>
  <si>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</si>
  <si>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</si>
  <si>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</si>
  <si>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</si>
  <si>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</si>
  <si>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</si>
  <si>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</si>
  <si>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</si>
  <si>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</si>
  <si>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</si>
  <si>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</si>
  <si>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</si>
  <si>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</si>
  <si>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</si>
  <si>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</si>
  <si>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</si>
  <si>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</si>
  <si>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</si>
  <si>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</si>
  <si>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</si>
  <si>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</si>
  <si>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</si>
  <si>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</si>
  <si>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</si>
  <si>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</si>
  <si>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</si>
  <si>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</si>
  <si>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</si>
  <si>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</si>
  <si>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</si>
  <si>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</si>
  <si>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</si>
  <si>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</si>
  <si>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</si>
  <si>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</si>
  <si>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</si>
  <si>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</si>
  <si>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</si>
  <si>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</si>
  <si>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</si>
  <si>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</si>
  <si>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</si>
  <si>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</si>
  <si>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</si>
  <si>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</si>
  <si>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</si>
  <si>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</si>
  <si>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</si>
  <si>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</si>
  <si>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</si>
  <si>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</si>
  <si>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</si>
  <si>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</si>
  <si>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</si>
  <si>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</si>
  <si>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</si>
  <si>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</si>
  <si>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</si>
  <si>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</si>
  <si>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</si>
  <si>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</si>
  <si>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</si>
  <si>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</si>
  <si>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</si>
  <si>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</si>
  <si>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</si>
  <si>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</si>
  <si>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</si>
  <si>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</si>
  <si>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</si>
  <si>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</si>
  <si>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</si>
  <si>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</si>
  <si>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</si>
  <si>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</si>
  <si>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</si>
  <si>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</si>
  <si>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</si>
  <si>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</si>
  <si>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</si>
  <si>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</si>
  <si>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</si>
  <si>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</si>
  <si>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</si>
  <si>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</si>
  <si>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</si>
  <si>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</si>
  <si>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</si>
  <si>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</si>
  <si>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</si>
  <si>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</si>
  <si>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</si>
  <si>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</si>
  <si>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</si>
  <si>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</si>
  <si>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</si>
  <si>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</si>
  <si>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</si>
  <si>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</si>
  <si>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</si>
  <si>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</si>
  <si>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</si>
  <si>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</si>
  <si>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</si>
  <si>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</si>
  <si>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</si>
  <si>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</si>
  <si>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</si>
  <si>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</si>
  <si>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</si>
  <si>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</si>
  <si>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</si>
  <si>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</si>
  <si>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</si>
  <si>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</si>
  <si>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</si>
  <si>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</si>
  <si>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</si>
  <si>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</si>
  <si>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</si>
  <si>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</si>
  <si>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</si>
  <si>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</si>
  <si>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</si>
  <si>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</si>
  <si>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</si>
  <si>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</si>
  <si>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</si>
  <si>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</si>
  <si>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</si>
  <si>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</si>
  <si>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</si>
  <si>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</si>
  <si>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</si>
  <si>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</si>
  <si>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</si>
  <si>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</si>
  <si>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</si>
  <si>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</si>
  <si>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</si>
  <si>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</si>
  <si>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</si>
  <si>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</si>
  <si>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</si>
  <si>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</si>
  <si>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</si>
  <si>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</si>
  <si>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</si>
  <si>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</si>
  <si>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</si>
  <si>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</si>
  <si>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</si>
  <si>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</si>
  <si>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</si>
  <si>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</si>
  <si>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</si>
  <si>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</si>
  <si>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</si>
  <si>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</si>
  <si>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</si>
  <si>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</si>
  <si>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</si>
  <si>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</si>
  <si>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</si>
  <si>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</si>
  <si>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</si>
  <si>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</si>
  <si>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</si>
  <si>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</si>
  <si>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</si>
  <si>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</si>
  <si>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</si>
  <si>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</si>
  <si>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</si>
  <si>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</si>
  <si>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</si>
  <si>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</si>
  <si>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</si>
  <si>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</si>
  <si>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</si>
  <si>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</si>
  <si>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</si>
  <si>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</si>
  <si>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</si>
  <si>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</si>
  <si>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</si>
  <si>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</si>
  <si>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</si>
  <si>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</si>
  <si>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</si>
  <si>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</si>
  <si>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</si>
  <si>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</si>
  <si>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</si>
  <si>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</si>
  <si>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</si>
  <si>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</si>
  <si>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</si>
  <si>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</si>
  <si>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</si>
  <si>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</si>
  <si>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</si>
  <si>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</si>
  <si>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</si>
  <si>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</si>
  <si>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</si>
  <si>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</si>
  <si>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</si>
  <si>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</si>
  <si>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</si>
  <si>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</si>
  <si>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</si>
  <si>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</si>
  <si>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</si>
  <si>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</si>
  <si>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</si>
  <si>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</si>
  <si>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</si>
  <si>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</si>
  <si>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</si>
  <si>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</si>
  <si>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</si>
  <si>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</si>
  <si>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</si>
  <si>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</si>
  <si>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</si>
  <si>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</si>
  <si>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</si>
  <si>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</si>
  <si>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</si>
  <si>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</si>
  <si>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</si>
  <si>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</si>
  <si>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</si>
  <si>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</si>
  <si>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</si>
  <si>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</si>
  <si>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</si>
  <si>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</si>
  <si>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</si>
  <si>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</si>
  <si>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</si>
  <si>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</si>
  <si>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</si>
  <si>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</si>
  <si>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</si>
  <si>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</si>
  <si>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</si>
  <si>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</si>
  <si>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</si>
  <si>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</si>
  <si>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</si>
  <si>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</si>
  <si>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</si>
  <si>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</si>
  <si>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</si>
  <si>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</si>
  <si>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</si>
  <si>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</si>
  <si>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</si>
  <si>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</si>
  <si>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</si>
  <si>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</si>
  <si>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</si>
  <si>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</si>
  <si>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</si>
  <si>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</si>
  <si>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</si>
  <si>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</si>
  <si>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</si>
  <si>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</si>
  <si>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</si>
  <si>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</si>
  <si>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</si>
  <si>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</si>
  <si>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</si>
  <si>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</si>
  <si>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</si>
  <si>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</si>
  <si>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</si>
  <si>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</si>
  <si>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</si>
  <si>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</si>
  <si>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</si>
  <si>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</si>
  <si>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</si>
  <si>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</si>
  <si>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</si>
  <si>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</si>
  <si>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</si>
  <si>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</si>
  <si>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</si>
  <si>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</si>
  <si>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</si>
  <si>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</si>
  <si>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</si>
  <si>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</si>
  <si>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</si>
  <si>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</si>
  <si>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</si>
  <si>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</si>
  <si>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</si>
  <si>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</si>
  <si>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</si>
  <si>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</si>
  <si>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</si>
  <si>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</si>
  <si>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</si>
  <si>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</si>
  <si>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</si>
  <si>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</si>
  <si>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</si>
  <si>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</si>
  <si>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</si>
  <si>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</si>
  <si>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</si>
  <si>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</si>
  <si>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</si>
  <si>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</si>
  <si>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</si>
  <si>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</si>
  <si>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</si>
  <si>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</si>
  <si>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</si>
  <si>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</si>
  <si>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</si>
  <si>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</si>
  <si>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</si>
  <si>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</si>
  <si>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</si>
  <si>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</si>
  <si>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</si>
  <si>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</si>
  <si>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</si>
  <si>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</si>
  <si>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</si>
  <si>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</si>
  <si>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</si>
  <si>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</si>
  <si>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</si>
  <si>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</si>
  <si>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</si>
  <si>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</si>
  <si>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</si>
  <si>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</si>
  <si>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</si>
  <si>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</si>
  <si>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</si>
  <si>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</si>
  <si>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</si>
  <si>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</si>
  <si>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</si>
  <si>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</si>
  <si>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</si>
  <si>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</si>
  <si>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</si>
  <si>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</si>
  <si>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</si>
  <si>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</si>
  <si>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</si>
  <si>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</si>
  <si>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</si>
  <si>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</si>
  <si>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</si>
  <si>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</si>
  <si>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</si>
  <si>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</si>
  <si>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</si>
  <si>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</si>
  <si>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</si>
  <si>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</si>
  <si>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</si>
  <si>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</si>
  <si>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</si>
  <si>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</si>
  <si>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</si>
  <si>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</si>
  <si>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</si>
  <si>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</si>
  <si>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</si>
  <si>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</si>
  <si>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</si>
  <si>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</si>
  <si>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</si>
  <si>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</si>
  <si>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</si>
  <si>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</si>
  <si>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</si>
  <si>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</si>
  <si>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</si>
  <si>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</si>
  <si>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</si>
  <si>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</si>
  <si>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</si>
  <si>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</si>
  <si>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</si>
  <si>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</si>
  <si>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</si>
  <si>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</si>
  <si>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</si>
  <si>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</si>
  <si>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</si>
  <si>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</si>
  <si>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</si>
  <si>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</si>
  <si>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</si>
  <si>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</si>
  <si>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</si>
  <si>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</si>
  <si>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</si>
  <si>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</si>
  <si>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</si>
  <si>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</si>
  <si>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</si>
  <si>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</si>
  <si>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</si>
  <si>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</si>
  <si>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</si>
  <si>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</si>
  <si>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</si>
  <si>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</si>
  <si>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</si>
  <si>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</si>
  <si>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</si>
  <si>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</si>
  <si>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</si>
  <si>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</si>
  <si>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</si>
  <si>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</si>
  <si>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</si>
  <si>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</si>
  <si>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</si>
  <si>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</si>
  <si>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</si>
  <si>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</si>
  <si>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</si>
  <si>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</si>
  <si>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</si>
  <si>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</si>
  <si>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</si>
  <si>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</si>
  <si>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</si>
  <si>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</si>
  <si>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</si>
  <si>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</si>
  <si>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</si>
  <si>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</si>
  <si>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</si>
  <si>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</si>
  <si>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</si>
  <si>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</si>
  <si>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</si>
  <si>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</si>
  <si>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</si>
  <si>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</si>
  <si>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</si>
  <si>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</si>
  <si>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</si>
  <si>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</si>
  <si>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</si>
  <si>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</si>
  <si>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</si>
  <si>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</si>
  <si>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</si>
  <si>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</si>
  <si>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</si>
  <si>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</si>
  <si>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</si>
  <si>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</si>
  <si>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</si>
  <si>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</si>
  <si>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</si>
  <si>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</si>
  <si>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</si>
  <si>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</si>
  <si>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</si>
  <si>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</si>
  <si>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</si>
  <si>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</si>
  <si>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</si>
  <si>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</si>
  <si>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</si>
  <si>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</si>
  <si>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</si>
  <si>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</si>
  <si>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</si>
  <si>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</si>
  <si>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</si>
  <si>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</si>
  <si>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</si>
  <si>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</si>
  <si>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</si>
  <si>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</si>
  <si>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</si>
  <si>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</si>
  <si>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</si>
  <si>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</si>
  <si>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</si>
  <si>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</si>
  <si>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</si>
  <si>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</si>
  <si>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</si>
  <si>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</si>
  <si>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</si>
  <si>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</si>
  <si>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</si>
  <si>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</si>
  <si>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</si>
  <si>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</si>
  <si>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</si>
  <si>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</si>
  <si>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</si>
  <si>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</si>
  <si>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</si>
  <si>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</si>
  <si>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</si>
  <si>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</si>
  <si>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</si>
  <si>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</si>
  <si>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</si>
  <si>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</si>
  <si>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</si>
  <si>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</si>
  <si>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</si>
  <si>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</si>
  <si>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</si>
  <si>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</si>
  <si>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</si>
  <si>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</si>
  <si>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</si>
  <si>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</si>
  <si>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</si>
  <si>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</si>
  <si>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</si>
  <si>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</si>
  <si>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</si>
  <si>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</si>
  <si>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</si>
  <si>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</si>
  <si>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</si>
  <si>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</si>
  <si>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</si>
  <si>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</si>
  <si>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</si>
  <si>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</si>
  <si>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</si>
  <si>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</si>
  <si>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</si>
  <si>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</si>
  <si>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</si>
  <si>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</si>
  <si>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</si>
  <si>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</si>
  <si>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</si>
  <si>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</si>
  <si>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</si>
  <si>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</si>
  <si>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</si>
  <si>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</si>
  <si>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</si>
  <si>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</si>
  <si>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</si>
  <si>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</si>
  <si>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</si>
  <si>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</si>
  <si>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</si>
  <si>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</si>
  <si>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</si>
  <si>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</si>
  <si>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</si>
  <si>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</si>
  <si>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</si>
  <si>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</si>
  <si>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</si>
  <si>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</si>
  <si>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</si>
  <si>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</si>
  <si>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</si>
  <si>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</si>
  <si>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</si>
  <si>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</si>
  <si>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</si>
  <si>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</si>
  <si>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</si>
  <si>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</si>
  <si>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</si>
  <si>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</si>
  <si>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</si>
  <si>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</si>
  <si>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</si>
  <si>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</si>
  <si>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</si>
  <si>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</si>
  <si>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</si>
  <si>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</si>
  <si>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</si>
  <si>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</si>
  <si>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</si>
  <si>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</si>
  <si>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</si>
  <si>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</si>
  <si>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</si>
  <si>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</si>
  <si>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</si>
  <si>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</si>
  <si>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</si>
  <si>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</si>
  <si>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</si>
  <si>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</si>
  <si>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</si>
  <si>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</si>
  <si>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</si>
  <si>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</si>
  <si>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</si>
  <si>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</si>
  <si>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</si>
  <si>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</si>
  <si>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</si>
  <si>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</si>
  <si>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</si>
  <si>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</si>
  <si>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</si>
  <si>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</si>
  <si>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</si>
  <si>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</si>
  <si>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</si>
  <si>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</si>
  <si>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</si>
  <si>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</si>
  <si>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</si>
  <si>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</si>
  <si>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</si>
  <si>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</si>
  <si>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</si>
  <si>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</si>
  <si>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</si>
  <si>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</si>
  <si>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</si>
  <si>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</si>
  <si>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</si>
  <si>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</si>
  <si>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</si>
  <si>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</si>
  <si>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</si>
  <si>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</si>
  <si>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</si>
  <si>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</si>
  <si>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</si>
  <si>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</si>
  <si>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</si>
  <si>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</si>
  <si>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</si>
  <si>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</si>
  <si>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</si>
  <si>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</si>
  <si>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</si>
  <si>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</si>
  <si>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</si>
  <si>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</si>
  <si>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</si>
  <si>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</si>
  <si>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</si>
  <si>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</si>
  <si>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</si>
  <si>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</si>
  <si>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</si>
  <si>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</si>
  <si>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</si>
  <si>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</si>
  <si>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</si>
  <si>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</si>
  <si>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</si>
  <si>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</si>
  <si>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</si>
  <si>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</si>
  <si>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</si>
  <si>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</si>
  <si>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</si>
  <si>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</si>
  <si>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</si>
  <si>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</si>
  <si>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</si>
  <si>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</si>
  <si>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</si>
  <si>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</si>
  <si>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</si>
  <si>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</si>
  <si>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</si>
  <si>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</si>
  <si>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</si>
  <si>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</si>
  <si>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</si>
  <si>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</si>
  <si>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</si>
  <si>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</si>
  <si>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</si>
  <si>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</si>
  <si>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</si>
  <si>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</si>
  <si>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</si>
  <si>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</si>
  <si>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</si>
  <si>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</si>
  <si>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</si>
  <si>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</si>
  <si>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</si>
  <si>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</si>
  <si>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</si>
  <si>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</si>
  <si>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</si>
  <si>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</si>
  <si>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</si>
  <si>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</si>
  <si>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</si>
  <si>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</si>
  <si>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</si>
  <si>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</si>
  <si>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</si>
  <si>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</si>
  <si>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</si>
  <si>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</si>
  <si>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</si>
  <si>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</si>
  <si>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</si>
  <si>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</si>
  <si>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</si>
  <si>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</si>
  <si>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</si>
  <si>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</si>
  <si>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</si>
  <si>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</si>
  <si>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</si>
  <si>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</si>
  <si>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</si>
  <si>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</si>
  <si>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</si>
  <si>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</si>
  <si>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</si>
  <si>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</si>
  <si>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</si>
  <si>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</si>
  <si>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</si>
  <si>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</si>
  <si>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</si>
  <si>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</si>
  <si>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</si>
  <si>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</si>
  <si>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</si>
  <si>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</si>
  <si>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</si>
  <si>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</si>
  <si>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</si>
  <si>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</si>
  <si>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</si>
  <si>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</si>
  <si>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</si>
  <si>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</si>
  <si>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</si>
  <si>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</si>
  <si>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</si>
  <si>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</si>
  <si>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</si>
  <si>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</si>
  <si>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</si>
  <si>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</si>
  <si>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</si>
  <si>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</si>
  <si>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</si>
  <si>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</si>
  <si>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</si>
  <si>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</si>
  <si>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</si>
  <si>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</si>
  <si>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</si>
  <si>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</si>
  <si>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</si>
  <si>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</si>
  <si>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</si>
  <si>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</si>
  <si>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</si>
  <si>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</si>
  <si>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</si>
  <si>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</si>
  <si>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</si>
  <si>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</si>
  <si>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</si>
  <si>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</si>
  <si>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</si>
  <si>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</si>
  <si>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</si>
  <si>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</si>
  <si>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</si>
  <si>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</si>
  <si>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</si>
  <si>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</si>
  <si>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</si>
  <si>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</si>
  <si>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</si>
  <si>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</si>
  <si>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</si>
  <si>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</si>
  <si>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</si>
  <si>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</si>
  <si>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</si>
  <si>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</si>
  <si>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</si>
  <si>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</si>
  <si>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</si>
  <si>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</si>
  <si>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</si>
  <si>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</si>
  <si>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</si>
  <si>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</si>
  <si>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</si>
  <si>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</si>
  <si>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</si>
  <si>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</si>
  <si>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</si>
  <si>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</si>
  <si>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</si>
  <si>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</si>
  <si>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</si>
  <si>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</si>
  <si>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</si>
  <si>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</si>
  <si>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</si>
  <si>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</si>
  <si>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</si>
  <si>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</si>
  <si>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</si>
  <si>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</si>
  <si>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</si>
  <si>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</si>
  <si>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</si>
  <si>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</si>
  <si>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</si>
  <si>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</si>
  <si>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</si>
  <si>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</si>
  <si>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</si>
  <si>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</si>
  <si>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</si>
  <si>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</si>
  <si>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</si>
  <si>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</si>
  <si>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</si>
  <si>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</si>
  <si>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</si>
  <si>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</si>
  <si>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</si>
  <si>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</si>
  <si>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</si>
  <si>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</si>
  <si>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</si>
  <si>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</si>
  <si>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</si>
  <si>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</si>
  <si>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</si>
  <si>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</si>
  <si>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</si>
  <si>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</si>
  <si>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</si>
  <si>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</si>
  <si>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</si>
  <si>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</si>
  <si>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</si>
  <si>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</si>
  <si>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</si>
  <si>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</si>
  <si>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</si>
  <si>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</si>
  <si>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</si>
  <si>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</si>
  <si>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</si>
  <si>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</si>
  <si>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</si>
  <si>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</si>
  <si>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</si>
  <si>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</si>
  <si>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</si>
  <si>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</si>
  <si>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</si>
  <si>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</si>
  <si>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</si>
  <si>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</si>
  <si>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</si>
  <si>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</si>
  <si>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</si>
  <si>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</si>
  <si>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</si>
  <si>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</si>
  <si>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</si>
  <si>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</si>
  <si>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</si>
  <si>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</si>
  <si>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</si>
  <si>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</si>
  <si>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</si>
  <si>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</si>
  <si>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</si>
  <si>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</si>
  <si>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</si>
  <si>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</si>
  <si>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</si>
  <si>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</si>
  <si>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</si>
  <si>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</si>
  <si>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</si>
  <si>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</si>
  <si>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</si>
  <si>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</si>
  <si>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</si>
  <si>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</si>
  <si>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</si>
  <si>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</si>
  <si>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</si>
  <si>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</si>
  <si>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</si>
  <si>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</si>
  <si>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</si>
  <si>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</si>
  <si>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</si>
  <si>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</si>
  <si>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</si>
  <si>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</si>
  <si>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</si>
  <si>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</si>
  <si>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</si>
  <si>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</si>
  <si>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</si>
  <si>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</si>
  <si>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</si>
  <si>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</si>
  <si>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</si>
  <si>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</si>
  <si>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</si>
  <si>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</si>
  <si>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</si>
  <si>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</si>
  <si>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</si>
  <si>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</si>
  <si>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</si>
  <si>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</si>
  <si>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</si>
  <si>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</si>
  <si>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</si>
  <si>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</si>
  <si>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</si>
  <si>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</si>
  <si>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</si>
  <si>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</si>
  <si>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</si>
  <si>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</si>
  <si>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</si>
  <si>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</si>
  <si>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</si>
  <si>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</si>
  <si>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</si>
  <si>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</si>
  <si>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</si>
  <si>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</si>
  <si>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</si>
  <si>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</si>
  <si>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</si>
  <si>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</si>
  <si>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</si>
  <si>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</si>
  <si>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</si>
  <si>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</si>
  <si>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</si>
  <si>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</si>
  <si>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</si>
  <si>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</si>
  <si>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</si>
  <si>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</si>
  <si>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</si>
  <si>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</si>
  <si>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</si>
  <si>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</si>
  <si>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</si>
  <si>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</si>
  <si>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</si>
  <si>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</si>
  <si>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</si>
  <si>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</si>
  <si>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</si>
  <si>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</si>
  <si>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</si>
  <si>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</si>
  <si>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</si>
  <si>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</si>
  <si>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</si>
  <si>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</si>
  <si>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</si>
  <si>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</si>
  <si>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</si>
  <si>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</si>
  <si>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</si>
  <si>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</si>
  <si>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</si>
  <si>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</si>
  <si>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</si>
  <si>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</si>
  <si>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</si>
  <si>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</si>
  <si>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</si>
  <si>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</si>
  <si>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</si>
  <si>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</si>
  <si>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</si>
  <si>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</si>
  <si>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</si>
  <si>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</si>
  <si>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</si>
  <si>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</si>
  <si>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</si>
  <si>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</si>
  <si>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</si>
  <si>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</si>
  <si>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</si>
  <si>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</si>
  <si>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</si>
  <si>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</si>
  <si>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</si>
  <si>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</si>
  <si>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</si>
  <si>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</si>
  <si>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</si>
  <si>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</si>
  <si>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</si>
  <si>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</si>
  <si>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</si>
  <si>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</si>
  <si>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</si>
  <si>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</si>
  <si>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</si>
  <si>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</si>
  <si>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</si>
  <si>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</si>
  <si>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</si>
  <si>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</si>
  <si>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</si>
  <si>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</si>
  <si>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</si>
  <si>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</si>
  <si>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</si>
  <si>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</si>
  <si>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</si>
  <si>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</si>
  <si>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</si>
  <si>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</si>
  <si>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</si>
  <si>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</si>
  <si>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</si>
  <si>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</si>
  <si>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</si>
  <si>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</si>
  <si>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</si>
  <si>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</si>
  <si>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</si>
  <si>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</si>
  <si>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</si>
  <si>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</si>
  <si>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</si>
  <si>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</si>
  <si>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</si>
  <si>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</si>
  <si>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</si>
  <si>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</si>
  <si>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</si>
  <si>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</si>
  <si>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</si>
  <si>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</si>
  <si>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</si>
  <si>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</si>
  <si>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</si>
  <si>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</si>
  <si>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</si>
  <si>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</si>
  <si>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</si>
  <si>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</si>
  <si>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</si>
  <si>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</si>
  <si>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</si>
  <si>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</si>
  <si>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</si>
  <si>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</si>
  <si>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</si>
  <si>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</si>
  <si>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</si>
  <si>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</si>
  <si>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</si>
  <si>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</si>
  <si>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</si>
  <si>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</si>
  <si>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</si>
  <si>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</si>
  <si>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</si>
  <si>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</si>
  <si>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</si>
  <si>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</si>
  <si>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</si>
  <si>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</si>
  <si>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</si>
  <si>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</si>
  <si>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</si>
  <si>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</si>
  <si>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</si>
  <si>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</si>
  <si>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</si>
  <si>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</si>
  <si>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</si>
  <si>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</si>
  <si>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</si>
  <si>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</si>
  <si>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</si>
  <si>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</si>
  <si>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</si>
  <si>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</si>
  <si>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</si>
  <si>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</si>
  <si>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</si>
  <si>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</si>
  <si>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</si>
  <si>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</si>
  <si>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</si>
  <si>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</si>
  <si>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</si>
  <si>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</si>
  <si>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</si>
  <si>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</si>
  <si>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</si>
  <si>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</si>
  <si>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</si>
  <si>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</si>
  <si>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</si>
  <si>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</si>
  <si>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</si>
  <si>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</si>
  <si>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</si>
  <si>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</si>
  <si>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</si>
  <si>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</si>
  <si>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</si>
  <si>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</si>
  <si>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</si>
  <si>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</si>
  <si>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</si>
  <si>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</si>
  <si>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</si>
  <si>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</si>
  <si>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</si>
  <si>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</si>
  <si>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</si>
  <si>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</si>
  <si>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</si>
  <si>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</si>
  <si>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</si>
  <si>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</si>
  <si>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</si>
  <si>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</si>
  <si>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</si>
  <si>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</si>
  <si>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</si>
  <si>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</si>
  <si>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</si>
  <si>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</si>
  <si>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</si>
  <si>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</si>
  <si>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</si>
  <si>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</si>
  <si>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</si>
  <si>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</si>
  <si>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</si>
  <si>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</si>
  <si>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</si>
  <si>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</si>
  <si>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</si>
  <si>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</si>
  <si>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</si>
  <si>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</si>
  <si>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</si>
  <si>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</si>
  <si>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</si>
  <si>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</si>
  <si>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</si>
  <si>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</si>
  <si>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</si>
  <si>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</si>
  <si>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</si>
  <si>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</si>
  <si>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</si>
  <si>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</si>
  <si>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</si>
  <si>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</si>
  <si>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</si>
  <si>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</si>
  <si>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</si>
  <si>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</si>
  <si>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</si>
  <si>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</si>
  <si>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</si>
  <si>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</si>
  <si>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</si>
  <si>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</si>
  <si>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</si>
  <si>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</si>
  <si>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</si>
  <si>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</si>
  <si>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</si>
  <si>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</si>
  <si>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</si>
  <si>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</si>
  <si>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</si>
  <si>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</si>
  <si>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</si>
  <si>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</si>
  <si>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</si>
  <si>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</si>
  <si>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</si>
  <si>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</si>
  <si>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</si>
  <si>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</si>
  <si>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</si>
  <si>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</si>
  <si>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</si>
  <si>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</si>
  <si>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</si>
  <si>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</si>
  <si>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</si>
  <si>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</si>
  <si>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</si>
  <si>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</si>
  <si>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</si>
  <si>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</si>
  <si>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</si>
  <si>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</si>
  <si>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</si>
  <si>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</si>
  <si>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</si>
  <si>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</si>
  <si>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</si>
  <si>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</si>
  <si>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</si>
  <si>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</si>
  <si>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</si>
  <si>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</si>
  <si>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</si>
  <si>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</si>
  <si>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</si>
  <si>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</si>
  <si>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</si>
  <si>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</si>
  <si>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</si>
  <si>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</si>
  <si>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</si>
  <si>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</si>
  <si>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</si>
  <si>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</si>
  <si>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</si>
  <si>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</si>
  <si>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</si>
  <si>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</si>
  <si>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</si>
  <si>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</si>
  <si>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</si>
  <si>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</si>
  <si>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</si>
  <si>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</si>
  <si>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</si>
  <si>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</si>
  <si>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</si>
  <si>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</si>
  <si>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</si>
  <si>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</si>
  <si>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</si>
  <si>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</si>
  <si>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</si>
  <si>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</si>
  <si>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</si>
  <si>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</si>
  <si>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</si>
  <si>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</si>
  <si>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</si>
  <si>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</si>
  <si>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</si>
  <si>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</si>
  <si>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</si>
  <si>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</si>
  <si>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</si>
  <si>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</si>
  <si>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</si>
  <si>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</si>
  <si>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</si>
  <si>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</si>
  <si>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</si>
  <si>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</si>
  <si>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</si>
  <si>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</si>
  <si>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</si>
  <si>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</si>
  <si>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</si>
  <si>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</si>
  <si>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</si>
  <si>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</si>
  <si>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</si>
  <si>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</si>
  <si>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</si>
  <si>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</si>
  <si>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</si>
  <si>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</si>
  <si>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</si>
  <si>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</si>
  <si>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</si>
  <si>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</si>
  <si>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</si>
  <si>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</si>
  <si>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</si>
  <si>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</si>
  <si>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</si>
  <si>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</si>
  <si>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</si>
  <si>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</si>
  <si>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</si>
  <si>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</si>
  <si>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</si>
  <si>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</si>
  <si>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</si>
  <si>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</si>
  <si>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</si>
  <si>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</si>
  <si>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</si>
  <si>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</si>
  <si>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</si>
  <si>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</si>
  <si>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</si>
  <si>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</si>
  <si>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</si>
  <si>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</si>
  <si>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</si>
  <si>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</si>
  <si>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</si>
  <si>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</si>
  <si>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</si>
  <si>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</si>
  <si>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</si>
  <si>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</si>
  <si>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</si>
  <si>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</si>
  <si>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</si>
  <si>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</si>
  <si>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</si>
  <si>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</si>
  <si>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</si>
  <si>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</si>
  <si>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</si>
  <si>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</si>
  <si>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</si>
  <si>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</si>
  <si>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</si>
  <si>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</si>
  <si>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</si>
  <si>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</si>
  <si>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</si>
  <si>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</si>
  <si>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</si>
  <si>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</si>
  <si>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</si>
  <si>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</si>
  <si>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</si>
  <si>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</si>
  <si>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</si>
  <si>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</si>
  <si>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</si>
  <si>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</si>
  <si>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</si>
  <si>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</si>
  <si>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</si>
  <si>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</si>
  <si>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</si>
  <si>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</si>
  <si>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</si>
  <si>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</si>
  <si>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</si>
  <si>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</si>
  <si>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</si>
  <si>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</si>
  <si>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</si>
  <si>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</si>
  <si>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</si>
  <si>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</si>
  <si>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</si>
  <si>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</si>
  <si>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</si>
  <si>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</si>
  <si>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</si>
  <si>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</si>
  <si>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</si>
  <si>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</si>
  <si>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</si>
  <si>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</si>
  <si>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</si>
  <si>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</si>
  <si>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</si>
  <si>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</si>
  <si>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</si>
  <si>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</si>
  <si>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</si>
  <si>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</si>
  <si>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</si>
  <si>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</si>
  <si>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</si>
  <si>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</si>
  <si>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</si>
  <si>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</si>
  <si>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</si>
  <si>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</si>
  <si>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</si>
  <si>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</si>
  <si>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</si>
  <si>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</si>
  <si>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</si>
  <si>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</si>
  <si>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</si>
  <si>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</si>
  <si>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</si>
  <si>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</si>
  <si>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</si>
  <si>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</si>
  <si>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</si>
  <si>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</si>
  <si>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</si>
  <si>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</si>
  <si>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</si>
  <si>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</si>
  <si>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</si>
  <si>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</si>
  <si>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</si>
  <si>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</si>
  <si>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</si>
  <si>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</si>
  <si>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</si>
  <si>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</si>
  <si>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</si>
  <si>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</si>
  <si>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</si>
  <si>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</si>
  <si>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</si>
  <si>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</si>
  <si>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</si>
  <si>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</si>
  <si>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</si>
  <si>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</si>
  <si>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</si>
  <si>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</si>
  <si>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</si>
  <si>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</si>
  <si>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</si>
  <si>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</si>
  <si>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</si>
  <si>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</si>
  <si>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</si>
  <si>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</si>
  <si>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</si>
  <si>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</si>
  <si>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</si>
  <si>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</si>
  <si>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</si>
  <si>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</si>
  <si>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</si>
  <si>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</si>
  <si>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</si>
  <si>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</si>
  <si>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</si>
  <si>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</si>
  <si>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</si>
  <si>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</si>
  <si>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</si>
  <si>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</si>
  <si>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</si>
  <si>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</si>
  <si>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</si>
  <si>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</si>
  <si>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</si>
  <si>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</si>
  <si>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</si>
  <si>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</si>
  <si>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</si>
  <si>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</si>
  <si>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</si>
  <si>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</si>
  <si>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</si>
  <si>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</si>
  <si>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</si>
  <si>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</si>
  <si>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</si>
  <si>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</si>
  <si>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</si>
  <si>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</si>
  <si>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</si>
  <si>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</si>
  <si>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</si>
  <si>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</si>
  <si>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</si>
  <si>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</si>
  <si>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</si>
  <si>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</si>
  <si>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</si>
  <si>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</si>
  <si>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</si>
  <si>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</si>
  <si>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</si>
  <si>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</si>
  <si>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</si>
  <si>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</si>
  <si>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</si>
  <si>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</si>
  <si>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</si>
  <si>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</si>
  <si>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</si>
  <si>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</si>
  <si>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</si>
  <si>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</si>
  <si>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</si>
  <si>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</si>
  <si>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</si>
  <si>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</si>
  <si>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</si>
  <si>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</si>
  <si>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</si>
  <si>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</si>
  <si>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</si>
  <si>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</si>
  <si>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</si>
  <si>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</si>
  <si>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</si>
  <si>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</si>
  <si>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</si>
  <si>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</si>
  <si>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</si>
  <si>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</si>
  <si>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</si>
  <si>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</si>
  <si>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</si>
  <si>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</si>
  <si>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</si>
  <si>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</si>
  <si>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</si>
  <si>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</si>
  <si>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</si>
  <si>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</si>
  <si>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</si>
  <si>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</si>
  <si>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</si>
  <si>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</si>
  <si>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</si>
  <si>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</si>
  <si>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</si>
  <si>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</si>
  <si>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</si>
  <si>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</si>
  <si>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</si>
  <si>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</si>
  <si>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</si>
  <si>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</si>
  <si>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</si>
  <si>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</si>
  <si>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</si>
  <si>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</si>
  <si>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</si>
  <si>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</si>
  <si>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</si>
  <si>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</si>
  <si>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</si>
  <si>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</si>
  <si>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</si>
  <si>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</si>
  <si>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</si>
  <si>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</si>
  <si>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</si>
  <si>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</si>
  <si>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</si>
  <si>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</si>
  <si>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</si>
  <si>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</si>
  <si>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</si>
  <si>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</si>
  <si>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</si>
  <si>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</si>
  <si>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</si>
  <si>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</si>
  <si>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</si>
  <si>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</si>
  <si>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</si>
  <si>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</si>
  <si>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</si>
  <si>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</si>
  <si>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</si>
  <si>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</si>
  <si>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</si>
  <si>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</si>
  <si>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</si>
  <si>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</si>
  <si>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</si>
  <si>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</si>
  <si>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</si>
  <si>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</si>
  <si>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</si>
  <si>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</si>
  <si>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</si>
  <si>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</si>
  <si>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</si>
  <si>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</si>
  <si>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</si>
  <si>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</si>
  <si>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</si>
  <si>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</si>
  <si>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</si>
  <si>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</si>
  <si>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</si>
  <si>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</si>
  <si>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</si>
  <si>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</si>
  <si>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</si>
  <si>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</si>
  <si>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</si>
  <si>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</si>
  <si>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</si>
  <si>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</si>
  <si>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</si>
  <si>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</si>
  <si>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</si>
  <si>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</si>
  <si>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</si>
  <si>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</si>
  <si>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</si>
  <si>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</si>
  <si>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</si>
  <si>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</si>
  <si>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</si>
  <si>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</si>
  <si>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</si>
  <si>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</si>
  <si>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</si>
  <si>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</si>
  <si>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</si>
  <si>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</si>
  <si>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</si>
  <si>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</si>
  <si>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</si>
  <si>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</si>
  <si>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</si>
  <si>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</si>
  <si>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</si>
  <si>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</si>
  <si>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</si>
  <si>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</si>
  <si>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</si>
  <si>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</si>
  <si>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</si>
  <si>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</si>
  <si>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</si>
  <si>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</si>
  <si>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</si>
  <si>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</si>
  <si>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</si>
  <si>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</si>
  <si>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</si>
  <si>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</si>
  <si>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</si>
  <si>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</si>
  <si>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</si>
  <si>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</si>
  <si>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</si>
  <si>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</si>
  <si>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</si>
  <si>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</si>
  <si>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</si>
  <si>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</si>
  <si>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</si>
  <si>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</si>
  <si>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</si>
  <si>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</si>
  <si>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</si>
  <si>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</si>
  <si>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</si>
  <si>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</si>
  <si>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</si>
  <si>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</si>
  <si>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</si>
  <si>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</si>
  <si>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</si>
  <si>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</si>
  <si>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</si>
  <si>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</si>
  <si>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</si>
  <si>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</si>
  <si>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</si>
  <si>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</si>
  <si>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</si>
  <si>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</si>
  <si>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</si>
  <si>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</si>
  <si>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</si>
  <si>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</si>
  <si>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</si>
  <si>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</si>
  <si>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</si>
  <si>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</si>
  <si>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</si>
  <si>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</si>
  <si>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</si>
  <si>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</si>
  <si>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</si>
  <si>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</si>
  <si>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</si>
  <si>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</si>
  <si>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</si>
  <si>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</si>
  <si>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</si>
  <si>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</si>
  <si>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</si>
  <si>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</si>
  <si>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</si>
  <si>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</si>
  <si>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</si>
  <si>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</si>
  <si>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</si>
  <si>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</si>
  <si>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</si>
  <si>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</si>
  <si>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</si>
  <si>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</si>
  <si>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</si>
  <si>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</si>
  <si>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</si>
  <si>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</si>
  <si>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</si>
  <si>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</si>
  <si>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</si>
  <si>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</si>
  <si>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</si>
  <si>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</si>
  <si>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</si>
  <si>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</si>
  <si>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</si>
  <si>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</si>
  <si>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</si>
  <si>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</si>
  <si>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</si>
  <si>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</si>
  <si>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</si>
  <si>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</si>
  <si>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</si>
  <si>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</si>
  <si>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</si>
  <si>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</si>
  <si>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</si>
  <si>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</si>
  <si>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</si>
  <si>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</si>
  <si>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</si>
  <si>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</si>
  <si>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</si>
  <si>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</si>
  <si>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</si>
  <si>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</si>
  <si>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</si>
  <si>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</si>
  <si>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</si>
  <si>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</si>
  <si>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</si>
  <si>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</si>
  <si>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</si>
  <si>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</si>
  <si>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</si>
  <si>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</si>
  <si>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</si>
  <si>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</si>
  <si>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</si>
  <si>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</si>
  <si>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</si>
  <si>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</si>
  <si>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</si>
  <si>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</si>
  <si>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</si>
  <si>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</si>
  <si>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</si>
  <si>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</si>
  <si>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</si>
  <si>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</si>
  <si>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</si>
  <si>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</si>
  <si>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</si>
  <si>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</si>
  <si>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</si>
  <si>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</si>
  <si>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</si>
  <si>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</si>
  <si>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</si>
  <si>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</si>
  <si>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</si>
  <si>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</si>
  <si>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</si>
  <si>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</si>
  <si>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</si>
  <si>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</si>
  <si>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</si>
  <si>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</si>
  <si>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</si>
  <si>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</si>
  <si>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</si>
  <si>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</si>
  <si>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</si>
  <si>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</si>
  <si>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</si>
  <si>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</si>
  <si>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</si>
  <si>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</si>
  <si>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</si>
  <si>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</si>
  <si>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</si>
  <si>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</si>
  <si>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</si>
  <si>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</si>
  <si>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</si>
  <si>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</si>
  <si>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</si>
  <si>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</si>
  <si>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</si>
  <si>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</si>
  <si>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</si>
  <si>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</si>
  <si>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</si>
  <si>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</si>
  <si>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</si>
  <si>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</si>
  <si>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</si>
  <si>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</si>
  <si>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</si>
  <si>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</si>
  <si>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</si>
  <si>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</si>
  <si>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</si>
  <si>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</si>
  <si>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</si>
  <si>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</si>
  <si>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</si>
  <si>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</si>
  <si>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</si>
  <si>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</si>
  <si>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</si>
  <si>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</si>
  <si>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</si>
  <si>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</si>
  <si>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</si>
  <si>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</si>
  <si>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</si>
  <si>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</si>
  <si>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</si>
  <si>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</si>
  <si>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</si>
  <si>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</si>
  <si>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</si>
  <si>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</si>
  <si>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</si>
  <si>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</si>
  <si>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</si>
  <si>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</si>
  <si>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</si>
  <si>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</si>
  <si>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</si>
  <si>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</si>
  <si>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</si>
  <si>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</si>
  <si>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</si>
  <si>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</si>
  <si>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</si>
  <si>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</si>
  <si>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</si>
  <si>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</si>
  <si>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</si>
  <si>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</si>
  <si>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</si>
  <si>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</si>
  <si>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</si>
  <si>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</si>
  <si>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</si>
  <si>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</si>
  <si>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</si>
  <si>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</si>
  <si>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</si>
  <si>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</si>
  <si>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</si>
  <si>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</si>
  <si>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</si>
  <si>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</si>
  <si>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</si>
  <si>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</si>
  <si>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</si>
  <si>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</si>
  <si>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</si>
  <si>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</si>
  <si>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</si>
  <si>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</si>
  <si>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</si>
  <si>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</si>
  <si>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</si>
  <si>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</si>
  <si>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</si>
  <si>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</si>
  <si>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</si>
  <si>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</si>
  <si>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</si>
  <si>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</si>
  <si>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</si>
  <si>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</si>
  <si>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</si>
  <si>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</si>
  <si>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</si>
  <si>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</si>
  <si>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</si>
  <si>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</si>
  <si>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</si>
  <si>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</si>
  <si>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</si>
  <si>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</si>
  <si>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</si>
  <si>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</si>
  <si>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</si>
  <si>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</si>
  <si>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</si>
  <si>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</si>
  <si>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</si>
  <si>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</si>
  <si>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</si>
  <si>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</si>
  <si>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</si>
  <si>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</si>
  <si>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</si>
  <si>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</si>
  <si>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</si>
  <si>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</si>
  <si>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</si>
  <si>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</si>
  <si>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</si>
  <si>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</si>
  <si>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</si>
  <si>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</si>
  <si>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</si>
  <si>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</si>
  <si>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</si>
  <si>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</si>
  <si>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</si>
  <si>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</si>
  <si>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</si>
  <si>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</si>
  <si>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</si>
  <si>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</si>
  <si>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</si>
  <si>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</si>
  <si>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</si>
  <si>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</si>
  <si>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</si>
  <si>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</si>
  <si>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</si>
  <si>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</si>
  <si>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</si>
  <si>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</si>
  <si>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</si>
  <si>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</si>
  <si>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</si>
  <si>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</si>
  <si>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</si>
  <si>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</si>
  <si>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</si>
  <si>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</si>
  <si>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</si>
  <si>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</si>
  <si>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</si>
  <si>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</si>
  <si>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</si>
  <si>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</si>
  <si>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</si>
  <si>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</si>
  <si>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</si>
  <si>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</si>
  <si>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</si>
  <si>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</si>
  <si>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</si>
  <si>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</si>
  <si>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</si>
  <si>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</si>
  <si>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</si>
  <si>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</si>
  <si>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</si>
  <si>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</si>
  <si>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</si>
  <si>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</si>
  <si>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</si>
  <si>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</si>
  <si>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</si>
  <si>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</si>
  <si>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</si>
  <si>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</si>
  <si>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</si>
  <si>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</si>
  <si>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</si>
  <si>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</si>
  <si>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</si>
  <si>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</si>
  <si>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</si>
  <si>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</si>
  <si>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</si>
  <si>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</si>
  <si>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</si>
  <si>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</si>
  <si>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</si>
  <si>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</si>
  <si>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</si>
  <si>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</si>
  <si>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</si>
  <si>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</si>
  <si>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</si>
  <si>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</si>
  <si>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</si>
  <si>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</si>
  <si>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</si>
  <si>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</si>
  <si>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</si>
  <si>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</si>
  <si>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</si>
  <si>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</si>
  <si>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</si>
  <si>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</si>
  <si>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</si>
  <si>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</si>
  <si>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</si>
  <si>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</si>
  <si>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</si>
  <si>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</si>
  <si>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</si>
  <si>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</si>
  <si>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</si>
  <si>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</si>
  <si>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</si>
  <si>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</si>
  <si>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</si>
  <si>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</si>
  <si>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</si>
  <si>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</si>
  <si>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</si>
  <si>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</si>
  <si>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</si>
  <si>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</si>
  <si>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</si>
  <si>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</si>
  <si>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</si>
  <si>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</si>
  <si>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</si>
  <si>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</si>
  <si>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</si>
  <si>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</si>
  <si>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</si>
  <si>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</si>
  <si>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</si>
  <si>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</si>
  <si>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</si>
  <si>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</si>
  <si>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</si>
  <si>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</si>
  <si>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</si>
  <si>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</si>
  <si>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</si>
  <si>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</si>
  <si>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</si>
  <si>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</si>
  <si>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</si>
  <si>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</si>
  <si>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</si>
  <si>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</si>
  <si>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</si>
  <si>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</si>
  <si>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</si>
  <si>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</si>
  <si>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</si>
  <si>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</si>
  <si>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</si>
  <si>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</si>
  <si>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</si>
  <si>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</si>
  <si>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</si>
  <si>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</si>
  <si>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</si>
  <si>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</si>
  <si>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</si>
  <si>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</si>
  <si>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</si>
  <si>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</si>
  <si>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</si>
  <si>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</si>
  <si>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</si>
  <si>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</si>
  <si>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</si>
  <si>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</si>
  <si>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</si>
  <si>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</si>
  <si>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</si>
  <si>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</si>
  <si>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</si>
  <si>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</si>
  <si>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</si>
  <si>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</si>
  <si>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</si>
  <si>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</si>
  <si>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</si>
  <si>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</si>
  <si>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</si>
  <si>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</si>
  <si>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</si>
  <si>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</si>
  <si>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</si>
  <si>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</si>
  <si>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</si>
  <si>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</si>
  <si>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</si>
  <si>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</si>
  <si>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</si>
  <si>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</si>
  <si>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</si>
  <si>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</si>
  <si>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</si>
  <si>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</si>
  <si>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</si>
  <si>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</si>
  <si>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</si>
  <si>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</si>
  <si>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</si>
  <si>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</si>
  <si>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</si>
  <si>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</si>
  <si>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</si>
  <si>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</si>
  <si>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</si>
  <si>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</si>
  <si>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</si>
  <si>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</si>
  <si>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</si>
  <si>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</si>
  <si>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</si>
  <si>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</si>
  <si>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</si>
  <si>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</si>
  <si>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</si>
  <si>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</si>
  <si>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</si>
  <si>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</si>
  <si>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</si>
  <si>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</si>
  <si>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</si>
  <si>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</si>
  <si>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</si>
  <si>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</si>
  <si>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</si>
  <si>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</si>
  <si>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</si>
  <si>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</si>
  <si>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</si>
  <si>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</si>
  <si>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</si>
  <si>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</si>
  <si>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</si>
  <si>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</si>
  <si>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</si>
  <si>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</si>
  <si>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</si>
  <si>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</si>
  <si>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</si>
  <si>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</si>
  <si>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</si>
  <si>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</si>
  <si>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</si>
  <si>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</si>
  <si>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</si>
  <si>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</si>
  <si>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</si>
  <si>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</si>
  <si>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</si>
  <si>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</si>
  <si>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</si>
  <si>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</si>
  <si>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</si>
  <si>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</si>
  <si>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</si>
  <si>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</si>
  <si>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</si>
  <si>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</si>
  <si>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</si>
  <si>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</si>
  <si>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</si>
  <si>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</si>
  <si>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</si>
  <si>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</si>
  <si>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</si>
  <si>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</si>
  <si>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</si>
  <si>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</si>
  <si>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</si>
  <si>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</si>
  <si>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</si>
  <si>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</si>
  <si>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</si>
  <si>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</si>
  <si>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</si>
  <si>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</si>
  <si>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</si>
  <si>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</si>
  <si>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</si>
  <si>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</si>
  <si>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</si>
  <si>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</si>
  <si>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</si>
  <si>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</si>
  <si>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</si>
  <si>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</si>
  <si>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</si>
  <si>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</si>
  <si>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</si>
  <si>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</si>
  <si>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</si>
  <si>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</si>
  <si>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</si>
  <si>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</si>
  <si>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</si>
  <si>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</si>
  <si>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</si>
  <si>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</si>
  <si>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</si>
  <si>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</si>
  <si>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</si>
  <si>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</si>
  <si>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</si>
  <si>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</si>
  <si>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</si>
  <si>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</si>
  <si>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</si>
  <si>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</si>
  <si>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</si>
  <si>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</si>
  <si>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</si>
  <si>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</si>
  <si>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</si>
  <si>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</si>
  <si>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</si>
  <si>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</si>
  <si>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</si>
  <si>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</si>
  <si>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</si>
  <si>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</si>
  <si>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</si>
  <si>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</si>
  <si>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</si>
  <si>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</si>
  <si>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</si>
  <si>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</si>
  <si>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</si>
  <si>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</si>
  <si>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</si>
  <si>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</si>
  <si>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</si>
  <si>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</si>
  <si>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</si>
  <si>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</si>
  <si>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</si>
  <si>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</si>
  <si>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</si>
  <si>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</si>
  <si>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</si>
  <si>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</si>
  <si>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</si>
  <si>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</si>
  <si>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</si>
  <si>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</si>
  <si>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</si>
  <si>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</si>
  <si>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</si>
  <si>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</si>
  <si>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</si>
  <si>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</si>
  <si>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</si>
  <si>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</si>
  <si>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</si>
  <si>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</si>
  <si>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</si>
  <si>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</si>
  <si>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</si>
  <si>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</si>
  <si>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</si>
  <si>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</si>
  <si>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</si>
  <si>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</si>
  <si>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</si>
  <si>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</si>
  <si>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</si>
  <si>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</si>
  <si>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</si>
  <si>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</si>
  <si>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</si>
  <si>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</si>
  <si>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</si>
  <si>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</si>
  <si>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</si>
  <si>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</si>
  <si>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</si>
  <si>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</si>
  <si>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</si>
  <si>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</si>
  <si>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</si>
  <si>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</si>
  <si>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</si>
  <si>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</si>
  <si>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</si>
  <si>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</si>
  <si>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</si>
  <si>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</si>
  <si>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</si>
  <si>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</si>
  <si>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</si>
  <si>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</si>
  <si>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</si>
  <si>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</si>
  <si>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</si>
  <si>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</si>
  <si>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</si>
  <si>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</si>
  <si>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</si>
  <si>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</si>
  <si>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</si>
  <si>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</si>
  <si>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</si>
  <si>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</si>
  <si>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</si>
  <si>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</si>
  <si>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</si>
  <si>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</si>
  <si>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</si>
  <si>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</si>
  <si>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</si>
  <si>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</si>
  <si>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</si>
  <si>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</si>
  <si>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</si>
  <si>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</si>
  <si>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</si>
  <si>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</si>
  <si>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</si>
  <si>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</si>
  <si>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</si>
  <si>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</si>
  <si>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</si>
  <si>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</si>
  <si>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</si>
  <si>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</si>
  <si>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</si>
  <si>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</si>
  <si>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</si>
  <si>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</si>
  <si>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</si>
  <si>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</si>
  <si>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</si>
  <si>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</si>
  <si>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</si>
  <si>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</si>
  <si>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</si>
  <si>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</si>
  <si>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</si>
  <si>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</si>
  <si>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</si>
  <si>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</si>
  <si>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</si>
  <si>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</si>
  <si>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</si>
  <si>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</si>
  <si>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</si>
  <si>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</si>
  <si>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</si>
  <si>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</si>
  <si>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</si>
  <si>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</si>
  <si>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</si>
  <si>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</si>
  <si>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</si>
  <si>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</si>
  <si>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</si>
  <si>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</si>
  <si>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</si>
  <si>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</si>
  <si>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</si>
  <si>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</si>
  <si>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</si>
  <si>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</si>
  <si>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</si>
  <si>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</si>
  <si>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</si>
  <si>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</si>
  <si>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</si>
  <si>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</si>
  <si>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</si>
  <si>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</si>
  <si>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</si>
  <si>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</si>
  <si>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</si>
  <si>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</si>
  <si>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</si>
  <si>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</si>
  <si>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</si>
  <si>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</si>
  <si>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</si>
  <si>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</si>
  <si>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</si>
  <si>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</si>
  <si>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</si>
  <si>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</si>
  <si>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</si>
  <si>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</si>
  <si>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</si>
  <si>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</si>
  <si>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</si>
  <si>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</si>
  <si>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</si>
  <si>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</si>
  <si>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</si>
  <si>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</si>
  <si>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</si>
  <si>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</si>
  <si>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</si>
  <si>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</si>
  <si>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</si>
  <si>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</si>
  <si>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</si>
  <si>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</si>
  <si>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</si>
  <si>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</si>
  <si>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</si>
  <si>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</si>
  <si>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</si>
  <si>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</si>
  <si>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</si>
  <si>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</si>
  <si>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</si>
  <si>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</si>
  <si>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</si>
  <si>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</si>
  <si>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</si>
  <si>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</si>
  <si>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</si>
  <si>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</si>
  <si>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</si>
  <si>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</si>
  <si>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</si>
  <si>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</si>
  <si>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</si>
  <si>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</si>
  <si>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</si>
  <si>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</si>
  <si>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</si>
  <si>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</si>
  <si>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</si>
  <si>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</si>
  <si>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</si>
  <si>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</si>
  <si>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</si>
  <si>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</si>
  <si>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</si>
  <si>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</si>
  <si>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</si>
  <si>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</si>
  <si>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</si>
  <si>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</si>
  <si>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</si>
  <si>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</si>
  <si>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</si>
  <si>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</si>
  <si>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</si>
  <si>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</si>
  <si>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</si>
  <si>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</si>
  <si>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</si>
  <si>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</si>
  <si>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</si>
  <si>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</si>
  <si>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</si>
  <si>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</si>
  <si>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</si>
  <si>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</si>
  <si>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</si>
  <si>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</si>
  <si>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</si>
  <si>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</si>
  <si>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</si>
  <si>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</si>
  <si>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</si>
  <si>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</si>
  <si>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</si>
  <si>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</si>
  <si>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</si>
  <si>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</si>
  <si>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</si>
  <si>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</si>
  <si>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</si>
  <si>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</si>
  <si>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</si>
  <si>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</si>
  <si>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</si>
  <si>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</si>
  <si>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</si>
  <si>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</si>
  <si>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</si>
  <si>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</si>
  <si>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</si>
  <si>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</si>
  <si>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</si>
  <si>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</si>
  <si>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</si>
  <si>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</si>
  <si>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</si>
  <si>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</si>
  <si>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</si>
  <si>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</si>
  <si>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</si>
  <si>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</si>
  <si>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</si>
  <si>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</si>
  <si>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</si>
  <si>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</si>
  <si>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</si>
  <si>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</si>
  <si>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</si>
  <si>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</si>
  <si>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</si>
  <si>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</si>
  <si>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</si>
  <si>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</si>
  <si>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</si>
  <si>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</si>
  <si>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</si>
  <si>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</si>
  <si>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</si>
  <si>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</si>
  <si>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</si>
  <si>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</si>
  <si>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</si>
  <si>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</si>
  <si>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</si>
  <si>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</si>
  <si>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</si>
  <si>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</si>
  <si>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</si>
  <si>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</si>
  <si>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</si>
  <si>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</si>
  <si>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</si>
  <si>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</si>
  <si>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</si>
  <si>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</si>
  <si>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</si>
  <si>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</si>
  <si>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</si>
  <si>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</si>
  <si>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</si>
  <si>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</si>
  <si>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</si>
  <si>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</si>
  <si>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</si>
  <si>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</si>
  <si>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</si>
  <si>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</si>
  <si>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</si>
  <si>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</si>
  <si>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</si>
  <si>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</si>
  <si>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</si>
  <si>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</si>
  <si>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</si>
  <si>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</si>
  <si>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</si>
  <si>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</si>
  <si>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</si>
  <si>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</si>
  <si>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</si>
  <si>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</si>
  <si>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</si>
  <si>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</si>
  <si>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</si>
  <si>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</si>
  <si>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</si>
  <si>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</si>
  <si>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</si>
  <si>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</si>
  <si>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</si>
  <si>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</si>
  <si>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</si>
  <si>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</si>
  <si>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</si>
  <si>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</si>
  <si>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</si>
  <si>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</si>
  <si>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</si>
  <si>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</si>
  <si>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</si>
  <si>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</si>
  <si>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</si>
  <si>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</si>
  <si>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</si>
  <si>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</si>
  <si>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</si>
  <si>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</si>
  <si>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</si>
  <si>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</si>
  <si>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</si>
  <si>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</si>
  <si>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</si>
  <si>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</si>
  <si>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</si>
  <si>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</si>
  <si>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</si>
  <si>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</si>
  <si>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</si>
  <si>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</si>
  <si>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</si>
  <si>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</si>
  <si>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</si>
  <si>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</si>
  <si>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</si>
  <si>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</si>
  <si>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</si>
  <si>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</si>
  <si>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</si>
  <si>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</si>
  <si>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</si>
  <si>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</si>
  <si>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</si>
  <si>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</si>
  <si>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</si>
  <si>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</si>
  <si>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</si>
  <si>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</si>
  <si>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</si>
  <si>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</si>
  <si>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</si>
  <si>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</si>
  <si>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</si>
  <si>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</si>
  <si>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</si>
  <si>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</si>
  <si>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</si>
  <si>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</si>
  <si>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</si>
  <si>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</si>
  <si>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</si>
  <si>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</si>
  <si>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</si>
  <si>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</si>
  <si>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</si>
  <si>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</si>
  <si>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</si>
  <si>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</si>
  <si>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</si>
  <si>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</si>
  <si>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</si>
  <si>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</si>
  <si>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</si>
  <si>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</si>
  <si>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</si>
  <si>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</si>
  <si>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</si>
  <si>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</si>
  <si>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</si>
  <si>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</si>
  <si>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</si>
  <si>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</si>
  <si>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</si>
  <si>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</si>
  <si>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</si>
  <si>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</si>
  <si>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</si>
  <si>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</si>
  <si>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</si>
  <si>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</si>
  <si>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</si>
  <si>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</si>
  <si>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</si>
  <si>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</si>
  <si>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</si>
  <si>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</si>
  <si>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</si>
  <si>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</si>
  <si>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</si>
  <si>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</si>
  <si>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</si>
  <si>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</si>
  <si>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</si>
  <si>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</si>
  <si>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</si>
  <si>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</si>
  <si>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</si>
  <si>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</si>
  <si>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</si>
  <si>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</si>
  <si>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</si>
  <si>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</si>
  <si>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</si>
  <si>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</si>
  <si>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</si>
  <si>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</si>
  <si>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</si>
  <si>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</si>
  <si>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</si>
  <si>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</si>
  <si>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</si>
  <si>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</si>
  <si>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</si>
  <si>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</si>
  <si>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</si>
  <si>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</si>
  <si>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</si>
  <si>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</si>
  <si>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</si>
  <si>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</si>
  <si>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</si>
  <si>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</si>
  <si>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</si>
  <si>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</si>
  <si>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</si>
  <si>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</si>
  <si>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</si>
  <si>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</si>
  <si>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</si>
  <si>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</si>
  <si>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</si>
  <si>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</si>
  <si>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</si>
  <si>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</si>
  <si>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</si>
  <si>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</si>
  <si>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</si>
  <si>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</si>
  <si>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</si>
  <si>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</si>
  <si>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</si>
  <si>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</si>
  <si>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</si>
  <si>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</si>
  <si>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</si>
  <si>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</si>
  <si>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</si>
  <si>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</si>
  <si>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</si>
  <si>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</si>
  <si>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</si>
  <si>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</si>
  <si>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</si>
  <si>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</si>
  <si>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</si>
  <si>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</si>
  <si>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</si>
  <si>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</si>
  <si>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</si>
  <si>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</si>
  <si>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</si>
  <si>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</si>
  <si>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</si>
  <si>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</si>
  <si>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</si>
  <si>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</si>
  <si>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</si>
  <si>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</si>
  <si>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</si>
  <si>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</si>
  <si>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</si>
  <si>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</si>
  <si>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</si>
  <si>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</si>
  <si>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</si>
  <si>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</si>
  <si>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</si>
  <si>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</si>
  <si>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</si>
  <si>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</si>
  <si>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</si>
  <si>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</si>
  <si>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</si>
  <si>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</si>
  <si>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</si>
  <si>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</si>
  <si>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</si>
  <si>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</si>
  <si>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</si>
  <si>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</si>
  <si>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</si>
  <si>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</si>
  <si>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</si>
  <si>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</si>
  <si>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</si>
  <si>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</si>
  <si>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</si>
  <si>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</si>
  <si>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</si>
  <si>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</si>
  <si>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</si>
  <si>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</si>
  <si>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</si>
  <si>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</si>
  <si>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</si>
  <si>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</si>
  <si>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</si>
  <si>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</si>
  <si>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</si>
  <si>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</si>
  <si>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</si>
  <si>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</si>
  <si>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</si>
  <si>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</si>
  <si>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</si>
  <si>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</si>
  <si>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</si>
  <si>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</si>
  <si>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</si>
  <si>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</si>
  <si>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</si>
  <si>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</si>
  <si>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</si>
  <si>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</si>
  <si>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</si>
  <si>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</si>
  <si>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</si>
  <si>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</si>
  <si>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</si>
  <si>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</si>
  <si>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</si>
  <si>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</si>
  <si>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</si>
  <si>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</si>
  <si>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</si>
  <si>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</si>
  <si>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</si>
  <si>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</si>
  <si>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</si>
  <si>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</si>
  <si>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</si>
  <si>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</si>
  <si>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</si>
  <si>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</si>
  <si>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</si>
  <si>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</si>
  <si>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</si>
  <si>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</si>
  <si>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</si>
  <si>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</si>
  <si>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</si>
  <si>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</si>
  <si>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</si>
  <si>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</si>
  <si>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</si>
  <si>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</si>
  <si>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</si>
  <si>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</si>
  <si>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</si>
  <si>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</si>
  <si>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</si>
  <si>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</si>
  <si>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</si>
  <si>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</si>
  <si>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</si>
  <si>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</si>
  <si>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</si>
  <si>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</si>
  <si>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</si>
  <si>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</si>
  <si>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</si>
  <si>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</si>
  <si>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</si>
  <si>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</si>
  <si>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</si>
  <si>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</si>
  <si>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</si>
  <si>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</si>
  <si>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</si>
  <si>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</si>
  <si>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</si>
  <si>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</si>
  <si>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</si>
  <si>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</si>
  <si>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</si>
  <si>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</si>
  <si>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</si>
  <si>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</si>
  <si>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</si>
  <si>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</si>
  <si>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</si>
  <si>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</si>
  <si>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</si>
  <si>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</si>
  <si>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</si>
  <si>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</si>
  <si>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</si>
  <si>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</si>
  <si>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</si>
  <si>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</si>
  <si>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</si>
  <si>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</si>
  <si>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</si>
  <si>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</si>
  <si>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</si>
  <si>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</si>
  <si>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</si>
  <si>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</si>
  <si>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</si>
  <si>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</si>
  <si>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</si>
  <si>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</si>
  <si>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</si>
  <si>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</si>
  <si>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</si>
  <si>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</si>
  <si>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</si>
  <si>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</si>
  <si>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</si>
  <si>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</si>
  <si>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</si>
  <si>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</si>
  <si>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</si>
  <si>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</si>
  <si>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</si>
  <si>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</si>
  <si>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</si>
  <si>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</si>
  <si>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</si>
  <si>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</si>
  <si>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</si>
  <si>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</si>
  <si>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</si>
  <si>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</si>
  <si>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</si>
  <si>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</si>
  <si>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</si>
  <si>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</si>
  <si>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</si>
  <si>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</si>
  <si>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</si>
  <si>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</si>
  <si>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</si>
  <si>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</si>
  <si>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</si>
  <si>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</si>
  <si>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</si>
  <si>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</si>
  <si>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</si>
  <si>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</si>
  <si>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</si>
  <si>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</si>
  <si>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</si>
  <si>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</si>
  <si>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</si>
  <si>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</si>
  <si>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</si>
  <si>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</si>
  <si>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</si>
  <si>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</si>
  <si>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</si>
  <si>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</si>
  <si>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</si>
  <si>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</si>
  <si>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</si>
  <si>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</si>
  <si>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</si>
  <si>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</si>
  <si>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</si>
  <si>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</si>
  <si>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</si>
  <si>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</si>
  <si>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</si>
  <si>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</si>
  <si>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</si>
  <si>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</si>
  <si>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</si>
  <si>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</si>
  <si>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</si>
  <si>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</si>
  <si>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</si>
  <si>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</si>
  <si>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</si>
  <si>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</si>
  <si>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</si>
  <si>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</si>
  <si>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</si>
  <si>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</si>
  <si>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</si>
  <si>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</si>
  <si>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</si>
  <si>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</si>
  <si>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</si>
  <si>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</si>
  <si>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</si>
  <si>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</si>
  <si>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</si>
  <si>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</si>
  <si>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</si>
  <si>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</si>
  <si>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</si>
  <si>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</si>
  <si>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</si>
  <si>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</si>
  <si>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</si>
  <si>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</si>
  <si>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</si>
  <si>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</si>
  <si>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</si>
  <si>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</si>
  <si>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</si>
  <si>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</si>
  <si>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</si>
  <si>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</si>
  <si>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</si>
  <si>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</si>
  <si>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</si>
  <si>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</si>
  <si>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</si>
  <si>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</si>
  <si>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</si>
  <si>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</si>
  <si>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</si>
  <si>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</si>
  <si>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</si>
  <si>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</si>
  <si>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</si>
  <si>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</si>
  <si>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</si>
  <si>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</si>
  <si>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</si>
  <si>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</si>
  <si>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</si>
  <si>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</si>
  <si>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</si>
  <si>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</si>
  <si>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</si>
  <si>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</si>
  <si>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</si>
  <si>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</si>
  <si>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</si>
  <si>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</si>
  <si>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</si>
  <si>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</si>
  <si>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</si>
  <si>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</si>
  <si>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</si>
  <si>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</si>
  <si>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</si>
  <si>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</si>
  <si>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</si>
  <si>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</si>
  <si>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</si>
  <si>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</si>
  <si>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</si>
  <si>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</si>
  <si>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</si>
  <si>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</si>
  <si>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</si>
  <si>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</si>
  <si>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</si>
  <si>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</si>
  <si>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</si>
  <si>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</si>
  <si>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</si>
  <si>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</si>
  <si>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</si>
  <si>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</si>
  <si>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</si>
  <si>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</si>
  <si>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</si>
  <si>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</si>
  <si>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</si>
  <si>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</si>
  <si>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</si>
  <si>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</si>
  <si>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</si>
  <si>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</si>
  <si>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</si>
  <si>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</si>
  <si>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</si>
  <si>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</si>
  <si>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</si>
  <si>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</si>
  <si>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</si>
  <si>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</si>
  <si>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</si>
  <si>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</si>
  <si>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</si>
  <si>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</si>
  <si>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</si>
  <si>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</si>
  <si>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</si>
  <si>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</si>
  <si>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</si>
  <si>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</si>
  <si>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</si>
  <si>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</si>
  <si>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</si>
  <si>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</si>
  <si>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</si>
  <si>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</si>
  <si>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</si>
  <si>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</si>
  <si>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</si>
  <si>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</si>
  <si>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</si>
  <si>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</si>
  <si>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</si>
  <si>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</si>
  <si>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</si>
  <si>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</si>
  <si>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</si>
  <si>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</si>
  <si>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</si>
  <si>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</si>
  <si>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</si>
  <si>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</si>
  <si>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</si>
  <si>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</si>
  <si>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</si>
  <si>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</si>
  <si>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</si>
  <si>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</si>
  <si>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</si>
  <si>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</si>
  <si>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</si>
  <si>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</si>
  <si>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</si>
  <si>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</si>
  <si>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</si>
  <si>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</si>
  <si>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</si>
  <si>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</si>
  <si>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</si>
  <si>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</si>
  <si>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</si>
  <si>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</si>
  <si>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</si>
  <si>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</si>
  <si>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</si>
  <si>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</si>
  <si>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</si>
  <si>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</si>
  <si>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</si>
  <si>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</si>
  <si>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</si>
  <si>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</si>
  <si>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</si>
  <si>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</si>
  <si>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</si>
  <si>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</si>
  <si>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</si>
  <si>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</si>
  <si>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</si>
  <si>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</si>
  <si>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</si>
  <si>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</si>
  <si>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</si>
  <si>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</si>
  <si>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</si>
  <si>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</si>
  <si>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</si>
  <si>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</si>
  <si>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</si>
  <si>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</si>
  <si>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</si>
  <si>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</si>
  <si>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</si>
  <si>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</si>
  <si>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</si>
  <si>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</si>
  <si>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</si>
  <si>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</si>
  <si>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</si>
  <si>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</si>
  <si>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</si>
  <si>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</si>
  <si>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</si>
  <si>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</si>
  <si>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</si>
  <si>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</si>
  <si>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</si>
  <si>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</si>
  <si>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</si>
  <si>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</si>
  <si>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</si>
  <si>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</si>
  <si>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</si>
  <si>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</si>
  <si>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</si>
  <si>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</si>
  <si>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</si>
  <si>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</si>
  <si>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</si>
  <si>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</si>
  <si>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</si>
  <si>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</si>
  <si>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</si>
  <si>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</si>
  <si>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</si>
  <si>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</si>
  <si>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</si>
  <si>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</si>
  <si>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</si>
  <si>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</si>
  <si>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</si>
  <si>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</si>
  <si>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</si>
  <si>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</si>
  <si>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</si>
  <si>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</si>
  <si>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</si>
  <si>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</si>
  <si>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</si>
  <si>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</si>
  <si>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</si>
  <si>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</si>
  <si>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</si>
  <si>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</si>
  <si>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</si>
  <si>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</si>
  <si>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</si>
  <si>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</si>
  <si>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</si>
  <si>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</si>
  <si>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</si>
  <si>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</si>
  <si>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</si>
  <si>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</si>
  <si>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</si>
  <si>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</si>
  <si>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</si>
  <si>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</si>
  <si>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</si>
  <si>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</si>
  <si>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</si>
  <si>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</si>
  <si>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</si>
  <si>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</si>
  <si>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</si>
  <si>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</si>
  <si>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</si>
  <si>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</si>
  <si>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</si>
  <si>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</si>
  <si>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</si>
  <si>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</si>
  <si>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</si>
  <si>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</si>
  <si>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</si>
  <si>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</si>
  <si>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</si>
  <si>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</si>
  <si>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</si>
  <si>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</si>
  <si>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</si>
  <si>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</si>
  <si>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</si>
  <si>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</si>
  <si>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</si>
  <si>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</si>
  <si>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</si>
  <si>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</si>
  <si>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</si>
  <si>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</si>
  <si>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</si>
  <si>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</si>
  <si>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</si>
  <si>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</si>
  <si>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</si>
  <si>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</si>
  <si>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</si>
  <si>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</si>
  <si>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</si>
  <si>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</si>
  <si>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</si>
  <si>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</si>
  <si>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</si>
  <si>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</si>
  <si>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</si>
  <si>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</si>
  <si>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</si>
  <si>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</si>
  <si>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</si>
  <si>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</si>
  <si>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</si>
  <si>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</si>
  <si>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</si>
  <si>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</si>
  <si>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</si>
  <si>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</si>
  <si>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</si>
  <si>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</si>
  <si>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</si>
  <si>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</si>
  <si>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</si>
  <si>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</si>
  <si>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</si>
  <si>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</si>
  <si>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</si>
  <si>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</si>
  <si>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</si>
  <si>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</si>
  <si>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</si>
  <si>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</si>
  <si>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</si>
  <si>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</si>
  <si>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</si>
  <si>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</si>
  <si>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</si>
  <si>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</si>
  <si>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</si>
  <si>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</si>
  <si>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</si>
  <si>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</si>
  <si>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</si>
  <si>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</si>
  <si>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</si>
  <si>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</si>
  <si>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</si>
  <si>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</si>
  <si>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</si>
  <si>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</si>
  <si>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</si>
  <si>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</si>
  <si>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</si>
  <si>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</si>
  <si>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</si>
  <si>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</si>
  <si>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</si>
  <si>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</si>
  <si>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</si>
  <si>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</si>
  <si>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</si>
  <si>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</si>
  <si>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</si>
  <si>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</si>
  <si>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</si>
  <si>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</si>
  <si>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</si>
  <si>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</si>
  <si>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</si>
  <si>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</si>
  <si>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</si>
  <si>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</si>
  <si>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</si>
  <si>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</si>
  <si>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</si>
  <si>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</si>
  <si>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</si>
  <si>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</si>
  <si>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</si>
  <si>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</si>
  <si>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</si>
  <si>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</si>
  <si>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</si>
  <si>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</si>
  <si>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</si>
  <si>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</si>
  <si>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</si>
  <si>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</si>
  <si>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</si>
  <si>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</si>
  <si>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</si>
  <si>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</si>
  <si>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</si>
  <si>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</si>
  <si>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</si>
  <si>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</si>
  <si>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</si>
  <si>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</si>
  <si>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</si>
  <si>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</si>
  <si>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</si>
  <si>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</si>
  <si>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</si>
  <si>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</si>
  <si>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</si>
  <si>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</si>
  <si>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</si>
  <si>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</si>
  <si>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</si>
  <si>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</si>
  <si>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</si>
  <si>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</si>
  <si>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</si>
  <si>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</si>
  <si>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</si>
  <si>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</si>
  <si>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</si>
  <si>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</si>
  <si>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</si>
  <si>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</si>
  <si>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</si>
  <si>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</si>
  <si>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</si>
  <si>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</si>
  <si>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</si>
  <si>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</si>
  <si>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</si>
  <si>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</si>
  <si>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</si>
  <si>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</si>
  <si>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</si>
  <si>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</si>
  <si>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</si>
  <si>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</si>
  <si>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</si>
  <si>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</si>
  <si>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</si>
  <si>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</si>
  <si>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</si>
  <si>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</si>
  <si>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</si>
  <si>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</si>
  <si>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</si>
  <si>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</si>
  <si>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</si>
  <si>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</si>
  <si>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</si>
  <si>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</si>
  <si>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</si>
  <si>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</si>
  <si>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</si>
  <si>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</si>
  <si>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</si>
  <si>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</si>
  <si>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</si>
  <si>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</si>
  <si>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</si>
  <si>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</si>
  <si>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</si>
  <si>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</si>
  <si>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</si>
  <si>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</si>
  <si>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</si>
  <si>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</si>
  <si>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</si>
  <si>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</si>
  <si>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</si>
  <si>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</si>
  <si>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</si>
  <si>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</si>
  <si>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</si>
  <si>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</si>
  <si>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</si>
  <si>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</si>
  <si>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</si>
  <si>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</si>
  <si>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</si>
  <si>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</si>
  <si>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</si>
  <si>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</si>
  <si>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</si>
  <si>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</si>
  <si>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</si>
  <si>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</si>
  <si>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</si>
  <si>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</si>
  <si>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</si>
  <si>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</si>
  <si>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</si>
  <si>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</si>
  <si>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</si>
  <si>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</si>
  <si>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</si>
  <si>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</si>
  <si>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</si>
  <si>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</si>
  <si>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</si>
  <si>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</si>
  <si>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</si>
  <si>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</si>
  <si>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</si>
  <si>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</si>
  <si>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</si>
  <si>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</si>
  <si>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</si>
  <si>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</si>
  <si>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</si>
  <si>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</si>
  <si>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</si>
  <si>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</si>
  <si>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</si>
  <si>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</si>
  <si>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</si>
  <si>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</si>
  <si>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</si>
  <si>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</si>
  <si>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</si>
  <si>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</si>
  <si>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</si>
  <si>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</si>
  <si>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</si>
  <si>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</si>
  <si>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</si>
  <si>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</si>
  <si>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</si>
  <si>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</si>
  <si>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</si>
  <si>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</si>
  <si>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</si>
  <si>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</si>
  <si>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</si>
  <si>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</si>
  <si>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</si>
  <si>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</si>
  <si>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</si>
  <si>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</si>
  <si>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</si>
  <si>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</si>
  <si>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</si>
  <si>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</si>
  <si>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</si>
  <si>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</si>
  <si>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</si>
  <si>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</si>
  <si>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</si>
  <si>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</si>
  <si>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</si>
  <si>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</si>
  <si>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</si>
  <si>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</si>
  <si>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</si>
  <si>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</si>
  <si>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</si>
  <si>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</si>
  <si>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</si>
  <si>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</si>
  <si>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</si>
  <si>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</si>
  <si>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</si>
  <si>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</si>
  <si>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</si>
  <si>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</si>
  <si>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</si>
  <si>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</si>
  <si>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</si>
  <si>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</si>
  <si>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</si>
  <si>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</si>
  <si>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</si>
  <si>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</si>
  <si>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</si>
  <si>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</si>
  <si>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</si>
  <si>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</si>
  <si>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</si>
  <si>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</si>
  <si>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</si>
  <si>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</si>
  <si>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</si>
  <si>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</si>
  <si>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</si>
  <si>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</si>
  <si>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</si>
  <si>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</si>
  <si>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</si>
  <si>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</si>
  <si>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</si>
  <si>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</si>
  <si>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</si>
  <si>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</si>
  <si>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</si>
  <si>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</si>
  <si>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</si>
  <si>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</si>
  <si>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</si>
  <si>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</si>
  <si>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</si>
  <si>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</si>
  <si>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</si>
  <si>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</si>
  <si>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</si>
  <si>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</si>
  <si>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</si>
  <si>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</si>
  <si>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</si>
  <si>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</si>
  <si>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</si>
  <si>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</si>
  <si>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</si>
  <si>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</si>
  <si>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</si>
  <si>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</si>
  <si>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</si>
  <si>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</si>
  <si>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</si>
  <si>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</si>
  <si>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</si>
  <si>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</si>
  <si>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</si>
  <si>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</si>
  <si>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</si>
  <si>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</si>
  <si>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</si>
  <si>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</si>
  <si>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</si>
  <si>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</si>
  <si>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</si>
  <si>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</si>
  <si>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</si>
  <si>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</si>
  <si>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</si>
  <si>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</si>
  <si>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</si>
  <si>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</si>
  <si>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</si>
  <si>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</si>
  <si>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</si>
  <si>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</si>
  <si>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</si>
  <si>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</si>
  <si>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</si>
  <si>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</si>
  <si>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</si>
  <si>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</si>
  <si>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</si>
  <si>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</si>
  <si>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</si>
  <si>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</si>
  <si>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</si>
  <si>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</si>
  <si>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</si>
  <si>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</si>
  <si>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</si>
  <si>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</si>
  <si>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</si>
  <si>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</si>
  <si>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</si>
  <si>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</si>
  <si>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</si>
  <si>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</si>
  <si>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</si>
  <si>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</si>
  <si>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</si>
  <si>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</si>
  <si>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</si>
  <si>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</si>
  <si>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</si>
  <si>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</si>
  <si>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</si>
  <si>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</si>
  <si>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</si>
  <si>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</si>
  <si>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</si>
  <si>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</si>
  <si>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</si>
  <si>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</si>
  <si>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</si>
  <si>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</si>
  <si>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</si>
  <si>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</si>
  <si>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</si>
  <si>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</si>
  <si>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</si>
  <si>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</si>
  <si>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</si>
  <si>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</si>
  <si>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</si>
  <si>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</si>
  <si>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</si>
  <si>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</si>
  <si>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</si>
  <si>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</si>
  <si>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</si>
  <si>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</si>
  <si>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</si>
  <si>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</si>
  <si>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</si>
  <si>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</si>
  <si>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</si>
  <si>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</si>
  <si>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</si>
  <si>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</si>
  <si>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</si>
  <si>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</si>
  <si>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</si>
  <si>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</si>
  <si>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</si>
  <si>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</si>
  <si>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</si>
  <si>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</si>
  <si>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</si>
  <si>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</si>
  <si>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</si>
  <si>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</si>
  <si>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</si>
  <si>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</si>
  <si>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</si>
  <si>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</si>
  <si>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</si>
  <si>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</si>
  <si>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</si>
  <si>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</si>
  <si>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</si>
  <si>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</si>
  <si>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</si>
  <si>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</si>
  <si>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</si>
  <si>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</si>
  <si>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</si>
  <si>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</si>
  <si>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</si>
  <si>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</si>
  <si>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</si>
  <si>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</si>
  <si>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</si>
  <si>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</si>
  <si>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</si>
  <si>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</si>
  <si>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</si>
  <si>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</si>
  <si>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</si>
  <si>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</si>
  <si>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</si>
  <si>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</si>
  <si>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</si>
  <si>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</si>
  <si>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</si>
  <si>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</si>
  <si>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</si>
  <si>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</si>
  <si>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</si>
  <si>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</si>
  <si>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</si>
  <si>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</si>
  <si>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</si>
  <si>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</si>
  <si>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</si>
  <si>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</si>
  <si>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</si>
  <si>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</si>
  <si>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</si>
  <si>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</si>
  <si>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</si>
  <si>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</si>
  <si>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</si>
  <si>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</si>
  <si>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</si>
  <si>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</si>
  <si>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</si>
  <si>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</si>
  <si>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</si>
  <si>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</si>
  <si>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</si>
  <si>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</si>
  <si>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</si>
  <si>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</si>
  <si>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</si>
  <si>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</si>
  <si>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</si>
  <si>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</si>
  <si>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</si>
  <si>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</si>
  <si>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</si>
  <si>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</si>
  <si>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</si>
  <si>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</si>
  <si>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</si>
  <si>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</si>
  <si>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</si>
  <si>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</si>
  <si>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</si>
  <si>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</si>
  <si>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</si>
  <si>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</si>
  <si>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</si>
  <si>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</si>
  <si>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</si>
  <si>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</si>
  <si>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</si>
  <si>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</si>
  <si>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</si>
  <si>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</si>
  <si>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</si>
  <si>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</si>
  <si>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</si>
  <si>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</si>
  <si>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</si>
  <si>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</si>
  <si>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</si>
  <si>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</si>
  <si>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</si>
  <si>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</si>
  <si>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</si>
  <si>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</si>
  <si>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</si>
  <si>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</si>
  <si>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</si>
  <si>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</si>
  <si>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</si>
  <si>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</si>
  <si>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</si>
  <si>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</si>
  <si>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</si>
  <si>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</si>
  <si>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</si>
  <si>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</si>
  <si>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</si>
  <si>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</si>
  <si>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</si>
  <si>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</si>
  <si>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</si>
  <si>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</si>
  <si>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</si>
  <si>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</si>
  <si>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</si>
  <si>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</si>
  <si>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</si>
  <si>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</si>
  <si>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</si>
  <si>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</si>
  <si>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</si>
  <si>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</si>
  <si>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</si>
  <si>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</si>
  <si>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</si>
  <si>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</si>
  <si>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</si>
  <si>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</si>
  <si>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</si>
  <si>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</si>
  <si>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</si>
  <si>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</si>
  <si>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</si>
  <si>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</si>
  <si>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</si>
  <si>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</si>
  <si>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</si>
  <si>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</si>
  <si>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</si>
  <si>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</si>
  <si>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</si>
  <si>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</si>
  <si>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</si>
  <si>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</si>
  <si>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</si>
  <si>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</si>
  <si>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</si>
  <si>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</si>
  <si>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</si>
  <si>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</si>
  <si>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</si>
  <si>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</si>
  <si>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</si>
  <si>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</si>
  <si>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</si>
  <si>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</si>
  <si>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</si>
  <si>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</si>
  <si>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</si>
  <si>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</si>
  <si>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</si>
  <si>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</si>
  <si>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</si>
  <si>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</si>
  <si>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</si>
  <si>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</si>
  <si>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</si>
  <si>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</si>
  <si>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</si>
  <si>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</si>
  <si>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</si>
  <si>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</si>
  <si>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</si>
  <si>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</si>
  <si>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</si>
  <si>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</si>
  <si>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</si>
  <si>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</si>
  <si>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</si>
  <si>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</si>
  <si>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</si>
  <si>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</si>
  <si>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</si>
  <si>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</si>
  <si>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</si>
  <si>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</si>
  <si>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</si>
  <si>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</si>
  <si>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</si>
  <si>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</si>
  <si>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</si>
  <si>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</si>
  <si>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</si>
  <si>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</si>
  <si>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</si>
  <si>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</si>
  <si>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</si>
  <si>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</si>
  <si>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</si>
  <si>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</si>
  <si>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</si>
  <si>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</si>
  <si>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</si>
  <si>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</si>
  <si>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</si>
  <si>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</si>
  <si>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</si>
  <si>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</si>
  <si>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</si>
  <si>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</si>
  <si>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</si>
  <si>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</si>
  <si>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</si>
  <si>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</si>
  <si>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</si>
  <si>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</si>
  <si>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</si>
  <si>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</si>
  <si>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</si>
  <si>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</si>
  <si>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</si>
  <si>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</si>
  <si>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</si>
  <si>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</si>
  <si>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</si>
  <si>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</si>
  <si>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</si>
  <si>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</si>
  <si>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</si>
  <si>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</si>
  <si>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</si>
  <si>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</si>
  <si>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</si>
  <si>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</si>
  <si>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</si>
  <si>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</si>
  <si>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</si>
  <si>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</si>
  <si>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</si>
  <si>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</si>
  <si>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</si>
  <si>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</si>
  <si>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</si>
  <si>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</si>
  <si>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</si>
  <si>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</si>
  <si>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</si>
  <si>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</si>
  <si>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</si>
  <si>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</si>
  <si>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</si>
  <si>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</si>
  <si>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</si>
  <si>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</si>
  <si>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</si>
  <si>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</si>
  <si>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</si>
  <si>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</si>
  <si>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</si>
  <si>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</si>
  <si>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</si>
  <si>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</si>
  <si>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</si>
  <si>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</si>
  <si>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</si>
  <si>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</si>
  <si>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</si>
  <si>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</si>
  <si>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</si>
  <si>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</si>
  <si>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</si>
  <si>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</si>
  <si>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</si>
  <si>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</si>
  <si>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</si>
  <si>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</si>
  <si>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</si>
  <si>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</si>
  <si>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</si>
  <si>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</si>
  <si>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</si>
  <si>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</si>
  <si>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</si>
  <si>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</si>
  <si>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</si>
  <si>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</si>
  <si>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</si>
  <si>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</si>
  <si>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</si>
  <si>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</si>
  <si>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</si>
  <si>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</si>
  <si>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</si>
  <si>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</si>
  <si>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</si>
  <si>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</si>
  <si>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</si>
  <si>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</si>
  <si>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</si>
  <si>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</si>
  <si>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</si>
  <si>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</si>
  <si>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</si>
  <si>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</si>
  <si>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</si>
  <si>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</si>
  <si>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</si>
  <si>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</si>
  <si>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</si>
  <si>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</si>
  <si>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</si>
  <si>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</si>
  <si>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</si>
  <si>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</si>
  <si>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</si>
  <si>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</si>
  <si>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</si>
  <si>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</si>
  <si>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</si>
  <si>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</si>
  <si>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</si>
  <si>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</si>
  <si>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</si>
  <si>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</si>
  <si>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</si>
  <si>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</si>
  <si>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</si>
  <si>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</si>
  <si>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</si>
  <si>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</si>
  <si>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</si>
  <si>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</si>
  <si>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</si>
  <si>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</si>
  <si>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</si>
  <si>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</si>
  <si>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</si>
  <si>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</si>
  <si>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</si>
  <si>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</si>
  <si>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</si>
  <si>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</si>
  <si>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</si>
  <si>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</si>
  <si>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</si>
  <si>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</si>
  <si>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</si>
  <si>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</si>
  <si>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</si>
  <si>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</si>
  <si>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</si>
  <si>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</si>
  <si>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</si>
  <si>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</si>
  <si>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</si>
  <si>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</si>
  <si>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</si>
  <si>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</si>
  <si>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</si>
  <si>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</si>
  <si>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</si>
  <si>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</si>
  <si>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</si>
  <si>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</si>
  <si>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</si>
  <si>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</si>
  <si>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</si>
  <si>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</si>
  <si>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</si>
  <si>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</si>
  <si>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</si>
  <si>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</si>
  <si>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</si>
  <si>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</si>
  <si>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</si>
  <si>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</si>
  <si>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</si>
  <si>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</si>
  <si>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</si>
  <si>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</si>
  <si>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</si>
  <si>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</si>
  <si>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</si>
  <si>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</si>
  <si>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</si>
  <si>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</si>
  <si>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</si>
  <si>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</si>
  <si>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</si>
  <si>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</si>
  <si>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</si>
  <si>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</si>
  <si>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</si>
  <si>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</si>
  <si>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</si>
  <si>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</si>
  <si>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</si>
  <si>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</si>
  <si>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</si>
  <si>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</si>
  <si>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</si>
  <si>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</si>
  <si>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</si>
  <si>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</si>
  <si>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</si>
  <si>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</si>
  <si>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</si>
  <si>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</si>
  <si>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</si>
  <si>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</si>
  <si>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</si>
  <si>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</si>
  <si>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</si>
  <si>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</si>
  <si>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</si>
  <si>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</si>
  <si>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</si>
  <si>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</si>
  <si>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</si>
  <si>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</si>
  <si>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</si>
  <si>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</si>
  <si>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</si>
  <si>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</si>
  <si>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</si>
  <si>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</si>
  <si>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</si>
  <si>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</si>
  <si>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</si>
  <si>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</si>
  <si>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</si>
  <si>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</si>
  <si>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</si>
  <si>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</si>
  <si>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</si>
  <si>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</si>
  <si>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</si>
  <si>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</si>
  <si>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</si>
  <si>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</si>
  <si>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</si>
  <si>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</si>
  <si>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</si>
  <si>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</si>
  <si>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</si>
  <si>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</si>
  <si>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</si>
  <si>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</si>
  <si>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</si>
  <si>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</si>
  <si>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</si>
  <si>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</si>
  <si>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</si>
  <si>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</si>
  <si>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</si>
  <si>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</si>
  <si>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</si>
  <si>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</si>
  <si>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</si>
  <si>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</si>
  <si>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</si>
  <si>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</si>
  <si>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</si>
  <si>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</si>
  <si>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</si>
  <si>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</si>
  <si>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</si>
  <si>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</si>
  <si>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</si>
  <si>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</si>
  <si>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</si>
  <si>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</si>
  <si>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</si>
  <si>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</si>
  <si>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</si>
  <si>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</si>
  <si>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</si>
  <si>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</si>
  <si>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</si>
  <si>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</si>
  <si>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</si>
  <si>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</si>
  <si>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</si>
  <si>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</si>
  <si>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</si>
  <si>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</si>
  <si>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</si>
  <si>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</si>
  <si>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</si>
  <si>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</si>
  <si>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</si>
  <si>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</si>
  <si>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</si>
  <si>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</si>
  <si>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</si>
  <si>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</si>
  <si>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</si>
  <si>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</si>
  <si>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</si>
  <si>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</si>
  <si>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</si>
  <si>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</si>
  <si>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</si>
  <si>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</si>
  <si>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</si>
  <si>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</si>
  <si>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</si>
  <si>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</si>
  <si>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</si>
  <si>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</si>
  <si>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</si>
  <si>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</si>
  <si>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</si>
  <si>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</si>
  <si>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</si>
  <si>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</si>
  <si>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</si>
  <si>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</si>
  <si>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</si>
  <si>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</si>
  <si>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</si>
  <si>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</si>
  <si>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</si>
  <si>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</si>
  <si>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</si>
  <si>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</si>
  <si>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</si>
  <si>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</si>
  <si>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</si>
  <si>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</si>
  <si>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</si>
  <si>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</si>
  <si>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</si>
  <si>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</si>
  <si>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</si>
  <si>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</si>
  <si>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</si>
  <si>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</si>
  <si>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</si>
  <si>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</si>
  <si>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</si>
  <si>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</si>
  <si>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</si>
  <si>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</si>
  <si>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</si>
  <si>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</si>
  <si>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</si>
  <si>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</si>
  <si>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</si>
  <si>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</si>
  <si>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</si>
  <si>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</si>
  <si>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</si>
  <si>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</si>
  <si>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</si>
  <si>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</si>
  <si>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</si>
  <si>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</si>
  <si>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</si>
  <si>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</si>
  <si>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</si>
  <si>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</si>
  <si>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</si>
  <si>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</si>
  <si>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</si>
  <si>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</si>
  <si>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</si>
  <si>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</si>
  <si>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</si>
  <si>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</si>
  <si>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</si>
  <si>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</si>
  <si>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</si>
  <si>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</si>
  <si>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</si>
  <si>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</si>
  <si>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</si>
  <si>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</si>
  <si>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</si>
  <si>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</si>
  <si>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</si>
  <si>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</si>
  <si>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</si>
  <si>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</si>
  <si>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</si>
  <si>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</si>
  <si>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</si>
  <si>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</si>
  <si>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</si>
  <si>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</si>
  <si>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</si>
  <si>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</si>
  <si>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</si>
  <si>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</si>
  <si>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</si>
  <si>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</si>
  <si>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</si>
  <si>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</si>
  <si>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</si>
  <si>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</si>
  <si>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</si>
  <si>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</si>
  <si>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</si>
  <si>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</si>
  <si>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</si>
  <si>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</si>
  <si>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</si>
  <si>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</si>
  <si>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</si>
  <si>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</si>
  <si>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</si>
  <si>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</si>
  <si>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</si>
  <si>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</si>
  <si>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</si>
  <si>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</si>
  <si>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</si>
  <si>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</si>
  <si>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</si>
  <si>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</si>
  <si>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</si>
  <si>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</si>
  <si>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</si>
  <si>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</si>
  <si>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</si>
  <si>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</si>
  <si>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</si>
  <si>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</si>
  <si>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</si>
  <si>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</si>
  <si>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</si>
  <si>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</si>
  <si>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</si>
  <si>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</si>
  <si>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</si>
  <si>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</si>
  <si>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</si>
  <si>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</si>
  <si>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</si>
  <si>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</si>
  <si>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</si>
  <si>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</si>
  <si>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</si>
  <si>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</si>
  <si>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</si>
  <si>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</si>
  <si>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</si>
  <si>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</si>
  <si>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</si>
  <si>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</si>
  <si>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</si>
  <si>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</si>
  <si>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</si>
  <si>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</si>
  <si>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</si>
  <si>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</si>
  <si>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</si>
  <si>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</si>
  <si>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</si>
  <si>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</si>
  <si>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</si>
  <si>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</si>
  <si>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</si>
  <si>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</si>
  <si>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</si>
  <si>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</si>
  <si>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</si>
  <si>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</si>
  <si>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</si>
  <si>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</si>
  <si>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</si>
  <si>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</si>
  <si>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</si>
  <si>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</si>
  <si>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</si>
  <si>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</si>
  <si>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</si>
  <si>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</si>
  <si>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</si>
  <si>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</si>
  <si>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</si>
  <si>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</si>
  <si>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</si>
  <si>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</si>
  <si>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</si>
  <si>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</si>
  <si>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</si>
  <si>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</si>
  <si>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</si>
  <si>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</si>
  <si>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</si>
  <si>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</si>
  <si>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</si>
  <si>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</si>
  <si>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</si>
  <si>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</si>
  <si>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</si>
  <si>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</si>
  <si>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</si>
  <si>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</si>
  <si>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</si>
  <si>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</si>
  <si>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</si>
  <si>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</si>
  <si>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</si>
  <si>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</si>
  <si>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</si>
  <si>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</si>
  <si>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</si>
  <si>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</si>
  <si>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</si>
  <si>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</si>
  <si>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</si>
  <si>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</si>
  <si>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</si>
  <si>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</si>
  <si>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</si>
  <si>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</si>
  <si>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</si>
  <si>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</si>
  <si>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</si>
  <si>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</si>
  <si>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</si>
  <si>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</si>
  <si>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</si>
  <si>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</si>
  <si>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</si>
  <si>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</si>
  <si>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</si>
  <si>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</si>
  <si>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</si>
  <si>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</si>
  <si>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</si>
  <si>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</si>
  <si>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</si>
  <si>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</si>
  <si>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</si>
  <si>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</si>
  <si>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</si>
  <si>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</si>
  <si>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</si>
  <si>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</si>
  <si>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</si>
  <si>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</si>
  <si>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</si>
  <si>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</si>
  <si>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</si>
  <si>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</si>
  <si>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</si>
  <si>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</si>
  <si>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</si>
  <si>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</si>
  <si>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</si>
  <si>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</si>
  <si>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</si>
  <si>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</si>
  <si>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</si>
  <si>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</si>
  <si>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</si>
  <si>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</si>
  <si>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</si>
  <si>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</si>
  <si>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</si>
  <si>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</si>
  <si>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</si>
  <si>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</si>
  <si>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</si>
  <si>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</si>
  <si>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</si>
  <si>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</si>
  <si>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</si>
  <si>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</si>
  <si>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</si>
  <si>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</si>
  <si>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</si>
  <si>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</si>
  <si>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</si>
  <si>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</si>
  <si>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</si>
  <si>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</si>
  <si>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</si>
  <si>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</si>
  <si>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</si>
  <si>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</si>
  <si>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</si>
  <si>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</si>
  <si>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</si>
  <si>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</si>
  <si>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</si>
  <si>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</si>
  <si>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</si>
  <si>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</si>
  <si>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</si>
  <si>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</si>
  <si>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</si>
  <si>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</si>
  <si>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</si>
  <si>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</si>
  <si>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</si>
  <si>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</si>
  <si>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</si>
  <si>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</si>
  <si>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</si>
  <si>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</si>
  <si>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</si>
  <si>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</si>
  <si>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</si>
  <si>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</si>
  <si>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</si>
  <si>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</si>
  <si>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</si>
  <si>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</si>
  <si>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</si>
  <si>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</si>
  <si>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</si>
  <si>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</si>
  <si>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</si>
  <si>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</si>
  <si>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</si>
  <si>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</si>
  <si>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</si>
  <si>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</si>
  <si>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</si>
  <si>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</si>
  <si>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</si>
  <si>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</si>
  <si>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</si>
  <si>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</si>
  <si>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</si>
  <si>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</si>
  <si>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</si>
  <si>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</si>
  <si>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</si>
  <si>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</si>
  <si>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</si>
  <si>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</si>
  <si>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</si>
  <si>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</si>
  <si>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</si>
  <si>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</si>
  <si>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</si>
  <si>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</si>
  <si>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</si>
  <si>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</si>
  <si>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</si>
  <si>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</si>
  <si>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</si>
  <si>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</si>
  <si>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</si>
  <si>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</si>
  <si>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</si>
  <si>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</si>
  <si>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</si>
  <si>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</si>
  <si>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</si>
  <si>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</si>
  <si>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</si>
  <si>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</si>
  <si>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</si>
  <si>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</si>
  <si>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</si>
  <si>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</si>
  <si>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</si>
  <si>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</si>
  <si>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</si>
  <si>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</si>
  <si>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</si>
  <si>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</si>
  <si>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</si>
  <si>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</si>
  <si>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</si>
  <si>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</si>
  <si>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</si>
  <si>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</si>
  <si>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</si>
  <si>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</si>
  <si>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</si>
  <si>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</si>
  <si>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</si>
  <si>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</si>
  <si>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</si>
  <si>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</si>
  <si>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</si>
  <si>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</si>
  <si>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</si>
  <si>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</si>
  <si>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</si>
  <si>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</si>
  <si>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</si>
  <si>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</si>
  <si>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</si>
  <si>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</si>
  <si>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</si>
  <si>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</si>
  <si>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</si>
  <si>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</si>
  <si>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</si>
  <si>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</si>
  <si>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</si>
  <si>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</si>
  <si>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</si>
  <si>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</si>
  <si>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</si>
  <si>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</si>
  <si>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</si>
  <si>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</si>
  <si>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</si>
  <si>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</si>
  <si>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</si>
  <si>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</si>
  <si>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</si>
  <si>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</si>
  <si>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</si>
  <si>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</si>
  <si>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</si>
  <si>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</si>
  <si>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</si>
  <si>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</si>
  <si>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</si>
  <si>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</si>
  <si>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</si>
  <si>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</si>
  <si>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</si>
  <si>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</si>
  <si>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</si>
  <si>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</si>
  <si>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</si>
  <si>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</si>
  <si>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</si>
  <si>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</si>
  <si>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</si>
  <si>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</si>
  <si>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</si>
  <si>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</si>
  <si>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</si>
  <si>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</si>
  <si>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</si>
  <si>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</si>
  <si>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</si>
  <si>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</si>
  <si>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</si>
  <si>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</si>
  <si>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</si>
  <si>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</si>
  <si>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</si>
  <si>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</si>
  <si>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</si>
  <si>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</si>
  <si>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</si>
  <si>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</si>
  <si>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</si>
  <si>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</si>
  <si>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</si>
  <si>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</si>
  <si>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</si>
  <si>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</si>
  <si>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</si>
  <si>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</si>
  <si>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</si>
  <si>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</si>
  <si>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</si>
  <si>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</si>
  <si>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</si>
  <si>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</si>
  <si>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</si>
  <si>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</si>
  <si>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</si>
  <si>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</si>
  <si>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</si>
  <si>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</si>
  <si>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</si>
  <si>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</si>
  <si>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</si>
  <si>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</si>
  <si>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</si>
  <si>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</si>
  <si>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</si>
  <si>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</si>
  <si>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</si>
  <si>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</si>
  <si>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</si>
  <si>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</si>
  <si>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</si>
  <si>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</si>
  <si>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</si>
  <si>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</si>
  <si>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</si>
  <si>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</si>
  <si>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</si>
  <si>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</si>
  <si>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</si>
  <si>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</si>
  <si>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</si>
  <si>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</si>
  <si>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</si>
  <si>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</si>
  <si>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</si>
  <si>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</si>
  <si>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</si>
  <si>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</si>
  <si>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</si>
  <si>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</si>
  <si>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</si>
  <si>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</si>
  <si>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</si>
  <si>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</si>
  <si>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</si>
  <si>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</si>
  <si>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</si>
  <si>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</si>
  <si>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</si>
  <si>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</si>
  <si>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</si>
  <si>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</si>
  <si>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</si>
  <si>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</si>
  <si>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</si>
  <si>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</si>
  <si>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</si>
  <si>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</si>
  <si>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</si>
  <si>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</si>
  <si>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</si>
  <si>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</si>
  <si>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</si>
  <si>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</si>
  <si>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</si>
  <si>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</si>
  <si>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</si>
  <si>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</si>
  <si>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</si>
  <si>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</si>
  <si>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</si>
  <si>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</si>
  <si>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</si>
  <si>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</si>
  <si>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</si>
  <si>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</si>
  <si>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</si>
  <si>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</si>
  <si>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</si>
  <si>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</si>
  <si>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</si>
  <si>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</si>
  <si>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</si>
  <si>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</si>
  <si>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</si>
  <si>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</si>
  <si>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</si>
  <si>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</si>
  <si>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</si>
  <si>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</si>
  <si>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</si>
  <si>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</si>
  <si>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</si>
  <si>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</si>
  <si>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</si>
  <si>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</si>
  <si>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</si>
  <si>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</si>
  <si>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</si>
  <si>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</si>
  <si>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</si>
  <si>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</si>
  <si>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</si>
  <si>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</si>
  <si>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</si>
  <si>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</si>
  <si>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</si>
  <si>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</si>
  <si>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</si>
  <si>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</si>
  <si>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</si>
  <si>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</si>
  <si>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</si>
  <si>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</si>
  <si>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</si>
  <si>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</si>
  <si>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</si>
  <si>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</si>
  <si>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</si>
  <si>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</si>
  <si>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</si>
  <si>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</si>
  <si>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</si>
  <si>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</si>
  <si>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</si>
  <si>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</si>
  <si>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</si>
  <si>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</si>
  <si>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</si>
  <si>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</si>
  <si>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</si>
  <si>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</si>
  <si>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</si>
  <si>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</si>
  <si>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</si>
  <si>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</si>
  <si>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</si>
  <si>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</si>
  <si>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</si>
  <si>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</si>
  <si>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</si>
  <si>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</si>
  <si>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</si>
  <si>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</si>
  <si>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</si>
  <si>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</si>
  <si>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</si>
  <si>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</si>
  <si>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</si>
  <si>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</si>
  <si>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</si>
  <si>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</si>
  <si>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</si>
  <si>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</si>
  <si>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</si>
  <si>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</si>
  <si>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</si>
  <si>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</si>
  <si>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</si>
  <si>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</si>
  <si>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</si>
  <si>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</si>
  <si>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</si>
  <si>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</si>
  <si>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</si>
  <si>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</si>
  <si>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</si>
  <si>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</si>
  <si>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</si>
  <si>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</si>
  <si>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</si>
  <si>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</si>
  <si>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</si>
  <si>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</si>
  <si>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</si>
  <si>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</si>
  <si>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</si>
  <si>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</si>
  <si>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</si>
  <si>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</si>
  <si>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</si>
  <si>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</si>
  <si>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</si>
  <si>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</si>
  <si>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</si>
  <si>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</si>
  <si>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</si>
  <si>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</si>
  <si>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</si>
  <si>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</si>
  <si>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</si>
  <si>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</si>
  <si>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</si>
  <si>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</si>
  <si>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</si>
  <si>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</si>
  <si>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</si>
  <si>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</si>
  <si>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</si>
  <si>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</si>
  <si>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</si>
  <si>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</si>
  <si>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</si>
  <si>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</si>
  <si>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</si>
  <si>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</si>
  <si>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</si>
  <si>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</si>
  <si>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</si>
  <si>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</si>
  <si>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</si>
  <si>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</si>
  <si>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</si>
  <si>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</si>
  <si>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</si>
  <si>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</si>
  <si>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</si>
  <si>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</si>
  <si>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</si>
  <si>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</si>
  <si>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</si>
  <si>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</si>
  <si>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</si>
  <si>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</si>
  <si>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</si>
  <si>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</si>
  <si>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</si>
  <si>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</si>
  <si>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</si>
  <si>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</si>
  <si>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</si>
  <si>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</si>
  <si>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</si>
  <si>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</si>
  <si>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</si>
  <si>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</si>
  <si>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</si>
  <si>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</si>
  <si>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</si>
  <si>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</si>
  <si>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</si>
  <si>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</si>
  <si>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</si>
  <si>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</si>
  <si>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</si>
  <si>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</si>
  <si>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</si>
  <si>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</si>
  <si>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</si>
  <si>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</si>
  <si>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</si>
  <si>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</si>
  <si>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</si>
  <si>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</si>
  <si>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</si>
  <si>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</si>
  <si>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</si>
  <si>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</si>
  <si>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</si>
  <si>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</si>
  <si>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</si>
  <si>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</si>
  <si>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</si>
  <si>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</si>
  <si>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</si>
  <si>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</si>
  <si>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</si>
  <si>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</si>
  <si>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</si>
  <si>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</si>
  <si>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</si>
  <si>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</si>
  <si>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</si>
  <si>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</si>
  <si>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</si>
  <si>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</si>
  <si>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</si>
  <si>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</si>
  <si>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</si>
  <si>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</si>
  <si>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</si>
  <si>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</si>
  <si>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</si>
  <si>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</si>
  <si>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</si>
  <si>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</si>
  <si>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</si>
  <si>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</si>
  <si>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</si>
  <si>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</si>
  <si>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</si>
  <si>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</si>
  <si>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</si>
  <si>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</si>
  <si>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</si>
  <si>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</si>
  <si>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</si>
  <si>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</si>
  <si>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</si>
  <si>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</si>
  <si>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</si>
  <si>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</si>
  <si>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</si>
  <si>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</si>
  <si>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</si>
  <si>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</si>
  <si>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</si>
  <si>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</si>
  <si>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</si>
  <si>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</si>
  <si>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</si>
  <si>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</si>
  <si>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</si>
  <si>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</si>
  <si>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</si>
  <si>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</si>
  <si>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</si>
  <si>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</si>
  <si>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</si>
  <si>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</si>
  <si>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</si>
  <si>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</si>
  <si>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</si>
  <si>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</si>
  <si>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</si>
  <si>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</si>
  <si>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</si>
  <si>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</si>
  <si>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</si>
  <si>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</si>
  <si>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</si>
  <si>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</si>
  <si>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</si>
  <si>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</si>
  <si>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</si>
  <si>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</si>
  <si>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</si>
  <si>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</si>
  <si>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</si>
  <si>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</si>
  <si>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</si>
  <si>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</si>
  <si>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</si>
  <si>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</si>
  <si>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</si>
  <si>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</si>
  <si>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</si>
  <si>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</si>
  <si>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</si>
  <si>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</si>
  <si>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</si>
  <si>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</si>
  <si>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</si>
  <si>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</si>
  <si>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</si>
  <si>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</si>
  <si>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</si>
  <si>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</si>
  <si>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</si>
  <si>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</si>
  <si>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</si>
  <si>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</si>
  <si>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</si>
  <si>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</si>
  <si>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</si>
  <si>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</si>
  <si>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</si>
  <si>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</si>
  <si>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</si>
  <si>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</si>
  <si>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</si>
  <si>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</si>
  <si>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</si>
  <si>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</si>
  <si>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</si>
  <si>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</si>
  <si>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</si>
  <si>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</si>
  <si>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</si>
  <si>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</si>
  <si>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</si>
  <si>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</si>
  <si>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</si>
  <si>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</si>
  <si>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</si>
  <si>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</si>
  <si>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</si>
  <si>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</si>
  <si>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</si>
  <si>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</si>
  <si>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</si>
  <si>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</si>
  <si>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</si>
  <si>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</si>
  <si>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</si>
  <si>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</si>
  <si>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</si>
  <si>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</si>
  <si>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</si>
  <si>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</si>
  <si>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</si>
  <si>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</si>
  <si>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</si>
  <si>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</si>
  <si>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</si>
  <si>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</si>
  <si>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</si>
  <si>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</si>
  <si>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</si>
  <si>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</si>
  <si>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</si>
  <si>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</si>
  <si>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</si>
  <si>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</si>
  <si>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</si>
  <si>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</si>
  <si>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</si>
  <si>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</si>
  <si>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</si>
  <si>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</si>
  <si>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</si>
  <si>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</si>
  <si>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</si>
  <si>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</si>
  <si>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</si>
  <si>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</si>
  <si>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</si>
  <si>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</si>
  <si>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</si>
  <si>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</si>
  <si>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</si>
  <si>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</si>
  <si>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</si>
  <si>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</si>
  <si>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</si>
  <si>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</si>
  <si>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</si>
  <si>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</si>
  <si>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</si>
  <si>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</si>
  <si>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</si>
  <si>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</si>
  <si>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</si>
  <si>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</si>
  <si>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</si>
  <si>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</si>
  <si>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</si>
  <si>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</si>
  <si>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</si>
  <si>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</si>
  <si>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</si>
  <si>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</si>
  <si>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</si>
  <si>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</si>
  <si>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</si>
  <si>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</si>
  <si>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</si>
  <si>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</si>
  <si>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</si>
  <si>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</si>
  <si>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</si>
  <si>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</si>
  <si>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</si>
  <si>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</si>
  <si>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</si>
  <si>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</si>
  <si>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</si>
  <si>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</si>
  <si>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</si>
  <si>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</si>
  <si>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</si>
  <si>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</si>
  <si>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</si>
  <si>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</si>
  <si>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</si>
  <si>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</si>
  <si>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</si>
  <si>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</si>
  <si>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</si>
  <si>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</si>
  <si>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</si>
  <si>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</si>
  <si>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</si>
  <si>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</si>
  <si>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</si>
  <si>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</si>
  <si>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</si>
  <si>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</si>
  <si>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</si>
  <si>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</si>
  <si>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</si>
  <si>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</si>
  <si>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</si>
  <si>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</si>
  <si>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</si>
  <si>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</si>
  <si>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</si>
  <si>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</si>
  <si>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</si>
  <si>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</si>
  <si>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</si>
  <si>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</si>
  <si>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</si>
  <si>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</si>
  <si>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</si>
  <si>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</si>
  <si>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</si>
  <si>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</si>
  <si>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</si>
  <si>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</si>
  <si>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</si>
  <si>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</si>
  <si>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</si>
  <si>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</si>
  <si>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</si>
  <si>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</si>
  <si>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</si>
  <si>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</si>
  <si>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</si>
  <si>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</si>
  <si>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</si>
  <si>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</si>
  <si>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</si>
  <si>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</si>
  <si>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</si>
  <si>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</si>
  <si>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</si>
  <si>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</si>
  <si>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</si>
  <si>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</si>
  <si>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</si>
  <si>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</si>
  <si>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</si>
  <si>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</si>
  <si>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</si>
  <si>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</si>
  <si>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</si>
  <si>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</si>
  <si>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</si>
  <si>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</si>
  <si>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</si>
  <si>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</si>
  <si>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</si>
  <si>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</si>
  <si>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</si>
  <si>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</si>
  <si>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</si>
  <si>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</si>
  <si>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</si>
  <si>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</si>
  <si>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</si>
  <si>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</si>
  <si>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</si>
  <si>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</si>
  <si>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</si>
  <si>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</si>
  <si>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</si>
  <si>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</si>
  <si>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</si>
  <si>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</si>
  <si>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</si>
  <si>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</si>
  <si>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</si>
  <si>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</si>
  <si>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</si>
  <si>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</si>
  <si>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</si>
  <si>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</si>
  <si>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</si>
  <si>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</si>
  <si>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</si>
  <si>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</si>
  <si>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</si>
  <si>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</si>
  <si>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</si>
  <si>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</si>
  <si>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</si>
  <si>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</si>
  <si>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</si>
  <si>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</si>
  <si>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</si>
  <si>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</si>
  <si>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</si>
  <si>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</si>
  <si>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</si>
  <si>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</si>
  <si>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</si>
  <si>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</si>
  <si>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</si>
  <si>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</si>
  <si>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</si>
  <si>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</si>
  <si>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</si>
  <si>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</si>
  <si>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</si>
  <si>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</si>
  <si>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</si>
  <si>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</si>
  <si>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</si>
  <si>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</si>
  <si>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</si>
  <si>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</si>
  <si>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</si>
  <si>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</si>
  <si>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</si>
  <si>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</si>
  <si>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</si>
  <si>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</si>
  <si>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</si>
  <si>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</si>
  <si>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</si>
  <si>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</si>
  <si>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</si>
  <si>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</si>
  <si>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</si>
  <si>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</si>
  <si>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</si>
  <si>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</si>
  <si>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</si>
  <si>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</si>
  <si>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</si>
  <si>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</si>
  <si>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</si>
  <si>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</si>
  <si>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</si>
  <si>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</si>
  <si>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</si>
  <si>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</si>
  <si>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</si>
  <si>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</si>
  <si>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</si>
  <si>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</si>
  <si>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</si>
  <si>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</si>
  <si>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</si>
  <si>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</si>
  <si>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</si>
  <si>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</si>
  <si>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</si>
  <si>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</si>
  <si>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</si>
  <si>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</si>
  <si>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</si>
  <si>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</si>
  <si>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</si>
  <si>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</si>
  <si>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</si>
  <si>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</si>
  <si>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</si>
  <si>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</si>
  <si>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</si>
  <si>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</si>
  <si>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</si>
  <si>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</si>
  <si>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</si>
  <si>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</si>
  <si>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</si>
  <si>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</si>
  <si>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</si>
  <si>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</si>
  <si>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</si>
  <si>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</si>
  <si>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</si>
  <si>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</si>
  <si>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</si>
  <si>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</si>
  <si>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</si>
  <si>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</si>
  <si>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</si>
  <si>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</si>
  <si>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</si>
  <si>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</si>
  <si>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</si>
  <si>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</si>
  <si>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</si>
  <si>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</si>
  <si>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</si>
  <si>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</si>
  <si>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</si>
  <si>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</si>
  <si>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</si>
  <si>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</si>
  <si>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</si>
  <si>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</si>
  <si>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</si>
  <si>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</si>
  <si>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</si>
  <si>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</si>
  <si>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</si>
  <si>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</si>
  <si>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</si>
  <si>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</si>
  <si>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</si>
  <si>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</si>
  <si>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</si>
  <si>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</si>
  <si>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</si>
  <si>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</si>
  <si>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</si>
  <si>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</si>
  <si>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</si>
  <si>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</si>
  <si>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</si>
  <si>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</si>
  <si>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</si>
  <si>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</si>
  <si>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</si>
  <si>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</si>
  <si>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</si>
  <si>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</si>
  <si>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</si>
  <si>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</si>
  <si>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</si>
  <si>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</si>
  <si>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</si>
  <si>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</si>
  <si>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</si>
  <si>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</si>
  <si>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</si>
  <si>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</si>
  <si>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</si>
  <si>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</si>
  <si>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</si>
  <si>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</si>
  <si>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</si>
  <si>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</si>
  <si>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</si>
  <si>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</si>
  <si>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</si>
  <si>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</si>
  <si>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</si>
  <si>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</si>
  <si>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</si>
  <si>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</si>
  <si>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</si>
  <si>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</si>
  <si>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</si>
  <si>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</si>
  <si>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</si>
  <si>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</si>
  <si>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</si>
  <si>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</si>
  <si>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</si>
  <si>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</si>
  <si>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</si>
  <si>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</si>
  <si>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</si>
  <si>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</si>
  <si>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</si>
  <si>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</si>
  <si>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</si>
  <si>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</si>
  <si>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</si>
  <si>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</si>
  <si>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</si>
  <si>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</si>
  <si>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</si>
  <si>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</si>
  <si>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</si>
  <si>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</si>
  <si>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</si>
  <si>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</si>
  <si>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</si>
  <si>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</si>
  <si>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</si>
  <si>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</si>
  <si>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</si>
  <si>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</si>
  <si>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</si>
  <si>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</si>
  <si>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</si>
  <si>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</si>
  <si>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</si>
  <si>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</si>
  <si>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</si>
  <si>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</si>
  <si>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</si>
  <si>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</si>
  <si>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</si>
  <si>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</si>
  <si>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</si>
  <si>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</si>
  <si>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</si>
  <si>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</si>
  <si>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</si>
  <si>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</si>
  <si>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</si>
  <si>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</si>
  <si>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</si>
  <si>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</si>
  <si>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</si>
  <si>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</si>
  <si>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</si>
  <si>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</si>
  <si>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</si>
  <si>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</si>
  <si>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</si>
  <si>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</si>
  <si>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</si>
  <si>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</si>
  <si>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</si>
  <si>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</si>
  <si>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</si>
  <si>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</si>
  <si>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</si>
  <si>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</si>
  <si>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</si>
  <si>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</si>
  <si>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</si>
  <si>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</si>
  <si>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</si>
  <si>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</si>
  <si>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</si>
  <si>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</si>
  <si>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</si>
  <si>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</si>
  <si>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</si>
  <si>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</si>
  <si>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</si>
  <si>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</si>
  <si>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</si>
  <si>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</si>
  <si>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</si>
  <si>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</si>
  <si>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</si>
  <si>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</si>
  <si>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</si>
  <si>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</si>
  <si>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</si>
  <si>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</si>
  <si>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</si>
  <si>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</si>
  <si>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</si>
  <si>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</si>
  <si>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</si>
  <si>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</si>
  <si>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</si>
  <si>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</si>
  <si>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</si>
  <si>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</si>
  <si>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</si>
  <si>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</si>
  <si>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</si>
  <si>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</si>
  <si>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</si>
  <si>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</si>
  <si>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</si>
  <si>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</si>
  <si>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</si>
  <si>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</si>
  <si>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</si>
  <si>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</si>
  <si>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</si>
  <si>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</si>
  <si>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</si>
  <si>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</si>
  <si>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</si>
  <si>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</si>
  <si>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</si>
  <si>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</si>
  <si>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</si>
  <si>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</si>
  <si>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</si>
  <si>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</si>
  <si>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</si>
  <si>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</si>
  <si>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</si>
  <si>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</si>
  <si>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</si>
  <si>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</si>
  <si>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</si>
  <si>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</si>
  <si>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</si>
  <si>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</si>
  <si>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</si>
  <si>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</si>
  <si>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</si>
  <si>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</si>
  <si>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</si>
  <si>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</si>
  <si>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</si>
  <si>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</si>
  <si>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</si>
  <si>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</si>
  <si>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</si>
  <si>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</si>
  <si>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</si>
  <si>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</si>
  <si>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</si>
  <si>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</si>
  <si>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</si>
  <si>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</si>
  <si>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</si>
  <si>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</si>
  <si>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</si>
  <si>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</si>
  <si>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</si>
  <si>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</si>
  <si>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</si>
  <si>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</si>
  <si>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</si>
  <si>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</si>
  <si>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</si>
  <si>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</si>
  <si>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</si>
  <si>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</si>
  <si>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</si>
  <si>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</si>
  <si>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</si>
  <si>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</si>
  <si>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</si>
  <si>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</si>
  <si>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</si>
  <si>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</si>
  <si>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</si>
  <si>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</si>
  <si>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</si>
  <si>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</si>
  <si>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</si>
  <si>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</si>
  <si>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</si>
  <si>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</si>
  <si>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</si>
  <si>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</si>
  <si>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</si>
  <si>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</si>
  <si>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</si>
  <si>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</si>
  <si>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</si>
  <si>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</si>
  <si>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</si>
  <si>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</si>
  <si>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</si>
  <si>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</si>
  <si>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</si>
  <si>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</si>
  <si>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</si>
  <si>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</si>
  <si>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</si>
  <si>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</si>
  <si>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</si>
  <si>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</si>
  <si>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</si>
  <si>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</si>
  <si>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</si>
  <si>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</si>
  <si>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</si>
  <si>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</si>
  <si>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</si>
  <si>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</si>
  <si>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</si>
  <si>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</si>
  <si>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</si>
  <si>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</si>
  <si>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</si>
  <si>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</si>
  <si>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</si>
  <si>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</si>
  <si>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</si>
  <si>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</si>
  <si>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</si>
  <si>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</si>
  <si>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</si>
  <si>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</si>
  <si>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</si>
  <si>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</si>
  <si>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</si>
  <si>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</si>
  <si>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</si>
  <si>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</si>
  <si>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</si>
  <si>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</si>
  <si>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</si>
  <si>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</si>
  <si>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</si>
  <si>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</si>
  <si>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</si>
  <si>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</si>
  <si>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</si>
  <si>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</si>
  <si>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</si>
  <si>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</si>
  <si>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</si>
  <si>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</si>
  <si>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</si>
  <si>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</si>
  <si>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</si>
  <si>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</si>
  <si>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</si>
  <si>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</si>
  <si>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</si>
  <si>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</si>
  <si>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</si>
  <si>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</si>
  <si>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</si>
  <si>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</si>
  <si>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</si>
  <si>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</si>
  <si>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</si>
  <si>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</si>
  <si>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</si>
  <si>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</si>
  <si>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</si>
  <si>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</si>
  <si>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</si>
  <si>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</si>
  <si>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</si>
  <si>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</si>
  <si>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</si>
  <si>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</si>
  <si>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</si>
  <si>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</si>
  <si>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</si>
  <si>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</si>
  <si>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</si>
  <si>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</si>
  <si>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</si>
  <si>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</si>
  <si>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</si>
  <si>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</si>
  <si>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</si>
  <si>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</si>
  <si>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</si>
  <si>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</si>
  <si>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</si>
  <si>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</si>
  <si>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</si>
  <si>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</si>
  <si>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</si>
  <si>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</si>
  <si>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</si>
  <si>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</si>
  <si>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</si>
  <si>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</si>
  <si>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</si>
  <si>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</si>
  <si>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</si>
  <si>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</si>
  <si>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</si>
  <si>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</si>
  <si>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</si>
  <si>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</si>
  <si>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</si>
  <si>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</si>
  <si>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</si>
  <si>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</si>
  <si>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</si>
  <si>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</si>
  <si>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</si>
  <si>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</si>
  <si>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</si>
  <si>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</si>
  <si>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</si>
  <si>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</si>
  <si>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</si>
  <si>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</si>
  <si>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</si>
  <si>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</si>
  <si>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</si>
  <si>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</si>
  <si>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</si>
  <si>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</si>
  <si>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</si>
  <si>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</si>
  <si>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</si>
  <si>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</si>
  <si>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</si>
  <si>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</si>
  <si>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</si>
  <si>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</si>
  <si>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</si>
  <si>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</si>
  <si>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</si>
  <si>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</si>
  <si>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</si>
  <si>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</si>
  <si>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</si>
  <si>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</si>
  <si>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</si>
  <si>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</si>
  <si>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</si>
  <si>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</si>
  <si>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</si>
  <si>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</si>
  <si>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</si>
  <si>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</si>
  <si>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</si>
  <si>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</si>
  <si>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</si>
  <si>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</si>
  <si>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</si>
  <si>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</si>
  <si>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</si>
  <si>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</si>
  <si>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</si>
  <si>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</si>
  <si>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</si>
  <si>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</si>
  <si>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</si>
  <si>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</si>
  <si>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</si>
  <si>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</si>
  <si>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</si>
  <si>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</si>
  <si>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</si>
  <si>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</si>
  <si>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</si>
  <si>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</si>
  <si>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</si>
  <si>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</si>
  <si>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</si>
  <si>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</si>
  <si>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</si>
  <si>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</si>
  <si>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</si>
  <si>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</si>
  <si>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</si>
  <si>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</si>
  <si>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</si>
  <si>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</si>
  <si>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</si>
  <si>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</si>
  <si>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</si>
  <si>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</si>
  <si>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</si>
  <si>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</si>
  <si>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</si>
  <si>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</si>
  <si>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</si>
  <si>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</si>
  <si>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</si>
  <si>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</si>
  <si>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</si>
  <si>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</si>
  <si>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</si>
  <si>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</si>
  <si>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</si>
  <si>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</si>
  <si>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</si>
  <si>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</si>
  <si>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</si>
  <si>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</si>
  <si>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</si>
  <si>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</si>
  <si>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</si>
  <si>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</si>
  <si>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</si>
  <si>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</si>
  <si>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</si>
  <si>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</si>
  <si>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</si>
  <si>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</si>
  <si>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</si>
  <si>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</si>
  <si>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</si>
  <si>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</si>
  <si>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</si>
  <si>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</si>
  <si>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</si>
  <si>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</si>
  <si>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</si>
  <si>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</si>
  <si>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</si>
  <si>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</si>
  <si>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</si>
  <si>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</si>
  <si>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</si>
  <si>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</si>
  <si>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</si>
  <si>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</si>
  <si>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</si>
  <si>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</si>
  <si>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</si>
  <si>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</si>
  <si>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</si>
  <si>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</si>
  <si>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</si>
  <si>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</si>
  <si>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</si>
  <si>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</si>
  <si>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</si>
  <si>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</si>
  <si>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</si>
  <si>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</si>
  <si>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</si>
  <si>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</si>
  <si>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</si>
  <si>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</si>
  <si>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</si>
  <si>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</si>
  <si>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</si>
  <si>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</si>
  <si>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</si>
  <si>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</si>
  <si>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</si>
  <si>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</si>
  <si>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</si>
  <si>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</si>
  <si>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</si>
  <si>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</si>
  <si>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</si>
  <si>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</si>
  <si>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</si>
  <si>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</si>
  <si>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</si>
  <si>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</si>
  <si>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</si>
  <si>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</si>
  <si>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</si>
  <si>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</si>
  <si>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</si>
  <si>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</si>
  <si>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</si>
  <si>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</si>
  <si>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</si>
  <si>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</si>
  <si>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</si>
  <si>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</si>
  <si>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</si>
  <si>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</si>
  <si>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</si>
  <si>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</si>
  <si>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</si>
  <si>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</si>
  <si>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</si>
  <si>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</si>
  <si>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</si>
  <si>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</si>
  <si>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</si>
  <si>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</si>
  <si>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</si>
  <si>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</si>
  <si>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</si>
  <si>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</si>
  <si>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</si>
  <si>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</si>
  <si>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</si>
  <si>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</si>
  <si>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</si>
  <si>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</si>
  <si>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</si>
  <si>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</si>
  <si>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</si>
  <si>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</si>
  <si>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</si>
  <si>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</si>
  <si>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</si>
  <si>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</si>
  <si>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</si>
  <si>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</si>
  <si>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</si>
  <si>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</si>
  <si>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</si>
  <si>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</si>
  <si>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</si>
  <si>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</si>
  <si>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</si>
  <si>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</si>
  <si>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</si>
  <si>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</si>
  <si>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</si>
  <si>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</si>
  <si>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</si>
  <si>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</si>
  <si>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</si>
  <si>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</si>
  <si>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</si>
  <si>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</si>
  <si>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</si>
  <si>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</si>
  <si>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</si>
  <si>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</si>
  <si>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</si>
  <si>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</si>
  <si>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</si>
  <si>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</si>
  <si>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</si>
  <si>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</si>
  <si>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</si>
  <si>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</si>
  <si>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</si>
  <si>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</si>
  <si>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</si>
  <si>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</si>
  <si>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</si>
  <si>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</si>
  <si>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</si>
  <si>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</si>
  <si>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</si>
  <si>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</si>
  <si>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</si>
  <si>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</si>
  <si>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</si>
  <si>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</si>
  <si>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</si>
  <si>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</si>
  <si>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</si>
  <si>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</si>
  <si>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</si>
  <si>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</si>
  <si>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</si>
  <si>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</si>
  <si>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</si>
  <si>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</si>
  <si>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</si>
  <si>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</si>
  <si>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</si>
  <si>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</si>
  <si>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</si>
  <si>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</si>
  <si>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</si>
  <si>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</si>
  <si>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</si>
  <si>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</si>
  <si>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</si>
  <si>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</si>
  <si>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</si>
  <si>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</si>
  <si>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</si>
  <si>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</si>
  <si>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</si>
  <si>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</si>
  <si>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</si>
  <si>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</si>
  <si>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</si>
  <si>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</si>
  <si>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</si>
  <si>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</si>
  <si>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</si>
  <si>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</si>
  <si>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</si>
  <si>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</si>
  <si>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</si>
  <si>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</si>
  <si>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</si>
  <si>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</si>
  <si>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</si>
  <si>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</si>
  <si>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</si>
  <si>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</si>
  <si>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</si>
  <si>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</si>
  <si>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</si>
  <si>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</si>
  <si>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</si>
  <si>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</si>
  <si>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</si>
  <si>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</si>
  <si>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</si>
  <si>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</si>
  <si>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</si>
  <si>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</si>
  <si>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</si>
  <si>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</si>
  <si>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</si>
  <si>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</si>
  <si>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</si>
  <si>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</si>
  <si>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</si>
  <si>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</si>
  <si>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</si>
  <si>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</si>
  <si>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</si>
  <si>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</si>
  <si>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</si>
  <si>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</si>
  <si>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</si>
  <si>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</si>
  <si>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</si>
  <si>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</si>
  <si>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</si>
  <si>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</si>
  <si>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</si>
  <si>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</si>
  <si>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</si>
  <si>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</si>
  <si>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</si>
  <si>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</si>
  <si>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</si>
  <si>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</si>
  <si>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</si>
  <si>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</si>
  <si>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</si>
  <si>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</si>
  <si>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</si>
  <si>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</si>
  <si>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</si>
  <si>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</si>
  <si>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</si>
  <si>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</si>
  <si>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</si>
  <si>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</si>
  <si>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</si>
  <si>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</si>
  <si>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</si>
  <si>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</si>
  <si>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</si>
  <si>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</si>
  <si>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</si>
  <si>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</si>
  <si>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</si>
  <si>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</si>
  <si>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</si>
  <si>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</si>
  <si>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</si>
  <si>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</si>
  <si>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</si>
  <si>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</si>
  <si>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</si>
  <si>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</si>
  <si>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</si>
  <si>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</si>
  <si>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</si>
  <si>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</si>
  <si>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</si>
  <si>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</si>
  <si>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</si>
  <si>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</si>
  <si>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</si>
  <si>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</si>
  <si>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</si>
  <si>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</si>
  <si>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</si>
  <si>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</si>
  <si>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</si>
  <si>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</si>
  <si>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</si>
  <si>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</si>
  <si>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</si>
  <si>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</si>
  <si>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</si>
  <si>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</si>
  <si>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</si>
  <si>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</si>
  <si>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</si>
  <si>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</si>
  <si>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</si>
  <si>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</si>
  <si>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</si>
  <si>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</si>
  <si>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</si>
  <si>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</si>
  <si>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</si>
  <si>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</si>
  <si>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</si>
  <si>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</si>
  <si>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</si>
  <si>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</si>
  <si>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</si>
  <si>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</si>
  <si>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</si>
  <si>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</si>
  <si>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</si>
  <si>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</si>
  <si>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</si>
  <si>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</si>
  <si>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</si>
  <si>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</si>
  <si>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</si>
  <si>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</si>
  <si>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</si>
  <si>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</si>
  <si>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</si>
  <si>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</si>
  <si>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</si>
  <si>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</si>
  <si>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</si>
  <si>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</si>
  <si>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</si>
  <si>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</si>
  <si>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</si>
  <si>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</si>
  <si>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</si>
  <si>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</si>
  <si>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</si>
  <si>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</si>
  <si>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</si>
  <si>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</si>
  <si>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</si>
  <si>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</si>
  <si>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</si>
  <si>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</si>
  <si>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</si>
  <si>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</si>
  <si>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</si>
  <si>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</si>
  <si>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</si>
  <si>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</si>
  <si>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</si>
  <si>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</si>
  <si>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</si>
  <si>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</si>
  <si>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</si>
  <si>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</si>
  <si>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</si>
  <si>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</si>
  <si>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</si>
  <si>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</si>
  <si>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</si>
  <si>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</si>
  <si>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</si>
  <si>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</si>
  <si>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</si>
  <si>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</si>
  <si>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</si>
  <si>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</si>
  <si>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</si>
  <si>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</si>
  <si>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</si>
  <si>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</si>
  <si>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</si>
  <si>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</si>
  <si>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</si>
  <si>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</si>
  <si>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</si>
  <si>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</si>
  <si>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</si>
  <si>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</si>
  <si>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</si>
  <si>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</si>
  <si>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</si>
  <si>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</si>
  <si>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</si>
  <si>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</si>
  <si>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</si>
  <si>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</si>
  <si>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</si>
  <si>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</si>
  <si>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</si>
  <si>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</si>
  <si>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</si>
  <si>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</si>
  <si>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</si>
  <si>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</si>
  <si>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</si>
  <si>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</si>
  <si>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</si>
  <si>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</si>
  <si>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</si>
  <si>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</si>
  <si>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</si>
  <si>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</si>
  <si>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</si>
  <si>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</si>
  <si>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</si>
  <si>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</si>
  <si>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</si>
  <si>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</si>
  <si>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</si>
  <si>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</si>
  <si>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</si>
  <si>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</si>
  <si>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</si>
  <si>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</si>
  <si>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</si>
  <si>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</si>
  <si>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</si>
  <si>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</si>
  <si>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</si>
  <si>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</si>
  <si>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</si>
  <si>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</si>
  <si>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</si>
  <si>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</si>
  <si>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</si>
  <si>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</si>
  <si>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</si>
  <si>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</si>
  <si>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</si>
  <si>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</si>
  <si>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</si>
  <si>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</si>
  <si>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</si>
  <si>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</si>
  <si>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</si>
  <si>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</si>
  <si>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</si>
  <si>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</si>
  <si>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</si>
  <si>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</si>
  <si>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</si>
  <si>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</si>
  <si>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</si>
  <si>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</si>
  <si>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</si>
  <si>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</si>
  <si>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</si>
  <si>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</si>
  <si>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</si>
  <si>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</si>
  <si>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</si>
  <si>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</si>
  <si>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</si>
  <si>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</si>
  <si>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</si>
  <si>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</si>
  <si>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</si>
  <si>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</si>
  <si>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</si>
  <si>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</si>
  <si>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</si>
  <si>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</si>
  <si>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</si>
  <si>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</si>
  <si>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</si>
  <si>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</si>
  <si>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</si>
  <si>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</si>
  <si>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</si>
  <si>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</si>
  <si>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</si>
  <si>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</si>
  <si>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</si>
  <si>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</si>
  <si>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</si>
  <si>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</si>
  <si>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</si>
  <si>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</si>
  <si>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</si>
  <si>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</si>
  <si>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</si>
  <si>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</si>
  <si>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</si>
  <si>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</si>
  <si>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</si>
  <si>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</si>
  <si>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</si>
  <si>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</si>
  <si>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</si>
  <si>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</si>
  <si>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</si>
  <si>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</si>
  <si>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</si>
  <si>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</si>
  <si>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</si>
  <si>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</si>
  <si>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</si>
  <si>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</si>
  <si>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</si>
  <si>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</si>
  <si>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</si>
  <si>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</si>
  <si>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</si>
  <si>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</si>
  <si>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</si>
  <si>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</si>
  <si>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</si>
  <si>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</si>
  <si>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</si>
  <si>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</si>
  <si>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</si>
  <si>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</si>
  <si>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</si>
  <si>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</si>
  <si>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</si>
  <si>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</si>
  <si>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</si>
  <si>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</si>
  <si>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</si>
  <si>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</si>
  <si>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</si>
  <si>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</si>
  <si>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</si>
  <si>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</si>
  <si>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</si>
  <si>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</si>
  <si>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</si>
  <si>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</si>
  <si>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</si>
  <si>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</si>
  <si>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</si>
  <si>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</si>
  <si>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</si>
  <si>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</si>
  <si>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</si>
  <si>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</si>
  <si>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</si>
  <si>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</si>
  <si>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</si>
  <si>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</si>
  <si>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</si>
  <si>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</si>
  <si>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</si>
  <si>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</si>
  <si>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</si>
  <si>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</si>
  <si>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</si>
  <si>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</si>
  <si>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</si>
  <si>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</si>
  <si>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</si>
  <si>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</si>
  <si>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</si>
  <si>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</si>
  <si>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</si>
  <si>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</si>
  <si>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</si>
  <si>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</si>
  <si>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</si>
  <si>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</si>
  <si>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</si>
  <si>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</si>
  <si>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</si>
  <si>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</si>
  <si>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</si>
  <si>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</si>
  <si>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</si>
  <si>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</si>
  <si>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</si>
  <si>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</si>
  <si>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</si>
  <si>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</si>
  <si>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</si>
  <si>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</si>
  <si>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</si>
  <si>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</si>
  <si>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</si>
  <si>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</si>
  <si>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</si>
  <si>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</si>
  <si>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</si>
  <si>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</si>
  <si>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</si>
  <si>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</si>
  <si>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</si>
  <si>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</si>
  <si>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</si>
  <si>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</si>
  <si>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</si>
  <si>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</si>
  <si>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</si>
  <si>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</si>
  <si>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</si>
  <si>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</si>
  <si>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</si>
  <si>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</si>
  <si>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</si>
  <si>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</si>
  <si>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</si>
  <si>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</si>
  <si>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</si>
  <si>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</si>
  <si>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</si>
  <si>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</si>
  <si>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</si>
  <si>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</si>
  <si>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</si>
  <si>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</si>
  <si>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</si>
  <si>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</si>
  <si>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</si>
  <si>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</si>
  <si>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</si>
  <si>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</si>
  <si>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</si>
  <si>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</si>
  <si>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</si>
  <si>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</si>
  <si>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</si>
  <si>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</si>
  <si>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</si>
  <si>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</si>
  <si>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</si>
  <si>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</si>
  <si>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</si>
  <si>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</si>
  <si>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</si>
  <si>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</si>
  <si>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</si>
  <si>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</si>
  <si>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</si>
  <si>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</si>
  <si>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</si>
  <si>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</si>
  <si>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</si>
  <si>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</si>
  <si>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</si>
  <si>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</si>
  <si>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</si>
  <si>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</si>
  <si>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</si>
  <si>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</si>
  <si>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</si>
  <si>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</si>
  <si>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</si>
  <si>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</si>
  <si>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</si>
  <si>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</si>
  <si>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</si>
  <si>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</si>
  <si>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</si>
  <si>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</si>
  <si>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</si>
  <si>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</si>
  <si>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</si>
  <si>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</si>
  <si>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</si>
  <si>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</si>
  <si>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</si>
  <si>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</si>
  <si>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</si>
  <si>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</si>
  <si>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</si>
  <si>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</si>
  <si>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</si>
  <si>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</si>
  <si>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</si>
  <si>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</si>
  <si>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</si>
  <si>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</si>
  <si>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</si>
  <si>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</si>
  <si>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</si>
  <si>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</si>
  <si>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</si>
  <si>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</si>
  <si>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</si>
  <si>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</si>
  <si>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</si>
  <si>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</si>
  <si>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</si>
  <si>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</si>
  <si>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</si>
  <si>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</si>
  <si>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</si>
  <si>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</si>
  <si>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</si>
  <si>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</si>
  <si>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</si>
  <si>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</si>
  <si>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</si>
  <si>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</si>
  <si>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</si>
  <si>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</si>
  <si>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</si>
  <si>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</si>
  <si>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</si>
  <si>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</si>
  <si>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</si>
  <si>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</si>
  <si>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</si>
  <si>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</si>
  <si>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</si>
  <si>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</si>
  <si>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</si>
  <si>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</si>
  <si>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</si>
  <si>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</si>
  <si>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</si>
  <si>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</si>
  <si>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</si>
  <si>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</si>
  <si>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</si>
  <si>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</si>
  <si>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</si>
  <si>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</si>
  <si>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</si>
  <si>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</si>
  <si>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</si>
  <si>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</si>
  <si>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</si>
  <si>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</si>
  <si>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</si>
  <si>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</si>
  <si>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</si>
  <si>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</si>
  <si>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</si>
  <si>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</si>
  <si>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</si>
  <si>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</si>
  <si>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</si>
  <si>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</si>
  <si>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</si>
  <si>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</si>
  <si>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</si>
  <si>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</si>
  <si>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</si>
  <si>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</si>
  <si>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</si>
  <si>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</si>
  <si>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</si>
  <si>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</si>
  <si>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</si>
  <si>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</si>
  <si>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</si>
  <si>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</si>
  <si>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</si>
  <si>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</si>
  <si>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</si>
  <si>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</si>
  <si>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</si>
  <si>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</si>
  <si>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</si>
  <si>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</si>
  <si>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</si>
  <si>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</si>
  <si>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</si>
  <si>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</si>
  <si>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</si>
  <si>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</si>
  <si>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</si>
  <si>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</si>
  <si>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</si>
  <si>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</si>
  <si>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</si>
  <si>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</si>
  <si>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</si>
  <si>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</si>
  <si>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</si>
  <si>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</si>
  <si>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</si>
  <si>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</si>
  <si>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</si>
  <si>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</si>
  <si>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</si>
  <si>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</si>
  <si>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</si>
  <si>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</si>
  <si>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</si>
  <si>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</si>
  <si>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</si>
  <si>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</si>
  <si>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</si>
  <si>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</si>
  <si>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</si>
  <si>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</si>
  <si>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</si>
  <si>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</si>
  <si>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</si>
  <si>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</si>
  <si>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</si>
  <si>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</si>
  <si>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</si>
  <si>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</si>
  <si>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</si>
  <si>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</si>
  <si>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</si>
  <si>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</si>
  <si>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</si>
  <si>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</si>
  <si>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</si>
  <si>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</si>
  <si>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</si>
  <si>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</si>
  <si>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</si>
  <si>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</si>
  <si>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</si>
  <si>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</si>
  <si>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</si>
  <si>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</si>
  <si>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</si>
  <si>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</si>
  <si>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</si>
  <si>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</si>
  <si>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</si>
  <si>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</si>
  <si>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</si>
  <si>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</si>
  <si>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</si>
  <si>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</si>
  <si>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</si>
  <si>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</si>
  <si>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</si>
  <si>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</si>
  <si>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</si>
  <si>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</si>
  <si>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</si>
  <si>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</si>
  <si>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</si>
  <si>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</si>
  <si>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</si>
  <si>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</si>
  <si>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</si>
  <si>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</si>
  <si>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</si>
  <si>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</si>
  <si>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</si>
  <si>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</si>
  <si>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</si>
  <si>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</si>
  <si>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</si>
  <si>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</si>
  <si>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</si>
  <si>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</si>
  <si>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</si>
  <si>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</si>
  <si>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</si>
  <si>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</si>
  <si>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</si>
  <si>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</si>
  <si>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</si>
  <si>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</si>
  <si>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</si>
  <si>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</si>
  <si>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</si>
  <si>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</si>
  <si>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</si>
  <si>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</si>
  <si>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</si>
  <si>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</si>
  <si>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</si>
  <si>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</si>
  <si>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</si>
  <si>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</si>
  <si>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</si>
  <si>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</si>
  <si>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</si>
  <si>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</si>
  <si>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</si>
  <si>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</si>
  <si>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</si>
  <si>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</si>
  <si>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</si>
  <si>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</si>
  <si>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</si>
  <si>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</si>
  <si>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</si>
  <si>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</si>
  <si>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</si>
  <si>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</si>
  <si>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</si>
  <si>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</si>
  <si>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</si>
  <si>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</si>
  <si>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</si>
  <si>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</si>
  <si>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</si>
  <si>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</si>
  <si>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</si>
  <si>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</si>
  <si>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</si>
  <si>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</si>
  <si>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</si>
  <si>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</si>
  <si>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</si>
  <si>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</si>
  <si>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</si>
  <si>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</si>
  <si>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</si>
  <si>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</si>
  <si>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</si>
  <si>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</si>
  <si>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</si>
  <si>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</si>
  <si>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</si>
  <si>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</si>
  <si>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</si>
  <si>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</si>
  <si>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</si>
  <si>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</si>
  <si>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</si>
  <si>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</si>
  <si>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</si>
  <si>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</si>
  <si>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</si>
  <si>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</si>
  <si>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</si>
  <si>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</si>
  <si>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</si>
  <si>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</si>
  <si>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</si>
  <si>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</si>
  <si>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</si>
  <si>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</si>
  <si>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</si>
  <si>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</si>
  <si>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</si>
  <si>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</si>
  <si>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</si>
  <si>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</si>
  <si>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</si>
  <si>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</si>
  <si>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</si>
  <si>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</si>
  <si>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</si>
  <si>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</si>
  <si>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</si>
  <si>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</si>
  <si>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</si>
  <si>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</si>
  <si>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</si>
  <si>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</si>
  <si>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</si>
  <si>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</si>
  <si>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</si>
  <si>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</si>
  <si>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</si>
  <si>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</si>
  <si>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</si>
  <si>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</si>
  <si>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</si>
  <si>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</si>
  <si>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</si>
  <si>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</si>
  <si>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</si>
  <si>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</si>
  <si>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</si>
  <si>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</si>
  <si>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</si>
  <si>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</si>
  <si>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</si>
  <si>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</si>
  <si>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</si>
  <si>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</si>
  <si>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</si>
  <si>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</si>
  <si>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</si>
  <si>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</si>
  <si>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</si>
  <si>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</si>
  <si>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</si>
  <si>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</si>
  <si>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</si>
  <si>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</si>
  <si>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</si>
  <si>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</si>
  <si>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</si>
  <si>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</si>
  <si>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</si>
  <si>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</si>
  <si>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</si>
  <si>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</si>
  <si>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</si>
  <si>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</si>
  <si>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</si>
  <si>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</si>
  <si>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</si>
  <si>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</si>
  <si>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</si>
  <si>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</si>
  <si>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</si>
  <si>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</si>
  <si>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</si>
  <si>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</si>
  <si>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</si>
  <si>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</si>
  <si>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</si>
  <si>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</si>
  <si>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</si>
  <si>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</si>
  <si>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</si>
  <si>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</si>
  <si>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</si>
  <si>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</si>
  <si>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</si>
  <si>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</si>
  <si>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</si>
  <si>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</si>
  <si>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</si>
  <si>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</si>
  <si>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</si>
  <si>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</si>
  <si>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</si>
  <si>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</si>
  <si>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</si>
  <si>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</si>
  <si>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</si>
  <si>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</si>
  <si>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</si>
  <si>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</si>
  <si>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</si>
  <si>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</si>
  <si>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</si>
  <si>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</si>
  <si>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</si>
  <si>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</si>
  <si>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</si>
  <si>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</si>
  <si>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</si>
  <si>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</si>
  <si>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</si>
  <si>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</si>
  <si>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</si>
  <si>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</si>
  <si>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</si>
  <si>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</si>
  <si>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</si>
  <si>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</si>
  <si>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</si>
  <si>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</si>
  <si>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</si>
  <si>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</si>
  <si>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</si>
  <si>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</si>
  <si>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</si>
  <si>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</si>
  <si>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</si>
  <si>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</si>
  <si>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</si>
  <si>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</si>
  <si>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</si>
  <si>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</si>
  <si>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</si>
  <si>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</si>
  <si>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</si>
  <si>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</si>
  <si>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</si>
  <si>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</si>
  <si>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</si>
  <si>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</si>
  <si>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</si>
  <si>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</si>
  <si>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</si>
  <si>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</si>
  <si>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</si>
  <si>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</si>
  <si>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</si>
  <si>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</si>
  <si>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</si>
  <si>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</si>
  <si>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</si>
  <si>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</si>
  <si>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</si>
  <si>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</si>
  <si>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</si>
  <si>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</si>
  <si>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</si>
  <si>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</si>
  <si>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</si>
  <si>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</si>
  <si>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</si>
  <si>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</si>
  <si>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</si>
  <si>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</si>
  <si>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</si>
  <si>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</si>
  <si>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</si>
  <si>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</si>
  <si>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</si>
  <si>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</si>
  <si>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</si>
  <si>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</si>
  <si>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</si>
  <si>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</si>
  <si>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</si>
  <si>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</si>
  <si>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</si>
  <si>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</si>
  <si>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</si>
  <si>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</si>
  <si>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</si>
  <si>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</si>
  <si>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</si>
  <si>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</si>
  <si>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</si>
  <si>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</si>
  <si>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</si>
  <si>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</si>
  <si>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</si>
  <si>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</si>
  <si>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</si>
  <si>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</si>
  <si>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</si>
  <si>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</si>
  <si>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</si>
  <si>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</si>
  <si>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</si>
  <si>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</si>
  <si>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</si>
  <si>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</si>
  <si>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</si>
  <si>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</si>
  <si>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</si>
  <si>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</si>
  <si>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</si>
  <si>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</si>
  <si>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</si>
  <si>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</si>
  <si>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</si>
  <si>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</si>
  <si>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</si>
  <si>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</si>
  <si>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</si>
  <si>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</si>
  <si>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</si>
  <si>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</si>
  <si>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</si>
  <si>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</si>
  <si>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</si>
  <si>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</si>
  <si>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</si>
  <si>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</si>
  <si>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</si>
  <si>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</si>
  <si>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</si>
  <si>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</si>
  <si>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</si>
  <si>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</si>
  <si>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</si>
  <si>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</si>
  <si>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</si>
  <si>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</si>
  <si>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</si>
  <si>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</si>
  <si>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</si>
  <si>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</si>
  <si>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</si>
  <si>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</si>
  <si>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</si>
  <si>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</si>
  <si>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</si>
  <si>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</si>
  <si>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</si>
  <si>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</si>
  <si>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</si>
  <si>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</si>
  <si>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</si>
  <si>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</si>
  <si>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</si>
  <si>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</si>
  <si>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</si>
  <si>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</si>
  <si>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</si>
  <si>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</si>
  <si>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</si>
  <si>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</si>
  <si>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</si>
  <si>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</si>
  <si>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</si>
  <si>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</si>
  <si>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</si>
  <si>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</si>
  <si>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</si>
  <si>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</si>
  <si>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</si>
  <si>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</si>
  <si>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</si>
  <si>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</si>
  <si>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</si>
  <si>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</si>
  <si>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</si>
  <si>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</si>
  <si>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</si>
  <si>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</si>
  <si>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</si>
  <si>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</si>
  <si>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</si>
  <si>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</si>
  <si>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</si>
  <si>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</si>
  <si>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</si>
  <si>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</si>
  <si>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</si>
  <si>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</si>
  <si>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</si>
  <si>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</si>
  <si>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</si>
  <si>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</si>
  <si>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</si>
  <si>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</si>
  <si>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</si>
  <si>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</si>
  <si>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</si>
  <si>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</si>
  <si>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</si>
  <si>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</si>
  <si>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</si>
  <si>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</si>
  <si>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</si>
  <si>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</si>
  <si>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</si>
  <si>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</si>
  <si>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</si>
  <si>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</si>
  <si>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</si>
  <si>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</si>
  <si>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</si>
  <si>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</si>
  <si>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</si>
  <si>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</si>
  <si>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</si>
  <si>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</si>
  <si>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</si>
  <si>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</si>
  <si>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</si>
  <si>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</si>
  <si>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</si>
  <si>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</si>
  <si>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</si>
  <si>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</si>
  <si>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</si>
  <si>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</si>
  <si>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</si>
  <si>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</si>
  <si>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</si>
  <si>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</si>
  <si>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</si>
  <si>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</si>
  <si>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</si>
  <si>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</si>
  <si>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</si>
  <si>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</si>
  <si>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</si>
  <si>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</si>
  <si>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</si>
  <si>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</si>
  <si>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</si>
  <si>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</si>
  <si>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</si>
  <si>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</si>
  <si>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</si>
  <si>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</si>
  <si>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</si>
  <si>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</si>
  <si>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</si>
  <si>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</si>
  <si>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</si>
  <si>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</si>
  <si>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</si>
  <si>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</si>
  <si>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</si>
  <si>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</si>
  <si>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</si>
  <si>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</si>
  <si>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</si>
  <si>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</si>
  <si>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</si>
  <si>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</si>
  <si>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</si>
  <si>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</si>
  <si>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</si>
  <si>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</si>
  <si>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</si>
  <si>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</si>
  <si>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</si>
  <si>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</si>
  <si>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</si>
  <si>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</si>
  <si>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</si>
  <si>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</si>
  <si>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</si>
  <si>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</si>
  <si>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</si>
  <si>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</si>
  <si>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</si>
  <si>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</si>
  <si>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</si>
  <si>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</si>
  <si>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</si>
  <si>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</si>
  <si>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</si>
  <si>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</si>
  <si>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</si>
  <si>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</si>
  <si>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</si>
  <si>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</si>
  <si>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</si>
  <si>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</si>
  <si>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</si>
  <si>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</si>
  <si>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</si>
  <si>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</si>
  <si>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</si>
  <si>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</si>
  <si>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</si>
  <si>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</si>
  <si>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</si>
  <si>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</si>
  <si>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</si>
  <si>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</si>
  <si>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</si>
  <si>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</si>
  <si>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</si>
  <si>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</si>
  <si>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</si>
  <si>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</si>
  <si>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</si>
  <si>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</si>
  <si>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</si>
  <si>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</si>
  <si>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</si>
  <si>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</si>
  <si>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</si>
  <si>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</si>
  <si>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</si>
  <si>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</si>
  <si>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</si>
  <si>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</si>
  <si>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</si>
  <si>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</si>
  <si>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</si>
  <si>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</si>
  <si>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</si>
  <si>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</si>
  <si>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</si>
  <si>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</si>
  <si>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</si>
  <si>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</si>
  <si>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</si>
  <si>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</si>
  <si>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</si>
  <si>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</si>
  <si>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</si>
  <si>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</si>
  <si>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</si>
  <si>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</si>
  <si>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</si>
  <si>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</si>
  <si>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</si>
  <si>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</si>
  <si>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</si>
  <si>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</si>
  <si>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</si>
  <si>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</si>
  <si>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</si>
  <si>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</si>
  <si>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</si>
  <si>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</si>
  <si>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</si>
  <si>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</si>
  <si>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</si>
  <si>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</si>
  <si>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</si>
  <si>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</si>
  <si>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</si>
  <si>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</si>
  <si>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</si>
  <si>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</si>
  <si>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</si>
  <si>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</si>
  <si>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</si>
  <si>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</si>
  <si>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</si>
  <si>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</si>
  <si>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</si>
  <si>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</si>
  <si>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</si>
  <si>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</si>
  <si>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</si>
  <si>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</si>
  <si>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</si>
  <si>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</si>
  <si>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</si>
  <si>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</si>
  <si>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</si>
  <si>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</si>
  <si>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</si>
  <si>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</si>
  <si>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</si>
  <si>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</si>
  <si>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</si>
  <si>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</si>
  <si>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</si>
  <si>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</si>
  <si>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</si>
  <si>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</si>
  <si>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</si>
  <si>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</si>
  <si>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</si>
  <si>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</si>
  <si>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</si>
  <si>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</si>
  <si>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</si>
  <si>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</si>
  <si>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</si>
  <si>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</si>
  <si>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</si>
  <si>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</si>
  <si>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</si>
  <si>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</si>
  <si>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</si>
  <si>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</si>
  <si>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</si>
  <si>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</si>
  <si>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</si>
  <si>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</si>
  <si>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</si>
  <si>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</si>
  <si>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</si>
  <si>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</si>
  <si>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</si>
  <si>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</si>
  <si>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</si>
  <si>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</si>
  <si>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</si>
  <si>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</si>
  <si>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</si>
  <si>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</si>
  <si>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</si>
  <si>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</si>
  <si>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</si>
  <si>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</si>
  <si>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</si>
  <si>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</si>
  <si>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</si>
  <si>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</si>
  <si>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</si>
  <si>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</si>
  <si>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</si>
  <si>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</si>
  <si>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</si>
  <si>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</si>
  <si>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</si>
  <si>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</si>
  <si>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</si>
  <si>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</si>
  <si>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</si>
  <si>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</si>
  <si>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</si>
  <si>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</si>
  <si>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</si>
  <si>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</si>
  <si>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</si>
  <si>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</si>
  <si>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</si>
  <si>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</si>
  <si>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</si>
  <si>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</si>
  <si>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</si>
  <si>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</si>
  <si>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</si>
  <si>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</si>
  <si>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</si>
  <si>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</si>
  <si>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</si>
  <si>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</si>
  <si>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</si>
  <si>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</si>
  <si>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</si>
  <si>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</si>
  <si>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</si>
  <si>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</si>
  <si>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</si>
  <si>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</si>
  <si>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</si>
  <si>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</si>
  <si>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</si>
  <si>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</si>
  <si>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</si>
  <si>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</si>
  <si>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</si>
  <si>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</si>
  <si>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</si>
  <si>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</si>
  <si>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</si>
  <si>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</si>
  <si>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</si>
  <si>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</si>
  <si>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</si>
  <si>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</si>
  <si>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</si>
  <si>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</si>
  <si>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</si>
  <si>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</si>
  <si>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</si>
  <si>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</si>
  <si>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</si>
  <si>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</si>
  <si>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</si>
  <si>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</si>
  <si>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</si>
  <si>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</si>
  <si>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</si>
  <si>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</si>
  <si>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</si>
  <si>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</si>
  <si>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</si>
  <si>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</si>
  <si>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</si>
  <si>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</si>
  <si>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</si>
  <si>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</si>
  <si>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</si>
  <si>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</si>
  <si>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</si>
  <si>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</si>
  <si>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</si>
  <si>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</si>
  <si>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</si>
  <si>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</si>
  <si>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</si>
  <si>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</si>
  <si>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</si>
  <si>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</si>
  <si>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</si>
  <si>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</si>
  <si>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</si>
  <si>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</si>
  <si>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</si>
  <si>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</si>
  <si>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</si>
  <si>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</si>
  <si>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</si>
  <si>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</si>
  <si>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</si>
  <si>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</si>
  <si>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</si>
  <si>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</si>
  <si>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</si>
  <si>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</si>
  <si>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</si>
  <si>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</si>
  <si>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</si>
  <si>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</si>
  <si>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</si>
  <si>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</si>
  <si>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</si>
  <si>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</si>
  <si>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</si>
  <si>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</si>
  <si>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</si>
  <si>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</si>
  <si>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</si>
  <si>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</si>
  <si>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</si>
  <si>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</si>
  <si>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</si>
  <si>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</si>
  <si>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</si>
  <si>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</si>
  <si>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</si>
  <si>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</si>
  <si>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</si>
  <si>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</si>
  <si>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</si>
  <si>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</si>
  <si>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</si>
  <si>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</si>
  <si>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</si>
  <si>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</si>
  <si>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</si>
  <si>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</si>
  <si>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</si>
  <si>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</si>
  <si>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</si>
  <si>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</si>
  <si>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</si>
  <si>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</si>
  <si>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</si>
  <si>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</si>
  <si>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</si>
  <si>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</si>
  <si>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</si>
  <si>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</si>
  <si>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</si>
  <si>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</si>
  <si>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</si>
  <si>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</si>
  <si>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</si>
  <si>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</si>
  <si>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</si>
  <si>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</si>
  <si>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</si>
  <si>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</si>
  <si>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</si>
  <si>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</si>
  <si>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</si>
  <si>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</si>
  <si>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</si>
  <si>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</si>
  <si>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</si>
  <si>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</si>
  <si>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</si>
  <si>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</si>
  <si>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</si>
  <si>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</si>
  <si>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</si>
  <si>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</si>
  <si>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</si>
  <si>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</si>
  <si>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</si>
  <si>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</si>
  <si>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</si>
  <si>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</si>
  <si>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</si>
  <si>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</si>
  <si>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</si>
  <si>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</si>
  <si>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</si>
  <si>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</si>
  <si>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</si>
  <si>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</si>
  <si>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</si>
  <si>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</si>
  <si>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</si>
  <si>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</si>
  <si>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</si>
  <si>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</si>
  <si>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</si>
  <si>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</si>
  <si>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</si>
  <si>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</si>
  <si>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</si>
  <si>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</si>
  <si>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</si>
  <si>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</si>
  <si>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</si>
  <si>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</si>
  <si>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</si>
  <si>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</si>
  <si>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</si>
  <si>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</si>
  <si>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</si>
  <si>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</si>
  <si>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</si>
  <si>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</si>
  <si>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</si>
  <si>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</si>
  <si>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</si>
  <si>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</si>
  <si>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</si>
  <si>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</si>
  <si>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</si>
  <si>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</si>
  <si>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</si>
  <si>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</si>
  <si>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</si>
  <si>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</si>
  <si>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</si>
  <si>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</si>
  <si>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</si>
  <si>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</si>
  <si>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</si>
  <si>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</si>
  <si>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</si>
  <si>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</si>
  <si>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</si>
  <si>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</si>
  <si>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</si>
  <si>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</si>
  <si>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</si>
  <si>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</si>
  <si>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</si>
  <si>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</si>
  <si>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</si>
  <si>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</si>
  <si>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</si>
  <si>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</si>
  <si>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</si>
  <si>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</si>
  <si>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</si>
  <si>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</si>
  <si>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</si>
  <si>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</si>
  <si>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</si>
  <si>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</si>
  <si>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</si>
  <si>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</si>
  <si>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</si>
  <si>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</si>
  <si>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</si>
  <si>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</si>
  <si>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</si>
  <si>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</si>
  <si>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</si>
  <si>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</si>
  <si>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</si>
  <si>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</si>
  <si>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</si>
  <si>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</si>
  <si>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</si>
  <si>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</si>
  <si>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</si>
  <si>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</si>
  <si>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</si>
  <si>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</si>
  <si>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</si>
  <si>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</si>
  <si>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</si>
  <si>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</si>
  <si>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</si>
  <si>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</si>
  <si>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</si>
  <si>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</si>
  <si>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</si>
  <si>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</si>
  <si>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</si>
  <si>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</si>
  <si>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</si>
  <si>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</si>
  <si>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</si>
  <si>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</si>
  <si>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</si>
  <si>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</si>
  <si>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</si>
  <si>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</si>
  <si>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</si>
  <si>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</si>
  <si>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</si>
  <si>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</si>
  <si>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</si>
  <si>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</si>
  <si>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</si>
  <si>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</si>
  <si>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</si>
  <si>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</si>
  <si>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</si>
  <si>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</si>
  <si>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</si>
  <si>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</si>
  <si>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</si>
  <si>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</si>
  <si>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</si>
  <si>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</si>
  <si>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</si>
  <si>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</si>
  <si>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</si>
  <si>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</si>
  <si>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</si>
  <si>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</si>
  <si>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</si>
  <si>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</si>
  <si>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</si>
  <si>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</si>
  <si>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</si>
  <si>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</si>
  <si>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</si>
  <si>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</si>
  <si>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</si>
  <si>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</si>
  <si>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</si>
  <si>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</si>
  <si>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</si>
  <si>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</si>
  <si>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</si>
  <si>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</si>
  <si>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</si>
  <si>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</si>
  <si>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</si>
  <si>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</si>
  <si>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</si>
  <si>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</si>
  <si>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</si>
  <si>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</si>
  <si>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</si>
  <si>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</si>
  <si>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</si>
  <si>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</si>
  <si>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</si>
  <si>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</si>
  <si>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</si>
  <si>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</si>
  <si>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</si>
  <si>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</si>
  <si>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</si>
  <si>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</si>
  <si>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</si>
  <si>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</si>
  <si>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</si>
  <si>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</si>
  <si>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</si>
  <si>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</si>
  <si>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</si>
  <si>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</si>
  <si>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</si>
  <si>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</si>
  <si>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</si>
  <si>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</si>
  <si>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</si>
  <si>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</si>
  <si>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</si>
  <si>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</si>
  <si>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</si>
  <si>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</si>
  <si>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</si>
  <si>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</si>
  <si>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</si>
  <si>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</si>
  <si>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</si>
  <si>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</si>
  <si>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</si>
  <si>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</si>
  <si>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</si>
  <si>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</si>
  <si>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</si>
  <si>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</si>
  <si>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</si>
  <si>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</si>
  <si>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</si>
  <si>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</si>
  <si>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</si>
  <si>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</si>
  <si>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</si>
  <si>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</si>
  <si>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</si>
  <si>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</si>
  <si>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</si>
  <si>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</si>
  <si>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</si>
  <si>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</si>
  <si>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</si>
  <si>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</si>
  <si>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</si>
  <si>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</si>
  <si>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</si>
  <si>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</si>
  <si>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</si>
  <si>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</si>
  <si>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</si>
  <si>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</si>
  <si>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</si>
  <si>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</si>
  <si>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</si>
  <si>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</si>
  <si>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</si>
  <si>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</si>
  <si>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</si>
  <si>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</si>
  <si>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</si>
  <si>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</si>
  <si>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</si>
  <si>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</si>
  <si>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</si>
  <si>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</si>
  <si>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</si>
  <si>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</si>
  <si>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</si>
  <si>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</si>
  <si>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</si>
  <si>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</si>
  <si>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</si>
  <si>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</si>
  <si>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</si>
  <si>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</si>
  <si>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</si>
  <si>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</si>
  <si>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</si>
  <si>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</si>
  <si>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</si>
  <si>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</si>
  <si>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</si>
  <si>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</si>
  <si>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</si>
  <si>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</si>
  <si>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</si>
  <si>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</si>
  <si>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</si>
  <si>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</si>
  <si>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</si>
  <si>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</si>
  <si>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</si>
  <si>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</si>
  <si>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</si>
  <si>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</si>
  <si>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</si>
  <si>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</si>
  <si>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</si>
  <si>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</si>
  <si>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</si>
  <si>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</si>
  <si>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</si>
  <si>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</si>
  <si>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</si>
  <si>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</si>
  <si>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</si>
  <si>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</si>
  <si>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</si>
  <si>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</si>
  <si>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</si>
  <si>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</si>
  <si>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</si>
  <si>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</si>
  <si>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</si>
  <si>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</si>
  <si>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</si>
  <si>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</si>
  <si>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</si>
  <si>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</si>
  <si>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</si>
  <si>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</si>
  <si>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</si>
  <si>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</si>
  <si>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</si>
  <si>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</si>
  <si>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</si>
  <si>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</si>
  <si>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</si>
  <si>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</si>
  <si>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</si>
  <si>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</si>
  <si>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</si>
  <si>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</si>
  <si>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</si>
  <si>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</si>
  <si>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</si>
  <si>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</si>
  <si>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</si>
  <si>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</si>
  <si>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</si>
  <si>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</si>
  <si>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</si>
  <si>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</si>
  <si>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</si>
  <si>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</si>
  <si>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</si>
  <si>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</si>
  <si>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</si>
  <si>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</si>
  <si>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</si>
  <si>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</si>
  <si>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</si>
  <si>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</si>
  <si>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</si>
  <si>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</si>
  <si>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</si>
  <si>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</si>
  <si>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</si>
  <si>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</si>
  <si>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</si>
  <si>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</si>
  <si>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</si>
  <si>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</si>
  <si>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</si>
  <si>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</si>
  <si>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</si>
  <si>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</si>
  <si>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</si>
  <si>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</si>
  <si>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</si>
  <si>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</si>
  <si>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</si>
  <si>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</si>
  <si>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</si>
  <si>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</si>
  <si>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</si>
  <si>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</si>
  <si>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</si>
  <si>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</si>
  <si>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</si>
  <si>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</si>
  <si>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</si>
  <si>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</si>
  <si>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</si>
  <si>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</si>
  <si>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</si>
  <si>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</si>
  <si>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</si>
  <si>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</si>
  <si>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</si>
  <si>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</si>
  <si>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</si>
  <si>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</si>
  <si>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</si>
  <si>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</si>
  <si>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</si>
  <si>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</si>
  <si>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</si>
  <si>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</si>
  <si>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</si>
  <si>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</si>
  <si>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</si>
  <si>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</si>
  <si>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</si>
  <si>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</si>
  <si>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</si>
  <si>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</si>
  <si>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</si>
  <si>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</si>
  <si>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</si>
  <si>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</si>
  <si>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</si>
  <si>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</si>
  <si>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</si>
  <si>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</si>
  <si>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</si>
  <si>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</si>
  <si>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</si>
  <si>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</si>
  <si>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</si>
  <si>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</si>
  <si>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</si>
  <si>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</si>
  <si>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</si>
  <si>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</si>
  <si>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</si>
  <si>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</si>
  <si>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</si>
  <si>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</si>
  <si>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</si>
  <si>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</si>
  <si>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</si>
  <si>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</si>
  <si>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</si>
  <si>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</si>
  <si>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</si>
  <si>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</si>
  <si>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</si>
  <si>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</si>
  <si>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</si>
  <si>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</si>
  <si>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</si>
  <si>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</si>
  <si>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</si>
  <si>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</si>
  <si>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</si>
  <si>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</si>
  <si>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</si>
  <si>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</si>
  <si>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</si>
  <si>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</si>
  <si>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</si>
  <si>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</si>
  <si>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</si>
  <si>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</si>
  <si>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</si>
  <si>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</si>
  <si>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</si>
  <si>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</si>
  <si>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</si>
  <si>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</si>
  <si>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</si>
  <si>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</si>
  <si>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</si>
  <si>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</si>
  <si>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</si>
  <si>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</si>
  <si>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</si>
  <si>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</si>
  <si>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</si>
  <si>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</si>
  <si>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</si>
  <si>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</si>
  <si>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</si>
  <si>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</si>
  <si>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</si>
  <si>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</si>
  <si>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</si>
  <si>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</si>
  <si>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</si>
  <si>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</si>
  <si>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</si>
  <si>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</si>
  <si>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</si>
  <si>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</si>
  <si>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</si>
  <si>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</si>
  <si>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</si>
  <si>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</si>
  <si>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</si>
  <si>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</si>
  <si>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</si>
  <si>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</si>
  <si>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</si>
  <si>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</si>
  <si>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</si>
  <si>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</si>
  <si>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</si>
  <si>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</si>
  <si>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</si>
  <si>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</si>
  <si>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</si>
  <si>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</si>
  <si>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</si>
  <si>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</si>
  <si>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</si>
  <si>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</si>
  <si>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</si>
  <si>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</si>
  <si>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</si>
  <si>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</si>
  <si>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</si>
  <si>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</si>
  <si>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</si>
  <si>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</si>
  <si>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</si>
  <si>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</si>
  <si>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</si>
  <si>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</si>
  <si>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</si>
  <si>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</si>
  <si>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</si>
  <si>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</si>
  <si>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</si>
  <si>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</si>
  <si>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</si>
  <si>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</si>
  <si>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</si>
  <si>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</si>
  <si>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</si>
  <si>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</si>
  <si>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</si>
  <si>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</si>
  <si>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</si>
  <si>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</si>
  <si>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</si>
  <si>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</si>
  <si>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</si>
  <si>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</si>
  <si>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</si>
  <si>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</si>
  <si>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</si>
  <si>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</si>
  <si>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</si>
  <si>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</si>
  <si>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</si>
  <si>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</si>
  <si>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</si>
  <si>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</si>
  <si>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</si>
  <si>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</si>
  <si>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</si>
  <si>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</si>
  <si>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</si>
  <si>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</si>
  <si>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</si>
  <si>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</si>
  <si>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</si>
  <si>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</si>
  <si>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</si>
  <si>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</si>
  <si>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</si>
  <si>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</si>
  <si>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</si>
  <si>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</si>
  <si>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</si>
  <si>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</si>
  <si>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</si>
  <si>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</si>
  <si>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</si>
  <si>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</si>
  <si>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</si>
  <si>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</si>
  <si>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</si>
  <si>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</si>
  <si>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</si>
  <si>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</si>
  <si>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</si>
  <si>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</si>
  <si>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</si>
  <si>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</si>
  <si>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</si>
  <si>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</si>
  <si>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</si>
  <si>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</si>
  <si>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</si>
  <si>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</si>
  <si>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</si>
  <si>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</si>
  <si>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</si>
  <si>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</si>
  <si>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</si>
  <si>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</si>
  <si>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</si>
  <si>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</si>
  <si>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</si>
  <si>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</si>
  <si>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</si>
  <si>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</si>
  <si>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</si>
  <si>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</si>
  <si>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</si>
  <si>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</si>
  <si>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</si>
  <si>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</si>
  <si>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</si>
  <si>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</si>
  <si>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</si>
  <si>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</si>
  <si>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</si>
  <si>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</si>
  <si>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</si>
  <si>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</si>
  <si>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</si>
  <si>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</si>
  <si>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</si>
  <si>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</si>
  <si>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</si>
  <si>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</si>
  <si>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</si>
  <si>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</si>
  <si>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</si>
  <si>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</si>
  <si>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</si>
  <si>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</si>
  <si>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</si>
  <si>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</si>
  <si>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</si>
  <si>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</si>
  <si>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</si>
  <si>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</si>
  <si>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</si>
  <si>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</si>
  <si>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</si>
  <si>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</si>
  <si>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</si>
  <si>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</si>
  <si>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</si>
  <si>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</si>
  <si>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</si>
  <si>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</si>
  <si>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</si>
  <si>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</si>
  <si>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</si>
  <si>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</si>
  <si>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</si>
  <si>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</si>
  <si>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</si>
  <si>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</si>
  <si>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</si>
  <si>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</si>
  <si>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</si>
  <si>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</si>
  <si>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</si>
  <si>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</si>
  <si>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</si>
  <si>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</si>
  <si>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</si>
  <si>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</si>
  <si>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</si>
  <si>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</si>
  <si>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</si>
  <si>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</si>
  <si>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</si>
  <si>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</si>
  <si>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</si>
  <si>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</si>
  <si>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</si>
  <si>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</si>
  <si>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</si>
  <si>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</si>
  <si>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</si>
  <si>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</si>
  <si>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</si>
  <si>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</si>
  <si>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</si>
  <si>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</si>
  <si>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</si>
  <si>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</si>
  <si>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</si>
  <si>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</si>
  <si>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</si>
  <si>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</si>
  <si>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</si>
  <si>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</si>
  <si>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</si>
  <si>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</si>
  <si>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</si>
  <si>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</si>
  <si>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</si>
  <si>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</si>
  <si>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</si>
  <si>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</si>
  <si>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</si>
  <si>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</si>
  <si>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</si>
  <si>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</si>
  <si>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</si>
  <si>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</si>
  <si>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</si>
  <si>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</si>
  <si>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</si>
  <si>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</si>
  <si>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</si>
  <si>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</si>
  <si>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</si>
  <si>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</si>
  <si>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</si>
  <si>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</si>
  <si>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</si>
  <si>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</si>
  <si>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</si>
  <si>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</si>
  <si>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</si>
  <si>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</si>
  <si>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</si>
  <si>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</si>
  <si>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</si>
  <si>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</si>
  <si>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</si>
  <si>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</si>
  <si>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</si>
  <si>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</si>
  <si>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</si>
  <si>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</si>
  <si>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</si>
  <si>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</si>
  <si>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</si>
  <si>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</si>
  <si>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</si>
  <si>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</si>
  <si>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</si>
  <si>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</si>
  <si>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</si>
  <si>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</si>
  <si>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</si>
  <si>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</si>
  <si>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</si>
  <si>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</si>
  <si>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</si>
  <si>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</si>
  <si>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</si>
  <si>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</si>
  <si>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</si>
  <si>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</si>
  <si>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</si>
  <si>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</si>
  <si>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</si>
  <si>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</si>
  <si>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</si>
  <si>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</si>
  <si>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</si>
  <si>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</si>
  <si>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</si>
  <si>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</si>
  <si>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</si>
  <si>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</si>
  <si>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</si>
  <si>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</si>
  <si>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</si>
  <si>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</si>
  <si>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</si>
  <si>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</si>
  <si>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</si>
  <si>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</si>
  <si>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</si>
  <si>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</si>
  <si>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</si>
  <si>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</si>
  <si>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</si>
  <si>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</si>
  <si>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</si>
  <si>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</si>
  <si>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</si>
  <si>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</si>
  <si>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</si>
  <si>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</si>
  <si>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</si>
  <si>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</si>
  <si>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</si>
  <si>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</si>
  <si>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</si>
  <si>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</si>
  <si>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</si>
  <si>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</si>
  <si>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</si>
  <si>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</si>
  <si>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</si>
  <si>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</si>
  <si>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</si>
  <si>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</si>
  <si>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</si>
  <si>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</si>
  <si>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</si>
  <si>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</si>
  <si>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</si>
  <si>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</si>
  <si>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</si>
  <si>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</si>
  <si>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</si>
  <si>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</si>
  <si>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</si>
  <si>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</si>
  <si>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</si>
  <si>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</si>
  <si>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</si>
  <si>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</si>
  <si>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</si>
  <si>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</si>
  <si>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</si>
  <si>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</si>
  <si>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</si>
  <si>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</si>
  <si>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</si>
  <si>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</si>
  <si>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</si>
  <si>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</si>
  <si>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</si>
  <si>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</si>
  <si>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</si>
  <si>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</si>
  <si>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</si>
  <si>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</si>
  <si>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</si>
  <si>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</si>
  <si>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</si>
  <si>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</si>
  <si>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</si>
  <si>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</si>
  <si>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</si>
  <si>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</si>
  <si>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</si>
  <si>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</si>
  <si>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</si>
  <si>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</si>
  <si>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</si>
  <si>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</si>
  <si>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</si>
  <si>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</si>
  <si>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</si>
  <si>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</si>
  <si>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</si>
  <si>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</si>
  <si>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</si>
  <si>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</si>
  <si>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</si>
  <si>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</si>
  <si>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</si>
  <si>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</si>
  <si>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</si>
  <si>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</si>
  <si>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</si>
  <si>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</si>
  <si>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</si>
  <si>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</si>
  <si>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</si>
  <si>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</si>
  <si>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</si>
  <si>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</si>
  <si>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</si>
  <si>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</si>
  <si>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</si>
  <si>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</si>
  <si>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</si>
  <si>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</si>
  <si>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</si>
  <si>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</si>
  <si>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</si>
  <si>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</si>
  <si>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</si>
  <si>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</si>
  <si>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</si>
  <si>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</si>
  <si>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</si>
  <si>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</si>
  <si>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</si>
  <si>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</si>
  <si>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</si>
  <si>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</si>
  <si>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</si>
  <si>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</si>
  <si>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</si>
  <si>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</si>
  <si>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</si>
  <si>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</si>
  <si>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</si>
  <si>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</si>
  <si>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</si>
  <si>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</si>
  <si>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</si>
  <si>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</si>
  <si>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</si>
  <si>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</si>
  <si>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</si>
  <si>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</si>
  <si>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</si>
  <si>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</si>
  <si>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</si>
  <si>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</si>
  <si>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</si>
  <si>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</si>
  <si>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</si>
  <si>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</si>
  <si>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</si>
  <si>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</si>
  <si>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</si>
  <si>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</si>
  <si>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</si>
  <si>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</si>
  <si>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</si>
  <si>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</si>
  <si>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</si>
  <si>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</si>
  <si>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</si>
  <si>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</si>
  <si>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</si>
  <si>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</si>
  <si>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</si>
  <si>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</si>
  <si>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</si>
  <si>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</si>
  <si>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</si>
  <si>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</si>
  <si>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</si>
  <si>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</si>
  <si>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</si>
  <si>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</si>
  <si>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</si>
  <si>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</si>
  <si>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</si>
  <si>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</si>
  <si>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</si>
  <si>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</si>
  <si>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</si>
  <si>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</si>
  <si>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</si>
  <si>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</si>
  <si>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</si>
  <si>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</si>
  <si>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</si>
  <si>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</si>
  <si>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</si>
  <si>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</si>
  <si>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</si>
  <si>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</si>
  <si>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</si>
  <si>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</si>
  <si>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</si>
  <si>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</si>
  <si>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</si>
  <si>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</si>
  <si>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</si>
  <si>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</si>
  <si>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</si>
  <si>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</si>
  <si>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</si>
  <si>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</si>
  <si>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</si>
  <si>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</si>
  <si>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</si>
  <si>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</si>
  <si>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</si>
  <si>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</si>
  <si>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</si>
  <si>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</si>
  <si>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</si>
  <si>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</si>
  <si>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</si>
  <si>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</si>
  <si>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</si>
  <si>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</si>
  <si>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</si>
  <si>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</si>
  <si>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</si>
  <si>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</si>
  <si>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</si>
  <si>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</si>
  <si>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</si>
  <si>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</si>
  <si>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</si>
  <si>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</si>
  <si>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</si>
  <si>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</si>
  <si>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</si>
  <si>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</si>
  <si>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</si>
  <si>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</si>
  <si>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</si>
  <si>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</si>
  <si>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</si>
  <si>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</si>
  <si>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</si>
  <si>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</si>
  <si>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</si>
  <si>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</si>
  <si>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</si>
  <si>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</si>
  <si>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</si>
  <si>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</si>
  <si>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</si>
  <si>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</si>
  <si>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</si>
  <si>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</si>
  <si>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</si>
  <si>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</si>
  <si>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</si>
  <si>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</si>
  <si>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</si>
  <si>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</si>
  <si>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</si>
  <si>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</si>
  <si>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</si>
  <si>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</si>
  <si>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</si>
  <si>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</si>
  <si>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</si>
  <si>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</si>
  <si>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</si>
  <si>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</si>
  <si>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</si>
  <si>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</si>
  <si>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</si>
  <si>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</si>
  <si>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</si>
  <si>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</si>
  <si>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</si>
  <si>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</si>
  <si>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</si>
  <si>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</si>
  <si>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</si>
  <si>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</si>
  <si>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</si>
  <si>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</si>
  <si>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</si>
  <si>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</si>
  <si>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</si>
  <si>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</si>
  <si>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</si>
  <si>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</si>
  <si>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</si>
  <si>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</si>
  <si>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</si>
  <si>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</si>
  <si>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</si>
  <si>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</si>
  <si>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</si>
  <si>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</si>
  <si>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</si>
  <si>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</si>
  <si>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</si>
  <si>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</si>
  <si>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</si>
  <si>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</si>
  <si>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</si>
  <si>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</si>
  <si>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</si>
  <si>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</si>
  <si>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</si>
  <si>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</si>
  <si>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</si>
  <si>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</si>
  <si>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</si>
  <si>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</si>
  <si>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</si>
  <si>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</si>
  <si>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</si>
  <si>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</si>
  <si>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</si>
  <si>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</si>
  <si>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</si>
  <si>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</si>
  <si>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</si>
  <si>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</si>
  <si>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</si>
  <si>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</si>
  <si>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</si>
  <si>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</si>
  <si>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</si>
  <si>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</si>
  <si>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</si>
  <si>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</si>
  <si>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</si>
  <si>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</si>
  <si>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</si>
  <si>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</si>
  <si>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</si>
  <si>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</si>
  <si>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</si>
  <si>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</si>
  <si>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</si>
  <si>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</si>
  <si>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</si>
  <si>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</si>
  <si>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</si>
  <si>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</si>
  <si>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</si>
  <si>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</si>
  <si>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</si>
  <si>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</si>
  <si>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</si>
  <si>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</si>
  <si>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</si>
  <si>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</si>
  <si>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</si>
  <si>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</si>
  <si>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</si>
  <si>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</si>
  <si>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</si>
  <si>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</si>
  <si>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</si>
  <si>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</si>
  <si>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</si>
  <si>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</si>
  <si>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</si>
  <si>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</si>
  <si>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</si>
  <si>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</si>
  <si>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</si>
  <si>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</si>
  <si>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</si>
  <si>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</si>
  <si>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</si>
  <si>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</si>
  <si>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</si>
  <si>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</si>
  <si>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</si>
  <si>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</si>
  <si>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</si>
  <si>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</si>
  <si>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</si>
  <si>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</si>
  <si>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</si>
  <si>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</si>
  <si>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</si>
  <si>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</si>
  <si>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</si>
  <si>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</si>
  <si>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</si>
  <si>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</si>
  <si>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</si>
  <si>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</si>
  <si>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</si>
  <si>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</si>
  <si>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</si>
  <si>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</si>
  <si>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</si>
  <si>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</si>
  <si>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</si>
  <si>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</si>
  <si>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</si>
  <si>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</si>
  <si>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</si>
  <si>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</si>
  <si>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</si>
  <si>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</si>
  <si>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</si>
  <si>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</si>
  <si>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</si>
  <si>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</si>
  <si>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</si>
  <si>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</si>
  <si>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</si>
  <si>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</si>
  <si>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</si>
  <si>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</si>
  <si>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</si>
  <si>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</si>
  <si>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</si>
  <si>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</si>
  <si>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</si>
  <si>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</si>
  <si>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</si>
  <si>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</si>
  <si>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</si>
  <si>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</si>
  <si>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</si>
  <si>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</si>
  <si>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</si>
  <si>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</si>
  <si>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</si>
  <si>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</si>
  <si>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</si>
  <si>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</si>
  <si>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</si>
  <si>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</si>
  <si>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</si>
  <si>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</si>
  <si>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</si>
  <si>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</si>
  <si>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</si>
  <si>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</si>
  <si>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</si>
  <si>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</si>
  <si>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</si>
  <si>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</si>
  <si>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</si>
  <si>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</si>
  <si>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</si>
  <si>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</si>
  <si>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</si>
  <si>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</si>
  <si>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</si>
  <si>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</si>
  <si>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</si>
  <si>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</si>
  <si>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</si>
  <si>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</si>
  <si>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</si>
  <si>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</si>
  <si>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</si>
  <si>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</si>
  <si>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</si>
  <si>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</si>
  <si>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</si>
  <si>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</si>
  <si>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</si>
  <si>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</si>
  <si>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</si>
  <si>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</si>
  <si>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</si>
  <si>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</si>
  <si>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</si>
  <si>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</si>
  <si>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</si>
  <si>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</si>
  <si>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</si>
  <si>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</si>
  <si>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</si>
  <si>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</si>
  <si>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</si>
  <si>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</si>
  <si>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</si>
  <si>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</si>
  <si>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</si>
  <si>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</si>
  <si>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</si>
  <si>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</si>
  <si>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</si>
  <si>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</si>
  <si>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</si>
  <si>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</si>
  <si>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</si>
  <si>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</si>
  <si>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</si>
  <si>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</si>
  <si>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</si>
  <si>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</si>
  <si>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</si>
  <si>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</si>
  <si>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</si>
  <si>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</si>
  <si>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</si>
  <si>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</si>
  <si>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</si>
  <si>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</si>
  <si>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</si>
  <si>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</si>
  <si>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</si>
  <si>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</si>
  <si>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</si>
  <si>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</si>
  <si>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</si>
  <si>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</si>
  <si>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</si>
  <si>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</si>
  <si>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</si>
  <si>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</si>
  <si>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</si>
  <si>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</si>
  <si>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</si>
  <si>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</si>
  <si>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</si>
  <si>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</si>
  <si>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</si>
  <si>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</si>
  <si>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</si>
  <si>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</si>
  <si>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</si>
  <si>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</si>
  <si>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</si>
  <si>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</si>
  <si>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</si>
  <si>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</si>
  <si>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</si>
  <si>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</si>
  <si>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</si>
  <si>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</si>
  <si>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</si>
  <si>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</si>
  <si>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</si>
  <si>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</si>
  <si>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</si>
  <si>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</si>
  <si>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</si>
  <si>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</si>
  <si>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</si>
  <si>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</si>
  <si>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</si>
  <si>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</si>
  <si>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</si>
  <si>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</si>
  <si>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</si>
  <si>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</si>
  <si>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</si>
  <si>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</si>
  <si>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</si>
  <si>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</si>
  <si>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</si>
  <si>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</si>
  <si>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</si>
  <si>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</si>
  <si>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</si>
  <si>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</si>
  <si>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</si>
  <si>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</si>
  <si>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</si>
  <si>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</si>
  <si>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</si>
  <si>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</si>
  <si>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</si>
  <si>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</si>
  <si>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</si>
  <si>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</si>
  <si>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</si>
  <si>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</si>
  <si>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</si>
  <si>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</si>
  <si>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</si>
  <si>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</si>
  <si>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</si>
  <si>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</si>
  <si>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</si>
  <si>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</si>
  <si>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</si>
  <si>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</si>
  <si>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</si>
  <si>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</si>
  <si>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</si>
  <si>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</si>
  <si>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</si>
  <si>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</si>
  <si>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</si>
  <si>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</si>
  <si>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</si>
  <si>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</si>
  <si>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</si>
  <si>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</si>
  <si>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</si>
  <si>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</si>
  <si>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</si>
  <si>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</si>
  <si>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</si>
  <si>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</si>
  <si>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</si>
  <si>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</si>
  <si>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</si>
  <si>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</si>
  <si>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</si>
  <si>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</si>
  <si>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</si>
  <si>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</si>
  <si>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</si>
  <si>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</si>
  <si>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</si>
  <si>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</si>
  <si>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</si>
  <si>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</si>
  <si>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</si>
  <si>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</si>
  <si>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</si>
  <si>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</si>
  <si>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</si>
  <si>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</si>
  <si>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</si>
  <si>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</si>
  <si>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</si>
  <si>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</si>
  <si>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</si>
  <si>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</si>
  <si>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</si>
  <si>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</si>
  <si>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</si>
  <si>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</si>
  <si>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</si>
  <si>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</si>
  <si>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</si>
  <si>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</si>
  <si>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</si>
  <si>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</si>
  <si>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</si>
  <si>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</si>
  <si>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</si>
  <si>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</si>
  <si>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</si>
  <si>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</si>
  <si>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</si>
  <si>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</si>
  <si>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</si>
  <si>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</si>
  <si>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</si>
  <si>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</si>
  <si>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</si>
  <si>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</si>
  <si>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</si>
  <si>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</si>
  <si>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</si>
  <si>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</si>
  <si>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</si>
  <si>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</si>
  <si>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</si>
  <si>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</si>
  <si>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</si>
  <si>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</si>
  <si>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</si>
  <si>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</si>
  <si>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</si>
  <si>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</si>
  <si>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</si>
  <si>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</si>
  <si>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</si>
  <si>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</si>
  <si>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</si>
  <si>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</si>
  <si>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</si>
  <si>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</si>
  <si>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</si>
  <si>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</si>
  <si>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</si>
  <si>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</si>
  <si>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</si>
  <si>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</si>
  <si>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</si>
  <si>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</si>
  <si>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</si>
  <si>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</si>
  <si>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</si>
  <si>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</si>
  <si>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</si>
  <si>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</si>
  <si>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</si>
  <si>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</si>
  <si>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</si>
  <si>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</si>
  <si>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</si>
  <si>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</si>
  <si>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</si>
  <si>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</si>
  <si>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</si>
  <si>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</si>
  <si>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</si>
  <si>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</si>
  <si>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</si>
  <si>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</si>
  <si>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</si>
  <si>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</si>
  <si>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</si>
  <si>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</si>
  <si>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</si>
  <si>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</si>
  <si>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</si>
  <si>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</si>
  <si>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</si>
  <si>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</si>
  <si>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</si>
  <si>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</si>
  <si>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</si>
  <si>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</si>
  <si>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</si>
  <si>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</si>
  <si>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</si>
  <si>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</si>
  <si>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</si>
  <si>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</si>
  <si>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</si>
  <si>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</si>
  <si>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</si>
  <si>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</si>
  <si>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</si>
  <si>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</si>
  <si>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</si>
  <si>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</si>
  <si>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</si>
  <si>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</si>
  <si>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</si>
  <si>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</si>
  <si>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</si>
  <si>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</si>
  <si>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</si>
  <si>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</si>
  <si>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</si>
  <si>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</si>
  <si>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</si>
  <si>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</si>
  <si>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</si>
  <si>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</si>
  <si>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</si>
  <si>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</si>
  <si>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</si>
  <si>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</si>
  <si>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</si>
  <si>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</si>
  <si>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</si>
  <si>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</si>
  <si>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</si>
  <si>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</si>
  <si>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</si>
  <si>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</si>
  <si>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</si>
  <si>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</si>
  <si>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</si>
  <si>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</si>
  <si>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</si>
  <si>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</si>
  <si>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</si>
  <si>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</si>
  <si>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</si>
  <si>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</si>
  <si>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</si>
  <si>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</si>
  <si>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</si>
  <si>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</si>
  <si>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</si>
  <si>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</si>
  <si>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</si>
  <si>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</si>
  <si>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</si>
  <si>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</si>
  <si>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</si>
  <si>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</si>
  <si>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</si>
  <si>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</si>
  <si>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</si>
  <si>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</si>
  <si>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</si>
  <si>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</si>
  <si>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</si>
  <si>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</si>
  <si>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</si>
  <si>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</si>
  <si>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</si>
  <si>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</si>
  <si>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</si>
  <si>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</si>
  <si>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</si>
  <si>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</si>
  <si>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</si>
  <si>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</si>
  <si>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</si>
  <si>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</si>
  <si>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</si>
  <si>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</si>
  <si>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</si>
  <si>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</si>
  <si>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</si>
  <si>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</si>
  <si>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</si>
  <si>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</si>
  <si>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</si>
  <si>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</si>
  <si>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</si>
  <si>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</si>
  <si>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</si>
  <si>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</si>
  <si>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</si>
  <si>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</si>
  <si>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</si>
  <si>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</si>
  <si>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</si>
  <si>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</si>
  <si>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</si>
  <si>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</si>
  <si>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</si>
  <si>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</si>
  <si>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</si>
  <si>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</si>
  <si>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</si>
  <si>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</si>
  <si>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</si>
  <si>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</si>
  <si>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</si>
  <si>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</si>
  <si>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</si>
  <si>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</si>
  <si>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</si>
  <si>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</si>
  <si>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</si>
  <si>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</si>
  <si>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</si>
  <si>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</si>
  <si>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</si>
  <si>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</si>
  <si>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</si>
  <si>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</si>
  <si>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</si>
  <si>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</si>
  <si>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</si>
  <si>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</si>
  <si>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</si>
  <si>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</si>
  <si>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</si>
  <si>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</si>
  <si>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</si>
  <si>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</si>
  <si>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</si>
  <si>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</si>
  <si>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</si>
  <si>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</si>
  <si>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</si>
  <si>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</si>
  <si>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</si>
  <si>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</si>
  <si>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</si>
  <si>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</si>
  <si>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</si>
  <si>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</si>
  <si>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</si>
  <si>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</si>
  <si>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</si>
  <si>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</si>
  <si>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</si>
  <si>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</si>
  <si>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</si>
  <si>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</si>
  <si>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</si>
  <si>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</si>
  <si>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</si>
  <si>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</si>
  <si>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</si>
  <si>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</si>
  <si>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</si>
  <si>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</si>
  <si>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</si>
  <si>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</si>
  <si>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</si>
  <si>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</si>
  <si>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</si>
  <si>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</si>
  <si>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</si>
  <si>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</si>
  <si>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</si>
  <si>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</si>
  <si>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</si>
  <si>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</si>
  <si>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</si>
  <si>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</si>
  <si>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</si>
  <si>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</si>
  <si>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</si>
  <si>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</si>
  <si>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</si>
  <si>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</si>
  <si>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</si>
  <si>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</si>
  <si>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</si>
  <si>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</si>
  <si>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</si>
  <si>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</si>
  <si>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</si>
  <si>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</si>
  <si>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</si>
  <si>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</si>
  <si>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</si>
  <si>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</si>
  <si>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</si>
  <si>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</si>
  <si>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</si>
  <si>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</si>
  <si>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</si>
  <si>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</si>
  <si>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</si>
  <si>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</si>
  <si>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</si>
  <si>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</si>
  <si>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</si>
  <si>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</si>
  <si>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</si>
  <si>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</si>
  <si>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</si>
  <si>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</si>
  <si>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</si>
  <si>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</si>
  <si>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</si>
  <si>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</si>
  <si>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</si>
  <si>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</si>
  <si>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</si>
  <si>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</si>
  <si>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</si>
  <si>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</si>
  <si>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</si>
  <si>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</si>
  <si>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</si>
  <si>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</si>
  <si>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</si>
  <si>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</si>
  <si>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</si>
  <si>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</si>
  <si>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</si>
  <si>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</si>
  <si>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</si>
  <si>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</si>
  <si>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</si>
  <si>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</si>
  <si>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</si>
  <si>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</si>
  <si>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</si>
  <si>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</si>
  <si>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</si>
  <si>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</si>
  <si>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</si>
  <si>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</si>
  <si>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</si>
  <si>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</si>
  <si>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</si>
  <si>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</si>
  <si>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</si>
  <si>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</si>
  <si>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</si>
  <si>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</si>
  <si>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</si>
  <si>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</si>
  <si>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</si>
  <si>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</si>
  <si>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</si>
  <si>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</si>
  <si>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</si>
  <si>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</si>
  <si>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</si>
  <si>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</si>
  <si>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</si>
  <si>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</si>
  <si>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</si>
  <si>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</si>
  <si>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</si>
  <si>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</si>
  <si>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</si>
  <si>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</si>
  <si>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</si>
  <si>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</si>
  <si>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</si>
  <si>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</si>
  <si>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</si>
  <si>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</si>
  <si>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</si>
  <si>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</si>
  <si>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</si>
  <si>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</si>
  <si>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</si>
  <si>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</si>
  <si>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</si>
  <si>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</si>
  <si>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</si>
  <si>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</si>
  <si>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</si>
  <si>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</si>
  <si>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</si>
  <si>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</si>
  <si>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</si>
  <si>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</si>
  <si>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</si>
  <si>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</si>
  <si>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</si>
  <si>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</si>
  <si>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</si>
  <si>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</si>
  <si>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</si>
  <si>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</si>
  <si>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</si>
  <si>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</si>
  <si>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</si>
  <si>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</si>
  <si>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</si>
  <si>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</si>
  <si>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</si>
  <si>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</si>
  <si>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</si>
  <si>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</si>
  <si>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</si>
  <si>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</si>
  <si>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</si>
  <si>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</si>
  <si>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</si>
  <si>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</si>
  <si>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</si>
  <si>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</si>
  <si>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</si>
  <si>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</si>
  <si>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</si>
  <si>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</si>
  <si>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</si>
  <si>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</si>
  <si>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</si>
  <si>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</si>
  <si>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</si>
  <si>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</si>
  <si>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</si>
  <si>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</si>
  <si>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</si>
  <si>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</si>
  <si>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</si>
  <si>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</si>
  <si>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</si>
  <si>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</si>
  <si>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</si>
  <si>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</si>
  <si>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</si>
  <si>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</si>
  <si>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</si>
  <si>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</si>
  <si>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</si>
  <si>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</si>
  <si>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</si>
  <si>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</si>
  <si>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</si>
  <si>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</si>
  <si>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</si>
  <si>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</si>
  <si>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</si>
  <si>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</si>
  <si>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</si>
  <si>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</si>
  <si>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</si>
  <si>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</si>
  <si>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</si>
  <si>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</si>
  <si>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</si>
  <si>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</si>
  <si>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</si>
  <si>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</si>
  <si>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</si>
  <si>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</si>
  <si>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</si>
  <si>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</si>
  <si>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</si>
  <si>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</si>
  <si>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</si>
  <si>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</si>
  <si>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</si>
  <si>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</si>
  <si>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</si>
  <si>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</si>
  <si>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</si>
  <si>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</si>
  <si>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</si>
  <si>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</si>
  <si>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</si>
  <si>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</si>
  <si>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</si>
  <si>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</si>
  <si>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</si>
  <si>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</si>
  <si>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</si>
  <si>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</si>
  <si>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</si>
  <si>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</si>
  <si>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</si>
  <si>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</si>
  <si>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</si>
  <si>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</si>
  <si>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</si>
  <si>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</si>
  <si>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</si>
  <si>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</si>
  <si>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</si>
  <si>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</si>
  <si>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</si>
  <si>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</si>
  <si>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</si>
  <si>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</si>
  <si>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</si>
  <si>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</si>
  <si>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</si>
  <si>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</si>
  <si>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</si>
  <si>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</si>
  <si>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</si>
  <si>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</si>
  <si>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</si>
  <si>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</si>
  <si>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</si>
  <si>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</si>
  <si>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</si>
  <si>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</si>
  <si>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</si>
  <si>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</si>
  <si>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</si>
  <si>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</si>
  <si>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</si>
  <si>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</si>
  <si>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</si>
  <si>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</si>
  <si>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</si>
  <si>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</si>
  <si>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</si>
  <si>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</si>
  <si>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</si>
  <si>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</si>
  <si>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</si>
  <si>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</si>
  <si>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</si>
  <si>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</si>
  <si>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</si>
  <si>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</si>
  <si>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</si>
  <si>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</si>
  <si>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</si>
  <si>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</si>
  <si>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</si>
  <si>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</si>
  <si>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</si>
  <si>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</si>
  <si>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</si>
  <si>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</si>
  <si>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</si>
  <si>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</si>
  <si>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</si>
  <si>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</si>
  <si>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</si>
  <si>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</si>
  <si>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</si>
  <si>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</si>
  <si>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</si>
  <si>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</si>
  <si>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</si>
  <si>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</si>
  <si>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</si>
  <si>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</si>
  <si>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</si>
  <si>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</si>
  <si>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</si>
  <si>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</si>
  <si>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</si>
  <si>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</si>
  <si>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</si>
  <si>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</si>
  <si>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</si>
  <si>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</si>
  <si>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</si>
  <si>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</si>
  <si>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</si>
  <si>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</si>
  <si>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</si>
  <si>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</si>
  <si>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</si>
  <si>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</si>
  <si>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</si>
  <si>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</si>
  <si>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</si>
  <si>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</si>
  <si>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</si>
  <si>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</si>
  <si>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</si>
  <si>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</si>
  <si>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</si>
  <si>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</si>
  <si>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</si>
  <si>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</si>
  <si>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</si>
  <si>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</si>
  <si>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</si>
  <si>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</si>
  <si>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</si>
  <si>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</si>
  <si>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</si>
  <si>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</si>
  <si>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</si>
  <si>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</si>
  <si>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</si>
  <si>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</si>
  <si>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</si>
  <si>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</si>
  <si>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</si>
  <si>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</si>
  <si>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</si>
  <si>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</si>
  <si>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</si>
  <si>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</si>
  <si>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</si>
  <si>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</si>
  <si>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</si>
  <si>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</si>
  <si>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</si>
  <si>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</si>
  <si>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</si>
  <si>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</si>
  <si>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</si>
  <si>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</si>
  <si>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</si>
  <si>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</si>
  <si>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</si>
  <si>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</si>
  <si>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</si>
  <si>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</si>
  <si>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</si>
  <si>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</si>
  <si>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</si>
  <si>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</si>
  <si>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</si>
  <si>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</si>
  <si>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</si>
  <si>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</si>
  <si>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</si>
  <si>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</si>
  <si>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</si>
  <si>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</si>
  <si>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</si>
  <si>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</si>
  <si>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</si>
  <si>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</si>
  <si>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</si>
  <si>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</si>
  <si>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</si>
  <si>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</si>
  <si>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</si>
  <si>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</si>
  <si>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</si>
  <si>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</si>
  <si>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</si>
  <si>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</si>
  <si>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</si>
  <si>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</si>
  <si>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</si>
  <si>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</si>
  <si>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</si>
  <si>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</si>
  <si>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</si>
  <si>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</si>
  <si>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</si>
  <si>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</si>
  <si>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</si>
  <si>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</si>
  <si>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</si>
  <si>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</si>
  <si>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</si>
  <si>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</si>
  <si>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</si>
  <si>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</si>
  <si>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</si>
  <si>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</si>
  <si>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</si>
  <si>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</si>
  <si>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</si>
  <si>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</si>
  <si>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</si>
  <si>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</si>
  <si>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</si>
  <si>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</si>
  <si>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</si>
  <si>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</si>
  <si>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</si>
  <si>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</si>
  <si>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</si>
  <si>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</si>
  <si>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</si>
  <si>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</si>
  <si>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</si>
  <si>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</si>
  <si>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</si>
  <si>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</si>
  <si>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</si>
  <si>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</si>
  <si>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</si>
  <si>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</si>
  <si>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</si>
  <si>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</si>
  <si>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</si>
  <si>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</si>
  <si>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</si>
  <si>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</si>
  <si>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</si>
  <si>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</si>
  <si>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</si>
  <si>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</si>
  <si>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</si>
  <si>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</si>
  <si>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</si>
  <si>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</si>
  <si>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</si>
  <si>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</si>
  <si>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</si>
  <si>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</si>
  <si>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</si>
  <si>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</si>
  <si>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</si>
  <si>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</si>
  <si>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</si>
  <si>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</si>
  <si>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</si>
  <si>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</si>
  <si>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</si>
  <si>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</si>
  <si>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</si>
  <si>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</si>
  <si>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</si>
  <si>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</si>
  <si>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</si>
  <si>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</si>
  <si>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</si>
  <si>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</si>
  <si>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</si>
  <si>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</si>
  <si>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</si>
  <si>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</si>
  <si>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</si>
  <si>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</si>
  <si>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</si>
  <si>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</si>
  <si>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</si>
  <si>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</si>
  <si>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</si>
  <si>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</si>
  <si>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</si>
  <si>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</si>
  <si>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</si>
  <si>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</si>
  <si>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</si>
  <si>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</si>
  <si>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</si>
  <si>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</si>
  <si>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</si>
  <si>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</si>
  <si>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</si>
  <si>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</si>
  <si>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</si>
  <si>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</si>
  <si>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</si>
  <si>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</si>
  <si>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</si>
  <si>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</si>
  <si>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</si>
  <si>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</si>
  <si>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</si>
  <si>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</si>
  <si>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</si>
  <si>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</si>
  <si>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</si>
  <si>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</si>
  <si>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</si>
  <si>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</si>
  <si>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</si>
  <si>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</si>
  <si>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</si>
  <si>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</si>
  <si>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</si>
  <si>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</si>
  <si>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</si>
  <si>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</si>
  <si>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</si>
  <si>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</si>
  <si>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</si>
  <si>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</si>
  <si>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</si>
  <si>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</si>
  <si>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</si>
  <si>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</si>
  <si>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</si>
  <si>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</si>
  <si>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</si>
  <si>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</si>
  <si>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</si>
  <si>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</si>
  <si>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</si>
  <si>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</si>
  <si>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</si>
  <si>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</si>
  <si>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</si>
  <si>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</si>
  <si>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</si>
  <si>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</si>
  <si>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</si>
  <si>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</si>
  <si>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</si>
  <si>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</si>
  <si>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</si>
  <si>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</si>
  <si>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</si>
  <si>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</si>
  <si>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</si>
  <si>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</si>
  <si>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</si>
  <si>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</si>
  <si>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</si>
  <si>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</si>
  <si>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</si>
  <si>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</si>
  <si>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</si>
  <si>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</si>
  <si>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</si>
  <si>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</si>
  <si>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</si>
  <si>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</si>
  <si>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</si>
  <si>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</si>
  <si>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</si>
  <si>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</si>
  <si>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</si>
  <si>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</si>
  <si>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</si>
  <si>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</si>
  <si>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</si>
  <si>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</si>
  <si>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</si>
  <si>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</si>
  <si>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</si>
  <si>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</si>
  <si>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</si>
  <si>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</si>
  <si>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</si>
  <si>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</si>
  <si>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</si>
  <si>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</si>
  <si>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</si>
  <si>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</si>
  <si>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</si>
  <si>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</si>
  <si>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</si>
  <si>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</si>
  <si>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</si>
  <si>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</si>
  <si>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</si>
  <si>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</si>
  <si>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</si>
  <si>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</si>
  <si>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</si>
  <si>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</si>
  <si>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</si>
  <si>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</si>
  <si>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</si>
  <si>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</si>
  <si>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</si>
  <si>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</si>
  <si>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</si>
  <si>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</si>
  <si>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</si>
  <si>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</si>
  <si>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</si>
  <si>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</si>
  <si>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</si>
  <si>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</si>
  <si>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</si>
  <si>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</si>
  <si>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</si>
  <si>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</si>
  <si>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</si>
  <si>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</si>
  <si>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</si>
  <si>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</si>
  <si>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</si>
  <si>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</si>
  <si>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</si>
  <si>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</si>
  <si>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</si>
  <si>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</si>
  <si>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</si>
  <si>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</si>
  <si>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</si>
  <si>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</si>
  <si>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</si>
  <si>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</si>
  <si>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</si>
  <si>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</si>
  <si>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</si>
  <si>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</si>
  <si>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</si>
  <si>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</si>
  <si>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</si>
  <si>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</si>
  <si>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</si>
  <si>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</si>
  <si>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</si>
  <si>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</si>
  <si>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</si>
  <si>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</si>
  <si>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</si>
  <si>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</si>
  <si>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</si>
  <si>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</si>
  <si>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</si>
  <si>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</si>
  <si>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</si>
  <si>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</si>
  <si>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</si>
  <si>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</si>
  <si>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</si>
  <si>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</si>
  <si>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</si>
  <si>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</si>
  <si>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</si>
  <si>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</si>
  <si>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</si>
  <si>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</si>
  <si>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</si>
  <si>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</si>
  <si>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</si>
  <si>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</si>
  <si>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</si>
  <si>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</si>
  <si>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</si>
  <si>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</si>
  <si>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</si>
  <si>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</si>
  <si>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</si>
  <si>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</si>
  <si>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</si>
  <si>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</si>
  <si>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</si>
  <si>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</si>
  <si>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</si>
  <si>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</si>
  <si>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</si>
  <si>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</si>
  <si>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</si>
  <si>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</si>
  <si>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</si>
  <si>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</si>
  <si>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</si>
  <si>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</si>
  <si>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</si>
  <si>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</si>
  <si>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</si>
  <si>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</si>
  <si>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</si>
  <si>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</si>
  <si>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</si>
  <si>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</si>
  <si>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</si>
  <si>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</si>
  <si>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</si>
  <si>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</si>
  <si>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</si>
  <si>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</si>
  <si>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</si>
  <si>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</si>
  <si>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</si>
  <si>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</si>
  <si>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</si>
  <si>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</si>
  <si>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</si>
  <si>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</si>
  <si>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</si>
  <si>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</si>
  <si>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</si>
  <si>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</si>
  <si>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</si>
  <si>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</si>
  <si>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</si>
  <si>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</si>
  <si>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</si>
  <si>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</si>
  <si>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</si>
  <si>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</si>
  <si>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</si>
  <si>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</si>
  <si>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</si>
  <si>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</si>
  <si>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</si>
  <si>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</si>
  <si>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</si>
  <si>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</si>
  <si>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</si>
  <si>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</si>
  <si>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</si>
  <si>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</si>
  <si>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</si>
  <si>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</si>
  <si>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</si>
  <si>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</si>
  <si>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</si>
  <si>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</si>
  <si>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</si>
  <si>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</si>
  <si>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</si>
  <si>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</si>
  <si>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</si>
  <si>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</si>
  <si>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</si>
  <si>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</si>
  <si>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</si>
  <si>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</si>
  <si>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</si>
  <si>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</si>
  <si>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</si>
  <si>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</si>
  <si>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</si>
  <si>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</si>
  <si>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</si>
  <si>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</si>
  <si>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</si>
  <si>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</si>
  <si>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</si>
  <si>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</si>
  <si>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</si>
  <si>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</si>
  <si>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</si>
  <si>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</si>
  <si>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</si>
  <si>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</si>
  <si>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</si>
  <si>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</si>
  <si>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</si>
  <si>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</si>
  <si>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</si>
  <si>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</si>
  <si>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</si>
  <si>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</si>
  <si>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</si>
  <si>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</si>
  <si>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</si>
  <si>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</si>
  <si>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</si>
  <si>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</si>
  <si>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</si>
  <si>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</si>
  <si>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</si>
  <si>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</si>
  <si>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</si>
  <si>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</si>
  <si>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</si>
  <si>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</si>
  <si>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</si>
  <si>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</si>
  <si>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</si>
  <si>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</si>
  <si>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</si>
  <si>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</si>
  <si>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</si>
  <si>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</si>
  <si>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</si>
  <si>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</si>
  <si>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</si>
  <si>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</si>
  <si>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</si>
  <si>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</si>
  <si>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</si>
  <si>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</si>
  <si>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</si>
  <si>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</si>
  <si>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</si>
  <si>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</si>
  <si>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</si>
  <si>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</si>
  <si>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</si>
  <si>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</si>
  <si>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</si>
  <si>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</si>
  <si>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</si>
  <si>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</si>
  <si>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</si>
  <si>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</si>
  <si>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</si>
  <si>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</si>
  <si>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</si>
  <si>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</si>
  <si>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</si>
  <si>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</si>
  <si>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</si>
  <si>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</si>
  <si>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</si>
  <si>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</si>
  <si>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</si>
  <si>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</si>
  <si>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</si>
  <si>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</si>
  <si>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</si>
  <si>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</si>
  <si>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</si>
  <si>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</si>
  <si>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</si>
  <si>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</si>
  <si>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</si>
  <si>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</si>
  <si>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</si>
  <si>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</si>
  <si>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</si>
  <si>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</si>
  <si>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</si>
  <si>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</si>
  <si>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</si>
  <si>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</si>
  <si>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</si>
  <si>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</si>
  <si>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</si>
  <si>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</si>
  <si>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</si>
  <si>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</si>
  <si>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</si>
  <si>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</si>
  <si>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</si>
  <si>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</si>
  <si>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</si>
  <si>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</si>
  <si>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</si>
  <si>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</si>
  <si>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</si>
  <si>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</si>
  <si>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</si>
  <si>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</si>
  <si>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</si>
  <si>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</si>
  <si>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</si>
  <si>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</si>
  <si>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</si>
  <si>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</si>
  <si>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</si>
  <si>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</si>
  <si>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</si>
  <si>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</si>
  <si>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</si>
  <si>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</si>
  <si>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</si>
  <si>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</si>
  <si>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</si>
  <si>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</si>
  <si>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</si>
  <si>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</si>
  <si>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</si>
  <si>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</si>
  <si>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</si>
  <si>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</si>
  <si>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</si>
  <si>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</si>
  <si>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</si>
  <si>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</si>
  <si>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</si>
  <si>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</si>
  <si>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</si>
  <si>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</si>
  <si>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</si>
  <si>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</si>
  <si>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</si>
  <si>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</si>
  <si>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</si>
  <si>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</si>
  <si>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</si>
  <si>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</si>
  <si>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</si>
  <si>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</si>
  <si>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</si>
  <si>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</si>
  <si>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</si>
  <si>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</si>
  <si>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</si>
  <si>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</si>
  <si>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</si>
  <si>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</si>
  <si>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</si>
  <si>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</si>
  <si>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</si>
  <si>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</si>
  <si>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</si>
  <si>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</si>
  <si>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</si>
  <si>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</si>
  <si>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</si>
  <si>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</si>
  <si>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</si>
  <si>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</si>
  <si>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</si>
  <si>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</si>
  <si>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</si>
  <si>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</si>
  <si>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</si>
  <si>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</si>
  <si>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</si>
  <si>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</si>
  <si>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</si>
  <si>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</si>
  <si>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</si>
  <si>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</si>
  <si>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</si>
  <si>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</si>
  <si>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</si>
  <si>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</si>
  <si>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</si>
  <si>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</si>
  <si>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</si>
  <si>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</si>
  <si>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</si>
  <si>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</si>
  <si>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</si>
  <si>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</si>
  <si>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</si>
  <si>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</si>
  <si>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</si>
  <si>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</si>
  <si>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</si>
  <si>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</si>
  <si>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</si>
  <si>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</si>
  <si>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</si>
  <si>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</si>
  <si>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</si>
  <si>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</si>
  <si>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</si>
  <si>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</si>
  <si>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</si>
  <si>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</si>
  <si>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</si>
  <si>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</si>
  <si>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</si>
  <si>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</si>
  <si>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</si>
  <si>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</si>
  <si>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</si>
  <si>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</si>
  <si>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</si>
  <si>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</si>
  <si>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</si>
  <si>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</si>
  <si>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</si>
  <si>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</si>
  <si>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</si>
  <si>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</si>
  <si>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</si>
  <si>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</si>
  <si>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</si>
  <si>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</si>
  <si>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</si>
  <si>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</si>
  <si>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</si>
  <si>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</si>
  <si>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</si>
  <si>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</si>
  <si>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</si>
  <si>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</si>
  <si>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</si>
  <si>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</si>
  <si>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</si>
  <si>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</si>
  <si>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</si>
  <si>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</si>
  <si>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</si>
  <si>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</si>
  <si>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</si>
  <si>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</si>
  <si>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</si>
  <si>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</si>
  <si>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</si>
  <si>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</si>
  <si>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</si>
  <si>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</si>
  <si>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</si>
  <si>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</si>
  <si>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</si>
  <si>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</si>
  <si>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</si>
  <si>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</si>
  <si>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</si>
  <si>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</si>
  <si>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</si>
  <si>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</si>
  <si>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</si>
  <si>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</si>
  <si>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</si>
  <si>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</si>
  <si>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</si>
  <si>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</si>
  <si>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</si>
  <si>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</si>
  <si>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</si>
  <si>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</si>
  <si>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</si>
  <si>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</si>
  <si>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</si>
  <si>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</si>
  <si>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</si>
  <si>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</si>
  <si>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</si>
  <si>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</si>
  <si>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</si>
  <si>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</si>
  <si>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</si>
  <si>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</si>
  <si>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</si>
  <si>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</si>
  <si>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</si>
  <si>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</si>
  <si>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</si>
  <si>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</si>
  <si>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</si>
  <si>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</si>
  <si>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</si>
  <si>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</si>
  <si>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</si>
  <si>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</si>
  <si>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</si>
  <si>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</si>
  <si>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</si>
  <si>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</si>
  <si>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</si>
  <si>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</si>
  <si>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</si>
  <si>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</si>
  <si>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</si>
  <si>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</si>
  <si>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</si>
  <si>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</si>
  <si>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</si>
  <si>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</si>
  <si>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</si>
  <si>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</si>
  <si>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</si>
  <si>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</si>
  <si>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</si>
  <si>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</si>
  <si>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</si>
  <si>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</si>
  <si>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</si>
  <si>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</si>
  <si>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</si>
  <si>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</si>
  <si>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</si>
  <si>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</si>
  <si>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</si>
  <si>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</si>
  <si>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</si>
  <si>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</si>
  <si>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</si>
  <si>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</si>
  <si>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</si>
  <si>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</si>
  <si>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</si>
  <si>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</si>
  <si>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</si>
  <si>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</si>
  <si>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</si>
  <si>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</si>
  <si>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</si>
  <si>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</si>
  <si>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</si>
  <si>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</si>
  <si>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</si>
  <si>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</si>
  <si>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</si>
  <si>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</si>
  <si>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</si>
  <si>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</si>
  <si>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</si>
  <si>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</si>
  <si>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</si>
  <si>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</si>
  <si>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</si>
  <si>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</si>
  <si>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</si>
  <si>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</si>
  <si>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</si>
  <si>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</si>
  <si>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</si>
  <si>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</si>
  <si>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</si>
  <si>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</si>
  <si>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</si>
  <si>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</si>
  <si>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</si>
  <si>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</si>
  <si>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</si>
  <si>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</si>
  <si>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</si>
  <si>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</si>
  <si>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</si>
  <si>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</si>
  <si>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</si>
  <si>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</si>
  <si>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</si>
  <si>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</si>
  <si>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</si>
  <si>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</si>
  <si>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</si>
  <si>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</si>
  <si>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</si>
  <si>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</si>
  <si>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</si>
  <si>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</si>
  <si>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</si>
  <si>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</si>
  <si>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</si>
  <si>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</si>
  <si>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</si>
  <si>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</si>
  <si>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</si>
  <si>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</si>
  <si>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</si>
  <si>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</si>
  <si>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</si>
  <si>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</si>
  <si>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</si>
  <si>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</si>
  <si>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</si>
  <si>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</si>
  <si>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</si>
  <si>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</si>
  <si>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</si>
  <si>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</si>
  <si>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</si>
  <si>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</si>
  <si>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</si>
  <si>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</si>
  <si>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</si>
  <si>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</si>
  <si>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</si>
  <si>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</si>
  <si>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</si>
  <si>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</si>
  <si>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</si>
  <si>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</si>
  <si>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</si>
  <si>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</si>
  <si>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</si>
  <si>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</si>
  <si>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</si>
  <si>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</si>
  <si>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</si>
  <si>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</si>
  <si>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</si>
  <si>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</si>
  <si>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</si>
  <si>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</si>
  <si>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</si>
  <si>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</si>
  <si>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</si>
  <si>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</si>
  <si>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</si>
  <si>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</si>
  <si>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</si>
  <si>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</si>
  <si>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</si>
  <si>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</si>
  <si>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</si>
  <si>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</si>
  <si>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</si>
  <si>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</si>
  <si>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</si>
  <si>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</si>
  <si>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</si>
  <si>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</si>
  <si>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</si>
  <si>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</si>
  <si>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</si>
  <si>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</si>
  <si>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</si>
  <si>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</si>
  <si>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</si>
  <si>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</si>
  <si>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</si>
  <si>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</si>
  <si>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</si>
  <si>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</si>
  <si>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</si>
  <si>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</si>
  <si>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</si>
  <si>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</si>
  <si>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</si>
  <si>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</si>
  <si>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</si>
  <si>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</si>
  <si>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</si>
  <si>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</si>
  <si>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</si>
  <si>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</si>
  <si>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</si>
  <si>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</si>
  <si>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</si>
  <si>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</si>
  <si>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</si>
  <si>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</si>
  <si>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</si>
  <si>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</si>
  <si>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</si>
  <si>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</si>
  <si>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</si>
  <si>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</si>
  <si>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</si>
  <si>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</si>
  <si>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</si>
  <si>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</si>
  <si>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</si>
  <si>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</si>
  <si>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</si>
  <si>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</si>
  <si>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</si>
  <si>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</si>
  <si>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</si>
  <si>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</si>
  <si>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</si>
  <si>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</si>
  <si>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</si>
  <si>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</si>
  <si>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</si>
  <si>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</si>
  <si>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</si>
  <si>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</si>
  <si>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</si>
  <si>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</si>
  <si>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</si>
  <si>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</si>
  <si>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</si>
  <si>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</si>
  <si>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</si>
  <si>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</si>
  <si>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</si>
  <si>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</si>
  <si>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</si>
  <si>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</si>
  <si>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</si>
  <si>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</si>
  <si>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</si>
  <si>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</si>
  <si>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</si>
  <si>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</si>
  <si>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</si>
  <si>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</si>
  <si>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</si>
  <si>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</si>
  <si>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</si>
  <si>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</si>
  <si>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</si>
  <si>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</si>
  <si>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</si>
  <si>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</si>
  <si>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</si>
  <si>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</si>
  <si>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</si>
  <si>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</si>
  <si>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</si>
  <si>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</si>
  <si>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</si>
  <si>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</si>
  <si>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</si>
  <si>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</si>
  <si>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</si>
  <si>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</si>
  <si>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</si>
  <si>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</si>
  <si>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</si>
  <si>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</si>
  <si>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</si>
  <si>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</si>
  <si>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</si>
  <si>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</si>
  <si>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</si>
  <si>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</si>
  <si>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</si>
  <si>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</si>
  <si>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</si>
  <si>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</si>
  <si>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</si>
  <si>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</si>
  <si>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</si>
  <si>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</si>
  <si>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</si>
  <si>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</si>
  <si>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</si>
  <si>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</si>
  <si>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</si>
  <si>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</si>
  <si>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</si>
  <si>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</si>
  <si>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</si>
  <si>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</si>
  <si>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</si>
  <si>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</si>
  <si>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</si>
  <si>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</si>
  <si>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</si>
  <si>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</si>
  <si>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</si>
  <si>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</si>
  <si>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</si>
  <si>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</si>
  <si>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</si>
  <si>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</si>
  <si>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</si>
  <si>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</si>
  <si>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</si>
  <si>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</si>
  <si>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</si>
  <si>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</si>
  <si>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</si>
  <si>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</si>
  <si>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</si>
  <si>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</si>
  <si>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</si>
  <si>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</si>
  <si>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</si>
  <si>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</si>
  <si>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</si>
  <si>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</si>
  <si>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</si>
  <si>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</si>
  <si>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</si>
  <si>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</si>
  <si>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</si>
  <si>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</si>
  <si>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</si>
  <si>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</si>
  <si>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</si>
  <si>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</si>
  <si>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</si>
  <si>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</si>
  <si>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</si>
  <si>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</si>
  <si>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</si>
  <si>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</si>
  <si>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</si>
  <si>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</si>
  <si>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</si>
  <si>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</si>
  <si>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</si>
  <si>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</si>
  <si>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</si>
  <si>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</si>
  <si>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</si>
  <si>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</si>
  <si>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</si>
  <si>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</si>
  <si>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</si>
  <si>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</si>
  <si>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</si>
  <si>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</si>
  <si>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</si>
  <si>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</si>
  <si>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</si>
  <si>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</si>
  <si>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</si>
  <si>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</si>
  <si>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</si>
  <si>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</si>
  <si>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</si>
  <si>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</si>
  <si>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</si>
  <si>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</si>
  <si>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</si>
  <si>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</si>
  <si>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</si>
  <si>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</si>
  <si>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</si>
  <si>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</si>
  <si>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</si>
  <si>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</si>
  <si>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</si>
  <si>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</si>
  <si>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</si>
  <si>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</si>
  <si>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</si>
  <si>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</si>
  <si>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</si>
  <si>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</si>
  <si>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</si>
  <si>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</si>
  <si>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</si>
  <si>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</si>
  <si>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</si>
  <si>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</si>
  <si>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</si>
  <si>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</si>
  <si>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</si>
  <si>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</si>
  <si>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</si>
  <si>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</si>
  <si>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</si>
  <si>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</si>
  <si>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</si>
  <si>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</si>
  <si>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</si>
  <si>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</si>
  <si>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</si>
  <si>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</si>
  <si>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</si>
  <si>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</si>
  <si>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</si>
  <si>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</si>
  <si>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</si>
  <si>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</si>
  <si>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</si>
  <si>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</si>
  <si>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</si>
  <si>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</si>
  <si>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</si>
  <si>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</si>
  <si>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</si>
  <si>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</si>
  <si>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</si>
  <si>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</si>
  <si>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</si>
  <si>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</si>
  <si>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</si>
  <si>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</si>
  <si>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</si>
  <si>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</si>
  <si>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</si>
  <si>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</si>
  <si>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</si>
  <si>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</si>
  <si>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</si>
  <si>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</si>
  <si>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</si>
  <si>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</si>
  <si>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</si>
  <si>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</si>
  <si>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</si>
  <si>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</si>
  <si>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</si>
  <si>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</si>
  <si>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</si>
  <si>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</si>
  <si>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</si>
  <si>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</si>
  <si>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</si>
  <si>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</si>
  <si>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</si>
  <si>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</si>
  <si>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</si>
  <si>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</si>
  <si>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</si>
  <si>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</si>
  <si>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</si>
  <si>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</si>
  <si>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</si>
  <si>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</si>
  <si>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</si>
  <si>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</si>
  <si>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</si>
  <si>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</si>
  <si>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</si>
  <si>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</si>
  <si>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</si>
  <si>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</si>
  <si>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</si>
  <si>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</si>
  <si>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</si>
  <si>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</si>
  <si>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</si>
  <si>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</si>
  <si>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</si>
  <si>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</si>
  <si>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</si>
  <si>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</si>
  <si>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</si>
  <si>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</si>
  <si>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</si>
  <si>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</si>
  <si>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</si>
  <si>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</si>
  <si>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</si>
  <si>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</si>
  <si>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</si>
  <si>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</si>
  <si>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</si>
  <si>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</si>
  <si>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</si>
  <si>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</si>
  <si>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</si>
  <si>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</si>
  <si>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</si>
  <si>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</si>
  <si>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</si>
  <si>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</si>
  <si>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</si>
  <si>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</si>
  <si>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</si>
  <si>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</si>
  <si>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</si>
  <si>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</si>
  <si>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</si>
  <si>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</si>
  <si>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</si>
  <si>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</si>
  <si>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</si>
  <si>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</si>
  <si>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</si>
  <si>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</si>
  <si>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</si>
  <si>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</si>
  <si>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</si>
  <si>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</si>
  <si>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</si>
  <si>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</si>
  <si>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</si>
  <si>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</si>
  <si>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</si>
  <si>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</si>
  <si>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</si>
  <si>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</si>
  <si>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</si>
  <si>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</si>
  <si>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</si>
  <si>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</si>
  <si>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</si>
  <si>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</si>
  <si>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</si>
  <si>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</si>
  <si>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</si>
  <si>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</si>
  <si>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</si>
  <si>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</si>
  <si>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</si>
  <si>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</si>
  <si>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</si>
  <si>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</si>
  <si>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</si>
  <si>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</si>
  <si>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</si>
  <si>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</si>
  <si>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</si>
  <si>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</si>
  <si>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</si>
  <si>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</si>
  <si>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</si>
  <si>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</si>
  <si>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</si>
  <si>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</si>
  <si>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</si>
  <si>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</si>
  <si>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</si>
  <si>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</si>
  <si>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</si>
  <si>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</si>
  <si>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</si>
  <si>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</si>
  <si>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</si>
  <si>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</si>
  <si>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</si>
  <si>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</si>
  <si>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</si>
  <si>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</si>
  <si>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</si>
  <si>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</si>
  <si>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</si>
  <si>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</si>
  <si>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</si>
  <si>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</si>
  <si>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</si>
  <si>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</si>
  <si>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</si>
  <si>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</si>
  <si>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</si>
  <si>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</si>
  <si>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</si>
  <si>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</si>
  <si>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</si>
  <si>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</si>
  <si>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</si>
  <si>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</si>
  <si>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</si>
  <si>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</si>
  <si>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</si>
  <si>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</si>
  <si>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</si>
  <si>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</si>
  <si>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</si>
  <si>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</si>
  <si>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</si>
  <si>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</si>
  <si>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</si>
  <si>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</si>
  <si>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</si>
  <si>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</si>
  <si>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</si>
  <si>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</si>
  <si>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</si>
  <si>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</si>
  <si>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</si>
  <si>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</si>
  <si>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</si>
  <si>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</si>
  <si>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</si>
  <si>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</si>
  <si>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</si>
  <si>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</si>
  <si>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</si>
  <si>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</si>
  <si>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</si>
  <si>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</si>
  <si>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</si>
  <si>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</si>
  <si>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</si>
  <si>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</si>
  <si>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</si>
  <si>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</si>
  <si>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</si>
  <si>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</si>
  <si>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</si>
  <si>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</si>
  <si>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</si>
  <si>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</si>
  <si>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</si>
  <si>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</si>
  <si>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</si>
  <si>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</si>
  <si>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</si>
  <si>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</si>
  <si>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</si>
  <si>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</si>
  <si>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</si>
  <si>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</si>
  <si>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</si>
  <si>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</si>
  <si>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</si>
  <si>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</si>
  <si>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</si>
  <si>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</si>
  <si>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</si>
  <si>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</si>
  <si>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</si>
  <si>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</si>
  <si>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</si>
  <si>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</si>
  <si>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</si>
  <si>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</si>
  <si>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</si>
  <si>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</si>
  <si>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</si>
  <si>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</si>
  <si>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</si>
  <si>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</si>
  <si>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</si>
  <si>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</si>
  <si>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</si>
  <si>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</si>
  <si>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</si>
  <si>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</si>
  <si>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</si>
  <si>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</si>
  <si>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</si>
  <si>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</si>
  <si>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</si>
  <si>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</si>
  <si>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</si>
  <si>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</si>
  <si>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</si>
  <si>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</si>
  <si>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</si>
  <si>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</si>
  <si>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</si>
  <si>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</si>
  <si>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</si>
  <si>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</si>
  <si>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</si>
  <si>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</si>
  <si>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</si>
  <si>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</si>
  <si>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</si>
  <si>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</si>
  <si>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</si>
  <si>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</si>
  <si>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</si>
  <si>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</si>
  <si>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</si>
  <si>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</si>
  <si>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</si>
  <si>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</si>
  <si>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</si>
  <si>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</si>
  <si>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</si>
  <si>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</si>
  <si>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</si>
  <si>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</si>
  <si>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</si>
  <si>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</si>
  <si>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</si>
  <si>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</si>
  <si>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</si>
  <si>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</si>
  <si>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</si>
  <si>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</si>
  <si>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</si>
  <si>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</si>
  <si>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</si>
  <si>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</si>
  <si>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</si>
  <si>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</si>
  <si>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</si>
  <si>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</si>
  <si>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</si>
  <si>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</si>
  <si>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</si>
  <si>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</si>
  <si>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</si>
  <si>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</si>
  <si>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</si>
  <si>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</si>
  <si>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</si>
  <si>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</si>
  <si>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</si>
  <si>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</si>
  <si>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</si>
  <si>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</si>
  <si>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</si>
  <si>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</si>
  <si>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</si>
  <si>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</si>
  <si>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</si>
  <si>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</si>
  <si>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</si>
  <si>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</si>
  <si>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</si>
  <si>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</si>
  <si>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</si>
  <si>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</si>
  <si>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</si>
  <si>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</si>
  <si>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</si>
  <si>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</si>
  <si>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</si>
  <si>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</si>
  <si>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</si>
  <si>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</si>
  <si>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</si>
  <si>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</si>
  <si>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</si>
  <si>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</si>
  <si>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</si>
  <si>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</si>
  <si>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</si>
  <si>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</si>
  <si>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</si>
  <si>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</si>
  <si>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</si>
  <si>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</si>
  <si>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</si>
  <si>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</si>
  <si>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</si>
  <si>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</si>
  <si>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</si>
  <si>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</si>
  <si>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</si>
  <si>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</si>
  <si>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</si>
  <si>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</si>
  <si>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</si>
  <si>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</si>
  <si>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</si>
  <si>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</si>
  <si>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</si>
  <si>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</si>
  <si>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</si>
  <si>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</si>
  <si>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</si>
  <si>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</si>
  <si>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</si>
  <si>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</si>
  <si>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</si>
  <si>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</si>
  <si>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</si>
  <si>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</si>
  <si>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</si>
  <si>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</si>
  <si>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</si>
  <si>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</si>
  <si>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</si>
  <si>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</si>
  <si>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</si>
  <si>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</si>
  <si>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</si>
  <si>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</si>
  <si>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</si>
  <si>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</si>
  <si>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</si>
  <si>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</si>
  <si>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</si>
  <si>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</si>
  <si>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</si>
  <si>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</si>
  <si>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</si>
  <si>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</si>
  <si>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</si>
  <si>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</si>
  <si>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</si>
  <si>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</si>
  <si>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</si>
  <si>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</si>
  <si>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</si>
  <si>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</si>
  <si>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</si>
  <si>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</si>
  <si>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</si>
  <si>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</si>
  <si>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</si>
  <si>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</si>
  <si>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</si>
  <si>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</si>
  <si>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</si>
  <si>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</si>
  <si>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</si>
  <si>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</si>
  <si>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</si>
  <si>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</si>
  <si>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</si>
  <si>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</si>
  <si>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</si>
  <si>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</si>
  <si>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</si>
  <si>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</si>
  <si>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</si>
  <si>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</si>
  <si>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</si>
  <si>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</si>
  <si>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</si>
  <si>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</si>
  <si>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</si>
  <si>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</si>
  <si>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</si>
  <si>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</si>
  <si>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</si>
  <si>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</si>
  <si>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</si>
  <si>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</si>
  <si>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</si>
  <si>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</si>
  <si>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</si>
  <si>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</si>
  <si>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</si>
  <si>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</si>
  <si>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</si>
  <si>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</si>
  <si>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</si>
  <si>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</si>
  <si>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</si>
  <si>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</si>
  <si>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</si>
  <si>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</si>
  <si>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</si>
  <si>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</si>
  <si>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</si>
  <si>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</si>
  <si>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</si>
  <si>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</si>
  <si>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</si>
  <si>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</si>
  <si>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</si>
  <si>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</si>
  <si>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</si>
  <si>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</si>
  <si>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</si>
  <si>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</si>
  <si>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</si>
  <si>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</si>
  <si>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</si>
  <si>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</si>
  <si>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</si>
  <si>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</si>
  <si>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</si>
  <si>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</si>
  <si>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</si>
  <si>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</si>
  <si>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</si>
  <si>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</si>
  <si>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</si>
  <si>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</si>
  <si>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</si>
  <si>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</si>
  <si>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</si>
  <si>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</si>
  <si>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</si>
  <si>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</si>
  <si>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</si>
  <si>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</si>
  <si>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</si>
  <si>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</si>
  <si>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</si>
  <si>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</si>
  <si>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</si>
  <si>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</si>
  <si>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</si>
  <si>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</si>
  <si>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</si>
  <si>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</si>
  <si>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</si>
  <si>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</si>
  <si>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</si>
  <si>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</si>
  <si>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</si>
  <si>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</si>
  <si>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</si>
  <si>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</si>
  <si>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</si>
  <si>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</si>
  <si>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</si>
  <si>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</si>
  <si>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</si>
  <si>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</si>
  <si>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</si>
  <si>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</si>
  <si>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</si>
  <si>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</si>
  <si>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</si>
  <si>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</si>
  <si>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</si>
  <si>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</si>
  <si>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</si>
  <si>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</si>
  <si>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</si>
  <si>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</si>
  <si>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</si>
  <si>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</si>
  <si>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</si>
  <si>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</si>
  <si>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</si>
  <si>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</si>
  <si>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</si>
  <si>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</si>
  <si>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</si>
  <si>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</si>
  <si>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</si>
  <si>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</si>
  <si>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</si>
  <si>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</si>
  <si>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</si>
  <si>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</si>
  <si>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</si>
  <si>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</si>
  <si>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</si>
  <si>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</si>
  <si>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</si>
  <si>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</si>
  <si>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</si>
  <si>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</si>
  <si>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</si>
  <si>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</si>
  <si>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</si>
  <si>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</si>
  <si>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</si>
  <si>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</si>
  <si>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</si>
  <si>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</si>
  <si>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</si>
  <si>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</si>
  <si>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</si>
  <si>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</si>
  <si>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</si>
  <si>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</si>
  <si>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</si>
  <si>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</si>
  <si>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</si>
  <si>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</si>
  <si>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</si>
  <si>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</si>
  <si>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</si>
  <si>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</si>
  <si>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</si>
  <si>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</si>
  <si>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</si>
  <si>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</si>
  <si>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</si>
  <si>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</si>
  <si>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</si>
  <si>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</si>
  <si>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</si>
  <si>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</si>
  <si>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</si>
  <si>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</si>
  <si>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</si>
  <si>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</si>
  <si>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</si>
  <si>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</si>
  <si>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</si>
  <si>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</si>
  <si>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</si>
  <si>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</si>
  <si>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</si>
  <si>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</si>
  <si>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</si>
  <si>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</si>
  <si>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</si>
  <si>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</si>
  <si>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</si>
  <si>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</si>
  <si>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</si>
  <si>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</si>
  <si>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</si>
  <si>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</si>
  <si>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</si>
  <si>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</si>
  <si>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</si>
  <si>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</si>
  <si>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</si>
  <si>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</si>
  <si>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</si>
  <si>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</si>
  <si>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</si>
  <si>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</si>
  <si>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</si>
  <si>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</si>
  <si>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</si>
  <si>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</si>
  <si>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</si>
  <si>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</si>
  <si>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</si>
  <si>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</si>
  <si>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</si>
  <si>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</si>
  <si>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</si>
  <si>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</si>
  <si>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</si>
  <si>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</si>
  <si>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</si>
  <si>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</si>
  <si>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</si>
  <si>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</si>
  <si>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</si>
  <si>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</si>
  <si>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</si>
  <si>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</si>
  <si>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</si>
  <si>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</si>
  <si>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</si>
  <si>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</si>
  <si>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</si>
  <si>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</si>
  <si>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</si>
  <si>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</si>
  <si>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</si>
  <si>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</si>
  <si>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</si>
  <si>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</si>
  <si>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</si>
  <si>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</si>
  <si>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</si>
  <si>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</si>
  <si>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</si>
  <si>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</si>
  <si>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</si>
  <si>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</si>
  <si>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</si>
  <si>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</si>
  <si>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</si>
  <si>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</si>
  <si>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</si>
  <si>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</si>
  <si>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</si>
  <si>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</si>
  <si>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</si>
  <si>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</si>
  <si>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</si>
  <si>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</si>
  <si>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</si>
  <si>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</si>
  <si>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</si>
  <si>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</si>
  <si>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</si>
  <si>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</si>
  <si>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</si>
  <si>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</si>
  <si>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</si>
  <si>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</si>
  <si>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</si>
  <si>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</si>
  <si>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</si>
  <si>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</si>
  <si>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</si>
  <si>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</si>
  <si>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</si>
  <si>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</si>
  <si>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</si>
  <si>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</si>
  <si>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</si>
  <si>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</si>
  <si>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</si>
  <si>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</si>
  <si>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</si>
  <si>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</si>
  <si>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</si>
  <si>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</si>
  <si>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</si>
  <si>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</si>
  <si>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</si>
  <si>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</si>
  <si>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</si>
  <si>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</si>
  <si>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</si>
  <si>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</si>
  <si>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</si>
  <si>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</si>
  <si>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</si>
  <si>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</si>
  <si>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</si>
  <si>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</si>
  <si>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</si>
  <si>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</si>
  <si>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</si>
  <si>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</si>
  <si>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</si>
  <si>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</si>
  <si>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</si>
  <si>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</si>
  <si>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</si>
  <si>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</si>
  <si>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</si>
  <si>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</si>
  <si>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</si>
  <si>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</si>
  <si>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</si>
  <si>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</si>
  <si>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</si>
  <si>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</si>
  <si>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</si>
  <si>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</si>
  <si>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</si>
  <si>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</si>
  <si>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</si>
  <si>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</si>
  <si>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</si>
  <si>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</si>
  <si>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</si>
  <si>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</si>
  <si>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</si>
  <si>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</si>
  <si>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</si>
  <si>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</si>
  <si>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</si>
  <si>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</si>
  <si>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</si>
  <si>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</si>
  <si>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</si>
  <si>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</si>
  <si>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</si>
  <si>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</si>
  <si>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</si>
  <si>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</si>
  <si>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</si>
  <si>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</si>
  <si>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</si>
  <si>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</si>
  <si>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</si>
  <si>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</si>
  <si>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</si>
  <si>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</si>
  <si>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</si>
  <si>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</si>
  <si>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</si>
  <si>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</si>
  <si>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</si>
  <si>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</si>
  <si>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</si>
  <si>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</si>
  <si>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</si>
  <si>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</si>
  <si>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</si>
  <si>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</si>
  <si>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</si>
  <si>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</si>
  <si>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</si>
  <si>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</si>
  <si>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</si>
  <si>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</si>
  <si>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</si>
  <si>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</si>
  <si>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</si>
  <si>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</si>
  <si>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</si>
  <si>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</si>
  <si>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</si>
  <si>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</si>
  <si>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</si>
  <si>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</si>
  <si>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</si>
  <si>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</si>
  <si>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</si>
  <si>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</si>
  <si>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</si>
  <si>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</si>
  <si>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</si>
  <si>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</si>
  <si>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</si>
  <si>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</si>
  <si>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</si>
  <si>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</si>
  <si>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</si>
  <si>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</si>
  <si>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</si>
  <si>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</si>
  <si>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</si>
  <si>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</si>
  <si>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</si>
  <si>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</si>
  <si>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</si>
  <si>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</si>
  <si>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</si>
  <si>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</si>
  <si>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</si>
  <si>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</si>
  <si>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</si>
  <si>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</si>
  <si>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</si>
  <si>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</si>
  <si>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</si>
  <si>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</si>
  <si>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</si>
  <si>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</si>
  <si>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</si>
  <si>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</si>
  <si>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</si>
  <si>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</si>
  <si>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</si>
  <si>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</si>
  <si>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</si>
  <si>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</si>
  <si>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</si>
  <si>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</si>
  <si>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</si>
  <si>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</si>
  <si>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</si>
  <si>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</si>
  <si>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</si>
  <si>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</si>
  <si>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</si>
  <si>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</si>
  <si>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</si>
  <si>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</si>
  <si>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</si>
  <si>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</si>
  <si>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</si>
  <si>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</si>
  <si>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</si>
  <si>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</si>
  <si>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</si>
  <si>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</si>
  <si>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</si>
  <si>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</si>
  <si>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</si>
  <si>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</si>
  <si>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</si>
  <si>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</si>
  <si>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</si>
  <si>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</si>
  <si>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</si>
  <si>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</si>
  <si>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</si>
  <si>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</si>
  <si>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</si>
  <si>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</si>
  <si>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</si>
  <si>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</si>
  <si>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</si>
  <si>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</si>
  <si>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</si>
  <si>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</si>
  <si>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</si>
  <si>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</si>
  <si>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</si>
  <si>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</si>
  <si>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</si>
  <si>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</si>
  <si>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</si>
  <si>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</si>
  <si>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</si>
  <si>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</si>
  <si>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</si>
  <si>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</si>
  <si>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</si>
  <si>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</si>
  <si>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</si>
  <si>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</si>
  <si>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</si>
  <si>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</si>
  <si>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</si>
  <si>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</si>
  <si>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</si>
  <si>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</si>
  <si>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</si>
  <si>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</si>
  <si>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</si>
  <si>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</si>
  <si>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</si>
  <si>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</si>
  <si>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</si>
  <si>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</si>
  <si>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</si>
  <si>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</si>
  <si>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</si>
  <si>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</si>
  <si>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</si>
  <si>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</si>
  <si>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</si>
  <si>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</si>
  <si>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</si>
  <si>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</si>
  <si>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</si>
  <si>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</si>
  <si>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</si>
  <si>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</si>
  <si>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</si>
  <si>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</si>
  <si>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</si>
  <si>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</si>
  <si>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</si>
  <si>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</si>
  <si>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</si>
  <si>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</si>
  <si>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</si>
  <si>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</si>
  <si>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</si>
  <si>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</si>
  <si>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</si>
  <si>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</si>
  <si>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</si>
  <si>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</si>
  <si>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</si>
  <si>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</si>
  <si>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</si>
  <si>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</si>
  <si>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</si>
  <si>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</si>
  <si>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</si>
  <si>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</si>
  <si>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</si>
  <si>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</si>
  <si>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</si>
  <si>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</si>
  <si>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</si>
  <si>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</si>
  <si>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</si>
  <si>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</si>
  <si>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</si>
  <si>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</si>
  <si>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</si>
  <si>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</si>
  <si>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</si>
  <si>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</si>
  <si>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</si>
  <si>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</si>
  <si>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</si>
  <si>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</si>
  <si>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</si>
  <si>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</si>
  <si>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</si>
  <si>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</si>
  <si>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</si>
  <si>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</si>
  <si>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</si>
  <si>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</si>
  <si>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</si>
  <si>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</si>
  <si>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</si>
  <si>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</si>
  <si>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</si>
  <si>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</si>
  <si>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</si>
  <si>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</si>
  <si>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</si>
  <si>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</si>
  <si>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</si>
  <si>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</si>
  <si>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</si>
  <si>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</si>
  <si>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</si>
  <si>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</si>
  <si>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</si>
  <si>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</si>
  <si>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</si>
  <si>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</si>
  <si>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</si>
  <si>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</si>
  <si>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</si>
  <si>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</si>
  <si>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</si>
  <si>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</si>
  <si>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</si>
  <si>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</si>
  <si>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</si>
  <si>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</si>
  <si>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</si>
  <si>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</si>
  <si>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</si>
  <si>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</si>
  <si>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</si>
  <si>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</si>
  <si>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</si>
  <si>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</si>
  <si>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</si>
  <si>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</si>
  <si>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</si>
  <si>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</si>
  <si>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</si>
  <si>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</si>
  <si>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</si>
  <si>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</si>
  <si>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</si>
  <si>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</si>
  <si>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</si>
  <si>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</si>
  <si>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</si>
  <si>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</si>
  <si>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</si>
  <si>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</si>
  <si>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</si>
  <si>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</si>
  <si>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</si>
  <si>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</si>
  <si>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</si>
  <si>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</si>
  <si>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</si>
  <si>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</si>
  <si>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</si>
  <si>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</si>
  <si>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</si>
  <si>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</si>
  <si>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</si>
  <si>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</si>
  <si>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</si>
  <si>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</si>
  <si>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</si>
  <si>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</si>
  <si>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</si>
  <si>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</si>
  <si>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</si>
  <si>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</si>
  <si>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</si>
  <si>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</si>
  <si>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</si>
  <si>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</si>
  <si>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</si>
  <si>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</si>
  <si>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</si>
  <si>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</si>
  <si>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</si>
  <si>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</si>
  <si>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</si>
  <si>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</si>
  <si>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</si>
  <si>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</si>
  <si>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</si>
  <si>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</si>
  <si>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</si>
  <si>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</si>
  <si>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</si>
  <si>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</si>
  <si>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</si>
  <si>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</si>
  <si>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</si>
  <si>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</si>
  <si>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</si>
  <si>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</si>
  <si>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</si>
  <si>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</si>
  <si>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</si>
  <si>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</si>
  <si>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</si>
  <si>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</si>
  <si>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</si>
  <si>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</si>
  <si>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</si>
  <si>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</si>
  <si>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</si>
  <si>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</si>
  <si>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</si>
  <si>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</si>
  <si>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</si>
  <si>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</si>
  <si>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</si>
  <si>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</si>
  <si>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</si>
  <si>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</si>
  <si>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</si>
  <si>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</si>
  <si>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</si>
  <si>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</si>
  <si>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</si>
  <si>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</si>
  <si>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</si>
  <si>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</si>
  <si>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</si>
  <si>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</si>
  <si>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</si>
  <si>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</si>
  <si>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</si>
  <si>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</si>
  <si>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</si>
  <si>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</si>
  <si>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</si>
  <si>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</si>
  <si>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</si>
  <si>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</si>
  <si>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</si>
  <si>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</si>
  <si>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</si>
  <si>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</si>
  <si>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</si>
  <si>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</si>
  <si>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</si>
  <si>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</si>
  <si>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</si>
  <si>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</si>
  <si>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</si>
  <si>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</si>
  <si>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</si>
  <si>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</si>
  <si>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</si>
  <si>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</si>
  <si>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</si>
  <si>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</si>
  <si>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</si>
  <si>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</si>
  <si>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</si>
  <si>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</si>
  <si>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</si>
  <si>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</si>
  <si>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</si>
  <si>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</si>
  <si>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</si>
  <si>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</si>
  <si>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</si>
  <si>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</si>
  <si>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</si>
  <si>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</si>
  <si>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</si>
  <si>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</si>
  <si>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</si>
  <si>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</si>
  <si>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</si>
  <si>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</si>
  <si>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</si>
  <si>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</si>
  <si>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</si>
  <si>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</si>
  <si>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</si>
  <si>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</si>
  <si>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</si>
  <si>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</si>
  <si>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</si>
  <si>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</si>
  <si>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</si>
  <si>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</si>
  <si>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</si>
  <si>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</si>
  <si>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</si>
  <si>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</si>
  <si>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</si>
  <si>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</si>
  <si>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</si>
  <si>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</si>
  <si>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</si>
  <si>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</si>
  <si>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</si>
  <si>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</si>
  <si>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</si>
  <si>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</si>
  <si>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</si>
  <si>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</si>
  <si>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</si>
  <si>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</si>
  <si>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</si>
  <si>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</si>
  <si>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</si>
  <si>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</si>
  <si>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</si>
  <si>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</si>
  <si>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</si>
  <si>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</si>
  <si>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</si>
  <si>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</si>
  <si>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</si>
  <si>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</si>
  <si>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</si>
  <si>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</si>
  <si>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</si>
  <si>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</si>
  <si>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</si>
  <si>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</si>
  <si>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</si>
  <si>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</si>
  <si>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</si>
  <si>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</si>
  <si>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</si>
  <si>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</si>
  <si>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</si>
  <si>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</si>
  <si>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</si>
  <si>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</si>
  <si>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</si>
  <si>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</si>
  <si>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</si>
  <si>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</si>
  <si>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</si>
  <si>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</si>
  <si>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</si>
  <si>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</si>
  <si>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</si>
  <si>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</si>
  <si>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</si>
  <si>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</si>
  <si>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</si>
  <si>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</si>
  <si>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</si>
  <si>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</si>
  <si>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</si>
  <si>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</si>
  <si>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</si>
  <si>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</si>
  <si>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</si>
  <si>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</si>
  <si>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</si>
  <si>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</si>
  <si>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</si>
  <si>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</si>
  <si>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</si>
  <si>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</si>
  <si>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</si>
  <si>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</si>
  <si>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</si>
  <si>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</si>
  <si>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</si>
  <si>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</si>
  <si>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</si>
  <si>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</si>
  <si>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</si>
  <si>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</si>
  <si>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</si>
  <si>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</si>
  <si>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</si>
  <si>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</si>
  <si>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</si>
  <si>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</si>
  <si>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</si>
  <si>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</si>
  <si>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</si>
  <si>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</si>
  <si>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</si>
  <si>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</si>
  <si>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</si>
  <si>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</si>
  <si>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</si>
  <si>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</si>
  <si>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</si>
  <si>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</si>
  <si>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</si>
  <si>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</si>
  <si>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</si>
  <si>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</si>
  <si>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</si>
  <si>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</si>
  <si>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</si>
  <si>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</si>
  <si>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</si>
  <si>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</si>
  <si>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</si>
  <si>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</si>
  <si>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</si>
  <si>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</si>
  <si>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</si>
  <si>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</si>
  <si>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</si>
  <si>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</si>
  <si>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</si>
  <si>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</si>
  <si>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</si>
  <si>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</si>
  <si>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</si>
  <si>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</si>
  <si>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</si>
  <si>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</si>
  <si>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</si>
  <si>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</si>
  <si>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</si>
  <si>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</si>
  <si>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</si>
  <si>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</si>
  <si>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</si>
  <si>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</si>
  <si>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</si>
  <si>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</si>
  <si>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</si>
  <si>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</si>
  <si>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</si>
  <si>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</si>
  <si>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</si>
  <si>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</si>
  <si>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</si>
  <si>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</si>
  <si>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</si>
  <si>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</si>
  <si>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</si>
  <si>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</si>
  <si>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</si>
  <si>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</si>
  <si>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</si>
  <si>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</si>
  <si>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</si>
  <si>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</si>
  <si>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</si>
  <si>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</si>
  <si>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</si>
  <si>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</si>
  <si>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</si>
  <si>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</si>
  <si>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</si>
  <si>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</si>
  <si>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</si>
  <si>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</si>
  <si>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</si>
  <si>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</si>
  <si>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</si>
  <si>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</si>
  <si>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</si>
  <si>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</si>
  <si>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</si>
  <si>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</si>
  <si>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</si>
  <si>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</si>
  <si>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</si>
  <si>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</si>
  <si>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</si>
  <si>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</si>
  <si>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</si>
  <si>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</si>
  <si>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</si>
  <si>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</si>
  <si>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</si>
  <si>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</si>
  <si>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</si>
  <si>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</si>
  <si>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</si>
  <si>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</si>
  <si>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</si>
  <si>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</si>
  <si>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</si>
  <si>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</si>
  <si>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</si>
  <si>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</si>
  <si>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</si>
  <si>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</si>
  <si>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</si>
  <si>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</si>
  <si>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</si>
  <si>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</si>
  <si>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</si>
  <si>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</si>
  <si>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</si>
  <si>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</si>
  <si>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</si>
  <si>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</si>
  <si>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</si>
  <si>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</si>
  <si>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</si>
  <si>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</si>
  <si>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</si>
  <si>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</si>
  <si>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</si>
  <si>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</si>
  <si>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</si>
  <si>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</si>
  <si>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</si>
  <si>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</si>
  <si>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</si>
  <si>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</si>
  <si>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</si>
  <si>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</si>
  <si>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</si>
  <si>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</si>
  <si>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</si>
  <si>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</si>
  <si>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</si>
  <si>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</si>
  <si>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</si>
  <si>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</si>
  <si>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</si>
  <si>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</si>
  <si>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</si>
  <si>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</si>
  <si>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</si>
  <si>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</si>
  <si>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</si>
  <si>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</si>
  <si>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</si>
  <si>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</si>
  <si>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</si>
  <si>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</si>
  <si>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</si>
  <si>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</si>
  <si>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</si>
  <si>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</si>
  <si>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</si>
  <si>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</si>
  <si>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</si>
  <si>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</si>
  <si>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</si>
  <si>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</si>
  <si>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</si>
  <si>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</si>
  <si>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</si>
  <si>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</si>
  <si>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</si>
  <si>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</si>
  <si>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</si>
  <si>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</si>
  <si>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</si>
  <si>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</si>
  <si>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</si>
  <si>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</si>
  <si>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</si>
  <si>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</si>
  <si>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</si>
  <si>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</si>
  <si>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</si>
  <si>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</si>
  <si>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</si>
  <si>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</si>
  <si>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</si>
  <si>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</si>
  <si>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</si>
  <si>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</si>
  <si>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</si>
  <si>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</si>
  <si>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</si>
  <si>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</si>
  <si>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</si>
  <si>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</si>
  <si>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</si>
  <si>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</si>
  <si>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</si>
  <si>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</si>
  <si>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</si>
  <si>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</si>
  <si>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</si>
  <si>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</si>
  <si>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</si>
  <si>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</si>
  <si>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</si>
  <si>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</si>
  <si>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</si>
  <si>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</si>
  <si>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</si>
  <si>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</si>
  <si>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</si>
  <si>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</si>
  <si>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</si>
  <si>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</si>
  <si>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</si>
  <si>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</si>
  <si>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</si>
  <si>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</si>
  <si>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</si>
  <si>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</si>
  <si>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</si>
  <si>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</si>
  <si>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</si>
  <si>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</si>
  <si>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</si>
  <si>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</si>
  <si>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</si>
  <si>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</si>
  <si>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</si>
  <si>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</si>
  <si>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</si>
  <si>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</si>
  <si>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</si>
  <si>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</si>
  <si>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</si>
  <si>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</si>
  <si>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</si>
  <si>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</si>
  <si>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</si>
  <si>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</si>
  <si>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</si>
  <si>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</si>
  <si>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</si>
  <si>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</si>
  <si>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</si>
  <si>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</si>
  <si>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</si>
  <si>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</si>
  <si>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</si>
  <si>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</si>
  <si>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</si>
  <si>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</si>
  <si>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</si>
  <si>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</si>
  <si>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</si>
  <si>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</si>
  <si>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</si>
  <si>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</si>
  <si>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</si>
  <si>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</si>
  <si>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</si>
  <si>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</si>
  <si>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</si>
  <si>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</si>
  <si>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</si>
  <si>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</si>
  <si>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</si>
  <si>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</si>
  <si>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</si>
  <si>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</si>
  <si>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</si>
  <si>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</si>
  <si>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</si>
  <si>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</si>
  <si>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</si>
  <si>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</si>
  <si>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</si>
  <si>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</si>
  <si>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</si>
  <si>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</si>
  <si>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</si>
  <si>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</si>
  <si>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</si>
  <si>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</si>
  <si>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</si>
  <si>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</si>
  <si>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</si>
  <si>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</si>
  <si>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</si>
  <si>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</si>
  <si>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</si>
  <si>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</si>
  <si>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</si>
  <si>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</si>
  <si>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</si>
  <si>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</si>
  <si>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</si>
  <si>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</si>
  <si>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</si>
  <si>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</si>
  <si>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</si>
  <si>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</si>
  <si>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</si>
  <si>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</si>
  <si>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</si>
  <si>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</si>
  <si>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</si>
  <si>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</si>
  <si>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</si>
  <si>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</si>
  <si>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</si>
  <si>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</si>
  <si>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</si>
  <si>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</si>
  <si>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</si>
  <si>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</si>
  <si>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</si>
  <si>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</si>
  <si>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</si>
  <si>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</si>
  <si>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</si>
  <si>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</si>
  <si>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</si>
  <si>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</si>
  <si>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</si>
  <si>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</si>
  <si>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</si>
  <si>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</si>
  <si>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</si>
  <si>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</si>
  <si>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</si>
  <si>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</si>
  <si>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</si>
  <si>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</si>
  <si>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</si>
  <si>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</si>
  <si>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</si>
  <si>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</si>
  <si>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</si>
  <si>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</si>
  <si>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</si>
  <si>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</si>
  <si>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</si>
  <si>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</si>
  <si>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</si>
  <si>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</si>
  <si>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</si>
  <si>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</si>
  <si>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</si>
  <si>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</si>
  <si>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</si>
  <si>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</si>
  <si>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</si>
  <si>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</si>
  <si>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</si>
  <si>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</si>
  <si>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</si>
  <si>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</si>
  <si>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</si>
  <si>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</si>
  <si>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</si>
  <si>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</si>
  <si>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</si>
  <si>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</si>
  <si>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</si>
  <si>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</si>
  <si>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</si>
  <si>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</si>
  <si>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</si>
  <si>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</si>
  <si>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</si>
  <si>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</si>
  <si>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</si>
  <si>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</si>
  <si>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</si>
  <si>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</si>
  <si>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</si>
  <si>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</si>
  <si>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</si>
  <si>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</si>
  <si>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</si>
  <si>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</si>
  <si>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</si>
  <si>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</si>
  <si>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</si>
  <si>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</si>
  <si>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</si>
  <si>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</si>
  <si>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</si>
  <si>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</si>
  <si>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</si>
  <si>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</si>
  <si>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</si>
  <si>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</si>
  <si>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</si>
  <si>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</si>
  <si>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</si>
  <si>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</si>
  <si>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</si>
  <si>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</si>
  <si>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</si>
  <si>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</si>
  <si>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</si>
  <si>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</si>
  <si>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</si>
  <si>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</si>
  <si>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</si>
  <si>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</si>
  <si>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</si>
  <si>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</si>
  <si>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</si>
  <si>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</si>
  <si>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</si>
  <si>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</si>
  <si>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</si>
  <si>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</si>
  <si>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</si>
  <si>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</si>
  <si>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</si>
  <si>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</si>
  <si>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</si>
  <si>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</si>
  <si>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</si>
  <si>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</si>
  <si>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</si>
  <si>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</si>
  <si>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</si>
  <si>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</si>
  <si>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</si>
  <si>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</si>
  <si>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</si>
  <si>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</si>
  <si>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</si>
  <si>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</si>
  <si>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</si>
  <si>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</si>
  <si>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</si>
  <si>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</si>
  <si>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</si>
  <si>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</si>
  <si>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</si>
  <si>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</si>
  <si>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</si>
  <si>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</si>
  <si>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</si>
  <si>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</si>
  <si>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</si>
  <si>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</si>
  <si>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</si>
  <si>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</si>
  <si>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</si>
  <si>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</si>
  <si>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</si>
  <si>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</si>
  <si>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</si>
  <si>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</si>
  <si>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</si>
  <si>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</si>
  <si>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</si>
  <si>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</si>
  <si>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</si>
  <si>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</si>
  <si>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</si>
  <si>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</si>
  <si>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</si>
  <si>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</si>
  <si>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</si>
  <si>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</si>
  <si>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</si>
  <si>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</si>
  <si>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</si>
  <si>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</si>
  <si>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</si>
  <si>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</si>
  <si>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</si>
  <si>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</si>
  <si>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</si>
  <si>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</si>
  <si>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</si>
  <si>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</si>
  <si>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</si>
  <si>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</si>
  <si>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</si>
  <si>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</si>
  <si>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</si>
  <si>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</si>
  <si>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</si>
  <si>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</si>
  <si>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</si>
  <si>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</si>
  <si>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</si>
  <si>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</si>
  <si>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</si>
  <si>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</si>
  <si>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</si>
  <si>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</si>
  <si>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</si>
  <si>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</si>
  <si>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</si>
  <si>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</si>
  <si>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</si>
  <si>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</si>
  <si>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</si>
  <si>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</si>
  <si>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</si>
  <si>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</si>
  <si>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</si>
  <si>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</si>
  <si>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</si>
  <si>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</si>
  <si>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</si>
  <si>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</si>
  <si>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</si>
  <si>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</si>
  <si>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</si>
  <si>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</si>
  <si>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</si>
  <si>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</si>
  <si>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</si>
  <si>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</si>
  <si>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</si>
  <si>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</si>
  <si>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</si>
  <si>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</si>
  <si>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</si>
  <si>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</si>
  <si>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</si>
  <si>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</si>
  <si>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</si>
  <si>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</si>
  <si>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</si>
  <si>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</si>
  <si>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</si>
  <si>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</si>
  <si>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</si>
  <si>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</si>
  <si>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</si>
  <si>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</si>
  <si>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</si>
  <si>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</si>
  <si>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</si>
  <si>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</si>
  <si>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</si>
  <si>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</si>
  <si>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</si>
  <si>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</si>
  <si>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</si>
  <si>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</si>
  <si>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</si>
  <si>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</si>
  <si>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</si>
  <si>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</si>
  <si>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</si>
  <si>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</si>
  <si>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</si>
  <si>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</si>
  <si>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</si>
  <si>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</si>
  <si>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</si>
  <si>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</si>
  <si>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</si>
  <si>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</si>
  <si>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</si>
  <si>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</si>
  <si>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</si>
  <si>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</si>
  <si>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</si>
  <si>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</si>
  <si>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</si>
  <si>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</si>
  <si>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</si>
  <si>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</si>
  <si>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</si>
  <si>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</si>
  <si>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</si>
  <si>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</si>
  <si>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</si>
  <si>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</si>
  <si>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</si>
  <si>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</si>
  <si>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</si>
  <si>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</si>
  <si>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</si>
  <si>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</si>
  <si>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</si>
  <si>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</si>
  <si>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</si>
  <si>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</si>
  <si>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</si>
  <si>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</si>
  <si>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</si>
  <si>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</si>
  <si>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</si>
  <si>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</si>
  <si>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</si>
  <si>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</si>
  <si>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</si>
  <si>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</si>
  <si>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</si>
  <si>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</si>
  <si>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</si>
  <si>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</si>
  <si>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</si>
  <si>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</si>
  <si>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</si>
  <si>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</si>
  <si>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</si>
  <si>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</si>
  <si>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</si>
  <si>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</si>
  <si>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</si>
  <si>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</si>
  <si>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</si>
  <si>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</si>
  <si>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</si>
  <si>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</si>
  <si>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</si>
  <si>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</si>
  <si>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</si>
  <si>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</si>
  <si>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</si>
  <si>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</si>
  <si>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</si>
  <si>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</si>
  <si>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</si>
  <si>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</si>
  <si>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</si>
  <si>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</si>
  <si>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</si>
  <si>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</si>
  <si>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</si>
  <si>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</si>
  <si>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</si>
  <si>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</si>
  <si>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</si>
  <si>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</si>
  <si>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</si>
  <si>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</si>
  <si>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</si>
  <si>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</si>
  <si>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</si>
  <si>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</si>
  <si>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</si>
  <si>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</si>
  <si>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</si>
  <si>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</si>
  <si>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</si>
  <si>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</si>
  <si>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</si>
  <si>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</si>
  <si>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</si>
  <si>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</si>
  <si>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</si>
  <si>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</si>
  <si>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</si>
  <si>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</si>
  <si>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</si>
  <si>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</si>
  <si>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</si>
  <si>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</si>
  <si>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</si>
  <si>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</si>
  <si>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</si>
  <si>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</si>
  <si>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</si>
  <si>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</si>
  <si>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</si>
  <si>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</si>
  <si>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</si>
  <si>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</si>
  <si>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</si>
  <si>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</si>
  <si>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</si>
  <si>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</si>
  <si>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</si>
  <si>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</si>
  <si>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</si>
  <si>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</si>
  <si>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</si>
  <si>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</si>
  <si>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</si>
  <si>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</si>
  <si>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</si>
  <si>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</si>
  <si>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</si>
  <si>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</si>
  <si>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</si>
  <si>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</si>
  <si>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</si>
  <si>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</si>
  <si>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</si>
  <si>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</si>
  <si>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</si>
  <si>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</si>
  <si>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</si>
  <si>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</si>
  <si>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</si>
  <si>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</si>
  <si>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</si>
  <si>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</si>
  <si>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</si>
  <si>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</si>
  <si>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</si>
  <si>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</si>
  <si>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</si>
  <si>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</si>
  <si>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</si>
  <si>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</si>
  <si>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</si>
  <si>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</si>
  <si>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</si>
  <si>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</si>
  <si>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</si>
  <si>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</si>
  <si>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</si>
  <si>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</si>
  <si>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</si>
  <si>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</si>
  <si>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</si>
  <si>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</si>
  <si>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</si>
  <si>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</si>
  <si>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</si>
  <si>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</si>
  <si>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</si>
  <si>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</si>
  <si>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</si>
  <si>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</si>
  <si>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</si>
  <si>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</si>
  <si>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</si>
  <si>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</si>
  <si>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</si>
  <si>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</si>
  <si>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</si>
  <si>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</si>
  <si>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</si>
  <si>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</si>
  <si>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</si>
  <si>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</si>
  <si>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</si>
  <si>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</si>
  <si>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</si>
  <si>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</si>
  <si>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</si>
  <si>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</si>
  <si>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</si>
  <si>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</si>
  <si>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</si>
  <si>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</si>
  <si>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</si>
  <si>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</si>
  <si>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</si>
  <si>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</si>
  <si>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</si>
  <si>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</si>
  <si>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</si>
  <si>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</si>
  <si>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</si>
  <si>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</si>
  <si>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</si>
  <si>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</si>
  <si>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</si>
  <si>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</si>
  <si>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</si>
  <si>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</si>
  <si>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</si>
  <si>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</si>
  <si>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</si>
  <si>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</si>
  <si>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</si>
  <si>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</si>
  <si>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</si>
  <si>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</si>
  <si>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</si>
  <si>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</si>
  <si>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</si>
  <si>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</si>
  <si>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</si>
  <si>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</si>
  <si>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</si>
  <si>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</si>
  <si>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</si>
  <si>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</si>
  <si>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</si>
  <si>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</si>
  <si>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</si>
  <si>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</si>
  <si>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</si>
  <si>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</si>
  <si>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</si>
  <si>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</si>
  <si>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</si>
  <si>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</si>
  <si>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</si>
  <si>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</si>
  <si>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</si>
  <si>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</si>
  <si>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</si>
  <si>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</si>
  <si>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</si>
  <si>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</si>
  <si>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</si>
  <si>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</si>
  <si>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</si>
  <si>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</si>
  <si>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</si>
  <si>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</si>
  <si>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</si>
  <si>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</si>
  <si>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</si>
  <si>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</si>
  <si>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</si>
  <si>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</si>
  <si>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</si>
  <si>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</si>
  <si>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</si>
  <si>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</si>
  <si>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</si>
  <si>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</si>
  <si>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</si>
  <si>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</si>
  <si>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</si>
  <si>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</si>
  <si>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</si>
  <si>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</si>
  <si>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</si>
  <si>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</si>
  <si>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</si>
  <si>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</si>
  <si>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</si>
  <si>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</si>
  <si>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</si>
  <si>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</si>
  <si>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</si>
  <si>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</si>
  <si>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</si>
  <si>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</si>
  <si>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</si>
  <si>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</si>
  <si>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</si>
  <si>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</si>
  <si>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</si>
  <si>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</si>
  <si>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</si>
  <si>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</si>
  <si>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</si>
  <si>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</si>
  <si>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</si>
  <si>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</si>
  <si>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</si>
  <si>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</si>
  <si>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</si>
  <si>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</si>
  <si>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</si>
  <si>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</si>
  <si>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</si>
  <si>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</si>
  <si>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</si>
  <si>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</si>
  <si>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</si>
  <si>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</si>
  <si>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</si>
  <si>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</si>
  <si>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</si>
  <si>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</si>
  <si>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</si>
  <si>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</si>
  <si>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</si>
  <si>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</si>
  <si>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</si>
  <si>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</si>
  <si>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</si>
  <si>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</si>
  <si>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</si>
  <si>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</si>
  <si>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</si>
  <si>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</si>
  <si>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</si>
  <si>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</si>
  <si>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</si>
  <si>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</si>
  <si>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</si>
  <si>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</si>
  <si>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</si>
  <si>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</si>
  <si>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</si>
  <si>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</si>
  <si>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</si>
  <si>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</si>
  <si>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</si>
  <si>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</si>
  <si>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</si>
  <si>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</si>
  <si>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</si>
  <si>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</si>
  <si>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</si>
  <si>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</si>
  <si>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</si>
  <si>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</si>
  <si>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</si>
  <si>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</si>
  <si>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</si>
  <si>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</si>
  <si>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</si>
  <si>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</si>
  <si>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</si>
  <si>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</si>
  <si>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</si>
  <si>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</si>
  <si>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</si>
  <si>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</si>
  <si>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</si>
  <si>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</si>
  <si>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</si>
  <si>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</si>
  <si>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</si>
  <si>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</si>
  <si>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</si>
  <si>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</si>
  <si>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</si>
  <si>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</si>
  <si>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</si>
  <si>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</si>
  <si>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</si>
  <si>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</si>
  <si>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</si>
  <si>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</si>
  <si>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</si>
  <si>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</si>
  <si>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</si>
  <si>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</si>
  <si>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</si>
  <si>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</si>
  <si>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</si>
  <si>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</si>
  <si>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</si>
  <si>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</si>
  <si>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</si>
  <si>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</si>
  <si>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</si>
  <si>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</si>
  <si>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</si>
  <si>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</si>
  <si>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</si>
  <si>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</si>
  <si>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</si>
  <si>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</si>
  <si>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</si>
  <si>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</si>
  <si>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</si>
  <si>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</si>
  <si>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</si>
  <si>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</si>
  <si>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</si>
  <si>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</si>
  <si>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</si>
  <si>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</si>
  <si>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</si>
  <si>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</si>
  <si>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</si>
  <si>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</si>
  <si>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</si>
  <si>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</si>
  <si>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</si>
  <si>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</si>
  <si>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</si>
  <si>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</si>
  <si>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</si>
  <si>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</si>
  <si>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</si>
  <si>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</si>
  <si>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</si>
  <si>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</si>
  <si>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</si>
  <si>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</si>
  <si>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</si>
  <si>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</si>
  <si>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</si>
  <si>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</si>
  <si>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</si>
  <si>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</si>
  <si>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</si>
  <si>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</si>
  <si>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</si>
  <si>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</si>
  <si>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</si>
  <si>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</si>
  <si>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</si>
  <si>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</si>
  <si>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</si>
  <si>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</si>
  <si>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</si>
  <si>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</si>
  <si>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</si>
  <si>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</si>
  <si>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</si>
  <si>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</si>
  <si>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</si>
  <si>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</si>
  <si>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</si>
  <si>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</si>
  <si>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</si>
  <si>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</si>
  <si>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</si>
  <si>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</si>
  <si>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</si>
  <si>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</si>
  <si>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</si>
  <si>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</si>
  <si>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</si>
  <si>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</si>
  <si>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</si>
  <si>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</si>
  <si>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</si>
  <si>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</si>
  <si>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</si>
  <si>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</si>
  <si>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</si>
  <si>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</si>
  <si>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</si>
  <si>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</si>
  <si>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</si>
  <si>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</si>
  <si>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</si>
  <si>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</si>
  <si>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</si>
  <si>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</si>
  <si>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</si>
  <si>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</si>
  <si>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</si>
  <si>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</si>
  <si>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</si>
  <si>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</si>
  <si>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</si>
  <si>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</si>
  <si>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</si>
  <si>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</si>
  <si>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</si>
  <si>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</si>
  <si>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</si>
  <si>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</si>
  <si>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</si>
  <si>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</si>
  <si>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</si>
  <si>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</si>
  <si>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</si>
  <si>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</si>
  <si>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</si>
  <si>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</si>
  <si>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</si>
  <si>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</si>
  <si>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</si>
  <si>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</si>
  <si>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</si>
  <si>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</si>
  <si>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</si>
  <si>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</si>
  <si>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</si>
  <si>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</si>
  <si>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</si>
  <si>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</si>
  <si>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</si>
  <si>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</si>
  <si>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</si>
  <si>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</si>
  <si>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</si>
  <si>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</si>
  <si>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</si>
  <si>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</si>
  <si>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</si>
  <si>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</si>
  <si>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</si>
  <si>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</si>
  <si>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</si>
  <si>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</si>
  <si>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</si>
  <si>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</si>
  <si>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</si>
  <si>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</si>
  <si>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</si>
  <si>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</si>
  <si>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</si>
  <si>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</si>
  <si>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</si>
  <si>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</si>
  <si>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</si>
  <si>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</si>
  <si>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</si>
  <si>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</si>
  <si>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</si>
  <si>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</si>
  <si>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</si>
  <si>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</si>
  <si>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</si>
  <si>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</si>
  <si>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</si>
  <si>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</si>
  <si>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</si>
  <si>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</si>
  <si>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</si>
  <si>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</si>
  <si>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</si>
  <si>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</si>
  <si>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</si>
  <si>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</si>
  <si>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</si>
  <si>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</si>
  <si>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</si>
  <si>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</si>
  <si>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</si>
  <si>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</si>
  <si>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</si>
  <si>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</si>
  <si>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</si>
  <si>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</si>
  <si>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</si>
  <si>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</si>
  <si>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</si>
  <si>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</si>
  <si>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</si>
  <si>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</si>
  <si>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</si>
  <si>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</si>
  <si>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</si>
  <si>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</si>
  <si>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</si>
  <si>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</si>
  <si>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</si>
  <si>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</si>
  <si>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</si>
  <si>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</si>
  <si>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</si>
  <si>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</si>
  <si>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</si>
  <si>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</si>
  <si>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</si>
  <si>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</si>
  <si>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</si>
  <si>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</si>
  <si>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</si>
  <si>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</si>
  <si>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</si>
  <si>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</si>
  <si>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</si>
  <si>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</si>
  <si>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</si>
  <si>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</si>
  <si>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</si>
  <si>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</si>
  <si>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</si>
  <si>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</si>
  <si>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</si>
  <si>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</si>
  <si>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</si>
  <si>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</si>
  <si>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</si>
  <si>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</si>
  <si>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</si>
  <si>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</si>
  <si>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</si>
  <si>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</si>
  <si>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</si>
  <si>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</si>
  <si>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</si>
  <si>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</si>
  <si>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</si>
  <si>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</si>
  <si>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</si>
  <si>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</si>
  <si>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</si>
  <si>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</si>
  <si>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</si>
  <si>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</si>
  <si>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</si>
  <si>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</si>
  <si>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</si>
  <si>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</si>
  <si>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</si>
  <si>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</si>
  <si>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</si>
  <si>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</si>
  <si>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</si>
  <si>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</si>
  <si>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</si>
  <si>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</si>
  <si>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</si>
  <si>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</si>
  <si>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</si>
  <si>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</si>
  <si>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</si>
  <si>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</si>
  <si>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</si>
  <si>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</si>
  <si>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</si>
  <si>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</si>
  <si>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</si>
  <si>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</si>
  <si>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</si>
  <si>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</si>
  <si>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</si>
  <si>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</si>
  <si>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</si>
  <si>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</si>
  <si>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</si>
  <si>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</si>
  <si>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</si>
  <si>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</si>
  <si>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</si>
  <si>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</si>
  <si>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</si>
  <si>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</si>
  <si>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</si>
  <si>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</si>
  <si>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</si>
  <si>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</si>
  <si>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</si>
  <si>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</si>
  <si>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</si>
  <si>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</si>
  <si>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</si>
  <si>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</si>
  <si>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</si>
  <si>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</si>
  <si>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</si>
  <si>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</si>
  <si>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</si>
  <si>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</si>
  <si>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</si>
  <si>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</si>
  <si>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</si>
  <si>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</si>
  <si>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</si>
  <si>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</si>
  <si>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</si>
  <si>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</si>
  <si>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</si>
  <si>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</si>
  <si>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</si>
  <si>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</si>
  <si>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</si>
  <si>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</si>
  <si>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</si>
  <si>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</si>
  <si>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</si>
  <si>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</si>
  <si>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</si>
  <si>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</si>
  <si>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</si>
  <si>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</si>
  <si>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</si>
  <si>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</si>
  <si>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</si>
  <si>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</si>
  <si>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</si>
  <si>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</si>
  <si>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</si>
  <si>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</si>
  <si>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</si>
  <si>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</si>
  <si>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</si>
  <si>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</si>
  <si>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</si>
  <si>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</si>
  <si>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</si>
  <si>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</si>
  <si>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</si>
  <si>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</si>
  <si>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</si>
  <si>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</si>
  <si>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</si>
  <si>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</si>
  <si>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</si>
  <si>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</si>
  <si>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</si>
  <si>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</si>
  <si>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</si>
  <si>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</si>
  <si>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</si>
  <si>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</si>
  <si>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</si>
  <si>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</si>
  <si>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</si>
  <si>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</si>
  <si>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</si>
  <si>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</si>
  <si>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</si>
  <si>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</si>
  <si>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</si>
  <si>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</si>
  <si>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</si>
  <si>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</si>
  <si>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</si>
  <si>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</si>
  <si>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</si>
  <si>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</si>
  <si>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</si>
  <si>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</si>
  <si>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</si>
  <si>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</si>
  <si>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</si>
  <si>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</si>
  <si>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</si>
  <si>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</si>
  <si>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</si>
  <si>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</si>
  <si>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</si>
  <si>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</si>
  <si>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</si>
  <si>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</si>
  <si>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</si>
  <si>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</si>
  <si>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</si>
  <si>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</si>
  <si>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</si>
  <si>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</si>
  <si>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</si>
  <si>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</si>
  <si>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</si>
  <si>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</si>
  <si>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</si>
  <si>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</si>
  <si>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</si>
  <si>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</si>
  <si>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</si>
  <si>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</si>
  <si>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</si>
  <si>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</si>
  <si>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</si>
  <si>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</si>
  <si>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</si>
  <si>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</si>
  <si>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</si>
  <si>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</si>
  <si>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</si>
  <si>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</si>
  <si>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</si>
  <si>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</si>
  <si>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</si>
  <si>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</si>
  <si>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</si>
  <si>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</si>
  <si>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</si>
  <si>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</si>
  <si>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</si>
  <si>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</si>
  <si>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</si>
  <si>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</si>
  <si>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</si>
  <si>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</si>
  <si>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</si>
  <si>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</si>
  <si>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</si>
  <si>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</si>
  <si>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</si>
  <si>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</si>
  <si>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</si>
  <si>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</si>
  <si>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</si>
  <si>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</si>
  <si>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</si>
  <si>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</si>
  <si>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</si>
  <si>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</si>
  <si>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</si>
  <si>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</si>
  <si>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</si>
  <si>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</si>
  <si>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</si>
  <si>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</si>
  <si>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</si>
  <si>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</si>
  <si>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</si>
  <si>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</si>
  <si>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</si>
  <si>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</si>
  <si>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</si>
  <si>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</si>
  <si>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</si>
  <si>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</si>
  <si>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</si>
  <si>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</si>
  <si>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</si>
  <si>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</si>
  <si>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</si>
  <si>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</si>
  <si>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</si>
  <si>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</si>
  <si>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</si>
  <si>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</si>
  <si>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</si>
  <si>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</si>
  <si>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</si>
  <si>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</si>
  <si>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</si>
  <si>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</si>
  <si>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</si>
  <si>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</si>
  <si>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</si>
  <si>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</si>
  <si>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</si>
  <si>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</si>
  <si>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</si>
  <si>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</si>
  <si>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</si>
  <si>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</si>
  <si>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</si>
  <si>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</si>
  <si>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</si>
  <si>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</si>
  <si>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</si>
  <si>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</si>
  <si>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</si>
  <si>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</si>
  <si>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</si>
  <si>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</si>
  <si>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</si>
  <si>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</si>
  <si>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</si>
  <si>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</si>
  <si>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</si>
  <si>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</si>
  <si>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</si>
  <si>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</si>
  <si>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</si>
  <si>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</si>
  <si>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</si>
  <si>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</si>
  <si>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</si>
  <si>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</si>
  <si>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</si>
  <si>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</si>
  <si>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</si>
  <si>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</si>
  <si>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</si>
  <si>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</si>
  <si>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</si>
  <si>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</si>
  <si>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</si>
  <si>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</si>
  <si>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</si>
  <si>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</si>
  <si>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</si>
  <si>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</si>
  <si>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</si>
  <si>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</si>
  <si>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</si>
  <si>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</si>
  <si>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</si>
  <si>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</si>
  <si>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</si>
  <si>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</si>
  <si>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</si>
  <si>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</si>
  <si>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</si>
  <si>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</si>
  <si>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</si>
  <si>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</si>
  <si>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</si>
  <si>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</si>
  <si>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</si>
  <si>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</si>
  <si>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</si>
  <si>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</si>
  <si>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</si>
  <si>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</si>
  <si>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</si>
  <si>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</si>
  <si>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</si>
  <si>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</si>
  <si>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</si>
  <si>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</si>
  <si>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</si>
  <si>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</si>
  <si>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</si>
  <si>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</si>
  <si>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</si>
  <si>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</si>
  <si>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</si>
  <si>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</si>
  <si>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</si>
  <si>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</si>
  <si>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</si>
  <si>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</si>
  <si>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</si>
  <si>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</si>
  <si>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</si>
  <si>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</si>
  <si>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</si>
  <si>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</si>
  <si>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</si>
  <si>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</si>
  <si>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</si>
  <si>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</si>
  <si>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</si>
  <si>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</si>
  <si>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</si>
  <si>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</si>
  <si>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</si>
  <si>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</si>
  <si>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</si>
  <si>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</si>
  <si>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</si>
  <si>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</si>
  <si>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</si>
  <si>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</si>
  <si>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</si>
  <si>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</si>
  <si>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</si>
  <si>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</si>
  <si>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</si>
  <si>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</si>
  <si>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</si>
  <si>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</si>
  <si>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</si>
  <si>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</si>
  <si>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</si>
  <si>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</si>
  <si>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</si>
  <si>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</si>
  <si>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</si>
  <si>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</si>
  <si>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</si>
  <si>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</si>
  <si>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</si>
  <si>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</si>
  <si>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</si>
  <si>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</si>
  <si>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</si>
  <si>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</si>
  <si>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</si>
  <si>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</si>
  <si>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</si>
  <si>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</si>
  <si>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</si>
  <si>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</si>
  <si>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</si>
  <si>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</si>
  <si>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</si>
  <si>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</si>
  <si>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</si>
  <si>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</si>
  <si>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</si>
  <si>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</si>
  <si>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</si>
  <si>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</si>
  <si>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</si>
  <si>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</si>
  <si>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</si>
  <si>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</si>
  <si>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</si>
  <si>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</si>
  <si>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</si>
  <si>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</si>
  <si>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</si>
  <si>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</si>
  <si>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</si>
  <si>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</si>
  <si>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</si>
  <si>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</si>
  <si>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</si>
  <si>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</si>
  <si>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</si>
  <si>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</si>
  <si>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</si>
  <si>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</si>
  <si>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</si>
  <si>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</si>
  <si>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</si>
  <si>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</si>
  <si>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</si>
  <si>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</si>
  <si>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</si>
  <si>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</si>
  <si>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</si>
  <si>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</si>
  <si>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</si>
  <si>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</si>
  <si>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</si>
  <si>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</si>
  <si>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</si>
  <si>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</si>
  <si>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</si>
  <si>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</si>
  <si>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</si>
  <si>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</si>
  <si>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</si>
  <si>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</si>
  <si>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</si>
  <si>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</si>
  <si>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</si>
  <si>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</si>
  <si>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</si>
  <si>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</si>
  <si>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</si>
  <si>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</si>
  <si>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</si>
  <si>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</si>
  <si>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</si>
  <si>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</si>
  <si>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</si>
  <si>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</si>
  <si>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</si>
  <si>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</si>
  <si>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</si>
  <si>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</si>
  <si>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</si>
  <si>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</si>
  <si>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</si>
  <si>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</si>
  <si>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</si>
  <si>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</si>
  <si>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</si>
  <si>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</si>
  <si>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</si>
  <si>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</si>
  <si>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</si>
  <si>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</si>
  <si>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</si>
  <si>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</si>
  <si>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</si>
  <si>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</si>
  <si>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</si>
  <si>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</si>
  <si>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</si>
  <si>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</si>
  <si>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</si>
  <si>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</si>
  <si>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</si>
  <si>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</si>
  <si>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</si>
  <si>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</si>
  <si>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</si>
  <si>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</si>
  <si>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</si>
  <si>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</si>
  <si>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</si>
  <si>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</si>
  <si>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</si>
  <si>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</si>
  <si>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</si>
  <si>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</si>
  <si>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</si>
  <si>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</si>
  <si>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</si>
  <si>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</si>
  <si>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</si>
  <si>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</si>
  <si>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</si>
  <si>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</si>
  <si>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</si>
  <si>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</si>
  <si>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</si>
  <si>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</si>
  <si>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</si>
  <si>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</si>
  <si>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</si>
  <si>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</si>
  <si>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</si>
  <si>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</si>
  <si>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</si>
  <si>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</si>
  <si>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</si>
  <si>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</si>
  <si>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</si>
  <si>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</si>
  <si>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</si>
  <si>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</si>
  <si>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</si>
  <si>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</si>
  <si>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</si>
  <si>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</si>
  <si>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</si>
  <si>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</si>
  <si>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</si>
  <si>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</si>
  <si>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</si>
  <si>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</si>
  <si>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</si>
  <si>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</si>
  <si>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</si>
  <si>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</si>
  <si>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</si>
  <si>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</si>
  <si>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</si>
  <si>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</si>
  <si>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</si>
  <si>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</si>
  <si>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</si>
  <si>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</si>
  <si>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</si>
  <si>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</si>
  <si>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</si>
  <si>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</si>
  <si>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</si>
  <si>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</si>
  <si>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</si>
  <si>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</si>
  <si>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</si>
  <si>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</si>
  <si>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</si>
  <si>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</si>
  <si>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</si>
  <si>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</si>
  <si>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</si>
  <si>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</si>
  <si>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</si>
  <si>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</si>
  <si>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</si>
  <si>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</si>
  <si>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</si>
  <si>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</si>
  <si>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</si>
  <si>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</si>
  <si>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</si>
  <si>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</si>
  <si>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</si>
  <si>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</si>
  <si>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</si>
  <si>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</si>
  <si>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</si>
  <si>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</si>
  <si>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</si>
  <si>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</si>
  <si>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</si>
  <si>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</si>
  <si>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</si>
  <si>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</si>
  <si>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</si>
  <si>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</si>
  <si>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</si>
  <si>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</si>
  <si>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</si>
  <si>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</si>
  <si>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</si>
  <si>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</si>
  <si>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</si>
  <si>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</si>
  <si>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</si>
  <si>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</si>
  <si>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</si>
  <si>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</si>
  <si>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</si>
  <si>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</si>
  <si>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</si>
  <si>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</si>
  <si>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</si>
  <si>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</si>
  <si>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</si>
  <si>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</si>
  <si>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</si>
  <si>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</si>
  <si>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</si>
  <si>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</si>
  <si>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</si>
  <si>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</si>
  <si>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</si>
  <si>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</si>
  <si>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</si>
  <si>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</si>
  <si>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</si>
  <si>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</si>
  <si>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</si>
  <si>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</si>
  <si>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</si>
  <si>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</si>
  <si>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</si>
  <si>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</si>
  <si>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</si>
  <si>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</si>
  <si>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</si>
  <si>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</si>
  <si>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</si>
  <si>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</si>
  <si>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</si>
  <si>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</si>
  <si>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</si>
  <si>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</si>
  <si>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</si>
  <si>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</si>
  <si>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</si>
  <si>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</si>
  <si>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</si>
  <si>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</si>
  <si>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</si>
  <si>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</si>
  <si>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</si>
  <si>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</si>
  <si>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</si>
  <si>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</si>
  <si>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</si>
  <si>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</si>
  <si>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</si>
  <si>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</si>
  <si>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</si>
  <si>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</si>
  <si>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</si>
  <si>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</si>
  <si>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</si>
  <si>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</si>
  <si>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</si>
  <si>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</si>
  <si>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</si>
  <si>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</si>
  <si>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</si>
  <si>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</si>
  <si>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</si>
  <si>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</si>
  <si>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</si>
  <si>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</si>
  <si>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</si>
  <si>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</si>
  <si>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</si>
  <si>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</si>
  <si>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</si>
  <si>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</si>
  <si>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</si>
  <si>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</si>
  <si>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</si>
  <si>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</si>
  <si>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</si>
  <si>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</si>
  <si>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</si>
  <si>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</si>
  <si>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</si>
  <si>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</si>
  <si>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</si>
  <si>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</si>
  <si>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</si>
  <si>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</si>
  <si>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</si>
  <si>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</si>
  <si>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</si>
  <si>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</si>
  <si>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</si>
  <si>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</si>
  <si>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</si>
  <si>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</si>
  <si>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</si>
  <si>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</si>
  <si>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</si>
  <si>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</si>
  <si>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</si>
  <si>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</si>
  <si>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</si>
  <si>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</si>
  <si>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</si>
  <si>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</si>
  <si>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</si>
  <si>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</si>
  <si>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</si>
  <si>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</si>
  <si>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</si>
  <si>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</si>
  <si>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</si>
  <si>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</si>
  <si>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</si>
  <si>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</si>
  <si>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</si>
  <si>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</si>
  <si>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</si>
  <si>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</si>
  <si>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</si>
  <si>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</si>
  <si>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</si>
  <si>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</si>
  <si>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</si>
  <si>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</si>
  <si>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</si>
  <si>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</si>
  <si>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</si>
  <si>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</si>
  <si>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</si>
  <si>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</si>
  <si>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</si>
  <si>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</si>
  <si>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</si>
  <si>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</si>
  <si>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</si>
  <si>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</si>
  <si>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</si>
  <si>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</si>
  <si>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</si>
  <si>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</si>
  <si>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</si>
  <si>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</si>
  <si>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</si>
  <si>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</si>
  <si>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</si>
  <si>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</si>
  <si>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</si>
  <si>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</si>
  <si>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</si>
  <si>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</si>
  <si>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</si>
  <si>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</si>
  <si>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</si>
  <si>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</si>
  <si>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</si>
  <si>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</si>
  <si>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</si>
  <si>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</si>
  <si>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</si>
  <si>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</si>
  <si>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</si>
  <si>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</si>
  <si>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</si>
  <si>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</si>
  <si>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</si>
  <si>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</si>
  <si>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</si>
  <si>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</si>
  <si>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</si>
  <si>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</si>
  <si>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</si>
  <si>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</si>
  <si>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</si>
  <si>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</si>
  <si>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</si>
  <si>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</si>
  <si>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</si>
  <si>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</si>
  <si>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</si>
  <si>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</si>
  <si>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</si>
  <si>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</si>
  <si>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</si>
  <si>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</si>
  <si>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</si>
  <si>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</si>
  <si>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</si>
  <si>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</si>
  <si>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</si>
  <si>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</si>
  <si>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</si>
  <si>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</si>
  <si>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</si>
  <si>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</si>
  <si>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</si>
  <si>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</si>
  <si>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</si>
  <si>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</si>
  <si>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</si>
  <si>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</si>
  <si>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</si>
  <si>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</si>
  <si>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</si>
  <si>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</si>
  <si>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</si>
  <si>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</si>
  <si>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</si>
  <si>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</si>
  <si>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</si>
  <si>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</si>
  <si>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</si>
  <si>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</si>
  <si>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</si>
  <si>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</si>
  <si>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</si>
  <si>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</si>
  <si>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</si>
  <si>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</si>
  <si>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</si>
  <si>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</si>
  <si>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</si>
  <si>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</si>
  <si>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</si>
  <si>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</si>
  <si>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</si>
  <si>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</si>
  <si>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</si>
  <si>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</si>
  <si>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</si>
  <si>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</si>
  <si>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</si>
  <si>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</si>
  <si>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</si>
  <si>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</si>
  <si>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</si>
  <si>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</si>
  <si>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</si>
  <si>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</si>
  <si>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</si>
  <si>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</si>
  <si>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</si>
  <si>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</si>
  <si>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</si>
  <si>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</si>
  <si>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</si>
  <si>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</si>
  <si>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</si>
  <si>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</si>
  <si>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</si>
  <si>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</si>
  <si>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</si>
  <si>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</si>
  <si>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</si>
  <si>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</si>
  <si>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</si>
  <si>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</si>
  <si>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</si>
  <si>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</si>
  <si>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</si>
  <si>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</si>
  <si>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</si>
  <si>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</si>
  <si>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</si>
  <si>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</si>
  <si>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</si>
  <si>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</si>
  <si>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</si>
  <si>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</si>
  <si>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</si>
  <si>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</si>
  <si>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</si>
  <si>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</si>
  <si>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</si>
  <si>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</si>
  <si>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</si>
  <si>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</si>
  <si>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</si>
  <si>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</si>
  <si>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</si>
  <si>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</si>
  <si>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</si>
  <si>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</si>
  <si>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</si>
  <si>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</si>
  <si>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</si>
  <si>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</si>
  <si>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</si>
  <si>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</si>
  <si>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</si>
  <si>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</si>
  <si>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</si>
  <si>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</si>
  <si>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</si>
  <si>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</si>
  <si>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</si>
  <si>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</si>
  <si>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</si>
  <si>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</si>
  <si>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</si>
  <si>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</si>
  <si>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</si>
  <si>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</si>
  <si>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</si>
  <si>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</si>
  <si>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</si>
  <si>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</si>
  <si>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</si>
  <si>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</si>
  <si>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</si>
  <si>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</si>
  <si>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</si>
  <si>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</si>
  <si>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</si>
  <si>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</si>
  <si>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</si>
  <si>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</si>
  <si>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</si>
  <si>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</si>
  <si>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</si>
  <si>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</si>
  <si>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</si>
  <si>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</si>
  <si>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</si>
  <si>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</si>
  <si>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</si>
  <si>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</si>
  <si>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</si>
  <si>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</si>
  <si>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</si>
  <si>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</si>
  <si>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</si>
  <si>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</si>
  <si>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</si>
  <si>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</si>
  <si>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</si>
  <si>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</si>
  <si>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</si>
  <si>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</si>
  <si>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</si>
  <si>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</si>
  <si>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</si>
  <si>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</si>
  <si>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</si>
  <si>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</si>
  <si>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</si>
  <si>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</si>
  <si>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</si>
  <si>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</si>
  <si>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</si>
  <si>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</si>
  <si>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</si>
  <si>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</si>
  <si>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</si>
  <si>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</si>
  <si>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</si>
  <si>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</si>
  <si>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</si>
  <si>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</si>
  <si>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</si>
  <si>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</si>
  <si>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</si>
  <si>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</si>
  <si>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</si>
  <si>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</si>
  <si>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</si>
  <si>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</si>
  <si>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</si>
  <si>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</si>
  <si>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</si>
  <si>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</si>
  <si>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</si>
  <si>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</si>
  <si>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</si>
  <si>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</si>
  <si>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</si>
  <si>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</si>
  <si>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</si>
  <si>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</si>
  <si>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</si>
  <si>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</si>
  <si>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</si>
  <si>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</si>
  <si>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</si>
  <si>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</si>
  <si>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</si>
  <si>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</si>
  <si>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</si>
  <si>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</si>
  <si>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</si>
  <si>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</si>
  <si>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</si>
  <si>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</si>
  <si>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</si>
  <si>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</si>
  <si>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</si>
  <si>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</si>
  <si>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</si>
  <si>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</si>
  <si>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</si>
  <si>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</si>
  <si>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</si>
  <si>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</si>
  <si>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</si>
  <si>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</si>
  <si>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</si>
  <si>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</si>
  <si>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</si>
  <si>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</si>
  <si>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</si>
  <si>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</si>
  <si>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</si>
  <si>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</si>
  <si>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</si>
  <si>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</si>
  <si>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</si>
  <si>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</si>
  <si>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</si>
  <si>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</si>
  <si>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</si>
  <si>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</si>
  <si>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</si>
  <si>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</si>
  <si>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</si>
  <si>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</si>
  <si>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</si>
  <si>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</si>
  <si>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</si>
  <si>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</si>
  <si>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</si>
  <si>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</si>
  <si>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</si>
  <si>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</si>
  <si>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</si>
  <si>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</si>
  <si>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</si>
  <si>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</si>
  <si>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</si>
  <si>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</si>
  <si>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</si>
  <si>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</si>
  <si>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</si>
  <si>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</si>
  <si>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</si>
  <si>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</si>
  <si>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</si>
  <si>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</si>
  <si>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</si>
  <si>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</si>
  <si>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</si>
  <si>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</si>
  <si>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</si>
  <si>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</si>
  <si>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</si>
  <si>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</si>
  <si>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</si>
  <si>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</si>
  <si>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</si>
  <si>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</si>
  <si>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</si>
  <si>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</si>
  <si>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</si>
  <si>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</si>
  <si>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</si>
  <si>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</si>
  <si>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</si>
  <si>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</si>
  <si>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</si>
  <si>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</si>
  <si>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</si>
  <si>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</si>
  <si>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</si>
  <si>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</si>
  <si>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</si>
  <si>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</si>
  <si>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</si>
  <si>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</si>
  <si>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</si>
  <si>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</si>
  <si>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</si>
  <si>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</si>
  <si>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</si>
  <si>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</si>
  <si>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</si>
  <si>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</si>
  <si>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</si>
  <si>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</si>
  <si>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</si>
  <si>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</si>
  <si>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</si>
  <si>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</si>
  <si>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</si>
  <si>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</si>
  <si>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</si>
  <si>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</si>
  <si>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</si>
  <si>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</si>
  <si>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</si>
  <si>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</si>
  <si>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</si>
  <si>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</si>
  <si>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</si>
  <si>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</si>
  <si>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</si>
  <si>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</si>
  <si>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</si>
  <si>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</si>
  <si>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</si>
  <si>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</si>
  <si>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</si>
  <si>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</si>
  <si>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</si>
  <si>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</si>
  <si>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</si>
  <si>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</si>
  <si>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</si>
  <si>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</si>
  <si>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</si>
  <si>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</si>
  <si>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</si>
  <si>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</si>
  <si>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</si>
  <si>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</si>
  <si>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</si>
  <si>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</si>
  <si>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</si>
  <si>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</si>
  <si>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</si>
  <si>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</si>
  <si>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</si>
  <si>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</si>
  <si>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</si>
  <si>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</si>
  <si>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</si>
  <si>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</si>
  <si>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</si>
  <si>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</si>
  <si>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</si>
  <si>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</si>
  <si>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</si>
  <si>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</si>
  <si>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</si>
  <si>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</si>
  <si>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</si>
  <si>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</si>
  <si>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</si>
  <si>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</si>
  <si>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</si>
  <si>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</si>
  <si>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</si>
  <si>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</si>
  <si>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</si>
  <si>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</si>
  <si>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</si>
  <si>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</si>
  <si>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</si>
  <si>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</si>
  <si>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</si>
  <si>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</si>
  <si>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</si>
  <si>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</si>
  <si>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</si>
  <si>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</si>
  <si>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</si>
  <si>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</si>
  <si>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</si>
  <si>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</si>
  <si>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</si>
  <si>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</si>
  <si>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</si>
  <si>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</si>
  <si>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</si>
  <si>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</si>
  <si>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</si>
  <si>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</si>
  <si>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</si>
  <si>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</si>
  <si>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</si>
  <si>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</si>
  <si>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</si>
  <si>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</si>
  <si>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</si>
  <si>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</si>
  <si>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</si>
  <si>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</si>
  <si>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</si>
  <si>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</si>
  <si>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</si>
  <si>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</si>
  <si>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</si>
  <si>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</si>
  <si>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</si>
  <si>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</si>
  <si>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</si>
  <si>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</si>
  <si>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</si>
  <si>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</si>
  <si>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</si>
  <si>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</si>
  <si>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</si>
  <si>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</si>
  <si>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</si>
  <si>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</si>
  <si>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</si>
  <si>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</si>
  <si>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</si>
  <si>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</si>
  <si>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</si>
  <si>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</si>
  <si>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</si>
  <si>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</si>
  <si>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</si>
  <si>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</si>
  <si>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</si>
  <si>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</si>
  <si>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</si>
  <si>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</si>
  <si>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</si>
  <si>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</si>
  <si>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</si>
  <si>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</si>
  <si>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</si>
  <si>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</si>
  <si>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</si>
  <si>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</si>
  <si>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</si>
  <si>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</si>
  <si>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</si>
  <si>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</si>
  <si>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</si>
  <si>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</si>
  <si>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</si>
  <si>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</si>
  <si>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</si>
  <si>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</si>
  <si>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</si>
  <si>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</si>
  <si>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</si>
  <si>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</si>
  <si>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</si>
  <si>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</si>
  <si>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</si>
  <si>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</si>
  <si>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</si>
  <si>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</si>
  <si>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</si>
  <si>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</si>
  <si>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</si>
  <si>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</si>
  <si>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</si>
  <si>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</si>
  <si>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</si>
  <si>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</si>
  <si>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</si>
  <si>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</si>
  <si>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</si>
  <si>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</si>
  <si>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</si>
  <si>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</si>
  <si>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</si>
  <si>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</si>
  <si>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</si>
  <si>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</si>
  <si>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</si>
  <si>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</si>
  <si>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</si>
  <si>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</si>
  <si>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</si>
  <si>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</si>
  <si>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</si>
  <si>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</si>
  <si>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</si>
  <si>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</si>
  <si>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</si>
  <si>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</si>
  <si>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</si>
  <si>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</si>
  <si>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</si>
  <si>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</si>
  <si>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</si>
  <si>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</si>
  <si>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</si>
  <si>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</si>
  <si>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</si>
  <si>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</si>
  <si>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</si>
  <si>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</si>
  <si>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</si>
  <si>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</si>
  <si>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</si>
  <si>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</si>
  <si>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</si>
  <si>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</si>
  <si>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</si>
  <si>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</si>
  <si>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</si>
  <si>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</si>
  <si>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</si>
  <si>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</si>
  <si>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</si>
  <si>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</si>
  <si>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</si>
  <si>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</si>
  <si>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</si>
  <si>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</si>
  <si>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</si>
  <si>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</si>
  <si>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</si>
  <si>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</si>
  <si>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</si>
  <si>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</si>
  <si>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</si>
  <si>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</si>
  <si>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</si>
  <si>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</si>
  <si>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</si>
  <si>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</si>
  <si>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</si>
  <si>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</si>
  <si>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</si>
  <si>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</si>
  <si>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</si>
  <si>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</si>
  <si>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</si>
  <si>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</si>
  <si>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</si>
  <si>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</si>
  <si>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</si>
  <si>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</si>
  <si>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</si>
  <si>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</si>
  <si>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</si>
  <si>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</si>
  <si>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</si>
  <si>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</si>
  <si>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</si>
  <si>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</si>
  <si>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</si>
  <si>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</si>
  <si>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</si>
  <si>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</si>
  <si>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</si>
  <si>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</si>
  <si>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</si>
  <si>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</si>
  <si>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</si>
  <si>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</si>
  <si>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</si>
  <si>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</si>
  <si>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</si>
  <si>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</si>
  <si>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</si>
  <si>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</si>
  <si>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</si>
  <si>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</si>
  <si>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</si>
  <si>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</si>
  <si>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</si>
  <si>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</si>
  <si>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</si>
  <si>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</si>
  <si>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</si>
  <si>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</si>
  <si>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</si>
  <si>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</si>
  <si>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</si>
  <si>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</si>
  <si>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</si>
  <si>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</si>
  <si>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</si>
  <si>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</si>
  <si>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</si>
  <si>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</si>
  <si>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</si>
  <si>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</si>
  <si>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</si>
  <si>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</si>
  <si>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</si>
  <si>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</si>
  <si>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</si>
  <si>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</si>
  <si>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</si>
  <si>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</si>
  <si>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</si>
  <si>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</si>
  <si>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</si>
  <si>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</si>
  <si>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</si>
  <si>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</si>
  <si>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</si>
  <si>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</si>
  <si>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</si>
  <si>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</si>
  <si>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</si>
  <si>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</si>
  <si>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</si>
  <si>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</si>
  <si>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</si>
  <si>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</si>
  <si>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</si>
  <si>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</si>
  <si>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</si>
  <si>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</si>
  <si>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</si>
  <si>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</si>
  <si>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</si>
  <si>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</si>
  <si>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</si>
  <si>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</si>
  <si>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</si>
  <si>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</si>
  <si>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</si>
  <si>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</si>
  <si>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</si>
  <si>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</si>
  <si>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</si>
  <si>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</si>
  <si>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</si>
  <si>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</si>
  <si>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</si>
  <si>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</si>
  <si>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</si>
  <si>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</si>
  <si>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</si>
  <si>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</si>
  <si>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</si>
  <si>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</si>
  <si>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</si>
  <si>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</si>
  <si>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</si>
  <si>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</si>
  <si>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</si>
  <si>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</si>
  <si>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</si>
  <si>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</si>
  <si>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</si>
  <si>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</si>
  <si>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</si>
  <si>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</si>
  <si>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</si>
  <si>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</si>
  <si>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</si>
  <si>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</si>
  <si>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</si>
  <si>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</si>
  <si>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</si>
  <si>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</si>
  <si>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</si>
  <si>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</si>
  <si>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</si>
  <si>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</si>
  <si>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</si>
  <si>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</si>
  <si>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</si>
  <si>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</si>
  <si>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</si>
  <si>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</si>
  <si>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</si>
  <si>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</si>
  <si>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</si>
  <si>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</si>
  <si>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</si>
  <si>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</si>
  <si>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</si>
  <si>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</si>
  <si>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</si>
  <si>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</si>
  <si>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</si>
  <si>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</si>
  <si>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</si>
  <si>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</si>
  <si>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</si>
  <si>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</si>
  <si>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</si>
  <si>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</si>
  <si>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</si>
  <si>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</si>
  <si>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</si>
  <si>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</si>
  <si>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</si>
  <si>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</si>
  <si>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</si>
  <si>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</si>
  <si>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</si>
  <si>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</si>
  <si>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</si>
  <si>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</si>
  <si>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</si>
  <si>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</si>
  <si>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</si>
  <si>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</si>
  <si>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</si>
  <si>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</si>
  <si>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</si>
  <si>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</si>
  <si>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</si>
  <si>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</si>
  <si>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</si>
  <si>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</si>
  <si>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</si>
  <si>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</si>
  <si>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</si>
  <si>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</si>
  <si>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</si>
  <si>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</si>
  <si>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</si>
  <si>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</si>
  <si>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</si>
  <si>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</si>
  <si>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</si>
  <si>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</si>
  <si>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</si>
  <si>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</si>
  <si>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</si>
  <si>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</si>
  <si>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</si>
  <si>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</si>
  <si>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</si>
  <si>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</si>
  <si>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</si>
  <si>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</si>
  <si>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</si>
  <si>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</si>
  <si>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</si>
  <si>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</si>
  <si>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</si>
  <si>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</si>
  <si>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</si>
  <si>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</si>
  <si>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</si>
  <si>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</si>
  <si>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</si>
  <si>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</si>
  <si>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</si>
  <si>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</si>
  <si>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</si>
  <si>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</si>
  <si>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</si>
  <si>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</si>
  <si>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</si>
  <si>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</si>
  <si>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</si>
  <si>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</si>
  <si>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</si>
  <si>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</si>
  <si>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</si>
  <si>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</si>
  <si>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</si>
  <si>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</si>
  <si>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</si>
  <si>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</si>
  <si>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</si>
  <si>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</si>
  <si>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</si>
  <si>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</si>
  <si>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</si>
  <si>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</si>
  <si>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</si>
  <si>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</si>
  <si>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</si>
  <si>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</si>
  <si>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</si>
  <si>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</si>
  <si>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</si>
  <si>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</si>
  <si>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</si>
  <si>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</si>
  <si>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</si>
  <si>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</si>
  <si>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</si>
  <si>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</si>
  <si>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</si>
  <si>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</si>
  <si>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</si>
  <si>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</si>
  <si>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</si>
  <si>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</si>
  <si>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</si>
  <si>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</si>
  <si>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</si>
  <si>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</si>
  <si>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</si>
  <si>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</si>
  <si>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</si>
  <si>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</si>
  <si>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</si>
  <si>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</si>
  <si>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</si>
  <si>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</si>
  <si>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</si>
  <si>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</si>
  <si>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</si>
  <si>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</si>
  <si>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</si>
  <si>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</si>
  <si>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</si>
  <si>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</si>
  <si>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</si>
  <si>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</si>
  <si>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</si>
  <si>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</si>
  <si>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</si>
  <si>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</si>
  <si>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</si>
  <si>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</si>
  <si>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</si>
  <si>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</si>
  <si>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</si>
  <si>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</si>
  <si>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</si>
  <si>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</si>
  <si>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</si>
  <si>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</si>
  <si>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</si>
  <si>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</si>
  <si>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</si>
  <si>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</si>
  <si>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</si>
  <si>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</si>
  <si>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</si>
  <si>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</si>
  <si>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</si>
  <si>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</si>
  <si>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</si>
  <si>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</si>
  <si>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</si>
  <si>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</si>
  <si>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</si>
  <si>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</si>
  <si>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</si>
  <si>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</si>
  <si>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</si>
  <si>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</si>
  <si>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</si>
  <si>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</si>
  <si>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</si>
  <si>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</si>
  <si>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</si>
  <si>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</si>
  <si>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</si>
  <si>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</si>
  <si>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</si>
  <si>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</si>
  <si>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</si>
  <si>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</si>
  <si>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</si>
  <si>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</si>
  <si>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</si>
  <si>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</si>
  <si>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</si>
  <si>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</si>
  <si>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</si>
  <si>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</si>
  <si>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</si>
  <si>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</si>
  <si>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</si>
  <si>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</si>
  <si>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</si>
  <si>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</si>
  <si>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</si>
  <si>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</si>
  <si>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</si>
  <si>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</si>
  <si>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</si>
  <si>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</si>
  <si>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</si>
  <si>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</si>
  <si>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</si>
  <si>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</si>
  <si>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</si>
  <si>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</si>
  <si>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</si>
  <si>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</si>
  <si>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</si>
  <si>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</si>
  <si>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</si>
  <si>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</si>
  <si>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</si>
  <si>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</si>
  <si>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</si>
  <si>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</si>
  <si>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</si>
  <si>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</si>
  <si>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</si>
  <si>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</si>
  <si>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</si>
  <si>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</si>
  <si>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</si>
  <si>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</si>
  <si>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</si>
  <si>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</si>
  <si>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</si>
  <si>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</si>
  <si>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</si>
  <si>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</si>
  <si>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</si>
  <si>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</si>
  <si>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</si>
  <si>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</si>
  <si>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</si>
  <si>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</si>
  <si>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</si>
  <si>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</si>
  <si>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</si>
  <si>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</si>
  <si>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</si>
  <si>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</si>
  <si>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</si>
  <si>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</si>
  <si>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</si>
  <si>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</si>
  <si>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</si>
  <si>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</si>
  <si>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</si>
  <si>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</si>
  <si>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</si>
  <si>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</si>
  <si>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</si>
  <si>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</si>
  <si>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</si>
  <si>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</si>
  <si>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</si>
  <si>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</si>
  <si>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</si>
  <si>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</si>
  <si>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</si>
  <si>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</si>
  <si>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</si>
  <si>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</si>
  <si>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</si>
  <si>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</si>
  <si>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</si>
  <si>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</si>
  <si>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</si>
  <si>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</si>
  <si>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</si>
  <si>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</si>
  <si>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</si>
  <si>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</si>
  <si>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</si>
  <si>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</si>
  <si>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</si>
  <si>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</si>
  <si>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</si>
  <si>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</si>
  <si>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</si>
  <si>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</si>
  <si>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</si>
  <si>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</si>
  <si>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</si>
  <si>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</si>
  <si>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</si>
  <si>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</si>
  <si>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</si>
  <si>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</si>
  <si>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</si>
  <si>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</si>
  <si>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</si>
  <si>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</si>
  <si>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</si>
  <si>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</si>
  <si>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</si>
  <si>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</si>
  <si>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</si>
  <si>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</si>
  <si>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</si>
  <si>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</si>
  <si>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</si>
  <si>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</si>
  <si>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</si>
  <si>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</si>
  <si>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</si>
  <si>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</si>
  <si>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</si>
  <si>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</si>
  <si>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</si>
  <si>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</si>
  <si>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</si>
  <si>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</si>
  <si>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</si>
  <si>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</si>
  <si>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</si>
  <si>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</si>
  <si>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</si>
  <si>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</si>
  <si>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</si>
  <si>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</si>
  <si>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</si>
  <si>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</si>
  <si>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</si>
  <si>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</si>
  <si>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</si>
  <si>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</si>
  <si>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</si>
  <si>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</si>
  <si>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</si>
  <si>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</si>
  <si>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</si>
  <si>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</si>
  <si>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</si>
  <si>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</si>
  <si>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</si>
  <si>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</si>
  <si>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</si>
  <si>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</si>
  <si>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</si>
  <si>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</si>
  <si>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</si>
  <si>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</si>
  <si>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</si>
  <si>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</si>
  <si>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</si>
  <si>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</si>
  <si>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</si>
  <si>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</si>
  <si>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</si>
  <si>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</si>
  <si>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</si>
  <si>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</si>
  <si>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</si>
  <si>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</si>
  <si>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</si>
  <si>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</si>
  <si>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</si>
  <si>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</si>
  <si>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</si>
  <si>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</si>
  <si>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</si>
  <si>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</si>
  <si>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</si>
  <si>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</si>
  <si>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</si>
  <si>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</si>
  <si>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</si>
  <si>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</si>
  <si>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</si>
  <si>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</si>
  <si>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</si>
  <si>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</si>
  <si>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</si>
  <si>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</si>
  <si>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</si>
  <si>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</si>
  <si>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</si>
  <si>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</si>
  <si>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</si>
  <si>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</si>
  <si>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</si>
  <si>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</si>
  <si>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</si>
  <si>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</si>
  <si>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</si>
  <si>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</si>
  <si>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</si>
  <si>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</si>
  <si>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</si>
  <si>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</si>
  <si>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</si>
  <si>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</si>
  <si>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</si>
  <si>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</si>
  <si>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</si>
  <si>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</si>
  <si>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</si>
  <si>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</si>
  <si>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</si>
  <si>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</si>
  <si>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</si>
  <si>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</si>
  <si>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</si>
  <si>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</si>
  <si>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</si>
  <si>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</si>
  <si>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</si>
  <si>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</si>
  <si>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</si>
  <si>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</si>
  <si>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</si>
  <si>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</si>
  <si>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</si>
  <si>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</si>
  <si>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</si>
  <si>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</si>
  <si>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</si>
  <si>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</si>
  <si>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</si>
  <si>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</si>
  <si>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</si>
  <si>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</si>
  <si>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</si>
  <si>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</si>
  <si>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</si>
  <si>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</si>
  <si>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</si>
  <si>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</si>
  <si>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</si>
  <si>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</si>
  <si>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</si>
  <si>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</si>
  <si>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</si>
  <si>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</si>
  <si>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</si>
  <si>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</si>
  <si>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</si>
  <si>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</si>
  <si>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</si>
  <si>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</si>
  <si>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</si>
  <si>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</si>
  <si>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</si>
  <si>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</si>
  <si>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</si>
  <si>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</si>
  <si>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</si>
  <si>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</si>
  <si>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</si>
  <si>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</si>
  <si>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</si>
  <si>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</si>
  <si>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</si>
  <si>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</si>
  <si>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</si>
  <si>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</si>
  <si>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</si>
  <si>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</si>
  <si>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</si>
  <si>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</si>
  <si>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</si>
  <si>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</si>
  <si>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</si>
  <si>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</si>
  <si>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</si>
  <si>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</si>
  <si>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</si>
  <si>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</si>
  <si>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</si>
  <si>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</si>
  <si>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</si>
  <si>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</si>
  <si>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</si>
  <si>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</si>
  <si>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</si>
  <si>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</si>
  <si>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</si>
  <si>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</si>
  <si>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</si>
  <si>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</si>
  <si>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</si>
  <si>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</si>
  <si>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</si>
  <si>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</si>
  <si>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</si>
  <si>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</si>
  <si>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</si>
  <si>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</si>
  <si>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</si>
  <si>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</si>
  <si>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</si>
  <si>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</si>
  <si>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</si>
  <si>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</si>
  <si>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</si>
  <si>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</si>
  <si>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</si>
  <si>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</si>
  <si>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</si>
  <si>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</si>
  <si>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</si>
  <si>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</si>
  <si>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</si>
  <si>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</si>
  <si>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</si>
  <si>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</si>
  <si>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</si>
  <si>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</si>
  <si>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</si>
  <si>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</si>
  <si>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</si>
  <si>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</si>
  <si>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</si>
  <si>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</si>
  <si>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</si>
  <si>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</si>
  <si>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</si>
  <si>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</si>
  <si>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</si>
  <si>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</si>
  <si>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</si>
  <si>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</si>
  <si>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</si>
  <si>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</si>
  <si>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</si>
  <si>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</si>
  <si>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</si>
  <si>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</si>
  <si>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</si>
  <si>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</si>
  <si>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</si>
  <si>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</si>
  <si>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</si>
  <si>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</si>
  <si>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</si>
  <si>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</si>
  <si>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</si>
  <si>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</si>
  <si>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</si>
  <si>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</si>
  <si>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</si>
  <si>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</si>
  <si>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</si>
  <si>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</si>
  <si>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</si>
  <si>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</si>
  <si>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</si>
  <si>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</si>
  <si>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</si>
  <si>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</si>
  <si>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</si>
  <si>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</si>
  <si>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</si>
  <si>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</si>
  <si>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</si>
  <si>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</si>
  <si>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</si>
  <si>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</si>
  <si>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</si>
  <si>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</si>
  <si>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</si>
  <si>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</si>
  <si>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</si>
  <si>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</si>
  <si>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</si>
  <si>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</si>
  <si>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</si>
  <si>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</si>
  <si>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</si>
  <si>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</si>
  <si>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</si>
  <si>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</si>
  <si>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</si>
  <si>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</si>
  <si>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</si>
  <si>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</si>
  <si>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</si>
  <si>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</si>
  <si>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</si>
  <si>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</si>
  <si>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</si>
  <si>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</si>
  <si>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</si>
  <si>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</si>
  <si>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</si>
  <si>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</si>
  <si>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</si>
  <si>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</si>
  <si>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</si>
  <si>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</si>
  <si>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</si>
  <si>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</si>
  <si>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</si>
  <si>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</si>
  <si>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</si>
  <si>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</si>
  <si>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</si>
  <si>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</si>
  <si>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</si>
  <si>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</si>
  <si>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</si>
  <si>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</si>
  <si>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</si>
  <si>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</si>
  <si>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</si>
  <si>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</si>
  <si>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</si>
  <si>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</si>
  <si>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</si>
  <si>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</si>
  <si>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</si>
  <si>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</si>
  <si>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</si>
  <si>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</si>
  <si>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</si>
  <si>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</si>
  <si>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</si>
  <si>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</si>
  <si>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</si>
  <si>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</si>
  <si>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</si>
  <si>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</si>
  <si>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</si>
  <si>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</si>
  <si>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</si>
  <si>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</si>
  <si>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</si>
  <si>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</si>
  <si>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</si>
  <si>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</si>
  <si>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</si>
  <si>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</si>
  <si>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</si>
  <si>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</si>
  <si>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</si>
  <si>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</si>
  <si>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</si>
  <si>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</si>
  <si>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</si>
  <si>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</si>
  <si>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</si>
  <si>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</si>
  <si>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</si>
  <si>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</si>
  <si>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</si>
  <si>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</si>
  <si>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</si>
  <si>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</si>
  <si>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</si>
  <si>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</si>
  <si>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</si>
  <si>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</si>
  <si>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</si>
  <si>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</si>
  <si>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</si>
  <si>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</si>
  <si>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</si>
  <si>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</si>
  <si>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</si>
  <si>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</si>
  <si>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</si>
  <si>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</si>
  <si>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</si>
  <si>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</si>
  <si>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</si>
  <si>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</si>
  <si>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</si>
  <si>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</si>
  <si>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</si>
  <si>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</si>
  <si>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</si>
  <si>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</si>
  <si>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</si>
  <si>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</si>
  <si>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</si>
  <si>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</si>
  <si>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</si>
  <si>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</si>
  <si>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</si>
  <si>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</si>
  <si>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</si>
  <si>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</si>
  <si>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</si>
  <si>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</si>
  <si>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</si>
  <si>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</si>
  <si>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</si>
  <si>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</si>
  <si>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</si>
  <si>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</si>
  <si>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</si>
  <si>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</si>
  <si>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</si>
  <si>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</si>
  <si>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</si>
  <si>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</si>
  <si>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</si>
  <si>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</si>
  <si>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</si>
  <si>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</si>
  <si>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</si>
  <si>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</si>
  <si>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</si>
  <si>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</si>
  <si>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</si>
  <si>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</si>
  <si>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</si>
  <si>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</si>
  <si>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</si>
  <si>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</si>
  <si>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</si>
  <si>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</si>
  <si>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</si>
  <si>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</si>
  <si>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</si>
  <si>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</si>
  <si>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</si>
  <si>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</si>
  <si>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</si>
  <si>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</si>
  <si>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</si>
  <si>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</si>
  <si>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</si>
  <si>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</si>
  <si>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</si>
  <si>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</si>
  <si>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</si>
  <si>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</si>
  <si>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</si>
  <si>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</si>
  <si>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</si>
  <si>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</si>
  <si>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</si>
  <si>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</si>
  <si>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</si>
  <si>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</si>
  <si>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</si>
  <si>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</si>
  <si>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</si>
  <si>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</si>
  <si>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</si>
  <si>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</si>
  <si>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</si>
  <si>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</si>
  <si>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</si>
  <si>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</si>
  <si>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</si>
  <si>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</si>
  <si>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</si>
  <si>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</si>
  <si>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</si>
  <si>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</si>
  <si>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</si>
  <si>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</si>
  <si>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</si>
  <si>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</si>
  <si>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</si>
  <si>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</si>
  <si>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</si>
  <si>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</si>
  <si>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</si>
  <si>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</si>
  <si>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</si>
  <si>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</si>
  <si>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</si>
  <si>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</si>
  <si>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</si>
  <si>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</si>
  <si>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</si>
  <si>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</si>
  <si>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</si>
  <si>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</si>
  <si>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</si>
  <si>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</si>
  <si>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</si>
  <si>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</si>
  <si>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</si>
  <si>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</si>
  <si>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</si>
  <si>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</si>
  <si>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</si>
  <si>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</si>
  <si>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</si>
  <si>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</si>
  <si>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</si>
  <si>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</si>
  <si>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</si>
  <si>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</si>
  <si>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</si>
  <si>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</si>
  <si>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</si>
  <si>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</si>
  <si>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</si>
  <si>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</si>
  <si>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</si>
  <si>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</si>
  <si>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</si>
  <si>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</si>
  <si>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</si>
  <si>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</si>
  <si>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</si>
  <si>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</si>
  <si>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</si>
  <si>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</si>
  <si>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</si>
  <si>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</si>
  <si>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</si>
  <si>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</si>
  <si>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</si>
  <si>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</si>
  <si>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</si>
  <si>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</si>
  <si>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</si>
  <si>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</si>
  <si>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</si>
  <si>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</si>
  <si>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</si>
  <si>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</si>
  <si>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</si>
  <si>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</si>
  <si>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</si>
  <si>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</si>
  <si>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</si>
  <si>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</si>
  <si>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</si>
  <si>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</si>
  <si>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</si>
  <si>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</si>
  <si>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</si>
  <si>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</si>
  <si>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</si>
  <si>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</si>
  <si>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</si>
  <si>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</si>
  <si>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</si>
  <si>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</si>
  <si>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</si>
  <si>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</si>
  <si>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</si>
  <si>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</si>
  <si>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</si>
  <si>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</si>
  <si>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</si>
  <si>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</si>
  <si>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</si>
  <si>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</si>
  <si>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</si>
  <si>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</si>
  <si>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</si>
  <si>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</si>
  <si>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</si>
  <si>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</si>
  <si>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</si>
  <si>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</si>
  <si>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</si>
  <si>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</si>
  <si>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</si>
  <si>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</si>
  <si>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</si>
  <si>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</si>
  <si>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</si>
  <si>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</si>
  <si>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</si>
  <si>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</si>
  <si>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</si>
  <si>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</si>
  <si>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</si>
  <si>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</si>
  <si>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</si>
  <si>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</si>
  <si>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</si>
  <si>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</si>
  <si>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</si>
  <si>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</si>
  <si>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</si>
  <si>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</si>
  <si>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</si>
  <si>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</si>
  <si>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</si>
  <si>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</si>
  <si>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</si>
  <si>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</si>
  <si>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</si>
  <si>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</si>
  <si>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</si>
  <si>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</si>
  <si>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</si>
  <si>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</si>
  <si>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</si>
  <si>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</si>
  <si>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</si>
  <si>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</si>
  <si>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</si>
  <si>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</si>
  <si>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</si>
  <si>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</si>
  <si>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</si>
  <si>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</si>
  <si>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</si>
  <si>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</si>
  <si>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</si>
  <si>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</si>
  <si>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</si>
  <si>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</si>
  <si>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</si>
  <si>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</si>
  <si>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</si>
  <si>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</si>
  <si>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</si>
  <si>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</si>
  <si>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</si>
  <si>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</si>
  <si>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</si>
  <si>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</si>
  <si>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</si>
  <si>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</si>
  <si>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</si>
  <si>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</si>
  <si>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</si>
  <si>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</si>
  <si>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</si>
  <si>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</si>
  <si>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</si>
  <si>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</si>
  <si>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</si>
  <si>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</si>
  <si>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</si>
  <si>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</si>
  <si>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</si>
  <si>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</si>
  <si>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</si>
  <si>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</si>
  <si>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</si>
  <si>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</si>
  <si>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</si>
  <si>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</si>
  <si>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</si>
  <si>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</si>
  <si>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</si>
  <si>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</si>
  <si>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</si>
  <si>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</si>
  <si>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</si>
  <si>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</si>
  <si>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</si>
  <si>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</si>
  <si>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</si>
  <si>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</si>
  <si>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</si>
  <si>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</si>
  <si>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</si>
  <si>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</si>
  <si>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</si>
  <si>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</si>
  <si>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</si>
  <si>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</si>
  <si>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</si>
  <si>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</si>
  <si>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</si>
  <si>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</si>
  <si>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</si>
  <si>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</si>
  <si>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</si>
  <si>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</si>
  <si>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</si>
  <si>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</si>
  <si>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</si>
  <si>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</si>
  <si>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</si>
  <si>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</si>
  <si>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</si>
  <si>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</si>
  <si>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</si>
  <si>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</si>
  <si>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</si>
  <si>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</si>
  <si>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</si>
  <si>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</si>
  <si>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</si>
  <si>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</si>
  <si>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</si>
  <si>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</si>
  <si>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</si>
  <si>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</si>
  <si>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</si>
  <si>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</si>
  <si>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</si>
  <si>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</si>
  <si>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</si>
  <si>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</si>
  <si>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</si>
  <si>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</si>
  <si>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</si>
  <si>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</si>
  <si>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</si>
  <si>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</si>
  <si>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</si>
  <si>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</si>
  <si>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</si>
  <si>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</si>
  <si>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</si>
  <si>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</si>
  <si>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</si>
  <si>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</si>
  <si>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</si>
  <si>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</si>
  <si>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</si>
  <si>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</si>
  <si>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</si>
  <si>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</si>
  <si>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</si>
  <si>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</si>
  <si>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</si>
  <si>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</si>
  <si>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</si>
  <si>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</si>
  <si>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</si>
  <si>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</si>
  <si>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</si>
  <si>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</si>
  <si>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</si>
  <si>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</si>
  <si>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</si>
  <si>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</si>
  <si>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</si>
  <si>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</si>
  <si>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</si>
  <si>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</si>
  <si>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</si>
  <si>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</si>
  <si>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</si>
  <si>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</si>
  <si>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</si>
  <si>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</si>
  <si>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</si>
  <si>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</si>
  <si>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</si>
  <si>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</si>
  <si>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</si>
  <si>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</si>
  <si>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</si>
  <si>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</si>
  <si>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</si>
  <si>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</si>
  <si>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</si>
  <si>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</si>
  <si>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</si>
  <si>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</si>
  <si>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</si>
  <si>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</si>
  <si>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</si>
  <si>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</si>
  <si>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</si>
  <si>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</si>
  <si>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</si>
  <si>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</si>
  <si>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</si>
  <si>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</si>
  <si>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</si>
  <si>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</si>
  <si>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</si>
  <si>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</si>
  <si>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</si>
  <si>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</si>
  <si>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</si>
  <si>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</si>
  <si>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</si>
  <si>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</si>
  <si>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</si>
  <si>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</si>
  <si>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</si>
  <si>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</si>
  <si>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</si>
  <si>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</si>
  <si>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</si>
  <si>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</si>
  <si>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</si>
  <si>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</si>
  <si>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</si>
  <si>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</si>
  <si>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</si>
  <si>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</si>
  <si>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</si>
  <si>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</si>
  <si>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</si>
  <si>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</si>
  <si>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</si>
  <si>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</si>
  <si>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</si>
  <si>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</si>
  <si>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</si>
  <si>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</si>
  <si>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</si>
  <si>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</si>
  <si>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</si>
  <si>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</si>
  <si>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</si>
  <si>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</si>
  <si>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</si>
  <si>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</si>
  <si>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</si>
  <si>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</si>
  <si>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</si>
  <si>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</si>
  <si>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</si>
  <si>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</si>
  <si>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</si>
  <si>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</si>
  <si>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</si>
  <si>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</si>
  <si>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</si>
  <si>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</si>
  <si>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</si>
  <si>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</si>
  <si>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</si>
  <si>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</si>
  <si>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</si>
  <si>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</si>
  <si>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</si>
  <si>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</si>
  <si>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</si>
  <si>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</si>
  <si>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</si>
  <si>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</si>
  <si>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</si>
  <si>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</si>
  <si>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</si>
  <si>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</si>
  <si>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</si>
  <si>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</si>
  <si>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</si>
  <si>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</si>
  <si>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</si>
  <si>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</si>
  <si>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</si>
  <si>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</si>
  <si>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</si>
  <si>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</si>
  <si>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</si>
  <si>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</si>
  <si>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</si>
  <si>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</si>
  <si>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</si>
  <si>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</si>
  <si>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</si>
  <si>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</si>
  <si>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</si>
  <si>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</si>
  <si>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</si>
  <si>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</si>
  <si>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</si>
  <si>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</si>
  <si>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</si>
  <si>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</si>
  <si>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</si>
  <si>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</si>
  <si>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</si>
  <si>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</si>
  <si>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</si>
  <si>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</si>
  <si>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</si>
  <si>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</si>
  <si>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</si>
  <si>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</si>
  <si>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</si>
  <si>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</si>
  <si>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</si>
  <si>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</si>
  <si>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</si>
  <si>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</si>
  <si>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</si>
  <si>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</si>
  <si>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</si>
  <si>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</si>
  <si>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</si>
  <si>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</si>
  <si>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</si>
  <si>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</si>
  <si>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</si>
  <si>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</si>
  <si>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</si>
  <si>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</si>
  <si>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</si>
  <si>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</si>
  <si>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</si>
  <si>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</si>
  <si>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</si>
  <si>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</si>
  <si>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</si>
  <si>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</si>
  <si>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</si>
  <si>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</si>
  <si>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</si>
  <si>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</si>
  <si>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</si>
  <si>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</si>
  <si>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</si>
  <si>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</si>
  <si>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</si>
  <si>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</si>
  <si>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</si>
  <si>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</si>
  <si>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</si>
  <si>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</si>
  <si>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</si>
  <si>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</si>
  <si>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</si>
  <si>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</si>
  <si>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</si>
  <si>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</si>
  <si>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</si>
  <si>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</si>
  <si>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</si>
  <si>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</si>
  <si>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</si>
  <si>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</si>
  <si>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</si>
  <si>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</si>
  <si>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</si>
  <si>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</si>
  <si>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</si>
  <si>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</si>
  <si>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</si>
  <si>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</si>
  <si>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</si>
  <si>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</si>
  <si>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</si>
  <si>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</si>
  <si>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</si>
  <si>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</si>
  <si>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</si>
  <si>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</si>
  <si>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</si>
  <si>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</si>
  <si>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</si>
  <si>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</si>
  <si>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</si>
  <si>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</si>
  <si>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</si>
  <si>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</si>
  <si>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</si>
  <si>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</si>
  <si>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</si>
  <si>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</si>
  <si>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</si>
  <si>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</si>
  <si>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</si>
  <si>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</si>
  <si>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</si>
  <si>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</si>
  <si>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</si>
  <si>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</si>
  <si>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</si>
  <si>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</si>
  <si>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</si>
  <si>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</si>
  <si>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</si>
  <si>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</si>
  <si>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</si>
  <si>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</si>
  <si>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</si>
  <si>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</si>
  <si>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</si>
  <si>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</si>
  <si>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</si>
  <si>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</si>
  <si>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</si>
  <si>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</si>
  <si>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</si>
  <si>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</si>
  <si>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</si>
  <si>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</si>
  <si>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</si>
  <si>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</si>
  <si>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</si>
  <si>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</si>
  <si>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</si>
  <si>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</si>
  <si>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</si>
  <si>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</si>
  <si>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</si>
  <si>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</si>
  <si>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</si>
  <si>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</si>
  <si>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</si>
  <si>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</si>
  <si>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</si>
  <si>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</si>
  <si>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</si>
  <si>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</si>
  <si>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</si>
  <si>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</si>
  <si>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</si>
  <si>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</si>
  <si>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</si>
  <si>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</si>
  <si>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</si>
  <si>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</si>
  <si>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</si>
  <si>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</si>
  <si>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</si>
  <si>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</si>
  <si>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</si>
  <si>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</si>
  <si>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</si>
  <si>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</si>
  <si>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</si>
  <si>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</si>
  <si>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</si>
  <si>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</si>
  <si>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</si>
  <si>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</si>
  <si>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</si>
  <si>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</si>
  <si>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</si>
  <si>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</si>
  <si>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</si>
  <si>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</si>
  <si>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</si>
  <si>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</si>
  <si>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</si>
  <si>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</si>
  <si>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</si>
  <si>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</si>
  <si>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</si>
  <si>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</si>
  <si>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</si>
  <si>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</si>
  <si>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</si>
  <si>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</si>
  <si>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</si>
  <si>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</si>
  <si>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</si>
  <si>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</si>
  <si>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</si>
  <si>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</si>
  <si>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</si>
  <si>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</si>
  <si>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</si>
  <si>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</si>
  <si>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</si>
  <si>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</si>
  <si>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</si>
  <si>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</si>
  <si>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</si>
  <si>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</si>
  <si>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</si>
  <si>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</si>
  <si>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</si>
  <si>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</si>
  <si>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</si>
  <si>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</si>
  <si>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</si>
  <si>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</si>
  <si>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</si>
  <si>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</si>
  <si>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</si>
  <si>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</si>
  <si>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</si>
  <si>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</si>
  <si>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</si>
  <si>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</si>
  <si>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</si>
  <si>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</si>
  <si>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</si>
  <si>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</si>
  <si>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</si>
  <si>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</si>
  <si>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</si>
  <si>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</si>
  <si>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</si>
  <si>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</si>
  <si>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</si>
  <si>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</si>
  <si>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</si>
  <si>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</si>
  <si>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</si>
  <si>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</si>
  <si>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</si>
  <si>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</si>
  <si>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</si>
  <si>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</si>
  <si>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</si>
  <si>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</si>
  <si>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</si>
  <si>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</si>
  <si>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</si>
  <si>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</si>
  <si>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</si>
  <si>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</si>
  <si>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</si>
  <si>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</si>
  <si>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</si>
  <si>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</si>
  <si>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</si>
  <si>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</si>
  <si>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</si>
  <si>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</si>
  <si>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</si>
  <si>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</si>
  <si>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</si>
  <si>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</si>
  <si>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</si>
  <si>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</si>
  <si>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</si>
  <si>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</si>
  <si>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</si>
  <si>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</si>
  <si>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</si>
  <si>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</si>
  <si>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</si>
  <si>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</si>
  <si>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</si>
  <si>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</si>
  <si>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</si>
  <si>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</si>
  <si>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</si>
  <si>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</si>
  <si>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</si>
  <si>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</si>
  <si>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</si>
  <si>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</si>
  <si>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</si>
  <si>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</si>
  <si>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</si>
  <si>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</si>
  <si>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</si>
  <si>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</si>
  <si>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</si>
  <si>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</si>
  <si>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</si>
  <si>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</si>
  <si>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</si>
  <si>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</si>
  <si>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</si>
  <si>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</si>
  <si>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</si>
  <si>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</si>
  <si>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</si>
  <si>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</si>
  <si>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</si>
  <si>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</si>
  <si>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</si>
  <si>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</si>
  <si>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</si>
  <si>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</si>
  <si>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</si>
  <si>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</si>
  <si>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</si>
  <si>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</si>
  <si>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</si>
  <si>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</si>
  <si>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</si>
  <si>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</si>
  <si>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</si>
  <si>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</si>
  <si>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</si>
  <si>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</si>
  <si>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</si>
  <si>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</si>
  <si>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</si>
  <si>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</si>
  <si>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</si>
  <si>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</si>
  <si>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</si>
  <si>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</si>
  <si>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</si>
  <si>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</si>
  <si>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</si>
  <si>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</si>
  <si>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</si>
  <si>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</si>
  <si>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</si>
  <si>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</si>
  <si>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</si>
  <si>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</si>
  <si>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</si>
  <si>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</si>
  <si>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</si>
  <si>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</si>
  <si>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</si>
  <si>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</si>
  <si>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</si>
  <si>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</si>
  <si>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</si>
  <si>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</si>
  <si>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</si>
  <si>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</si>
  <si>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</si>
  <si>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</si>
  <si>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</si>
  <si>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</si>
  <si>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</si>
  <si>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</si>
  <si>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</si>
  <si>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</si>
  <si>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</si>
  <si>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</si>
  <si>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</si>
  <si>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</si>
  <si>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</si>
  <si>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</si>
  <si>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</si>
  <si>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</si>
  <si>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</si>
  <si>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</si>
  <si>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</si>
  <si>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</si>
  <si>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</si>
  <si>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</si>
  <si>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</si>
  <si>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</si>
  <si>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</si>
  <si>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</si>
  <si>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</si>
  <si>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</si>
  <si>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</si>
  <si>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</si>
  <si>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</si>
  <si>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</si>
  <si>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</si>
  <si>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</si>
  <si>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</si>
  <si>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</si>
  <si>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</si>
  <si>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</si>
  <si>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</si>
  <si>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</si>
  <si>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</si>
  <si>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</si>
  <si>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</si>
  <si>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</si>
  <si>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</si>
  <si>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</si>
  <si>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</si>
  <si>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</si>
  <si>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</si>
  <si>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</si>
  <si>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</si>
  <si>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</si>
  <si>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</si>
  <si>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</si>
  <si>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</si>
  <si>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</si>
  <si>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</si>
  <si>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</si>
  <si>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</si>
  <si>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</si>
  <si>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</si>
  <si>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</si>
  <si>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</si>
  <si>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</si>
  <si>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</si>
  <si>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</si>
  <si>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</si>
  <si>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</si>
  <si>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</si>
  <si>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</si>
  <si>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</si>
  <si>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</si>
  <si>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</si>
  <si>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</si>
  <si>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</si>
  <si>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</si>
  <si>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</si>
  <si>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</si>
  <si>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</si>
  <si>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</si>
  <si>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</si>
  <si>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</si>
  <si>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</si>
  <si>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</si>
  <si>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</si>
  <si>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</si>
  <si>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</si>
  <si>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</si>
  <si>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</si>
  <si>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</si>
  <si>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</si>
  <si>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</si>
  <si>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</si>
  <si>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</si>
  <si>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</si>
  <si>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</si>
  <si>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</si>
  <si>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</si>
  <si>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</si>
  <si>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</si>
  <si>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</si>
  <si>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</si>
  <si>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</si>
  <si>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</si>
  <si>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</si>
  <si>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</si>
  <si>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</si>
  <si>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</si>
  <si>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</si>
  <si>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</si>
  <si>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</si>
  <si>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</si>
  <si>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</si>
  <si>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</si>
  <si>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</si>
  <si>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</si>
  <si>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</si>
  <si>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</si>
  <si>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</si>
  <si>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</si>
  <si>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</si>
  <si>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</si>
  <si>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</si>
  <si>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</si>
  <si>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</si>
  <si>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</si>
  <si>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</si>
  <si>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</si>
  <si>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</si>
  <si>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</si>
  <si>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</si>
  <si>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</si>
  <si>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</si>
  <si>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</si>
  <si>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</si>
  <si>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</si>
  <si>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</si>
  <si>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</si>
  <si>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</si>
  <si>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</si>
  <si>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</si>
  <si>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</si>
  <si>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</si>
  <si>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</si>
  <si>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</si>
  <si>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</si>
  <si>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</si>
  <si>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</si>
  <si>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</si>
  <si>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</si>
  <si>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</si>
  <si>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</si>
  <si>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</si>
  <si>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</si>
  <si>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</si>
  <si>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</si>
  <si>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</si>
  <si>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</si>
  <si>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</si>
  <si>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</si>
  <si>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</si>
  <si>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</si>
  <si>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</si>
  <si>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</si>
  <si>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</si>
  <si>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</si>
  <si>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</si>
  <si>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</si>
  <si>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</si>
  <si>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</si>
  <si>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</si>
  <si>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</si>
  <si>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</si>
  <si>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</si>
  <si>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</si>
  <si>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</si>
  <si>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</si>
  <si>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</si>
  <si>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</si>
  <si>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</si>
  <si>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</si>
  <si>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</si>
  <si>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</si>
  <si>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</si>
  <si>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</si>
  <si>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</si>
  <si>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</si>
  <si>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</si>
  <si>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</si>
  <si>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</si>
  <si>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</si>
  <si>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</si>
  <si>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</si>
  <si>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</si>
  <si>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</si>
  <si>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</si>
  <si>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</si>
  <si>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</si>
  <si>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</si>
  <si>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</si>
  <si>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</si>
  <si>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</si>
  <si>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</si>
  <si>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</si>
  <si>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</si>
  <si>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</si>
  <si>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</si>
  <si>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</si>
  <si>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</si>
  <si>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</si>
  <si>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</si>
  <si>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</si>
  <si>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</si>
  <si>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</si>
  <si>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</si>
  <si>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</si>
  <si>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</si>
  <si>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</si>
  <si>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</si>
  <si>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</si>
  <si>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</si>
  <si>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</si>
  <si>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</si>
  <si>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</si>
  <si>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</si>
  <si>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</si>
  <si>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</si>
  <si>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</si>
  <si>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</si>
  <si>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</si>
  <si>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</si>
  <si>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</si>
  <si>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</si>
  <si>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</si>
  <si>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</si>
  <si>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</si>
  <si>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</si>
  <si>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</si>
  <si>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</si>
  <si>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</si>
  <si>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</si>
  <si>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</si>
  <si>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</si>
  <si>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</si>
  <si>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</si>
  <si>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</si>
  <si>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</si>
  <si>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</si>
  <si>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</si>
  <si>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</si>
  <si>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</si>
  <si>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</si>
  <si>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</si>
  <si>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</si>
  <si>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</si>
  <si>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</si>
  <si>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</si>
  <si>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</si>
  <si>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</si>
  <si>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</si>
  <si>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</si>
  <si>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</si>
  <si>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</si>
  <si>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</si>
  <si>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</si>
  <si>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</si>
  <si>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</si>
  <si>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</si>
  <si>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</si>
  <si>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</si>
  <si>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</si>
  <si>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</si>
  <si>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</si>
  <si>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</si>
  <si>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</si>
  <si>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</si>
  <si>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</si>
  <si>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</si>
  <si>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</si>
  <si>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</si>
  <si>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</si>
  <si>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</si>
  <si>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</si>
  <si>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</si>
  <si>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</si>
  <si>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</si>
  <si>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</si>
  <si>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</si>
  <si>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</si>
  <si>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</si>
  <si>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</si>
  <si>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</si>
  <si>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</si>
  <si>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</si>
  <si>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</si>
  <si>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</si>
  <si>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</si>
  <si>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</si>
  <si>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</si>
  <si>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</si>
  <si>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</si>
  <si>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</si>
  <si>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</si>
  <si>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</si>
  <si>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</si>
  <si>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</si>
  <si>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</si>
  <si>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</si>
  <si>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</si>
  <si>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</si>
  <si>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</si>
  <si>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</si>
  <si>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</si>
  <si>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</si>
  <si>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</si>
  <si>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</si>
  <si>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</si>
  <si>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</si>
  <si>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</si>
  <si>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</si>
  <si>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</si>
  <si>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</si>
  <si>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</si>
  <si>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</si>
  <si>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</si>
  <si>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</si>
  <si>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</si>
  <si>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</si>
  <si>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</si>
  <si>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</si>
  <si>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</si>
  <si>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</si>
  <si>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</si>
  <si>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</si>
  <si>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</si>
  <si>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</si>
  <si>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</si>
  <si>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</si>
  <si>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</si>
  <si>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</si>
  <si>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</si>
  <si>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</si>
  <si>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</si>
  <si>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</si>
  <si>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</si>
  <si>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</si>
  <si>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</si>
  <si>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</si>
  <si>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</si>
  <si>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</si>
  <si>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</si>
  <si>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</si>
  <si>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</si>
  <si>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</si>
  <si>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</si>
  <si>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</si>
  <si>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</si>
  <si>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</si>
  <si>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</si>
  <si>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</si>
  <si>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</si>
  <si>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</si>
  <si>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</si>
  <si>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</si>
  <si>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</si>
  <si>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</si>
  <si>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</si>
  <si>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</si>
  <si>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</si>
  <si>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</si>
  <si>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</si>
  <si>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</si>
  <si>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</si>
  <si>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</si>
  <si>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</si>
  <si>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</si>
  <si>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</si>
  <si>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</si>
  <si>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</si>
  <si>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</si>
  <si>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</si>
  <si>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</si>
  <si>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</si>
  <si>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</si>
  <si>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</si>
  <si>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</si>
  <si>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</si>
  <si>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</si>
  <si>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</si>
  <si>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</si>
  <si>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</si>
  <si>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</si>
  <si>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</si>
  <si>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</si>
  <si>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</si>
  <si>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</si>
  <si>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</si>
  <si>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</si>
  <si>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</si>
  <si>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</si>
  <si>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</si>
  <si>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</si>
  <si>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</si>
  <si>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</si>
  <si>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</si>
  <si>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</si>
  <si>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</si>
  <si>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</si>
  <si>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</si>
  <si>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</si>
  <si>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</si>
  <si>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</si>
  <si>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</si>
  <si>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</si>
  <si>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</si>
  <si>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</si>
  <si>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</si>
  <si>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</si>
  <si>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</si>
  <si>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</si>
  <si>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</si>
  <si>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</si>
  <si>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</si>
  <si>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</si>
  <si>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</si>
  <si>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</si>
  <si>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</si>
  <si>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</si>
  <si>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</si>
  <si>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</si>
  <si>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</si>
  <si>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</si>
  <si>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</si>
  <si>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</si>
  <si>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</si>
  <si>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</si>
  <si>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</si>
  <si>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</si>
  <si>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</si>
  <si>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</si>
  <si>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</si>
  <si>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</si>
  <si>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</si>
  <si>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</si>
  <si>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</si>
  <si>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</si>
  <si>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</si>
  <si>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</si>
  <si>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</si>
  <si>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</si>
  <si>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</si>
  <si>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</si>
  <si>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</si>
  <si>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</si>
  <si>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</si>
  <si>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</si>
  <si>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</si>
  <si>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</si>
  <si>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</si>
  <si>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</si>
  <si>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</si>
  <si>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</si>
  <si>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</si>
  <si>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</si>
  <si>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</si>
  <si>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</si>
  <si>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</si>
  <si>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</si>
  <si>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</si>
  <si>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</si>
  <si>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</si>
  <si>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</si>
  <si>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</si>
  <si>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</si>
  <si>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</si>
  <si>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</si>
  <si>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</si>
  <si>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</si>
  <si>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</si>
  <si>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</si>
  <si>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</si>
  <si>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</si>
  <si>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</si>
  <si>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</si>
  <si>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</si>
  <si>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</si>
  <si>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</si>
  <si>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</si>
  <si>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</si>
  <si>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</si>
  <si>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</si>
  <si>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</si>
  <si>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</si>
  <si>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</si>
  <si>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</si>
  <si>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</si>
  <si>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</si>
  <si>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</si>
  <si>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</si>
  <si>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</si>
  <si>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</si>
  <si>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</si>
  <si>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</si>
  <si>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</si>
  <si>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</si>
  <si>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</si>
  <si>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</si>
  <si>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</si>
  <si>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</si>
  <si>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</si>
  <si>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</si>
  <si>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</si>
  <si>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</si>
  <si>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</si>
  <si>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</si>
  <si>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</si>
  <si>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</si>
  <si>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</si>
  <si>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</si>
  <si>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</si>
  <si>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</si>
  <si>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</si>
  <si>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</si>
  <si>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</si>
  <si>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</si>
  <si>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</si>
  <si>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</si>
  <si>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</si>
  <si>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</si>
  <si>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</si>
  <si>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</si>
  <si>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</si>
  <si>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</si>
  <si>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</si>
  <si>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</si>
  <si>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</si>
  <si>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</si>
  <si>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</si>
  <si>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</si>
  <si>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</si>
  <si>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</si>
  <si>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</si>
  <si>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</si>
  <si>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</si>
  <si>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</si>
  <si>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</si>
  <si>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</si>
  <si>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</si>
  <si>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</si>
  <si>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</si>
  <si>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</si>
  <si>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</si>
  <si>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</si>
  <si>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</si>
  <si>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</si>
  <si>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</si>
  <si>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</si>
  <si>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</si>
  <si>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</si>
  <si>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</si>
  <si>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</si>
  <si>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</si>
  <si>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</si>
  <si>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</si>
  <si>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</si>
  <si>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</si>
  <si>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</si>
  <si>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</si>
  <si>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</si>
  <si>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</si>
  <si>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</si>
  <si>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</si>
  <si>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</si>
  <si>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</si>
  <si>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</si>
  <si>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</si>
  <si>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</si>
  <si>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</si>
  <si>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</si>
  <si>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</si>
  <si>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</si>
  <si>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</si>
  <si>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</si>
  <si>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</si>
  <si>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</si>
  <si>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</si>
  <si>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</si>
  <si>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</si>
  <si>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</si>
  <si>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</si>
  <si>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</si>
  <si>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</si>
  <si>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</si>
  <si>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</si>
  <si>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</si>
  <si>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</si>
  <si>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</si>
  <si>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</si>
  <si>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</si>
  <si>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</si>
  <si>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</si>
  <si>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</si>
  <si>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</si>
  <si>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</si>
  <si>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</si>
  <si>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</si>
  <si>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</si>
  <si>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</si>
  <si>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</si>
  <si>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</si>
  <si>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</si>
  <si>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</si>
  <si>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</si>
  <si>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</si>
  <si>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</si>
  <si>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</si>
  <si>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</si>
  <si>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</si>
  <si>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</si>
  <si>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</si>
  <si>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</si>
  <si>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</si>
  <si>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</si>
  <si>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</si>
  <si>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</si>
  <si>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</si>
  <si>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</si>
  <si>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</si>
  <si>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</si>
  <si>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</si>
  <si>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</si>
  <si>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</si>
  <si>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</si>
  <si>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</si>
  <si>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</si>
  <si>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</si>
  <si>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</si>
  <si>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</si>
  <si>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</si>
  <si>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</si>
  <si>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</si>
  <si>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</si>
  <si>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</si>
  <si>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</si>
  <si>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</si>
  <si>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</si>
  <si>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</si>
  <si>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</si>
  <si>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</si>
  <si>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</si>
  <si>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</si>
  <si>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</si>
  <si>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</si>
  <si>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</si>
  <si>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</si>
  <si>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</si>
  <si>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</si>
  <si>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</si>
  <si>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</si>
  <si>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</si>
  <si>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</si>
  <si>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</si>
  <si>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</si>
  <si>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</si>
  <si>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</si>
  <si>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</si>
  <si>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</si>
  <si>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</si>
  <si>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</si>
  <si>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</si>
  <si>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</si>
  <si>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</si>
  <si>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</si>
  <si>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</si>
  <si>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</si>
  <si>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</si>
  <si>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</si>
  <si>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</si>
  <si>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</si>
  <si>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</si>
  <si>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</si>
  <si>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</si>
  <si>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</si>
  <si>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</si>
  <si>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</si>
  <si>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</si>
  <si>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</si>
  <si>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</si>
  <si>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</si>
  <si>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</si>
  <si>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</si>
  <si>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</si>
  <si>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</si>
  <si>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</si>
  <si>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</si>
  <si>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</si>
  <si>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</si>
  <si>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</si>
  <si>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</si>
  <si>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</si>
  <si>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</si>
  <si>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</si>
  <si>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</si>
  <si>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</si>
  <si>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</si>
  <si>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</si>
  <si>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</si>
  <si>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</si>
  <si>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</si>
  <si>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</si>
  <si>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</si>
  <si>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</si>
  <si>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</si>
  <si>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</si>
  <si>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</si>
  <si>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</si>
  <si>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</si>
  <si>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</si>
  <si>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</si>
  <si>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</si>
  <si>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</si>
  <si>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</si>
  <si>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</si>
  <si>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</si>
  <si>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</si>
  <si>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</si>
  <si>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</si>
  <si>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</si>
  <si>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</si>
  <si>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</si>
  <si>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</si>
  <si>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</si>
  <si>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</si>
  <si>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</si>
  <si>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</si>
  <si>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</si>
  <si>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</si>
  <si>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</si>
  <si>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</si>
  <si>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</si>
  <si>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</si>
  <si>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</si>
  <si>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</si>
  <si>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</si>
  <si>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</si>
  <si>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</si>
  <si>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</si>
  <si>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</si>
  <si>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</si>
  <si>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</si>
  <si>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</si>
  <si>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</si>
  <si>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</si>
  <si>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</si>
  <si>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</si>
  <si>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</si>
  <si>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</si>
  <si>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</si>
  <si>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</si>
  <si>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</si>
  <si>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</si>
  <si>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</si>
  <si>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</si>
  <si>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</si>
  <si>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</si>
  <si>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</si>
  <si>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</si>
  <si>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</si>
  <si>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</si>
  <si>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</si>
  <si>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</si>
  <si>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</si>
  <si>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</si>
  <si>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</si>
  <si>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</si>
  <si>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</si>
  <si>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</si>
  <si>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</si>
  <si>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</si>
  <si>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</si>
  <si>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</si>
  <si>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</si>
  <si>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</si>
  <si>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</si>
  <si>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</si>
  <si>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</si>
  <si>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</si>
  <si>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</si>
  <si>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</si>
  <si>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</si>
  <si>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</si>
  <si>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</si>
  <si>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</si>
  <si>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</si>
  <si>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</si>
  <si>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</si>
  <si>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</si>
  <si>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</si>
  <si>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</si>
  <si>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</si>
  <si>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</si>
  <si>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</si>
  <si>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</si>
  <si>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</si>
  <si>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</si>
  <si>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</si>
  <si>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</si>
  <si>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</si>
  <si>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</si>
  <si>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</si>
  <si>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</si>
  <si>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</si>
  <si>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</si>
  <si>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</si>
  <si>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</si>
  <si>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</si>
  <si>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</si>
  <si>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</si>
  <si>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</si>
  <si>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</si>
  <si>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</si>
  <si>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</si>
  <si>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</si>
  <si>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</si>
  <si>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</si>
  <si>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</si>
  <si>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</si>
  <si>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</si>
  <si>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</si>
  <si>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</si>
  <si>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</si>
  <si>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</si>
  <si>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</si>
  <si>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</si>
  <si>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</si>
  <si>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</si>
  <si>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</si>
  <si>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</si>
  <si>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</si>
  <si>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</si>
  <si>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</si>
  <si>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</si>
  <si>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</si>
  <si>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</si>
  <si>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</si>
  <si>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</si>
  <si>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</si>
  <si>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</si>
  <si>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</si>
  <si>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</si>
  <si>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</si>
  <si>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</si>
  <si>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</si>
  <si>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</si>
  <si>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</si>
  <si>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</si>
  <si>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</si>
  <si>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</si>
  <si>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</si>
  <si>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</si>
  <si>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</si>
  <si>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</si>
  <si>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</si>
  <si>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</si>
  <si>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</si>
  <si>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</si>
  <si>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</si>
  <si>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</si>
  <si>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</si>
  <si>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</si>
  <si>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</si>
  <si>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</si>
  <si>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</si>
  <si>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</si>
  <si>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</si>
  <si>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</si>
  <si>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</si>
  <si>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</si>
  <si>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</si>
  <si>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</si>
  <si>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</si>
  <si>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</si>
  <si>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</si>
  <si>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</si>
  <si>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</si>
  <si>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</si>
  <si>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</si>
  <si>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</si>
  <si>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</si>
  <si>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</si>
  <si>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</si>
  <si>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</si>
  <si>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</si>
  <si>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</si>
  <si>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</si>
  <si>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</si>
  <si>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</si>
  <si>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</si>
  <si>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</si>
  <si>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</si>
  <si>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</si>
  <si>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</si>
  <si>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</si>
  <si>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</si>
  <si>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</si>
  <si>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</si>
  <si>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</si>
  <si>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</si>
  <si>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</si>
  <si>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</si>
  <si>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</si>
  <si>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</si>
  <si>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</si>
  <si>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</si>
  <si>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</si>
  <si>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</si>
  <si>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</si>
  <si>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</si>
  <si>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</si>
  <si>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</si>
  <si>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</si>
  <si>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</si>
  <si>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</si>
  <si>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</si>
  <si>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</si>
  <si>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</si>
  <si>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</si>
  <si>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</si>
  <si>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</si>
  <si>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</si>
  <si>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</si>
  <si>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</si>
  <si>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</si>
  <si>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</si>
  <si>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</si>
  <si>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</si>
  <si>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</si>
  <si>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</si>
  <si>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</si>
  <si>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</si>
  <si>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</si>
  <si>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</si>
  <si>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</si>
  <si>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</si>
  <si>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</si>
  <si>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</si>
  <si>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</si>
  <si>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</si>
  <si>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</si>
  <si>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</si>
  <si>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</si>
  <si>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</si>
  <si>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</si>
  <si>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</si>
  <si>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</si>
  <si>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</si>
  <si>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</si>
  <si>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</si>
  <si>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</si>
  <si>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</si>
  <si>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</si>
  <si>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</si>
  <si>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</si>
  <si>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</si>
  <si>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</si>
  <si>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</si>
  <si>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</si>
  <si>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</si>
  <si>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</si>
  <si>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</si>
  <si>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</si>
  <si>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</si>
  <si>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</si>
  <si>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</si>
  <si>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</si>
  <si>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</si>
  <si>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</si>
  <si>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</si>
  <si>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</si>
  <si>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</si>
  <si>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</si>
  <si>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</si>
  <si>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</si>
  <si>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</si>
  <si>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</si>
  <si>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</si>
  <si>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</si>
  <si>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</si>
  <si>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</si>
  <si>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</si>
  <si>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</si>
  <si>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</si>
  <si>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</si>
  <si>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</si>
  <si>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</si>
  <si>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</si>
  <si>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</si>
  <si>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</si>
  <si>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</si>
  <si>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</si>
  <si>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</si>
  <si>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</si>
  <si>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</si>
  <si>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</si>
  <si>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</si>
  <si>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</si>
  <si>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</si>
  <si>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</si>
  <si>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</si>
  <si>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</si>
  <si>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</si>
  <si>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</si>
  <si>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</si>
  <si>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</si>
  <si>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</si>
  <si>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</si>
  <si>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</si>
  <si>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</si>
  <si>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</si>
  <si>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</si>
  <si>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</si>
  <si>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</si>
  <si>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</si>
  <si>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</si>
  <si>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</si>
  <si>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</si>
  <si>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</si>
  <si>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</si>
  <si>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</si>
  <si>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</si>
  <si>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</si>
  <si>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</si>
  <si>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</si>
  <si>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</si>
  <si>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</si>
  <si>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</si>
  <si>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</si>
  <si>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</si>
  <si>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</si>
  <si>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</si>
  <si>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</si>
  <si>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</si>
  <si>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</si>
  <si>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</si>
  <si>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</si>
  <si>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</si>
  <si>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</si>
  <si>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</si>
  <si>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</si>
  <si>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</si>
  <si>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</si>
  <si>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</si>
  <si>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</si>
  <si>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</si>
  <si>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</si>
  <si>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</si>
  <si>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</si>
  <si>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</si>
  <si>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</si>
  <si>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</si>
  <si>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</si>
  <si>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</si>
  <si>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</si>
  <si>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</si>
  <si>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</si>
  <si>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</si>
  <si>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</si>
  <si>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</si>
  <si>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</si>
  <si>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</si>
  <si>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</si>
  <si>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</si>
  <si>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</si>
  <si>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</si>
  <si>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</si>
  <si>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</si>
  <si>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</si>
  <si>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</si>
  <si>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</si>
  <si>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</si>
  <si>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</si>
  <si>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</si>
  <si>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</si>
  <si>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</si>
  <si>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</si>
  <si>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</si>
  <si>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</si>
  <si>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</si>
  <si>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</si>
  <si>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</si>
  <si>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</si>
  <si>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</si>
  <si>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</si>
  <si>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</si>
  <si>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</si>
  <si>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</si>
  <si>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</si>
  <si>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</si>
  <si>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</si>
  <si>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</si>
  <si>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</si>
  <si>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</si>
  <si>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</si>
  <si>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</si>
  <si>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</si>
  <si>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</si>
  <si>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</si>
  <si>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</si>
  <si>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</si>
  <si>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</si>
  <si>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</si>
  <si>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</si>
  <si>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</si>
  <si>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</si>
  <si>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</si>
  <si>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</si>
  <si>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</si>
  <si>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</si>
  <si>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</si>
  <si>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</si>
  <si>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</si>
  <si>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</si>
  <si>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</si>
  <si>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</si>
  <si>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</si>
  <si>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</si>
  <si>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</si>
  <si>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</si>
  <si>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</si>
  <si>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</si>
  <si>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</si>
  <si>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</si>
  <si>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</si>
  <si>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</si>
  <si>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</si>
  <si>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</si>
  <si>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</si>
  <si>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</si>
  <si>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</si>
  <si>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</si>
  <si>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</si>
  <si>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</si>
  <si>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</si>
  <si>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</si>
  <si>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</si>
  <si>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</si>
  <si>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</si>
  <si>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</si>
  <si>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</si>
  <si>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</si>
  <si>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</si>
  <si>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</si>
  <si>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</si>
  <si>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</si>
  <si>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</si>
  <si>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</si>
  <si>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</si>
  <si>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</si>
  <si>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</si>
  <si>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</si>
  <si>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</si>
  <si>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</si>
  <si>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</si>
  <si>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</si>
  <si>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</si>
  <si>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</si>
  <si>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</si>
  <si>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</si>
  <si>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</si>
  <si>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</si>
  <si>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</si>
  <si>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</si>
  <si>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</si>
  <si>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</si>
  <si>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</si>
  <si>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</si>
  <si>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</si>
  <si>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</si>
  <si>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</si>
  <si>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</si>
  <si>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</si>
  <si>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</si>
  <si>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</si>
  <si>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</si>
  <si>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</si>
  <si>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</si>
  <si>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</si>
  <si>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</si>
  <si>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</si>
  <si>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</si>
  <si>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</si>
  <si>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</si>
  <si>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</si>
  <si>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</si>
  <si>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</si>
  <si>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</si>
  <si>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</si>
  <si>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</si>
  <si>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</si>
  <si>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</si>
  <si>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</si>
  <si>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</si>
  <si>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</si>
  <si>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</si>
  <si>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</si>
  <si>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</si>
  <si>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</si>
  <si>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</si>
  <si>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</si>
  <si>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</si>
  <si>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</si>
  <si>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</si>
  <si>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</si>
  <si>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</si>
  <si>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</si>
  <si>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</si>
  <si>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</si>
  <si>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</si>
  <si>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</si>
  <si>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</si>
  <si>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</si>
  <si>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</si>
  <si>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</si>
  <si>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</si>
  <si>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</si>
  <si>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</si>
  <si>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</si>
  <si>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</si>
  <si>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</si>
  <si>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</si>
  <si>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</si>
  <si>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</si>
  <si>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</si>
  <si>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</si>
  <si>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</si>
  <si>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</si>
  <si>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</si>
  <si>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</si>
  <si>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</si>
  <si>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</si>
  <si>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</si>
  <si>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</si>
  <si>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</si>
  <si>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</si>
  <si>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</si>
  <si>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</si>
  <si>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</si>
  <si>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</si>
  <si>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</si>
  <si>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</si>
  <si>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</si>
  <si>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</si>
  <si>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</si>
  <si>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</si>
  <si>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</si>
  <si>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</si>
  <si>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</si>
  <si>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</si>
  <si>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</si>
  <si>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</si>
  <si>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</si>
  <si>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</si>
  <si>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</si>
  <si>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</si>
  <si>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</si>
  <si>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</si>
  <si>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</si>
  <si>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</si>
  <si>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</si>
  <si>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</si>
  <si>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</si>
  <si>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</si>
  <si>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</si>
  <si>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</si>
  <si>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</si>
  <si>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</si>
  <si>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</si>
  <si>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</si>
  <si>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</si>
  <si>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</si>
  <si>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</si>
  <si>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</si>
  <si>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</si>
  <si>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</si>
  <si>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</si>
  <si>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</si>
  <si>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</si>
  <si>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</si>
  <si>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</si>
  <si>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</si>
  <si>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</si>
  <si>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</si>
  <si>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</si>
  <si>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</si>
  <si>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</si>
  <si>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</si>
  <si>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</si>
  <si>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</si>
  <si>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</si>
  <si>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</si>
  <si>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</si>
  <si>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</si>
  <si>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</si>
  <si>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</si>
  <si>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</si>
  <si>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</si>
  <si>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</si>
  <si>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</si>
  <si>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</si>
  <si>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</si>
  <si>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</si>
  <si>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</si>
  <si>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</si>
  <si>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</si>
  <si>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</si>
  <si>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</si>
  <si>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</si>
  <si>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</si>
  <si>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</si>
  <si>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</si>
  <si>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</si>
  <si>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</si>
  <si>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</si>
  <si>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</si>
  <si>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</si>
  <si>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</si>
  <si>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</si>
  <si>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</si>
  <si>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</si>
  <si>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</si>
  <si>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</si>
  <si>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</si>
  <si>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</si>
  <si>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</si>
  <si>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</si>
  <si>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</si>
  <si>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</si>
  <si>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</si>
  <si>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</si>
  <si>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</si>
  <si>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</si>
  <si>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</si>
  <si>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</si>
  <si>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</si>
  <si>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</si>
  <si>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</si>
  <si>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</si>
  <si>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</si>
  <si>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</si>
  <si>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</si>
  <si>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</si>
  <si>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</si>
  <si>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</si>
  <si>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</si>
  <si>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</si>
  <si>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</si>
  <si>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</si>
  <si>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</si>
  <si>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</si>
  <si>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</si>
  <si>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</si>
  <si>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</si>
  <si>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</si>
  <si>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</si>
  <si>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</si>
  <si>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</si>
  <si>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</si>
  <si>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</si>
  <si>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</si>
  <si>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</si>
  <si>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</si>
  <si>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</si>
  <si>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</si>
  <si>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</si>
  <si>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</si>
  <si>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</si>
  <si>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</si>
  <si>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</si>
  <si>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</si>
  <si>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</si>
  <si>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</si>
  <si>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</si>
  <si>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</si>
  <si>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</si>
  <si>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</si>
  <si>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</si>
  <si>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</si>
  <si>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</si>
  <si>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</si>
  <si>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</si>
  <si>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</si>
  <si>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</si>
  <si>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</si>
  <si>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</si>
  <si>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</si>
  <si>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</si>
  <si>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</si>
  <si>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</si>
  <si>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</si>
  <si>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</si>
  <si>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</si>
  <si>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</si>
  <si>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</si>
  <si>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</si>
  <si>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</si>
  <si>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</si>
  <si>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</si>
  <si>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</si>
  <si>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</si>
  <si>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</si>
  <si>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</si>
  <si>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</si>
  <si>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</si>
  <si>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</si>
  <si>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</si>
  <si>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</si>
  <si>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</si>
  <si>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</si>
  <si>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</si>
  <si>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</si>
  <si>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</si>
  <si>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</si>
  <si>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</si>
  <si>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</si>
  <si>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</si>
  <si>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</si>
  <si>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</si>
  <si>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</si>
  <si>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</si>
  <si>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</si>
  <si>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</si>
  <si>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</si>
  <si>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</si>
  <si>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</si>
  <si>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</si>
  <si>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</si>
  <si>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</si>
  <si>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</si>
  <si>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</si>
  <si>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</si>
  <si>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</si>
  <si>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</si>
  <si>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</si>
  <si>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</si>
  <si>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</si>
  <si>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</si>
  <si>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</si>
  <si>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</si>
  <si>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</si>
  <si>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</si>
  <si>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</si>
  <si>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</si>
  <si>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</si>
  <si>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</si>
  <si>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</si>
  <si>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</si>
  <si>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</si>
  <si>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</si>
  <si>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</si>
  <si>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</si>
  <si>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</si>
  <si>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</si>
  <si>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</si>
  <si>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</si>
  <si>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</si>
  <si>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</si>
  <si>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</si>
  <si>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</si>
  <si>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</si>
  <si>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</si>
  <si>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</si>
  <si>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</si>
  <si>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</si>
  <si>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</si>
  <si>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</si>
  <si>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</si>
  <si>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</si>
  <si>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</si>
  <si>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</si>
  <si>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</si>
  <si>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</si>
  <si>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</si>
  <si>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</si>
  <si>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</si>
  <si>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</si>
  <si>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</si>
  <si>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</si>
  <si>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</si>
  <si>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</si>
  <si>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</si>
  <si>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</si>
  <si>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</si>
  <si>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</si>
  <si>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</si>
  <si>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</si>
  <si>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</si>
  <si>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</si>
  <si>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</si>
  <si>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</si>
  <si>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</si>
  <si>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</si>
  <si>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</si>
  <si>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</si>
  <si>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</si>
  <si>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</si>
  <si>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</si>
  <si>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</si>
  <si>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</si>
  <si>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</si>
  <si>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</si>
  <si>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</si>
  <si>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</si>
  <si>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</si>
  <si>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</si>
  <si>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</si>
  <si>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</si>
  <si>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</si>
  <si>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</si>
  <si>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</si>
  <si>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</si>
  <si>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</si>
  <si>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</si>
  <si>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</si>
  <si>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</si>
  <si>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</si>
  <si>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</si>
  <si>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</si>
  <si>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</si>
  <si>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</si>
  <si>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</si>
  <si>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</si>
  <si>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</si>
  <si>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</si>
  <si>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</si>
  <si>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</si>
  <si>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</si>
  <si>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</si>
  <si>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</si>
  <si>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</si>
  <si>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</si>
  <si>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</si>
  <si>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</si>
  <si>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</si>
  <si>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</si>
  <si>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</si>
  <si>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</si>
  <si>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</si>
  <si>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</si>
  <si>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</si>
  <si>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</si>
  <si>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</si>
  <si>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</si>
  <si>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</si>
  <si>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</si>
  <si>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</si>
  <si>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</si>
  <si>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</si>
  <si>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</si>
  <si>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</si>
  <si>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</si>
  <si>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</si>
  <si>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</si>
  <si>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</si>
  <si>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</si>
  <si>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</si>
  <si>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</si>
  <si>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</si>
  <si>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</si>
  <si>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</si>
  <si>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</si>
  <si>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</si>
  <si>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</si>
  <si>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</si>
  <si>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</si>
  <si>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</si>
  <si>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</si>
  <si>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</si>
  <si>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</si>
  <si>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</si>
  <si>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</si>
  <si>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</si>
  <si>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</si>
  <si>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</si>
  <si>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</si>
  <si>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</si>
  <si>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</si>
  <si>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</si>
  <si>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</si>
  <si>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</si>
  <si>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</si>
  <si>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</si>
  <si>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</si>
  <si>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</si>
  <si>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</si>
  <si>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</si>
  <si>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</si>
  <si>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</si>
  <si>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</si>
  <si>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</si>
  <si>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</si>
  <si>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</si>
  <si>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</si>
  <si>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</si>
  <si>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</si>
  <si>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</si>
  <si>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</si>
  <si>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</si>
  <si>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</si>
  <si>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</si>
  <si>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</si>
  <si>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</si>
  <si>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</si>
  <si>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</si>
  <si>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</si>
  <si>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</si>
  <si>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</si>
  <si>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</si>
  <si>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</si>
  <si>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</si>
  <si>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</si>
  <si>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</si>
  <si>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</si>
  <si>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</si>
  <si>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</si>
  <si>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</si>
  <si>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</si>
  <si>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</si>
  <si>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</si>
  <si>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</si>
  <si>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</si>
  <si>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</si>
  <si>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</si>
  <si>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</si>
  <si>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</si>
  <si>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</si>
  <si>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</si>
  <si>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</si>
  <si>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</si>
  <si>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</si>
  <si>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</si>
  <si>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</si>
  <si>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</si>
  <si>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</si>
  <si>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</si>
  <si>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</si>
  <si>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</si>
  <si>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</si>
  <si>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</si>
  <si>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</si>
  <si>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</si>
  <si>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</si>
  <si>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</si>
  <si>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</si>
  <si>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</si>
  <si>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</si>
  <si>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</si>
  <si>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</si>
  <si>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</si>
  <si>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</si>
  <si>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</si>
  <si>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</si>
  <si>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</si>
  <si>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</si>
  <si>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</si>
  <si>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</si>
  <si>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</si>
  <si>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</si>
  <si>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</si>
  <si>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</si>
  <si>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</si>
  <si>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</si>
  <si>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</si>
  <si>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</si>
  <si>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</si>
  <si>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</si>
  <si>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</si>
  <si>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</si>
  <si>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</si>
  <si>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</si>
  <si>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</si>
  <si>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</si>
  <si>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</si>
  <si>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</si>
  <si>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</si>
  <si>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</si>
  <si>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</si>
  <si>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</si>
  <si>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</si>
  <si>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</si>
  <si>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</si>
  <si>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</si>
  <si>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</si>
  <si>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</si>
  <si>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</si>
  <si>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</si>
  <si>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</si>
  <si>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</si>
  <si>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</si>
  <si>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</si>
  <si>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</si>
  <si>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</si>
  <si>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</si>
  <si>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</si>
  <si>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</si>
  <si>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</si>
  <si>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</si>
  <si>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</si>
  <si>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</si>
  <si>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</si>
  <si>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</si>
  <si>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</si>
  <si>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</si>
  <si>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</si>
  <si>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</si>
  <si>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</si>
  <si>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</si>
  <si>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</si>
  <si>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</si>
  <si>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</si>
  <si>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</si>
  <si>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</si>
  <si>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</si>
  <si>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</si>
  <si>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</si>
  <si>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</si>
  <si>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</si>
  <si>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</si>
  <si>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</si>
  <si>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</si>
  <si>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</si>
  <si>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</si>
  <si>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</si>
  <si>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</si>
  <si>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</si>
  <si>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</si>
  <si>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</si>
  <si>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</si>
  <si>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</si>
  <si>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</si>
  <si>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</si>
  <si>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</si>
  <si>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</si>
  <si>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</si>
  <si>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</si>
  <si>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</si>
  <si>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</si>
  <si>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</si>
  <si>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</si>
  <si>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</si>
  <si>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</si>
  <si>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</si>
  <si>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</si>
  <si>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</si>
  <si>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</si>
  <si>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</si>
  <si>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</si>
  <si>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</si>
  <si>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</si>
  <si>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</si>
  <si>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</si>
  <si>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</si>
  <si>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</si>
  <si>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</si>
  <si>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</si>
  <si>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</si>
  <si>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</si>
  <si>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</si>
  <si>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</si>
  <si>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</si>
  <si>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</si>
  <si>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</si>
  <si>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</si>
  <si>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</si>
  <si>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</si>
  <si>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</si>
  <si>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</si>
  <si>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</si>
  <si>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</si>
  <si>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</si>
  <si>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</si>
  <si>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</si>
  <si>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</si>
  <si>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</si>
  <si>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</si>
  <si>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</si>
  <si>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</si>
  <si>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</si>
  <si>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</si>
  <si>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</si>
  <si>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</si>
  <si>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</si>
  <si>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</si>
  <si>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</si>
  <si>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</si>
  <si>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</si>
  <si>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</si>
  <si>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</si>
  <si>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</si>
  <si>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</si>
  <si>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</si>
  <si>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</si>
  <si>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</si>
  <si>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</si>
  <si>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</si>
  <si>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</si>
  <si>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</si>
  <si>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</si>
  <si>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</si>
  <si>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</si>
  <si>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</si>
  <si>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</si>
  <si>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</si>
  <si>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</si>
  <si>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</si>
  <si>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</si>
  <si>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</si>
  <si>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</si>
  <si>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</si>
  <si>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</si>
  <si>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</si>
  <si>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</si>
  <si>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</si>
  <si>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</si>
  <si>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</si>
  <si>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</si>
  <si>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</si>
  <si>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</si>
  <si>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</si>
  <si>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</si>
  <si>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</si>
  <si>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</si>
  <si>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</si>
  <si>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</si>
  <si>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</si>
  <si>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</si>
  <si>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</si>
  <si>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</si>
  <si>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</si>
  <si>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</si>
  <si>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</si>
  <si>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</si>
  <si>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</si>
  <si>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</si>
  <si>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</si>
  <si>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</si>
  <si>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</si>
  <si>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</si>
  <si>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</si>
  <si>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</si>
  <si>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</si>
  <si>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</si>
  <si>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</si>
  <si>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</si>
  <si>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</si>
  <si>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</si>
  <si>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</si>
  <si>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</si>
  <si>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</si>
  <si>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</si>
  <si>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</si>
  <si>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</si>
  <si>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</si>
  <si>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</si>
  <si>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</si>
  <si>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</si>
  <si>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</si>
  <si>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</si>
  <si>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</si>
  <si>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</si>
  <si>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</si>
  <si>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</si>
  <si>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</si>
  <si>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</si>
  <si>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</si>
  <si>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</si>
  <si>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</si>
  <si>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</si>
  <si>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</si>
  <si>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</si>
  <si>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</si>
  <si>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</si>
  <si>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</si>
  <si>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</si>
  <si>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</si>
  <si>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</si>
  <si>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</si>
  <si>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</si>
  <si>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</si>
  <si>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</si>
  <si>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</si>
  <si>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</si>
  <si>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</si>
  <si>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</si>
  <si>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</si>
  <si>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</si>
  <si>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</si>
  <si>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</si>
  <si>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</si>
  <si>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</si>
  <si>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</si>
  <si>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</si>
  <si>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</si>
  <si>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</si>
  <si>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</si>
  <si>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</si>
  <si>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</si>
  <si>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</si>
  <si>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</si>
  <si>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</si>
  <si>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</si>
  <si>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</si>
  <si>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</si>
  <si>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</si>
  <si>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</si>
  <si>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</si>
  <si>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</si>
  <si>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</si>
  <si>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</si>
  <si>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</si>
  <si>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</si>
  <si>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</si>
  <si>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</si>
  <si>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</si>
  <si>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</si>
  <si>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</si>
  <si>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</si>
  <si>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</si>
  <si>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</si>
  <si>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</si>
  <si>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</si>
  <si>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</si>
  <si>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</si>
  <si>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</si>
  <si>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</si>
  <si>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</si>
  <si>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</si>
  <si>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</si>
  <si>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</si>
  <si>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</si>
  <si>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</si>
  <si>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</si>
  <si>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</si>
  <si>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</si>
  <si>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</si>
  <si>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</si>
  <si>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</si>
  <si>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</si>
  <si>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</si>
  <si>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</si>
  <si>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</si>
  <si>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</si>
  <si>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</si>
  <si>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</si>
  <si>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</si>
  <si>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</si>
  <si>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</si>
  <si>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</si>
  <si>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</si>
  <si>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</si>
  <si>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</si>
  <si>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</si>
  <si>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</si>
  <si>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</si>
  <si>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</si>
  <si>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</si>
  <si>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</si>
  <si>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</si>
  <si>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</si>
  <si>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</si>
  <si>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</si>
  <si>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</si>
  <si>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</si>
  <si>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</si>
  <si>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</si>
  <si>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</si>
  <si>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</si>
  <si>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</si>
  <si>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</si>
  <si>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</si>
  <si>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</si>
  <si>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</si>
  <si>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</si>
  <si>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</si>
  <si>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</si>
  <si>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</si>
  <si>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</si>
  <si>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</si>
  <si>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</si>
  <si>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</si>
  <si>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</si>
  <si>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</si>
  <si>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</si>
  <si>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</si>
  <si>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</si>
  <si>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</si>
  <si>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</si>
  <si>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</si>
  <si>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</si>
  <si>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</si>
  <si>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</si>
  <si>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</si>
  <si>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</si>
  <si>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</si>
  <si>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</si>
  <si>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</si>
  <si>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</si>
  <si>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</si>
  <si>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</si>
  <si>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</si>
  <si>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</si>
  <si>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</si>
  <si>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</si>
  <si>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</si>
  <si>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</si>
  <si>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</si>
  <si>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</si>
  <si>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</si>
  <si>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</si>
  <si>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</si>
  <si>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</si>
  <si>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</si>
  <si>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</si>
  <si>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</si>
  <si>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</si>
  <si>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</si>
  <si>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</si>
  <si>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</si>
  <si>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</si>
  <si>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</si>
  <si>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</si>
  <si>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</si>
  <si>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</si>
  <si>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</si>
  <si>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</si>
  <si>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</si>
  <si>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</si>
  <si>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</si>
  <si>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</si>
  <si>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</si>
  <si>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</si>
  <si>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</si>
  <si>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</si>
  <si>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</si>
  <si>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</si>
  <si>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</si>
  <si>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</si>
  <si>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</si>
  <si>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</si>
  <si>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</si>
  <si>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</si>
  <si>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</si>
  <si>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</si>
  <si>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</si>
  <si>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</si>
  <si>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</si>
  <si>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</si>
  <si>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</si>
  <si>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</si>
  <si>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</si>
  <si>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</si>
  <si>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</si>
  <si>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</si>
  <si>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</si>
  <si>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</si>
  <si>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</si>
  <si>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</si>
  <si>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</si>
  <si>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</si>
  <si>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</si>
  <si>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</si>
  <si>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</si>
  <si>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</si>
  <si>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</si>
  <si>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</si>
  <si>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</si>
  <si>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</si>
  <si>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</si>
  <si>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</si>
  <si>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</si>
  <si>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</si>
  <si>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</si>
  <si>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</si>
  <si>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</si>
  <si>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</si>
  <si>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</si>
  <si>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</si>
  <si>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</si>
  <si>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</si>
  <si>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</si>
  <si>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</si>
  <si>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</si>
  <si>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</si>
  <si>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</si>
  <si>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</si>
  <si>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</si>
  <si>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</si>
  <si>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</si>
  <si>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</si>
  <si>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</si>
  <si>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</si>
  <si>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</si>
  <si>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</si>
  <si>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</si>
  <si>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</si>
  <si>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</si>
  <si>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</si>
  <si>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</si>
  <si>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</si>
  <si>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</si>
  <si>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</si>
  <si>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</si>
  <si>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</si>
  <si>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</si>
  <si>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</si>
  <si>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</si>
  <si>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</si>
  <si>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</si>
  <si>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</si>
  <si>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</si>
  <si>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</si>
  <si>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</si>
  <si>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</si>
  <si>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</si>
  <si>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</si>
  <si>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</si>
  <si>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</si>
  <si>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</si>
  <si>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</si>
  <si>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</si>
  <si>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</si>
  <si>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</si>
  <si>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</si>
  <si>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</si>
  <si>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</si>
  <si>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</si>
  <si>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</si>
  <si>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</si>
  <si>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</si>
  <si>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</si>
  <si>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</si>
  <si>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</si>
  <si>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</si>
  <si>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</si>
  <si>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</si>
  <si>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</si>
  <si>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</si>
  <si>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</si>
  <si>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</si>
  <si>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</si>
  <si>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</si>
  <si>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</si>
  <si>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</si>
  <si>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</si>
  <si>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</si>
  <si>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</si>
  <si>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</si>
  <si>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</si>
  <si>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</si>
  <si>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</si>
  <si>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</si>
  <si>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</si>
  <si>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</si>
  <si>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</si>
  <si>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</si>
  <si>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</si>
  <si>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</si>
  <si>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</si>
  <si>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</si>
  <si>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</si>
  <si>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</si>
  <si>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</si>
  <si>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</si>
  <si>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</si>
  <si>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</si>
  <si>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</si>
  <si>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</si>
  <si>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</si>
  <si>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</si>
  <si>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</si>
  <si>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</si>
  <si>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</si>
  <si>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</si>
  <si>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</si>
  <si>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</si>
  <si>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</si>
  <si>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</si>
  <si>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</si>
  <si>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</si>
  <si>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</si>
  <si>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</si>
  <si>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</si>
  <si>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</si>
  <si>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</si>
  <si>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</si>
  <si>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</si>
  <si>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</si>
  <si>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</si>
  <si>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</si>
  <si>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</si>
  <si>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</si>
  <si>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</si>
  <si>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</si>
  <si>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</si>
  <si>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</si>
  <si>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</si>
  <si>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</si>
  <si>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</si>
  <si>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</si>
  <si>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</si>
  <si>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</si>
  <si>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</si>
  <si>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</si>
  <si>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</si>
  <si>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</si>
  <si>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</si>
  <si>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</si>
  <si>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</si>
  <si>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</si>
  <si>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</si>
  <si>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</si>
  <si>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</si>
  <si>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</si>
  <si>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</si>
  <si>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</si>
  <si>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</si>
  <si>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</si>
  <si>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</si>
  <si>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</si>
  <si>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</si>
  <si>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</si>
  <si>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</si>
  <si>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</si>
  <si>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</si>
  <si>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</si>
  <si>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</si>
  <si>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</si>
  <si>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</si>
  <si>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</si>
  <si>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</si>
  <si>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</si>
  <si>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</si>
  <si>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</si>
  <si>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</si>
  <si>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</si>
  <si>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</si>
  <si>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</si>
  <si>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</si>
  <si>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</si>
  <si>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</si>
  <si>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</si>
  <si>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</si>
  <si>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</si>
  <si>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</si>
  <si>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</si>
  <si>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</si>
  <si>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</si>
  <si>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</si>
  <si>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</si>
  <si>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</si>
  <si>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</si>
  <si>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</si>
  <si>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</si>
  <si>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</si>
  <si>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</si>
  <si>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</si>
  <si>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</si>
  <si>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</si>
  <si>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</si>
  <si>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</si>
  <si>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</si>
  <si>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</si>
  <si>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</si>
  <si>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</si>
  <si>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</si>
  <si>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</si>
  <si>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</si>
  <si>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</si>
  <si>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</si>
  <si>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</si>
  <si>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</si>
  <si>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</si>
  <si>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</si>
  <si>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</si>
  <si>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</si>
  <si>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</si>
  <si>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</si>
  <si>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</si>
  <si>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</si>
  <si>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</si>
  <si>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</si>
  <si>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</si>
  <si>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</si>
  <si>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</si>
  <si>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</si>
  <si>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</si>
  <si>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</si>
  <si>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</si>
  <si>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</si>
  <si>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</si>
  <si>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</si>
  <si>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</si>
  <si>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</si>
  <si>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</si>
  <si>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</si>
  <si>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</si>
  <si>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</si>
  <si>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</si>
  <si>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</si>
  <si>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</si>
  <si>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</si>
  <si>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</si>
  <si>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</si>
  <si>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</si>
  <si>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</si>
  <si>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</si>
  <si>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</si>
  <si>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</si>
  <si>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</si>
  <si>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</si>
  <si>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</si>
  <si>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</si>
  <si>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</si>
  <si>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</si>
  <si>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</si>
  <si>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</si>
  <si>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</si>
  <si>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</si>
  <si>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</si>
  <si>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</si>
  <si>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</si>
  <si>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</si>
  <si>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</si>
  <si>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</si>
  <si>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</si>
  <si>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</si>
  <si>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</si>
  <si>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</si>
  <si>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</si>
  <si>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</si>
  <si>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</si>
  <si>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</si>
  <si>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</si>
  <si>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</si>
  <si>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</si>
  <si>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</si>
  <si>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</si>
  <si>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</si>
  <si>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</si>
  <si>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</si>
  <si>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</si>
  <si>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</si>
  <si>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</si>
  <si>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</si>
  <si>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</si>
  <si>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</si>
  <si>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</si>
  <si>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</si>
  <si>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</si>
  <si>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</si>
  <si>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</si>
  <si>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</si>
  <si>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</si>
  <si>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</si>
  <si>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</si>
  <si>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</si>
  <si>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</si>
  <si>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</si>
  <si>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</si>
  <si>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</si>
  <si>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</si>
  <si>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</si>
  <si>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</si>
  <si>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</si>
  <si>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</si>
  <si>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</si>
  <si>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</si>
  <si>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</si>
  <si>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</si>
  <si>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</si>
  <si>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</si>
  <si>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</si>
  <si>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</si>
  <si>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</si>
  <si>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</si>
  <si>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</si>
  <si>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</si>
  <si>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</si>
  <si>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</si>
  <si>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</si>
  <si>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</si>
  <si>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</si>
  <si>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</si>
  <si>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</si>
  <si>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</si>
  <si>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</si>
  <si>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</si>
  <si>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</si>
  <si>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</si>
  <si>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</si>
  <si>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</si>
  <si>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</si>
  <si>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</si>
  <si>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</si>
  <si>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</si>
  <si>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</si>
  <si>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</si>
  <si>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</si>
  <si>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</si>
  <si>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</si>
  <si>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</si>
  <si>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</si>
  <si>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</si>
  <si>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</si>
  <si>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</si>
  <si>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</si>
  <si>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</si>
  <si>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</si>
  <si>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</si>
  <si>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</si>
  <si>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</si>
  <si>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</si>
  <si>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</si>
  <si>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</si>
  <si>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</si>
  <si>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</si>
  <si>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</si>
  <si>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</si>
  <si>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</si>
  <si>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</si>
  <si>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</si>
  <si>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</si>
  <si>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</si>
  <si>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</si>
  <si>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</si>
  <si>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</si>
  <si>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</si>
  <si>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</si>
  <si>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</si>
  <si>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</si>
  <si>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</si>
  <si>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</si>
  <si>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</si>
  <si>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</si>
  <si>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</si>
  <si>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</si>
  <si>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</si>
  <si>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</si>
  <si>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</si>
  <si>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</si>
  <si>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</si>
  <si>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</si>
  <si>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</si>
  <si>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</si>
  <si>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</si>
  <si>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</si>
  <si>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</si>
  <si>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</si>
  <si>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</si>
  <si>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</si>
  <si>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</si>
  <si>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</si>
  <si>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</si>
  <si>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</si>
  <si>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</si>
  <si>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</si>
  <si>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</si>
  <si>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</si>
  <si>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</si>
  <si>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</si>
  <si>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</si>
  <si>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</si>
  <si>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</si>
  <si>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</si>
  <si>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</si>
  <si>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</si>
  <si>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</si>
  <si>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</si>
  <si>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</si>
  <si>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</si>
  <si>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</si>
  <si>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</si>
  <si>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</si>
  <si>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</si>
  <si>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</si>
  <si>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</si>
  <si>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</si>
  <si>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</si>
  <si>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</si>
  <si>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</si>
  <si>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</si>
  <si>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</si>
  <si>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</si>
  <si>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</si>
  <si>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</si>
  <si>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</si>
  <si>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</si>
  <si>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</si>
  <si>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</si>
  <si>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</si>
  <si>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</si>
  <si>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</si>
  <si>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</si>
  <si>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</si>
  <si>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</si>
  <si>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</si>
  <si>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</si>
  <si>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</si>
  <si>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</si>
  <si>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</si>
  <si>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</si>
  <si>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</si>
  <si>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</si>
  <si>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</si>
  <si>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</si>
  <si>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</si>
  <si>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</si>
  <si>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</si>
  <si>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</si>
  <si>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</si>
  <si>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</si>
  <si>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</si>
  <si>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</si>
  <si>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</si>
  <si>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</si>
  <si>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</si>
  <si>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</si>
  <si>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</si>
  <si>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</si>
  <si>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</si>
  <si>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</si>
  <si>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</si>
  <si>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</si>
  <si>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</si>
  <si>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</si>
  <si>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</si>
  <si>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</si>
  <si>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</si>
  <si>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</si>
  <si>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</si>
  <si>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</si>
  <si>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</si>
  <si>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</si>
  <si>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</si>
  <si>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</si>
  <si>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</si>
  <si>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</si>
  <si>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</si>
  <si>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</si>
  <si>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</si>
  <si>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</si>
  <si>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</si>
  <si>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</si>
  <si>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</si>
  <si>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</si>
  <si>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</si>
  <si>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</si>
  <si>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</si>
  <si>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</si>
  <si>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</si>
  <si>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</si>
  <si>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</si>
  <si>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</si>
  <si>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</si>
  <si>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</si>
  <si>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</si>
  <si>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</si>
  <si>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</si>
  <si>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</si>
  <si>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</si>
  <si>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</si>
  <si>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</si>
  <si>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</si>
  <si>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</si>
  <si>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</si>
  <si>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</si>
  <si>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</si>
  <si>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</si>
  <si>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</si>
  <si>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</si>
  <si>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</si>
  <si>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</si>
  <si>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</si>
  <si>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</si>
  <si>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</si>
  <si>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</si>
  <si>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</si>
  <si>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</si>
  <si>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</si>
  <si>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</si>
  <si>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</si>
  <si>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</si>
  <si>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</si>
  <si>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</si>
  <si>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</si>
  <si>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</si>
  <si>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</si>
  <si>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</si>
  <si>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</si>
  <si>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</si>
  <si>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</si>
  <si>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</si>
  <si>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</si>
  <si>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</si>
  <si>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</si>
  <si>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</si>
  <si>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</si>
  <si>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</si>
  <si>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</si>
  <si>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</si>
  <si>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</si>
  <si>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</si>
  <si>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</si>
  <si>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</si>
  <si>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</si>
  <si>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</si>
  <si>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</si>
  <si>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</si>
  <si>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</si>
  <si>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</si>
  <si>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</si>
  <si>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</si>
  <si>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</si>
  <si>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</si>
  <si>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</si>
  <si>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</si>
  <si>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</si>
  <si>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</si>
  <si>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</si>
  <si>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</si>
  <si>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</si>
  <si>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</si>
  <si>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</si>
  <si>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</si>
  <si>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</si>
  <si>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</si>
  <si>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</si>
  <si>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</si>
  <si>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</si>
  <si>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</si>
  <si>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</si>
  <si>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</si>
  <si>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</si>
  <si>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</si>
  <si>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</si>
  <si>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</si>
  <si>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</si>
  <si>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</si>
  <si>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</si>
  <si>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</si>
  <si>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</si>
  <si>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</si>
  <si>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</si>
  <si>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</si>
  <si>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</si>
  <si>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</si>
  <si>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</si>
  <si>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</si>
  <si>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</si>
  <si>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</si>
  <si>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</si>
  <si>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</si>
  <si>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</si>
  <si>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</si>
  <si>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</si>
  <si>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</si>
  <si>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</si>
  <si>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</si>
  <si>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</si>
  <si>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</si>
  <si>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</si>
  <si>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</si>
  <si>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</si>
  <si>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</si>
  <si>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</si>
  <si>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</si>
  <si>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</si>
  <si>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</si>
  <si>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</si>
  <si>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</si>
  <si>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</si>
  <si>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</si>
  <si>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</si>
  <si>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</si>
  <si>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</si>
  <si>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</si>
  <si>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</si>
  <si>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</si>
  <si>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</si>
  <si>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</si>
  <si>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</si>
  <si>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</si>
  <si>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</si>
  <si>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</si>
  <si>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</si>
  <si>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</si>
  <si>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</si>
  <si>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</si>
  <si>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</si>
  <si>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</si>
  <si>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</si>
  <si>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</si>
  <si>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</si>
  <si>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</si>
  <si>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</si>
  <si>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</si>
  <si>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</si>
  <si>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</si>
  <si>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</si>
  <si>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</si>
  <si>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</si>
  <si>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</si>
  <si>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</si>
  <si>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</si>
  <si>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</si>
  <si>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</si>
  <si>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</si>
  <si>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</si>
  <si>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</si>
  <si>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</si>
  <si>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</si>
  <si>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</si>
  <si>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</si>
  <si>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</si>
  <si>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</si>
  <si>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</si>
  <si>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</si>
  <si>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</si>
  <si>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</si>
  <si>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</si>
  <si>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</si>
  <si>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</si>
  <si>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</si>
  <si>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</si>
  <si>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</si>
  <si>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</si>
  <si>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</si>
  <si>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</si>
  <si>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</si>
  <si>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</si>
  <si>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</si>
  <si>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</si>
  <si>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</si>
  <si>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</si>
  <si>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</si>
  <si>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</si>
  <si>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</si>
  <si>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</si>
  <si>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</si>
  <si>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</si>
  <si>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</si>
  <si>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</si>
  <si>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</si>
  <si>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</si>
  <si>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</si>
  <si>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</si>
  <si>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</si>
  <si>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</si>
  <si>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</si>
  <si>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</si>
  <si>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</si>
  <si>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</si>
  <si>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</si>
  <si>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</si>
  <si>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</si>
  <si>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</si>
  <si>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</si>
  <si>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</si>
  <si>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</si>
  <si>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</si>
  <si>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</si>
  <si>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</si>
  <si>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</si>
  <si>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</si>
  <si>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</si>
  <si>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</si>
  <si>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</si>
  <si>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</si>
  <si>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</si>
  <si>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</si>
  <si>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</si>
  <si>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</si>
  <si>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</si>
  <si>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</si>
  <si>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</si>
  <si>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</si>
  <si>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</si>
  <si>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</si>
  <si>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</si>
  <si>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</si>
  <si>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</si>
  <si>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</si>
  <si>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</si>
  <si>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</si>
  <si>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</si>
  <si>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</si>
  <si>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</si>
  <si>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</si>
  <si>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</si>
  <si>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</si>
  <si>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</si>
  <si>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</si>
  <si>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</si>
  <si>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</si>
  <si>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</si>
  <si>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</si>
  <si>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</si>
  <si>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</si>
  <si>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</si>
  <si>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</si>
  <si>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</si>
  <si>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</si>
  <si>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</si>
  <si>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</si>
  <si>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7001 TINO</t>
  </si>
  <si>
    <t>22721 BROOKS</t>
  </si>
  <si>
    <t>63117 BLACKBURN</t>
  </si>
  <si>
    <t>81670 BILLY</t>
  </si>
  <si>
    <t>81690 MANNES</t>
  </si>
  <si>
    <t>B1557H LORA</t>
  </si>
  <si>
    <t>B166 CLASSIC ROLL UP</t>
  </si>
  <si>
    <t>B1701H SELENA</t>
  </si>
  <si>
    <t>B1703H PORTO</t>
  </si>
  <si>
    <t>B1735H AUDREY</t>
  </si>
  <si>
    <t>B176 GOSSAMER</t>
  </si>
  <si>
    <t>7717105 RAWLINS</t>
  </si>
  <si>
    <t>7034 BLIXEN</t>
  </si>
  <si>
    <t>1365 GRAHAM</t>
  </si>
  <si>
    <t>90109BH KETER</t>
  </si>
  <si>
    <t>22776BH CUBAN</t>
  </si>
  <si>
    <t>81650 SALEM</t>
  </si>
  <si>
    <t>81717BH CRAIG</t>
  </si>
  <si>
    <t>B1815H ELLERY</t>
  </si>
  <si>
    <t>20001BH COLVER</t>
  </si>
  <si>
    <t>7005 CURTIS</t>
  </si>
  <si>
    <t>7021 DARRON</t>
  </si>
  <si>
    <t>7100 RIFF</t>
  </si>
  <si>
    <t>2528005 SARDIS</t>
  </si>
  <si>
    <t>6210505 KENT EF</t>
  </si>
  <si>
    <t>6620505 DUCK</t>
  </si>
  <si>
    <t>7720502 WOOLRICH</t>
  </si>
  <si>
    <t>1362 DALTON</t>
  </si>
  <si>
    <t>81695 MANNESROE</t>
  </si>
  <si>
    <t>81720BH MULLAN</t>
  </si>
  <si>
    <t>81722BH ROKIT</t>
  </si>
  <si>
    <t>81810 WAITS</t>
  </si>
  <si>
    <t>6840101 HATTERAS</t>
  </si>
  <si>
    <t>6840102 HATTERAS EF</t>
  </si>
  <si>
    <t>6840502 HATTERAS</t>
  </si>
  <si>
    <t>6840606 HATTERAS DONEGAL EF</t>
  </si>
  <si>
    <t>7497105 ARMY CAP PIGSKIN</t>
  </si>
  <si>
    <t>22719 CUTLER</t>
  </si>
  <si>
    <t>7720501 BASEBALL EF</t>
  </si>
  <si>
    <t>6840106 HATTERAS</t>
  </si>
  <si>
    <t>6840107 HATTERAS</t>
  </si>
  <si>
    <t>9497206 GLOVES GOAT NAPPA</t>
  </si>
  <si>
    <t>B124 Dunewood Visor</t>
  </si>
  <si>
    <t>7002 FEDORA</t>
  </si>
  <si>
    <t>B1552H JASMINE</t>
  </si>
  <si>
    <t>7720102 BASEBALL CASHMERE</t>
  </si>
  <si>
    <t>2798101 WESTERN WOOLFELT</t>
  </si>
  <si>
    <t>22757BH SALTER</t>
  </si>
  <si>
    <t>22760BH LORING</t>
  </si>
  <si>
    <t>81652 ELLIOTT</t>
  </si>
  <si>
    <t>B1705H MONACO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</si>
  <si>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</si>
  <si>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</si>
  <si>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</si>
  <si>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</si>
  <si>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</si>
  <si>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</si>
  <si>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</si>
  <si>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</si>
  <si>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</si>
  <si>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</si>
  <si>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</si>
  <si>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</si>
  <si>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</si>
  <si>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</si>
  <si>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</si>
  <si>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</si>
  <si>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</si>
  <si>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</si>
  <si>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</si>
  <si>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</si>
  <si>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</si>
  <si>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</si>
  <si>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</si>
  <si>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</si>
  <si>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</si>
  <si>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</si>
  <si>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</si>
  <si>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</si>
  <si>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</si>
  <si>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</si>
  <si>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</si>
  <si>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</si>
  <si>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</si>
  <si>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</si>
  <si>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</si>
  <si>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</si>
  <si>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</si>
  <si>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</si>
  <si>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</si>
  <si>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</si>
  <si>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</si>
  <si>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</si>
  <si>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</si>
  <si>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</si>
  <si>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</si>
  <si>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</si>
  <si>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</si>
  <si>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</si>
  <si>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</si>
  <si>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</si>
  <si>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</si>
  <si>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</si>
  <si>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</si>
  <si>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</si>
  <si>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</si>
  <si>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</si>
  <si>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</si>
  <si>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</si>
  <si>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</si>
  <si>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</si>
  <si>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</si>
  <si>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</si>
  <si>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</si>
  <si>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</si>
  <si>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</si>
  <si>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</si>
  <si>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</si>
  <si>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</si>
  <si>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</si>
  <si>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</si>
  <si>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</si>
  <si>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</si>
  <si>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</si>
  <si>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</si>
  <si>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</si>
  <si>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</si>
  <si>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</si>
  <si>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</si>
  <si>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</si>
  <si>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</si>
  <si>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</si>
  <si>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</si>
  <si>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</si>
  <si>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</si>
  <si>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</si>
  <si>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</si>
  <si>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</si>
  <si>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</si>
  <si>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</si>
  <si>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</si>
  <si>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</si>
  <si>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</si>
  <si>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</si>
  <si>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</si>
  <si>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</si>
  <si>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</si>
  <si>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</si>
  <si>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</si>
  <si>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</si>
  <si>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</si>
  <si>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</si>
  <si>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</si>
  <si>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</si>
  <si>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</si>
  <si>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</si>
  <si>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</si>
  <si>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</si>
  <si>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</si>
  <si>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</si>
  <si>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</si>
  <si>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</si>
  <si>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</si>
  <si>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</si>
  <si>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</si>
  <si>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</si>
  <si>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</si>
  <si>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</si>
  <si>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</si>
  <si>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</si>
  <si>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</si>
  <si>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</si>
  <si>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</si>
  <si>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</si>
  <si>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</si>
  <si>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</si>
  <si>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</si>
  <si>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</si>
  <si>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</si>
  <si>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</si>
  <si>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</si>
  <si>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</si>
  <si>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</si>
  <si>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</si>
  <si>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</si>
  <si>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</si>
  <si>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</si>
  <si>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</si>
  <si>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</si>
  <si>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</si>
  <si>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</si>
  <si>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</si>
  <si>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</si>
  <si>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</si>
  <si>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</si>
  <si>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</si>
  <si>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</si>
  <si>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</si>
  <si>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</si>
  <si>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</si>
  <si>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</si>
  <si>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</si>
  <si>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</si>
  <si>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</si>
  <si>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</si>
  <si>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</si>
  <si>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</si>
  <si>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</si>
  <si>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</si>
  <si>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</si>
  <si>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</si>
  <si>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</si>
  <si>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</si>
  <si>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</si>
  <si>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</si>
  <si>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</si>
  <si>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</si>
  <si>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</si>
  <si>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</si>
  <si>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</si>
  <si>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</si>
  <si>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</si>
  <si>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</si>
  <si>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</si>
  <si>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</si>
  <si>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</si>
  <si>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</si>
  <si>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</si>
  <si>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</si>
  <si>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</si>
  <si>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</si>
  <si>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</si>
  <si>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</si>
  <si>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</si>
  <si>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</si>
  <si>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</si>
  <si>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</si>
  <si>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</si>
  <si>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</si>
  <si>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</si>
  <si>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</si>
  <si>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</si>
  <si>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</si>
  <si>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</si>
  <si>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</si>
  <si>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</si>
  <si>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</si>
  <si>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</si>
  <si>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</si>
  <si>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</si>
  <si>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</si>
  <si>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</si>
  <si>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</si>
  <si>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</si>
  <si>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</si>
  <si>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</si>
  <si>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</si>
  <si>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</si>
  <si>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</si>
  <si>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</si>
  <si>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</si>
  <si>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</si>
  <si>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</si>
  <si>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</si>
  <si>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</si>
  <si>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</si>
  <si>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</si>
  <si>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</si>
  <si>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</si>
  <si>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</si>
  <si>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</si>
  <si>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</si>
  <si>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</si>
  <si>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</si>
  <si>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</si>
  <si>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</si>
  <si>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</si>
  <si>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</si>
  <si>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</si>
  <si>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</si>
  <si>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</si>
  <si>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</si>
  <si>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</si>
  <si>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</si>
  <si>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</si>
  <si>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</si>
  <si>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</si>
  <si>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</si>
  <si>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</si>
  <si>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</si>
  <si>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</si>
  <si>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</si>
  <si>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</si>
  <si>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</si>
  <si>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</si>
  <si>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</si>
  <si>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</si>
  <si>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</si>
  <si>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</si>
  <si>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</si>
  <si>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</si>
  <si>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</si>
  <si>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</si>
  <si>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</si>
  <si>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</si>
  <si>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</si>
  <si>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</si>
  <si>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</si>
  <si>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</si>
  <si>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</si>
  <si>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</si>
  <si>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</si>
  <si>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</si>
  <si>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</si>
  <si>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</si>
  <si>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</si>
  <si>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</si>
  <si>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</si>
  <si>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</si>
  <si>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</si>
  <si>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</si>
  <si>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</si>
  <si>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</si>
  <si>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</si>
  <si>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</si>
  <si>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</si>
  <si>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</si>
  <si>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</si>
  <si>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</si>
  <si>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</si>
  <si>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</si>
  <si>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</si>
  <si>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</si>
  <si>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</si>
  <si>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</si>
  <si>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</si>
  <si>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</si>
  <si>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</si>
  <si>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</si>
  <si>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</si>
  <si>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</si>
  <si>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</si>
  <si>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</si>
  <si>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</si>
  <si>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</si>
  <si>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</si>
  <si>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</si>
  <si>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</si>
  <si>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</si>
  <si>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</si>
  <si>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</si>
  <si>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</si>
  <si>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</si>
  <si>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</si>
  <si>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</si>
  <si>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</si>
  <si>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</si>
  <si>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</si>
  <si>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</si>
  <si>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</si>
  <si>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</si>
  <si>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</si>
  <si>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</si>
  <si>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</si>
  <si>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</si>
  <si>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</si>
  <si>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</si>
  <si>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</si>
  <si>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</si>
  <si>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</si>
  <si>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</si>
  <si>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</si>
  <si>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</si>
  <si>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</si>
  <si>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</si>
  <si>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</si>
  <si>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</si>
  <si>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</si>
  <si>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</si>
  <si>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</si>
  <si>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</si>
  <si>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</si>
  <si>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</si>
  <si>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</si>
  <si>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</si>
  <si>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</si>
  <si>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</si>
  <si>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</si>
  <si>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</si>
  <si>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</si>
  <si>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</si>
  <si>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</si>
  <si>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</si>
  <si>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</si>
  <si>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</si>
  <si>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</si>
  <si>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</si>
  <si>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</si>
  <si>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</si>
  <si>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</si>
  <si>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</si>
  <si>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</si>
  <si>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</si>
  <si>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</si>
  <si>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</si>
  <si>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</si>
  <si>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</si>
  <si>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</si>
  <si>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</si>
  <si>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</si>
  <si>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</si>
  <si>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</si>
  <si>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</si>
  <si>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</si>
  <si>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</si>
  <si>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</si>
  <si>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</si>
  <si>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</si>
  <si>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</si>
  <si>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</si>
  <si>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</si>
  <si>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</si>
  <si>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</si>
  <si>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</si>
  <si>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</si>
  <si>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</si>
  <si>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</si>
  <si>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</si>
  <si>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</si>
  <si>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</si>
  <si>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</si>
  <si>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</si>
  <si>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</si>
  <si>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</si>
  <si>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</si>
  <si>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</si>
  <si>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</si>
  <si>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</si>
  <si>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</si>
  <si>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</si>
  <si>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</si>
  <si>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</si>
  <si>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</si>
  <si>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</si>
  <si>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</si>
  <si>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</si>
  <si>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</si>
  <si>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</si>
  <si>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</si>
  <si>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</si>
  <si>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</si>
  <si>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</si>
  <si>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</si>
  <si>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</si>
  <si>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</si>
  <si>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</si>
  <si>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</si>
  <si>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</si>
  <si>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</si>
  <si>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</si>
  <si>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</si>
  <si>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</si>
  <si>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</si>
  <si>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</si>
  <si>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</si>
  <si>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</si>
  <si>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</si>
  <si>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</si>
  <si>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</si>
  <si>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</si>
  <si>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</si>
  <si>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</si>
  <si>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</si>
  <si>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</si>
  <si>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</si>
  <si>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</si>
  <si>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</si>
  <si>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</si>
  <si>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</si>
  <si>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</si>
  <si>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</si>
  <si>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</si>
  <si>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</si>
  <si>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</si>
  <si>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</si>
  <si>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</si>
  <si>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</si>
  <si>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</si>
  <si>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</si>
  <si>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</si>
  <si>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</si>
  <si>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</si>
  <si>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</si>
  <si>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</si>
  <si>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</si>
  <si>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</si>
  <si>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</si>
  <si>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</si>
  <si>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</si>
  <si>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</si>
  <si>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</si>
  <si>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</si>
  <si>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</si>
  <si>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</si>
  <si>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</si>
  <si>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</si>
  <si>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</si>
  <si>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</si>
  <si>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</si>
  <si>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</si>
  <si>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</si>
  <si>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</si>
  <si>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</si>
  <si>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</si>
  <si>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</si>
  <si>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</si>
  <si>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</si>
  <si>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</si>
  <si>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</si>
  <si>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</si>
  <si>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</si>
  <si>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</si>
  <si>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</si>
  <si>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</si>
  <si>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</si>
  <si>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</si>
  <si>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</si>
  <si>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</si>
  <si>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</si>
  <si>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</si>
  <si>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</si>
  <si>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</si>
  <si>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</si>
  <si>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</si>
  <si>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</si>
  <si>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</si>
  <si>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</si>
  <si>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</si>
  <si>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</si>
  <si>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</si>
  <si>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</si>
  <si>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</si>
  <si>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</si>
  <si>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</si>
  <si>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</si>
  <si>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</si>
  <si>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</si>
  <si>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</si>
  <si>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</si>
  <si>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</si>
  <si>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</si>
  <si>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</si>
  <si>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</si>
  <si>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</si>
  <si>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</si>
  <si>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</si>
  <si>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</si>
  <si>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</si>
  <si>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</si>
  <si>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</si>
  <si>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</si>
  <si>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</si>
  <si>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</si>
  <si>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</si>
  <si>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</si>
  <si>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</si>
  <si>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</si>
  <si>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</si>
  <si>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</si>
  <si>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</si>
  <si>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</si>
  <si>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</si>
  <si>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</si>
  <si>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</si>
  <si>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</si>
  <si>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</si>
  <si>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</si>
  <si>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</si>
  <si>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</si>
  <si>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</si>
  <si>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</si>
  <si>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</si>
  <si>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</si>
  <si>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</si>
  <si>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</si>
  <si>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</si>
  <si>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</si>
  <si>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</si>
  <si>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</si>
  <si>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</si>
  <si>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</si>
  <si>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</si>
  <si>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</si>
  <si>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</si>
  <si>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</si>
  <si>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</si>
  <si>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</si>
  <si>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</si>
  <si>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</si>
  <si>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</si>
  <si>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</si>
  <si>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</si>
  <si>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</si>
  <si>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</si>
  <si>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</si>
  <si>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</si>
  <si>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</si>
  <si>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</si>
  <si>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</si>
  <si>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</si>
  <si>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</si>
  <si>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</si>
  <si>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</si>
  <si>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</si>
  <si>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</si>
  <si>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</si>
  <si>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</si>
  <si>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</si>
  <si>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</si>
  <si>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</si>
  <si>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</si>
  <si>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</si>
  <si>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</si>
  <si>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</si>
  <si>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</si>
  <si>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</si>
  <si>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</si>
  <si>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</si>
  <si>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</si>
  <si>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</si>
  <si>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</si>
  <si>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</si>
  <si>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</si>
  <si>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</si>
  <si>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</si>
  <si>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</si>
  <si>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</si>
  <si>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</si>
  <si>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</si>
  <si>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</si>
  <si>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</si>
  <si>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</si>
  <si>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</si>
  <si>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</si>
  <si>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</si>
  <si>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</si>
  <si>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</si>
  <si>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</si>
  <si>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</si>
  <si>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</si>
  <si>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</si>
  <si>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</si>
  <si>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</si>
  <si>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</si>
  <si>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</si>
  <si>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</si>
  <si>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</si>
  <si>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</si>
  <si>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</si>
  <si>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</si>
  <si>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</si>
  <si>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</si>
  <si>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</si>
  <si>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</si>
  <si>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</si>
  <si>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</si>
  <si>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</si>
  <si>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</si>
  <si>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</si>
  <si>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</si>
  <si>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</si>
  <si>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</si>
  <si>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</si>
  <si>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</si>
  <si>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</si>
  <si>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</si>
  <si>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</si>
  <si>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</si>
  <si>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</si>
  <si>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</si>
  <si>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</si>
  <si>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</si>
  <si>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</si>
  <si>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</si>
  <si>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</si>
  <si>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</si>
  <si>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</si>
  <si>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</si>
  <si>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</si>
  <si>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</si>
  <si>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</si>
  <si>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</si>
  <si>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</si>
  <si>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</si>
  <si>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</si>
  <si>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</si>
  <si>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</si>
  <si>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</si>
  <si>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</si>
  <si>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</si>
  <si>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</si>
  <si>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</si>
  <si>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</si>
  <si>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</si>
  <si>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</si>
  <si>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</si>
  <si>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</si>
  <si>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</si>
  <si>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</si>
  <si>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</si>
  <si>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</si>
  <si>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</si>
  <si>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</si>
  <si>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</si>
  <si>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</si>
  <si>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</si>
  <si>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</si>
  <si>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</si>
  <si>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</si>
  <si>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</si>
  <si>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</si>
  <si>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</si>
  <si>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</si>
  <si>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</si>
  <si>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</si>
  <si>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</si>
  <si>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</si>
  <si>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</si>
  <si>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</si>
  <si>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</si>
  <si>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</si>
  <si>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</si>
  <si>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</si>
  <si>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</si>
  <si>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</si>
  <si>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</si>
  <si>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</si>
  <si>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</si>
  <si>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</si>
  <si>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</si>
  <si>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</si>
  <si>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</si>
  <si>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</si>
  <si>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</si>
  <si>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</si>
  <si>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</si>
  <si>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</si>
  <si>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</si>
  <si>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</si>
  <si>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</si>
  <si>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</si>
  <si>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</si>
  <si>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</si>
  <si>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</si>
  <si>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</si>
  <si>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</si>
  <si>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</si>
  <si>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</si>
  <si>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</si>
  <si>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</si>
  <si>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</si>
  <si>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</si>
  <si>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</si>
  <si>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</si>
  <si>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</si>
  <si>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</si>
  <si>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</si>
  <si>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</si>
  <si>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</si>
  <si>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</si>
  <si>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</si>
  <si>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</si>
  <si>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</si>
  <si>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</si>
  <si>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</si>
  <si>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</si>
  <si>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</si>
  <si>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</si>
  <si>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</si>
  <si>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</si>
  <si>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</si>
  <si>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</si>
  <si>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</si>
  <si>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</si>
  <si>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</si>
  <si>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</si>
  <si>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</si>
  <si>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</si>
  <si>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</si>
  <si>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</si>
  <si>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</si>
  <si>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</si>
  <si>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</si>
  <si>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</si>
  <si>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</si>
  <si>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</si>
  <si>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</si>
  <si>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</si>
  <si>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</si>
  <si>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</si>
  <si>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</si>
  <si>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</si>
  <si>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</si>
  <si>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</si>
  <si>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</si>
  <si>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</si>
  <si>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</si>
  <si>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</si>
  <si>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</si>
  <si>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</si>
  <si>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</si>
  <si>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</si>
  <si>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</si>
  <si>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</si>
  <si>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</si>
  <si>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</si>
  <si>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</si>
  <si>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</si>
  <si>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</si>
  <si>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</si>
  <si>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</si>
  <si>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</si>
  <si>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</si>
  <si>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</si>
  <si>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</si>
  <si>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</si>
  <si>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</si>
  <si>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</si>
  <si>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</si>
  <si>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</si>
  <si>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</si>
  <si>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</si>
  <si>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</si>
  <si>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</si>
  <si>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</si>
  <si>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</si>
  <si>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</si>
  <si>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</si>
  <si>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</si>
  <si>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</si>
  <si>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</si>
  <si>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</si>
  <si>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</si>
  <si>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</si>
  <si>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</si>
  <si>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</si>
  <si>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</si>
  <si>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</si>
  <si>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</si>
  <si>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</si>
  <si>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</si>
  <si>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</si>
  <si>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</si>
  <si>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</si>
  <si>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</si>
  <si>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</si>
  <si>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</si>
  <si>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</si>
  <si>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</si>
  <si>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</si>
  <si>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</si>
  <si>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</si>
  <si>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</si>
  <si>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</si>
  <si>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</si>
  <si>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</si>
  <si>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</si>
  <si>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</si>
  <si>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</si>
  <si>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</si>
  <si>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</si>
  <si>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</si>
  <si>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</si>
  <si>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</si>
  <si>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</si>
  <si>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</si>
  <si>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</si>
  <si>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</si>
  <si>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</si>
  <si>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</si>
  <si>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</si>
  <si>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</si>
  <si>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</si>
  <si>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</si>
  <si>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</si>
  <si>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</si>
  <si>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</si>
  <si>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</si>
  <si>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</si>
  <si>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</si>
  <si>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</si>
  <si>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</si>
  <si>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</si>
  <si>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</si>
  <si>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</si>
  <si>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</si>
  <si>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</si>
  <si>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</si>
  <si>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</si>
  <si>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</si>
  <si>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</si>
  <si>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</si>
  <si>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</si>
  <si>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</si>
  <si>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</si>
  <si>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</si>
  <si>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</si>
  <si>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</si>
  <si>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</si>
  <si>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</si>
  <si>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</si>
  <si>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</si>
  <si>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</si>
  <si>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</si>
  <si>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</si>
  <si>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</si>
  <si>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</si>
  <si>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</si>
  <si>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</si>
  <si>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</si>
  <si>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</si>
  <si>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</si>
  <si>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</si>
  <si>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</si>
  <si>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</si>
  <si>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</si>
  <si>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</si>
  <si>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</si>
  <si>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</si>
  <si>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</si>
  <si>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</si>
  <si>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</si>
  <si>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</si>
  <si>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</si>
  <si>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</si>
  <si>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</si>
  <si>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</si>
  <si>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</si>
  <si>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</si>
  <si>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</si>
  <si>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</si>
  <si>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</si>
  <si>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</si>
  <si>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</si>
  <si>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</si>
  <si>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</si>
  <si>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</si>
  <si>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</si>
  <si>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</si>
  <si>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</si>
  <si>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</si>
  <si>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</si>
  <si>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</si>
  <si>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</si>
  <si>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</si>
  <si>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</si>
  <si>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</si>
  <si>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</si>
  <si>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</si>
  <si>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</si>
  <si>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</si>
  <si>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</si>
  <si>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</si>
  <si>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</si>
  <si>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</si>
  <si>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</si>
  <si>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</si>
  <si>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</si>
  <si>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</si>
  <si>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</si>
  <si>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</si>
  <si>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</si>
  <si>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</si>
  <si>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</si>
  <si>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</si>
  <si>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</si>
  <si>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</si>
  <si>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</si>
  <si>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</si>
  <si>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</si>
  <si>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</si>
  <si>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</si>
  <si>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</si>
  <si>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</si>
  <si>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</si>
  <si>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</si>
  <si>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</si>
  <si>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</si>
  <si>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</si>
  <si>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</si>
  <si>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</si>
  <si>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</si>
  <si>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</si>
  <si>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</si>
  <si>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</si>
  <si>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</si>
  <si>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</si>
  <si>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</si>
  <si>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</si>
  <si>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</si>
  <si>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</si>
  <si>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</si>
  <si>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</si>
  <si>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</si>
  <si>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</si>
  <si>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</si>
  <si>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</si>
  <si>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</si>
  <si>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</si>
  <si>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</si>
  <si>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</si>
  <si>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</si>
  <si>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</si>
  <si>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</si>
  <si>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</si>
  <si>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</si>
  <si>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</si>
  <si>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</si>
  <si>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</si>
  <si>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</si>
  <si>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</si>
  <si>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</si>
  <si>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</si>
  <si>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</si>
  <si>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</si>
  <si>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</si>
  <si>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</si>
  <si>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</si>
  <si>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</si>
  <si>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</si>
  <si>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</si>
  <si>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</si>
  <si>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</si>
  <si>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</si>
  <si>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</si>
  <si>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</si>
  <si>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</si>
  <si>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</si>
  <si>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</si>
  <si>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</si>
  <si>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</si>
  <si>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</si>
  <si>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</si>
  <si>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</si>
  <si>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</si>
  <si>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</si>
  <si>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</si>
  <si>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</si>
  <si>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</si>
  <si>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</si>
  <si>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</si>
  <si>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</si>
  <si>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</si>
  <si>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</si>
  <si>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</si>
  <si>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</si>
  <si>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</si>
  <si>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</si>
  <si>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</si>
  <si>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</si>
  <si>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</si>
  <si>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</si>
  <si>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</si>
  <si>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</si>
  <si>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</si>
  <si>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</si>
  <si>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</si>
  <si>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</si>
  <si>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</si>
  <si>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</si>
  <si>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</si>
  <si>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</si>
  <si>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</si>
  <si>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</si>
  <si>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</si>
  <si>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</si>
  <si>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</si>
  <si>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</si>
  <si>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</si>
  <si>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</si>
  <si>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</si>
  <si>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</si>
  <si>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</si>
  <si>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</si>
  <si>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</si>
  <si>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</si>
  <si>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</si>
  <si>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</si>
  <si>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</si>
  <si>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</si>
  <si>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</si>
  <si>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</si>
  <si>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</si>
  <si>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</si>
  <si>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</si>
  <si>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</si>
  <si>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</si>
  <si>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</si>
  <si>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</si>
  <si>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</si>
  <si>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</si>
  <si>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</si>
  <si>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</si>
  <si>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</si>
  <si>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</si>
  <si>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</si>
  <si>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</si>
  <si>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</si>
  <si>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</si>
  <si>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</si>
  <si>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</si>
  <si>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</si>
  <si>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</si>
  <si>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</si>
  <si>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</si>
  <si>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</si>
  <si>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</si>
  <si>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</si>
  <si>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</si>
  <si>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</si>
  <si>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</si>
  <si>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</si>
  <si>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</si>
  <si>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</si>
  <si>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</si>
  <si>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</si>
  <si>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</si>
  <si>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</si>
  <si>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</si>
  <si>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</si>
  <si>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</si>
  <si>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</si>
  <si>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</si>
  <si>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</si>
  <si>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</si>
  <si>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</si>
  <si>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</si>
  <si>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</si>
  <si>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</si>
  <si>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</si>
  <si>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</si>
  <si>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</si>
  <si>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</si>
  <si>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</si>
  <si>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</si>
  <si>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</si>
  <si>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</si>
  <si>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</si>
  <si>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</si>
  <si>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</si>
  <si>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</si>
  <si>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</si>
  <si>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</si>
  <si>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</si>
  <si>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</si>
  <si>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</si>
  <si>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</si>
  <si>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</si>
  <si>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</si>
  <si>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</si>
  <si>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</si>
  <si>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</si>
  <si>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</si>
  <si>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</si>
  <si>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</si>
  <si>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</si>
  <si>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</si>
  <si>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</si>
  <si>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</si>
  <si>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</si>
  <si>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</si>
  <si>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</si>
  <si>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</si>
  <si>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</si>
  <si>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</si>
  <si>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</si>
  <si>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</si>
  <si>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</si>
  <si>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</si>
  <si>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</si>
  <si>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</si>
  <si>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</si>
  <si>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</si>
  <si>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</si>
  <si>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</si>
  <si>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</si>
  <si>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</si>
  <si>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</si>
  <si>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</si>
  <si>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</si>
  <si>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</si>
  <si>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</si>
  <si>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</si>
  <si>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</si>
  <si>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</si>
  <si>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</si>
  <si>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</si>
  <si>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</si>
  <si>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</si>
  <si>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</si>
  <si>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</si>
  <si>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</si>
  <si>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</si>
  <si>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</si>
  <si>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</si>
  <si>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</si>
  <si>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</si>
  <si>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</si>
  <si>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</si>
  <si>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</si>
  <si>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</si>
  <si>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</si>
  <si>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</si>
  <si>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</si>
  <si>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</si>
  <si>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</si>
  <si>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</si>
  <si>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</si>
  <si>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</si>
  <si>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</si>
  <si>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</si>
  <si>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</si>
  <si>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</si>
  <si>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</si>
  <si>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</si>
  <si>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</si>
  <si>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</si>
  <si>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</si>
  <si>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</si>
  <si>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</si>
  <si>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</si>
  <si>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</si>
  <si>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</si>
  <si>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</si>
  <si>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</si>
  <si>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</si>
  <si>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</si>
  <si>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</si>
  <si>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</si>
  <si>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</si>
  <si>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</si>
  <si>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</si>
  <si>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</si>
  <si>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</si>
  <si>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</si>
  <si>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</si>
  <si>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</si>
  <si>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</si>
  <si>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</si>
  <si>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</si>
  <si>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</si>
  <si>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</si>
  <si>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</si>
  <si>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</si>
  <si>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</si>
  <si>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</si>
  <si>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</si>
  <si>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</si>
  <si>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</si>
  <si>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</si>
  <si>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</si>
  <si>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</si>
  <si>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</si>
  <si>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</si>
  <si>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</si>
  <si>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</si>
  <si>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</si>
  <si>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</si>
  <si>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</si>
  <si>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</si>
  <si>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</si>
  <si>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</si>
  <si>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</si>
  <si>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</si>
  <si>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</si>
  <si>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</si>
  <si>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</si>
  <si>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</si>
  <si>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</si>
  <si>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</si>
  <si>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</si>
  <si>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</si>
  <si>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</si>
  <si>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</si>
  <si>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</si>
  <si>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</si>
  <si>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</si>
  <si>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</si>
  <si>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</si>
  <si>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</si>
  <si>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</si>
  <si>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</si>
  <si>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</si>
  <si>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</si>
  <si>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</si>
  <si>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</si>
  <si>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</si>
  <si>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</si>
  <si>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</si>
  <si>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</si>
  <si>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</si>
  <si>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</si>
  <si>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</si>
  <si>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</si>
  <si>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</si>
  <si>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</si>
  <si>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</si>
  <si>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</si>
  <si>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</si>
  <si>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</si>
  <si>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</si>
  <si>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</si>
  <si>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</si>
  <si>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</si>
  <si>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</si>
  <si>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</si>
  <si>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</si>
  <si>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</si>
  <si>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</si>
  <si>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</si>
  <si>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</si>
  <si>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</si>
  <si>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</si>
  <si>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</si>
  <si>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</si>
  <si>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</si>
  <si>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</si>
  <si>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</si>
  <si>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</si>
  <si>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</si>
  <si>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</si>
  <si>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</si>
  <si>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</si>
  <si>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</si>
  <si>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</si>
  <si>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</si>
  <si>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</si>
  <si>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</si>
  <si>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</si>
  <si>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</si>
  <si>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</si>
  <si>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</si>
  <si>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</si>
  <si>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</si>
  <si>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</si>
  <si>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</si>
  <si>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</si>
  <si>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</si>
  <si>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</si>
  <si>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</si>
  <si>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</si>
  <si>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</si>
  <si>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</si>
  <si>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</si>
  <si>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</si>
  <si>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</si>
  <si>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</si>
  <si>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</si>
  <si>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</si>
  <si>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</si>
  <si>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</si>
  <si>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</si>
  <si>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</si>
  <si>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</si>
  <si>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</si>
  <si>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</si>
  <si>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</si>
  <si>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</si>
  <si>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</si>
  <si>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</si>
  <si>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</si>
  <si>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</si>
  <si>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</si>
  <si>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</si>
  <si>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</si>
  <si>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</si>
  <si>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</si>
  <si>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</si>
  <si>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</si>
  <si>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</si>
  <si>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</si>
  <si>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</si>
  <si>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</si>
  <si>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</si>
  <si>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</si>
  <si>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</si>
  <si>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</si>
  <si>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</si>
  <si>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</si>
  <si>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</si>
  <si>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</si>
  <si>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</si>
  <si>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</si>
  <si>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</si>
  <si>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</si>
  <si>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</si>
  <si>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</si>
  <si>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</si>
  <si>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</si>
  <si>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</si>
  <si>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</si>
  <si>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</si>
  <si>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</si>
  <si>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</si>
  <si>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</si>
  <si>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</si>
  <si>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</si>
  <si>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</si>
  <si>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</si>
  <si>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</si>
  <si>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</si>
  <si>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</si>
  <si>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</si>
  <si>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</si>
  <si>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</si>
  <si>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</si>
  <si>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</si>
  <si>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</si>
  <si>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</si>
  <si>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</si>
  <si>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</si>
  <si>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</si>
  <si>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</si>
  <si>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</si>
  <si>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</si>
  <si>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</si>
  <si>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</si>
  <si>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</si>
  <si>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</si>
  <si>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</si>
  <si>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</si>
  <si>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</si>
  <si>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</si>
  <si>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</si>
  <si>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</si>
  <si>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</si>
  <si>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</si>
  <si>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</si>
  <si>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</si>
  <si>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</si>
  <si>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</si>
  <si>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</si>
  <si>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</si>
  <si>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</si>
  <si>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</si>
  <si>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</si>
  <si>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</si>
  <si>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</si>
  <si>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</si>
  <si>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</si>
  <si>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</si>
  <si>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</si>
  <si>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</si>
  <si>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</si>
  <si>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</si>
  <si>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</si>
  <si>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</si>
  <si>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</si>
  <si>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</si>
  <si>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</si>
  <si>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</si>
  <si>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</si>
  <si>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</si>
  <si>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</si>
  <si>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</si>
  <si>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</si>
  <si>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</si>
  <si>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</si>
  <si>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</si>
  <si>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</si>
  <si>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</si>
  <si>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</si>
  <si>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</si>
  <si>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</si>
  <si>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</si>
  <si>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</si>
  <si>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</si>
  <si>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</si>
  <si>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</si>
  <si>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</si>
  <si>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</si>
  <si>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</si>
  <si>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</si>
  <si>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</si>
  <si>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</si>
  <si>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</si>
  <si>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</si>
  <si>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</si>
  <si>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</si>
  <si>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</si>
  <si>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</si>
  <si>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</si>
  <si>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</si>
  <si>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</si>
  <si>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</si>
  <si>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</si>
  <si>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</si>
  <si>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</si>
  <si>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</si>
  <si>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</si>
  <si>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</si>
  <si>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</si>
  <si>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</si>
  <si>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</si>
  <si>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</si>
  <si>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</si>
  <si>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</si>
  <si>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</si>
  <si>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</si>
  <si>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</si>
  <si>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</si>
  <si>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</si>
  <si>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</si>
  <si>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</si>
  <si>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</si>
  <si>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</si>
  <si>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</si>
  <si>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</si>
  <si>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</si>
  <si>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</si>
  <si>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</si>
  <si>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</si>
  <si>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</si>
  <si>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</si>
  <si>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</si>
  <si>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</si>
  <si>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</si>
  <si>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</si>
  <si>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</si>
  <si>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</si>
  <si>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</si>
  <si>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</si>
  <si>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</si>
  <si>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</si>
  <si>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</si>
  <si>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</si>
  <si>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</si>
  <si>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</si>
  <si>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</si>
  <si>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</si>
  <si>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</si>
  <si>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</si>
  <si>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</si>
  <si>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</si>
  <si>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</si>
  <si>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</si>
  <si>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</si>
  <si>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</si>
  <si>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</si>
  <si>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</si>
  <si>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</si>
  <si>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</si>
  <si>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</si>
  <si>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</si>
  <si>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</si>
  <si>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</si>
  <si>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</si>
  <si>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</si>
  <si>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</si>
  <si>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</si>
  <si>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</si>
  <si>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</si>
  <si>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</si>
  <si>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</si>
  <si>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</si>
  <si>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</si>
  <si>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</si>
  <si>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</si>
  <si>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</si>
  <si>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</si>
  <si>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</si>
  <si>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</si>
  <si>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</si>
  <si>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</si>
  <si>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</si>
  <si>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</si>
  <si>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</si>
  <si>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</si>
  <si>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</si>
  <si>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</si>
  <si>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</si>
  <si>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</si>
  <si>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</si>
  <si>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</si>
  <si>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</si>
  <si>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</si>
  <si>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</si>
  <si>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</si>
  <si>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</si>
  <si>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</si>
  <si>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</si>
  <si>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</si>
  <si>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</si>
  <si>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</si>
  <si>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</si>
  <si>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</si>
  <si>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</si>
  <si>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</si>
  <si>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</si>
  <si>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</si>
  <si>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</si>
  <si>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</si>
  <si>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</si>
  <si>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</si>
  <si>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</si>
  <si>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</si>
  <si>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</si>
  <si>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</si>
  <si>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</si>
  <si>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</si>
  <si>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</si>
  <si>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</si>
  <si>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</si>
  <si>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</si>
  <si>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</si>
  <si>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</si>
  <si>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</si>
  <si>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</si>
  <si>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</si>
  <si>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</si>
  <si>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</si>
  <si>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</si>
  <si>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</si>
  <si>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</si>
  <si>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</si>
  <si>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</si>
  <si>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</si>
  <si>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</si>
  <si>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</si>
  <si>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</si>
  <si>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</si>
  <si>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</si>
  <si>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</si>
  <si>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</si>
  <si>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</si>
  <si>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</si>
  <si>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</si>
  <si>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</si>
  <si>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</si>
  <si>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</si>
  <si>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</si>
  <si>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</si>
  <si>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</si>
  <si>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</si>
  <si>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</si>
  <si>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</si>
  <si>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</si>
  <si>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</si>
  <si>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</si>
  <si>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</si>
  <si>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</si>
  <si>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</si>
  <si>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</si>
  <si>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</si>
  <si>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</si>
  <si>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</si>
  <si>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</si>
  <si>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</si>
  <si>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</si>
  <si>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</si>
  <si>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</si>
  <si>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</si>
  <si>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</si>
  <si>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</si>
  <si>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</si>
  <si>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</si>
  <si>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</si>
  <si>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</si>
  <si>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</si>
  <si>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</si>
  <si>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</si>
  <si>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</si>
  <si>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</si>
  <si>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</si>
  <si>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</si>
  <si>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</si>
  <si>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</si>
  <si>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</si>
  <si>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</si>
  <si>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</si>
  <si>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</si>
  <si>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</si>
  <si>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</si>
  <si>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</si>
  <si>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</si>
  <si>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</si>
  <si>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</si>
  <si>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</si>
  <si>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</si>
  <si>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</si>
  <si>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</si>
  <si>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</si>
  <si>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</si>
  <si>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</si>
  <si>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</si>
  <si>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</si>
  <si>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</si>
  <si>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</si>
  <si>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</si>
  <si>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</si>
  <si>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</si>
  <si>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</si>
  <si>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</si>
  <si>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</si>
  <si>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</si>
  <si>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</si>
  <si>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</si>
  <si>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</si>
  <si>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</si>
  <si>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</si>
  <si>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</si>
  <si>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</si>
  <si>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</si>
  <si>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</si>
  <si>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</si>
  <si>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</si>
  <si>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</si>
  <si>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</si>
  <si>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</si>
  <si>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</si>
  <si>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</si>
  <si>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</si>
  <si>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</si>
  <si>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</si>
  <si>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</si>
  <si>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</si>
  <si>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</si>
  <si>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</si>
  <si>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</si>
  <si>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</si>
  <si>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</si>
  <si>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</si>
  <si>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</si>
  <si>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</si>
  <si>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</si>
  <si>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</si>
  <si>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</si>
  <si>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</si>
  <si>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</si>
  <si>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</si>
  <si>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</si>
  <si>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</si>
  <si>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</si>
  <si>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</si>
  <si>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</si>
  <si>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</si>
  <si>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</si>
  <si>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</si>
  <si>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</si>
  <si>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</si>
  <si>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</si>
  <si>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</si>
  <si>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</si>
  <si>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</si>
  <si>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</si>
  <si>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</si>
  <si>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</si>
  <si>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</si>
  <si>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</si>
  <si>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</si>
  <si>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</si>
  <si>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</si>
  <si>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</si>
  <si>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</si>
  <si>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</si>
  <si>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</si>
  <si>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</si>
  <si>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</si>
  <si>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</si>
  <si>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</si>
  <si>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</si>
  <si>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</si>
  <si>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</si>
  <si>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</si>
  <si>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</si>
  <si>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</si>
  <si>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</si>
  <si>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</si>
  <si>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</si>
  <si>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</si>
  <si>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</si>
  <si>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</si>
  <si>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</si>
  <si>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</si>
  <si>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</si>
  <si>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</si>
  <si>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</si>
  <si>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</si>
  <si>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</si>
  <si>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</si>
  <si>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</si>
  <si>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</si>
  <si>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</si>
  <si>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</si>
  <si>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</si>
  <si>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</si>
  <si>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</si>
  <si>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</si>
  <si>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</si>
  <si>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</si>
  <si>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</si>
  <si>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</si>
  <si>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</si>
  <si>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</si>
  <si>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</si>
  <si>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</si>
  <si>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</si>
  <si>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</si>
  <si>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</si>
  <si>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</si>
  <si>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</si>
  <si>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</si>
  <si>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</si>
  <si>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</si>
  <si>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</si>
  <si>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</si>
  <si>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</si>
  <si>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</si>
  <si>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</si>
  <si>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</si>
  <si>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</si>
  <si>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</si>
  <si>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</si>
  <si>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</si>
  <si>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</si>
  <si>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</si>
  <si>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</si>
  <si>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</si>
  <si>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</si>
  <si>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</si>
  <si>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</si>
  <si>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</si>
  <si>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</si>
  <si>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</si>
  <si>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</si>
  <si>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</si>
  <si>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</si>
  <si>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</si>
  <si>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</si>
  <si>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</si>
  <si>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</si>
  <si>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</si>
  <si>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</si>
  <si>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</si>
  <si>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</si>
  <si>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</si>
  <si>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</si>
  <si>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</si>
  <si>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</si>
  <si>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</si>
  <si>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</si>
  <si>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</si>
  <si>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</si>
  <si>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</si>
  <si>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</si>
  <si>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</si>
  <si>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</si>
  <si>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</si>
  <si>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</si>
  <si>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</si>
  <si>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</si>
  <si>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</si>
  <si>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</si>
  <si>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</si>
  <si>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</si>
  <si>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</si>
  <si>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</si>
  <si>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</si>
  <si>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</si>
  <si>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</si>
  <si>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</si>
  <si>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</si>
  <si>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</si>
  <si>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</si>
  <si>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</si>
  <si>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</si>
  <si>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</si>
  <si>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</si>
  <si>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</si>
  <si>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</si>
  <si>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</si>
  <si>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</si>
  <si>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</si>
  <si>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</si>
  <si>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</si>
  <si>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</si>
  <si>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</si>
  <si>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</si>
  <si>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</si>
  <si>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</si>
  <si>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</si>
  <si>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</si>
  <si>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</si>
  <si>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</si>
  <si>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</si>
  <si>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</si>
  <si>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</si>
  <si>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</si>
  <si>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</si>
  <si>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</si>
  <si>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</si>
  <si>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</si>
  <si>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</si>
  <si>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</si>
  <si>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</si>
  <si>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</si>
  <si>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</si>
  <si>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</si>
  <si>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</si>
  <si>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</si>
  <si>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</si>
  <si>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</si>
  <si>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</si>
  <si>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</si>
  <si>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</si>
  <si>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</si>
  <si>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</si>
  <si>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</si>
  <si>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</si>
  <si>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</si>
  <si>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</si>
  <si>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</si>
  <si>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</si>
  <si>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</si>
  <si>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</si>
  <si>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</si>
  <si>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</si>
  <si>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</si>
  <si>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</si>
  <si>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</si>
  <si>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</si>
  <si>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</si>
  <si>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</si>
  <si>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</si>
  <si>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</si>
  <si>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</si>
  <si>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</si>
  <si>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</si>
  <si>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</si>
  <si>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</si>
  <si>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</si>
  <si>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</si>
  <si>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</si>
  <si>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</si>
  <si>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</si>
  <si>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</si>
  <si>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</si>
  <si>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</si>
  <si>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</si>
  <si>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</si>
  <si>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</si>
  <si>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</si>
  <si>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</si>
  <si>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</si>
  <si>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</si>
  <si>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</si>
  <si>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</si>
  <si>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</si>
  <si>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</si>
  <si>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</si>
  <si>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</si>
  <si>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</si>
  <si>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</si>
  <si>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</si>
  <si>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</si>
  <si>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</si>
  <si>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</si>
  <si>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</si>
  <si>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</si>
  <si>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</si>
  <si>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</si>
  <si>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</si>
  <si>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</si>
  <si>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</si>
  <si>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</si>
  <si>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</si>
  <si>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</si>
  <si>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</si>
  <si>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</si>
  <si>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</si>
  <si>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</si>
  <si>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</si>
  <si>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</si>
  <si>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</si>
  <si>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</si>
  <si>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</si>
  <si>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</si>
  <si>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</si>
  <si>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</si>
  <si>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</si>
  <si>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</si>
  <si>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</si>
  <si>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</si>
  <si>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</si>
  <si>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</si>
  <si>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</si>
  <si>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</si>
  <si>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</si>
  <si>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</si>
  <si>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</si>
  <si>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</si>
  <si>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</si>
  <si>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</si>
  <si>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</si>
  <si>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</si>
  <si>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</si>
  <si>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</si>
  <si>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</si>
  <si>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</si>
  <si>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</si>
  <si>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</si>
  <si>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</si>
  <si>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</si>
  <si>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</si>
  <si>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</si>
  <si>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</si>
  <si>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</si>
  <si>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</si>
  <si>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</si>
  <si>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</si>
  <si>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</si>
  <si>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</si>
  <si>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</si>
  <si>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</si>
  <si>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</si>
  <si>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</si>
  <si>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</si>
  <si>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</si>
  <si>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</si>
  <si>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</si>
  <si>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</si>
  <si>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</si>
  <si>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</si>
  <si>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</si>
  <si>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</si>
  <si>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</si>
  <si>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</si>
  <si>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</si>
  <si>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</si>
  <si>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</si>
  <si>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</si>
  <si>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</si>
  <si>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</si>
  <si>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</si>
  <si>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</si>
  <si>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</si>
  <si>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</si>
  <si>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</si>
  <si>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</si>
  <si>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</si>
  <si>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</si>
  <si>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</si>
  <si>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</si>
  <si>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</si>
  <si>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</si>
  <si>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</si>
  <si>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</si>
  <si>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</si>
  <si>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</si>
  <si>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</si>
  <si>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</si>
  <si>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</si>
  <si>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</si>
  <si>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</si>
  <si>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</si>
  <si>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</si>
  <si>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</si>
  <si>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</si>
  <si>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</si>
  <si>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</si>
  <si>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</si>
  <si>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</si>
  <si>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</si>
  <si>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</si>
  <si>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</si>
  <si>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</si>
  <si>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</si>
  <si>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</si>
  <si>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</si>
  <si>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</si>
  <si>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</si>
  <si>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</si>
  <si>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</si>
  <si>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</si>
  <si>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</si>
  <si>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</si>
  <si>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</si>
  <si>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</si>
  <si>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</si>
  <si>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</si>
  <si>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</si>
  <si>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</si>
  <si>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</si>
  <si>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</si>
  <si>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</si>
  <si>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</si>
  <si>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</si>
  <si>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</si>
  <si>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</si>
  <si>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</si>
  <si>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</si>
  <si>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</si>
  <si>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</si>
  <si>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</si>
  <si>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</si>
  <si>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</si>
  <si>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</si>
  <si>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</si>
  <si>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</si>
  <si>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</si>
  <si>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</si>
  <si>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</si>
  <si>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</si>
  <si>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</si>
  <si>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</si>
  <si>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</si>
  <si>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</si>
  <si>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</si>
  <si>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</si>
  <si>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</si>
  <si>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</si>
  <si>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</si>
  <si>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</si>
  <si>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</si>
  <si>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</si>
  <si>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</si>
  <si>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</si>
  <si>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</si>
  <si>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</si>
  <si>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</si>
  <si>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</si>
  <si>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</si>
  <si>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</si>
  <si>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</si>
  <si>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</si>
  <si>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</si>
  <si>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</si>
  <si>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</si>
  <si>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</si>
  <si>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</si>
  <si>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</si>
  <si>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</si>
  <si>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</si>
  <si>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</si>
  <si>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</si>
  <si>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</si>
  <si>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</si>
  <si>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</si>
  <si>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</si>
  <si>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</si>
  <si>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</si>
  <si>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</si>
  <si>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</si>
  <si>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</si>
  <si>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</si>
  <si>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</si>
  <si>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</si>
  <si>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</si>
  <si>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</si>
  <si>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</si>
  <si>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</si>
  <si>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</si>
  <si>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</si>
  <si>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</si>
  <si>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</si>
  <si>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</si>
  <si>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</si>
  <si>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</si>
  <si>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</si>
  <si>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</si>
  <si>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</si>
  <si>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</si>
  <si>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</si>
  <si>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</si>
  <si>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</si>
  <si>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</si>
  <si>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</si>
  <si>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</si>
  <si>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</si>
  <si>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</si>
  <si>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</si>
  <si>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</si>
  <si>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</si>
  <si>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</si>
  <si>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</si>
  <si>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</si>
  <si>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</si>
  <si>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</si>
  <si>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</si>
  <si>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</si>
  <si>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</si>
  <si>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</si>
  <si>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</si>
  <si>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</si>
  <si>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</si>
  <si>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</si>
  <si>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</si>
  <si>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</si>
  <si>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</si>
  <si>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</si>
  <si>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</si>
  <si>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</si>
  <si>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</si>
  <si>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</si>
  <si>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</si>
  <si>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</si>
  <si>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</si>
  <si>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</si>
  <si>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</si>
  <si>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</si>
  <si>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</si>
  <si>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</si>
  <si>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</si>
  <si>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</si>
  <si>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</si>
  <si>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</si>
  <si>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</si>
  <si>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</si>
  <si>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</si>
  <si>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</si>
  <si>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</si>
  <si>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</si>
  <si>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</si>
  <si>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</si>
  <si>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</si>
  <si>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</si>
  <si>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</si>
  <si>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</si>
  <si>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</si>
  <si>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</si>
  <si>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</si>
  <si>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</si>
  <si>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</si>
  <si>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</si>
  <si>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</si>
  <si>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</si>
  <si>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</si>
  <si>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</si>
  <si>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</si>
  <si>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</si>
  <si>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</si>
  <si>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</si>
  <si>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</si>
  <si>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</si>
  <si>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</si>
  <si>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</si>
  <si>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</si>
  <si>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</si>
  <si>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</si>
  <si>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</si>
  <si>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</si>
  <si>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</si>
  <si>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</si>
  <si>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</si>
  <si>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</si>
  <si>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</si>
  <si>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</si>
  <si>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</si>
  <si>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</si>
  <si>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</si>
  <si>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</si>
  <si>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</si>
  <si>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</si>
  <si>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</si>
  <si>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</si>
  <si>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</si>
  <si>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</si>
  <si>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</si>
  <si>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</si>
  <si>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</si>
  <si>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</si>
  <si>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</si>
  <si>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</si>
  <si>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</si>
  <si>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</si>
  <si>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</si>
  <si>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</si>
  <si>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</si>
  <si>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</si>
  <si>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</si>
  <si>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</si>
  <si>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</si>
  <si>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</si>
  <si>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</si>
  <si>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</si>
  <si>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</si>
  <si>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</si>
  <si>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</si>
  <si>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</si>
  <si>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</si>
  <si>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</si>
  <si>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</si>
  <si>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</si>
  <si>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</si>
  <si>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</si>
  <si>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</si>
  <si>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</si>
  <si>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</si>
  <si>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</si>
  <si>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</si>
  <si>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</si>
  <si>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</si>
  <si>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</si>
  <si>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</si>
  <si>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</si>
  <si>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</si>
  <si>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</si>
  <si>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</si>
  <si>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</si>
  <si>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</si>
  <si>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</si>
  <si>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</si>
  <si>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</si>
  <si>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</si>
  <si>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</si>
  <si>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</si>
  <si>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</si>
  <si>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</si>
  <si>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</si>
  <si>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</si>
  <si>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</si>
  <si>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</si>
  <si>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</si>
  <si>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</si>
  <si>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</si>
  <si>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</si>
  <si>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</si>
  <si>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</si>
  <si>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</si>
  <si>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</si>
  <si>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</si>
  <si>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</si>
  <si>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</si>
  <si>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</si>
  <si>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</si>
  <si>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</si>
  <si>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</si>
  <si>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</si>
  <si>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</si>
  <si>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</si>
  <si>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</si>
  <si>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</si>
  <si>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</si>
  <si>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</si>
  <si>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</si>
  <si>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</si>
  <si>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</si>
  <si>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</si>
  <si>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</si>
  <si>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</si>
  <si>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</si>
  <si>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</si>
  <si>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</si>
  <si>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</si>
  <si>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</si>
  <si>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</si>
  <si>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</si>
  <si>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</si>
  <si>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</si>
  <si>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</si>
  <si>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</si>
  <si>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</si>
  <si>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</si>
  <si>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</si>
  <si>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</si>
  <si>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</si>
  <si>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</si>
  <si>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</si>
  <si>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</si>
  <si>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</si>
  <si>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</si>
  <si>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</si>
  <si>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</si>
  <si>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</si>
  <si>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</si>
  <si>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</si>
  <si>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</si>
  <si>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</si>
  <si>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</si>
  <si>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</si>
  <si>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</si>
  <si>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</si>
  <si>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</si>
  <si>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</si>
  <si>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</si>
  <si>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</si>
  <si>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</si>
  <si>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</si>
  <si>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</si>
  <si>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</si>
  <si>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</si>
  <si>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</si>
  <si>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</si>
  <si>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</si>
  <si>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</si>
  <si>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</si>
  <si>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</si>
  <si>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</si>
  <si>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</si>
  <si>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</si>
  <si>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</si>
  <si>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</si>
  <si>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</si>
  <si>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</si>
  <si>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</si>
  <si>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</si>
  <si>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</si>
  <si>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</si>
  <si>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</si>
  <si>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</si>
  <si>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</si>
  <si>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</si>
  <si>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</si>
  <si>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</si>
  <si>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</si>
  <si>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</si>
  <si>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</si>
  <si>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</si>
  <si>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</si>
  <si>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</si>
  <si>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</si>
  <si>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</si>
  <si>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</si>
  <si>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</si>
  <si>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</si>
  <si>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</si>
  <si>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</si>
  <si>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</si>
  <si>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</si>
  <si>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</si>
  <si>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</si>
  <si>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</si>
  <si>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</si>
  <si>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</si>
  <si>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</si>
  <si>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</si>
  <si>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</si>
  <si>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</si>
  <si>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</si>
  <si>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</si>
  <si>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</si>
  <si>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</si>
  <si>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</si>
  <si>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</si>
  <si>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</si>
  <si>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</si>
  <si>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</si>
  <si>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</si>
  <si>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</si>
  <si>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</si>
  <si>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</si>
  <si>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</si>
  <si>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</si>
  <si>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</si>
  <si>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</si>
  <si>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</si>
  <si>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</si>
  <si>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</si>
  <si>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</si>
  <si>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</si>
  <si>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</si>
  <si>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</si>
  <si>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</si>
  <si>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</si>
  <si>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</si>
  <si>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</si>
  <si>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</si>
  <si>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</si>
  <si>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</si>
  <si>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</si>
  <si>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</si>
  <si>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</si>
  <si>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</si>
  <si>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</si>
  <si>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</si>
  <si>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</si>
  <si>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</si>
  <si>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</si>
  <si>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</si>
  <si>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</si>
  <si>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</si>
  <si>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</si>
  <si>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</si>
  <si>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</si>
  <si>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</si>
  <si>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</si>
  <si>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</si>
  <si>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</si>
  <si>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</si>
  <si>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</si>
  <si>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</si>
  <si>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</si>
  <si>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</si>
  <si>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</si>
  <si>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</si>
  <si>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</si>
  <si>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</si>
  <si>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</si>
  <si>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</si>
  <si>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</si>
  <si>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</si>
  <si>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</si>
  <si>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</si>
  <si>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</si>
  <si>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</si>
  <si>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</si>
  <si>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</si>
  <si>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</si>
  <si>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</si>
  <si>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</si>
  <si>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</si>
  <si>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</si>
  <si>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</si>
  <si>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</si>
  <si>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</si>
  <si>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</si>
  <si>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</si>
  <si>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</si>
  <si>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</si>
  <si>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</si>
  <si>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</si>
  <si>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</si>
  <si>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</si>
  <si>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</si>
  <si>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</si>
  <si>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</si>
  <si>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</si>
  <si>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</si>
  <si>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</si>
  <si>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</si>
  <si>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</si>
  <si>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</si>
  <si>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</si>
  <si>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</si>
  <si>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</si>
  <si>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</si>
  <si>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</si>
  <si>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</si>
  <si>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</si>
  <si>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</si>
  <si>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</si>
  <si>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</si>
  <si>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</si>
  <si>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</si>
  <si>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</si>
  <si>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</si>
  <si>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</si>
  <si>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</si>
  <si>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</si>
  <si>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</si>
  <si>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</si>
  <si>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</si>
  <si>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</si>
  <si>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</si>
  <si>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</si>
  <si>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</si>
  <si>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</si>
  <si>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</si>
  <si>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</si>
  <si>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</si>
  <si>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</si>
  <si>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</si>
  <si>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</si>
  <si>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</si>
  <si>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</si>
  <si>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</si>
  <si>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</si>
  <si>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</si>
  <si>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</si>
  <si>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</si>
  <si>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</si>
  <si>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</si>
  <si>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</si>
  <si>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</si>
  <si>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</si>
  <si>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</si>
  <si>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</si>
  <si>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</si>
  <si>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</si>
  <si>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</si>
  <si>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</si>
  <si>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</si>
  <si>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</si>
  <si>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</si>
  <si>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</si>
  <si>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</si>
  <si>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</si>
  <si>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</si>
  <si>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</si>
  <si>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</si>
  <si>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</si>
  <si>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</si>
  <si>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</si>
  <si>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</si>
  <si>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</si>
  <si>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</si>
  <si>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</si>
  <si>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</si>
  <si>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</si>
  <si>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</si>
  <si>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</si>
  <si>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</si>
  <si>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</si>
  <si>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</si>
  <si>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</si>
  <si>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</si>
  <si>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</si>
  <si>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</si>
  <si>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</si>
  <si>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</si>
  <si>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</si>
  <si>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</si>
  <si>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</si>
  <si>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</si>
  <si>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</si>
  <si>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</si>
  <si>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</si>
  <si>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</si>
  <si>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</si>
  <si>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</si>
  <si>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</si>
  <si>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</si>
  <si>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</si>
  <si>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</si>
  <si>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</si>
  <si>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</si>
  <si>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</si>
  <si>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</si>
  <si>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</si>
  <si>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</si>
  <si>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</si>
  <si>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</si>
  <si>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</si>
  <si>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</si>
  <si>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</si>
  <si>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</si>
  <si>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</si>
  <si>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</si>
  <si>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</si>
  <si>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</si>
  <si>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</si>
  <si>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</si>
  <si>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</si>
  <si>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</si>
  <si>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</si>
  <si>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</si>
  <si>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</si>
  <si>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</si>
  <si>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</si>
  <si>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</si>
  <si>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</si>
  <si>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</si>
  <si>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</si>
  <si>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</si>
  <si>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</si>
  <si>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</si>
  <si>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</si>
  <si>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</si>
  <si>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</si>
  <si>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</si>
  <si>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</si>
  <si>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</si>
  <si>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</si>
  <si>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</si>
  <si>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</si>
  <si>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</si>
  <si>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</si>
  <si>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</si>
  <si>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</si>
  <si>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</si>
  <si>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</si>
  <si>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</si>
  <si>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</si>
  <si>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</si>
  <si>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</si>
  <si>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</si>
  <si>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</si>
  <si>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</si>
  <si>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</si>
  <si>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</si>
  <si>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</si>
  <si>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</si>
  <si>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</si>
  <si>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</si>
  <si>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</si>
  <si>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</si>
  <si>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</si>
  <si>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</si>
  <si>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</si>
  <si>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</si>
  <si>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</si>
  <si>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</si>
  <si>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</si>
  <si>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</si>
  <si>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</si>
  <si>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</si>
  <si>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</si>
  <si>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</si>
  <si>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</si>
  <si>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</si>
  <si>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</si>
  <si>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</si>
  <si>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</si>
  <si>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</si>
  <si>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</si>
  <si>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</si>
  <si>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</si>
  <si>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</si>
  <si>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</si>
  <si>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</si>
  <si>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</si>
  <si>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</si>
  <si>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</si>
  <si>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</si>
  <si>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</si>
  <si>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</si>
  <si>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</si>
  <si>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</si>
  <si>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</si>
  <si>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</si>
  <si>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</si>
  <si>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</si>
  <si>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</si>
  <si>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</si>
  <si>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</si>
  <si>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</si>
  <si>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</si>
  <si>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</si>
  <si>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</si>
  <si>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</si>
  <si>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</si>
  <si>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</si>
  <si>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</si>
  <si>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</si>
  <si>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</si>
  <si>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</si>
  <si>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</si>
  <si>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</si>
  <si>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</si>
  <si>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</si>
  <si>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</si>
  <si>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</si>
  <si>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</si>
  <si>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</si>
  <si>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</si>
  <si>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</si>
  <si>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</si>
  <si>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</si>
  <si>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</si>
  <si>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</si>
  <si>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</si>
  <si>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</si>
  <si>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</si>
  <si>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</si>
  <si>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</si>
  <si>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</si>
  <si>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</si>
  <si>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</si>
  <si>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</si>
  <si>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</si>
  <si>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</si>
  <si>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</si>
  <si>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</si>
  <si>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</si>
  <si>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</si>
  <si>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</si>
  <si>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</si>
  <si>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</si>
  <si>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</si>
  <si>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</si>
  <si>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</si>
  <si>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</si>
  <si>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</si>
  <si>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</si>
  <si>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</si>
  <si>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</si>
  <si>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</si>
  <si>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</si>
  <si>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</si>
  <si>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</si>
  <si>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</si>
  <si>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</si>
  <si>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</si>
  <si>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</si>
  <si>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</si>
  <si>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</si>
  <si>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</si>
  <si>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</si>
  <si>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</si>
  <si>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</si>
  <si>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</si>
  <si>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</si>
  <si>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</si>
  <si>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</si>
  <si>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</si>
  <si>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</si>
  <si>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</si>
  <si>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</si>
  <si>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</si>
  <si>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</si>
  <si>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</si>
  <si>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</si>
  <si>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</si>
  <si>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</si>
  <si>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</si>
  <si>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</si>
  <si>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</si>
  <si>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</si>
  <si>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</si>
  <si>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</si>
  <si>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</si>
  <si>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</si>
  <si>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</si>
  <si>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</si>
  <si>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</si>
  <si>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</si>
  <si>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</si>
  <si>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</si>
  <si>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</si>
  <si>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</si>
  <si>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</si>
  <si>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</si>
  <si>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</si>
  <si>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</si>
  <si>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</si>
  <si>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</si>
  <si>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</si>
  <si>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</si>
  <si>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</si>
  <si>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</si>
  <si>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</si>
  <si>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</si>
  <si>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</si>
  <si>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</si>
  <si>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</si>
  <si>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</si>
  <si>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</si>
  <si>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</si>
  <si>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</si>
  <si>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</si>
  <si>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</si>
  <si>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</si>
  <si>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</si>
  <si>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</si>
  <si>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</si>
  <si>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</si>
  <si>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</si>
  <si>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</si>
  <si>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</si>
  <si>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</si>
  <si>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</si>
  <si>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</si>
  <si>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</si>
  <si>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Navy</t>
  </si>
  <si>
    <t>Black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</si>
  <si>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</si>
  <si>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</si>
  <si>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</si>
  <si>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</si>
  <si>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BLACK</t>
  </si>
  <si>
    <t>Grey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</si>
  <si>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</si>
  <si>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</si>
  <si>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</si>
  <si>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</si>
  <si>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</si>
  <si>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</si>
  <si>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22791BH STANSFIELD</t>
  </si>
  <si>
    <t>22794BH JANSEN</t>
  </si>
  <si>
    <t>22805BH EZRA</t>
  </si>
  <si>
    <t>81702BH BERLE</t>
  </si>
  <si>
    <t>81703BH FOLEY</t>
  </si>
  <si>
    <t>81710BH HOOPER</t>
  </si>
  <si>
    <t>81726BH HESTER</t>
  </si>
  <si>
    <t>81727BH DENNEY</t>
  </si>
  <si>
    <t>81739BH CARVER</t>
  </si>
  <si>
    <t>81741BH WESTFIELD</t>
  </si>
  <si>
    <t>81742BH LARSON</t>
  </si>
  <si>
    <t>81744BH ELI</t>
  </si>
  <si>
    <t>90119BH GANEY</t>
  </si>
  <si>
    <t>90154BH NADEL</t>
  </si>
  <si>
    <t>90155BH SHIRIN</t>
  </si>
  <si>
    <t>90156BH LAZ</t>
  </si>
  <si>
    <t>90158BH BURNEY</t>
  </si>
  <si>
    <t>B1134H RAMONA</t>
  </si>
  <si>
    <t>B1431H DEMETRIA</t>
  </si>
  <si>
    <t>B1899H GOSSAMER MINI</t>
  </si>
  <si>
    <t>B1900H BLANCHET</t>
  </si>
  <si>
    <t>B1910H RIVERIA</t>
  </si>
  <si>
    <t>B1945H MARIE</t>
  </si>
  <si>
    <t>B1971H EMMELINE</t>
  </si>
  <si>
    <t>B1981H ALICE</t>
  </si>
  <si>
    <t>B964 FACE FRAMER</t>
  </si>
  <si>
    <t>20009BH COLTER</t>
  </si>
  <si>
    <t>25150BH REFFELL</t>
  </si>
  <si>
    <t>25550BH DERIN</t>
  </si>
  <si>
    <t>25551BH FOSTER</t>
  </si>
  <si>
    <t>25552BH CLAUD</t>
  </si>
  <si>
    <t>25553BH ABEL</t>
  </si>
  <si>
    <t>25554BH LOU</t>
  </si>
  <si>
    <t>25555BH APOSTO</t>
  </si>
  <si>
    <t>25556BH GRIFF</t>
  </si>
  <si>
    <t>25557BH BRUNE</t>
  </si>
  <si>
    <t>25558BH FURMAN</t>
  </si>
  <si>
    <t>30003BH LANG</t>
  </si>
  <si>
    <t>37180BH STEDMAN</t>
  </si>
  <si>
    <t>37185BH ELLETT</t>
  </si>
  <si>
    <t>37188BH COLBY</t>
  </si>
  <si>
    <t>37189BH GODWIN</t>
  </si>
  <si>
    <t>37190BH TREVEL</t>
  </si>
  <si>
    <t>37191BH LEVON</t>
  </si>
  <si>
    <t>37192BH CROFT</t>
  </si>
  <si>
    <t>37193BH CONLON</t>
  </si>
  <si>
    <t>38359BH TROPE</t>
  </si>
  <si>
    <t>38366BH THALER</t>
  </si>
  <si>
    <t>38367BH NIALL</t>
  </si>
  <si>
    <t>38368BH CYD</t>
  </si>
  <si>
    <t>61442BH NILSON</t>
  </si>
  <si>
    <t>70657BH FALCON</t>
  </si>
  <si>
    <t>70658BH MOLIN</t>
  </si>
  <si>
    <t>70659BH COLVIN</t>
  </si>
  <si>
    <t>70660BH ERLER</t>
  </si>
  <si>
    <t>W0604A LIGHTNING 4X</t>
  </si>
  <si>
    <t>W2201A Eustis</t>
  </si>
  <si>
    <t>W2202B Evant</t>
  </si>
  <si>
    <t>W2203C Escobares</t>
  </si>
  <si>
    <t>W2204D Elko</t>
  </si>
  <si>
    <t>W2205E El Reno</t>
  </si>
  <si>
    <t>W2206F El Campo</t>
  </si>
  <si>
    <t>W22EDA Rumble</t>
  </si>
  <si>
    <t>W22EDB Hoolihan</t>
  </si>
  <si>
    <t>W22RDA EDEN</t>
  </si>
  <si>
    <t>W22RDC EMBER</t>
  </si>
  <si>
    <t>21-089-05</t>
  </si>
  <si>
    <t>21-091-08</t>
  </si>
  <si>
    <t>21-091-02</t>
  </si>
  <si>
    <t>21-150-17</t>
  </si>
  <si>
    <t>21-587-90</t>
  </si>
  <si>
    <t>21-782-26</t>
  </si>
  <si>
    <t>21-505-02</t>
  </si>
  <si>
    <t>21-396-05</t>
  </si>
  <si>
    <t>21-515-06</t>
  </si>
  <si>
    <t>21-708-02</t>
  </si>
  <si>
    <t>21-709-02</t>
  </si>
  <si>
    <t>21-748-08</t>
  </si>
  <si>
    <t>21-748-17</t>
  </si>
  <si>
    <t>21-751-06</t>
  </si>
  <si>
    <t>21-752-16</t>
  </si>
  <si>
    <t>21-753-11</t>
  </si>
  <si>
    <t>21-755-08</t>
  </si>
  <si>
    <t>31-136-17</t>
  </si>
  <si>
    <t>31-084-11</t>
  </si>
  <si>
    <t>31-237-08</t>
  </si>
  <si>
    <t>31-295-09</t>
  </si>
  <si>
    <t>21-782-14</t>
  </si>
  <si>
    <t>21-783-09</t>
  </si>
  <si>
    <t>21-784-06</t>
  </si>
  <si>
    <t>21-785-08</t>
  </si>
  <si>
    <t>21-786-14</t>
  </si>
  <si>
    <t>21-787-11</t>
  </si>
  <si>
    <t>21-788-08</t>
  </si>
  <si>
    <t>21-789-16</t>
  </si>
  <si>
    <t>21-790-11</t>
  </si>
  <si>
    <t>21-791-08</t>
  </si>
  <si>
    <t>21-792-72</t>
  </si>
  <si>
    <t>21-793-09</t>
  </si>
  <si>
    <t>21-582-14</t>
  </si>
  <si>
    <t>21-676-08</t>
  </si>
  <si>
    <t>21-719-17</t>
  </si>
  <si>
    <t>21-720-06</t>
  </si>
  <si>
    <t>21-794-17</t>
  </si>
  <si>
    <t>21-795-14</t>
  </si>
  <si>
    <t>21-796-13</t>
  </si>
  <si>
    <t>21-797-11</t>
  </si>
  <si>
    <t>21-798-09</t>
  </si>
  <si>
    <t>21-799-11</t>
  </si>
  <si>
    <t>21-800-02</t>
  </si>
  <si>
    <t>21-801-90</t>
  </si>
  <si>
    <t>21-802-11</t>
  </si>
  <si>
    <t>21-068-17</t>
  </si>
  <si>
    <t>21-072-20</t>
  </si>
  <si>
    <t>21-074-08</t>
  </si>
  <si>
    <t>21-803-08</t>
  </si>
  <si>
    <t>21-804-14</t>
  </si>
  <si>
    <t>21-805-11</t>
  </si>
  <si>
    <t>21-806-09</t>
  </si>
  <si>
    <t>21-726-14</t>
  </si>
  <si>
    <t>21-782-09</t>
  </si>
  <si>
    <t>21-783-14</t>
  </si>
  <si>
    <t>21-784-08</t>
  </si>
  <si>
    <t>21-785-09</t>
  </si>
  <si>
    <t>21-786-09</t>
  </si>
  <si>
    <t>21-787-17</t>
  </si>
  <si>
    <t>21-788-83</t>
  </si>
  <si>
    <t>21-789-09</t>
  </si>
  <si>
    <t>21-790-08</t>
  </si>
  <si>
    <t>21-791-94</t>
  </si>
  <si>
    <t>кепка уточка</t>
  </si>
  <si>
    <t>кепка с ушками</t>
  </si>
  <si>
    <t>кепка шестиклинка</t>
  </si>
  <si>
    <t>Bailey</t>
  </si>
  <si>
    <t>65% полиэстер - 35% хлопок / подклад: 100% полиэстер</t>
  </si>
  <si>
    <t>Chino</t>
  </si>
  <si>
    <t>Tan</t>
  </si>
  <si>
    <t>Boa</t>
  </si>
  <si>
    <t>Denim</t>
  </si>
  <si>
    <t>Kapok Green</t>
  </si>
  <si>
    <t>Media Bleach</t>
  </si>
  <si>
    <t>Mushroom</t>
  </si>
  <si>
    <t>Natural</t>
  </si>
  <si>
    <t>Opal</t>
  </si>
  <si>
    <t>Driftwood</t>
  </si>
  <si>
    <t>Rust</t>
  </si>
  <si>
    <t>Static</t>
  </si>
  <si>
    <t>White</t>
  </si>
  <si>
    <t>Latte</t>
  </si>
  <si>
    <t>Sandstone</t>
  </si>
  <si>
    <t>Azul</t>
  </si>
  <si>
    <t>Black Multi</t>
  </si>
  <si>
    <t>Brown Multi</t>
  </si>
  <si>
    <t>Honey</t>
  </si>
  <si>
    <t>Light Grey</t>
  </si>
  <si>
    <t>Natural Multi</t>
  </si>
  <si>
    <t>Overcast</t>
  </si>
  <si>
    <t>Ivory/Adobe Multi</t>
  </si>
  <si>
    <t>Chili Pepper</t>
  </si>
  <si>
    <t>Copper</t>
  </si>
  <si>
    <t>Sand</t>
  </si>
  <si>
    <t>Smoke</t>
  </si>
  <si>
    <t>Unbleached</t>
  </si>
  <si>
    <t>Deep Tan</t>
  </si>
  <si>
    <t>Natural/Black</t>
  </si>
  <si>
    <t>Walnut</t>
  </si>
  <si>
    <t>Charcoal</t>
  </si>
  <si>
    <t>Light Grey/Black</t>
  </si>
  <si>
    <t>Natural/Storm</t>
  </si>
  <si>
    <t>Navy Heather</t>
  </si>
  <si>
    <t>Linen Multi</t>
  </si>
  <si>
    <t>Off White</t>
  </si>
  <si>
    <t>Beige</t>
  </si>
  <si>
    <t>100% хлопок / подклад: 100% полиэстер</t>
  </si>
  <si>
    <t>Sky</t>
  </si>
  <si>
    <t>Blue</t>
  </si>
  <si>
    <t>100% лен / подклад: 100% полиэстер</t>
  </si>
  <si>
    <t>66% полиэстер - 34% вискоза / подклад: 100% полиэстер</t>
  </si>
  <si>
    <t>100% полиэстер / подклад: 100% полиэстер</t>
  </si>
  <si>
    <t>Hunter</t>
  </si>
  <si>
    <t>Brown</t>
  </si>
  <si>
    <t>light grey multi</t>
  </si>
  <si>
    <t>natural multi</t>
  </si>
  <si>
    <t>navy</t>
  </si>
  <si>
    <t>tangerine</t>
  </si>
  <si>
    <t>natural.white</t>
  </si>
  <si>
    <t>white.black</t>
  </si>
  <si>
    <t>natural</t>
  </si>
  <si>
    <t>white.navy</t>
  </si>
  <si>
    <t>ivory black</t>
  </si>
  <si>
    <t>navy.natural</t>
  </si>
  <si>
    <t>desert/natural</t>
  </si>
  <si>
    <t>white</t>
  </si>
  <si>
    <t>black</t>
  </si>
  <si>
    <t>natural/black</t>
  </si>
  <si>
    <t>ivory.black</t>
  </si>
  <si>
    <t>natural.black</t>
  </si>
  <si>
    <t>white.natural</t>
  </si>
  <si>
    <t>desert natural</t>
  </si>
  <si>
    <t>eden green</t>
  </si>
  <si>
    <t>lavender charcoal</t>
  </si>
  <si>
    <t>rattlesnake</t>
  </si>
  <si>
    <t>tropical multi</t>
  </si>
  <si>
    <t>brown multi</t>
  </si>
  <si>
    <t>lemon</t>
  </si>
  <si>
    <t>auburn sand</t>
  </si>
  <si>
    <t>tan</t>
  </si>
  <si>
    <t>79% бумага - 12% полипропилен - 9% полиэстер</t>
  </si>
  <si>
    <t>black multi</t>
  </si>
  <si>
    <t>65% бумага - 23% полипропилен - 12% полиэстер</t>
  </si>
  <si>
    <t>black.white</t>
  </si>
  <si>
    <t>AVION</t>
  </si>
  <si>
    <t>OAK</t>
  </si>
  <si>
    <t>100% кожа / подклад: 100% полиэстер</t>
  </si>
  <si>
    <t>BLUE</t>
  </si>
  <si>
    <t>68% полиэстер - 32% вискоза / подклад: 100% полиэстер</t>
  </si>
  <si>
    <t>50% шерсть - 50% полиэстер / подклад: 100% полиэстер</t>
  </si>
  <si>
    <t>BRONZE</t>
  </si>
  <si>
    <t>GREEN</t>
  </si>
  <si>
    <t>60% полиэстер - 40% шерсть / подклад: 100% полиэстер</t>
  </si>
  <si>
    <t>OAK PLAID</t>
  </si>
  <si>
    <t>AVION STRIPE</t>
  </si>
  <si>
    <t>55% полиэстер -  25% шерсть -  20% хлопок / подклад: 100% полиэстер</t>
  </si>
  <si>
    <t>UNIFORM GREEN PLAID</t>
  </si>
  <si>
    <t>100% шерсть / подклад: 100% полиэстер</t>
  </si>
  <si>
    <t>GREY</t>
  </si>
  <si>
    <t>60% шерсть - 40% полиэстер / подклад: 100% полиэстер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</si>
  <si>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</si>
  <si>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</si>
  <si>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</si>
  <si>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</si>
  <si>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</si>
  <si>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</si>
  <si>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</si>
  <si>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</si>
  <si>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</si>
  <si>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</si>
  <si>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RUST</t>
  </si>
  <si>
    <t>Коричневый</t>
  </si>
  <si>
    <t>90% шерсть - 10% ангора / подклад: 100% полиэстер</t>
  </si>
  <si>
    <t>PECAN</t>
  </si>
  <si>
    <t>COBBLE</t>
  </si>
  <si>
    <t>MIST</t>
  </si>
  <si>
    <t>PALAMINO</t>
  </si>
  <si>
    <t>SILVER SAND</t>
  </si>
  <si>
    <t>PEACH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</si>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</sst>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27818</v>
      </c>
      <c r="B44" s="28" t="s">
        <v>27819</v>
      </c>
    </row>
    <row r="45" spans="1:2" x14ac:dyDescent="0.25">
      <c r="A45" s="28" t="s">
        <v>27820</v>
      </c>
      <c r="B45" s="28" t="s">
        <v>27821</v>
      </c>
    </row>
    <row r="46" spans="1:2" x14ac:dyDescent="0.25">
      <c r="A46" s="28" t="s">
        <v>27822</v>
      </c>
      <c r="B46" s="28" t="s">
        <v>27823</v>
      </c>
    </row>
    <row r="47" spans="1:2" x14ac:dyDescent="0.25">
      <c r="A47" s="28" t="s">
        <v>27824</v>
      </c>
      <c r="B47" s="28" t="s">
        <v>27825</v>
      </c>
    </row>
    <row r="48" spans="1:2" x14ac:dyDescent="0.25">
      <c r="A48" s="28" t="s">
        <v>27826</v>
      </c>
      <c r="B48" s="28" t="s">
        <v>27827</v>
      </c>
    </row>
    <row r="49" spans="1:2" x14ac:dyDescent="0.25">
      <c r="A49" s="28" t="s">
        <v>27828</v>
      </c>
      <c r="B49" s="28" t="s">
        <v>27829</v>
      </c>
    </row>
    <row r="50" spans="1:2" x14ac:dyDescent="0.25">
      <c r="A50" s="28" t="s">
        <v>27830</v>
      </c>
      <c r="B50" s="28" t="s">
        <v>27831</v>
      </c>
    </row>
    <row r="51" spans="1:2" x14ac:dyDescent="0.25">
      <c r="A51" s="28" t="s">
        <v>27832</v>
      </c>
      <c r="B51" s="28" t="s">
        <v>27833</v>
      </c>
    </row>
    <row r="52" spans="1:2" x14ac:dyDescent="0.25">
      <c r="A52" s="28" t="s">
        <v>27834</v>
      </c>
      <c r="B52" s="28" t="s">
        <v>27835</v>
      </c>
    </row>
    <row r="53" spans="1:2" x14ac:dyDescent="0.25">
      <c r="A53" s="28" t="s">
        <v>27836</v>
      </c>
      <c r="B53" s="28" t="s">
        <v>27837</v>
      </c>
    </row>
    <row r="54" spans="1:2" x14ac:dyDescent="0.25">
      <c r="A54" s="28" t="s">
        <v>27838</v>
      </c>
      <c r="B54" s="28" t="s">
        <v>27839</v>
      </c>
    </row>
    <row r="55" spans="1:2" x14ac:dyDescent="0.25">
      <c r="A55" s="28" t="s">
        <v>27840</v>
      </c>
      <c r="B55" s="28" t="s">
        <v>27841</v>
      </c>
    </row>
    <row r="56" spans="1:2" x14ac:dyDescent="0.25">
      <c r="A56" s="28" t="s">
        <v>27842</v>
      </c>
      <c r="B56" s="28" t="s">
        <v>27843</v>
      </c>
    </row>
    <row r="57" spans="1:2" x14ac:dyDescent="0.25">
      <c r="A57" s="28" t="s">
        <v>27844</v>
      </c>
      <c r="B57" s="28" t="s">
        <v>27845</v>
      </c>
    </row>
    <row r="58" spans="1:2" x14ac:dyDescent="0.25">
      <c r="A58" s="28" t="s">
        <v>27846</v>
      </c>
      <c r="B58" s="28" t="s">
        <v>27847</v>
      </c>
    </row>
    <row r="59" spans="1:2" x14ac:dyDescent="0.25">
      <c r="A59" s="28" t="s">
        <v>27848</v>
      </c>
      <c r="B59" s="28" t="s">
        <v>27849</v>
      </c>
    </row>
    <row r="60" spans="1:2" x14ac:dyDescent="0.25">
      <c r="A60" s="28" t="s">
        <v>27850</v>
      </c>
      <c r="B60" s="28" t="s">
        <v>27851</v>
      </c>
    </row>
    <row r="61" spans="1:2" x14ac:dyDescent="0.25">
      <c r="A61" s="28" t="s">
        <v>27852</v>
      </c>
      <c r="B61" s="28" t="s">
        <v>27853</v>
      </c>
    </row>
    <row r="62" spans="1:2" x14ac:dyDescent="0.25">
      <c r="A62" s="28" t="s">
        <v>27854</v>
      </c>
      <c r="B62" s="28" t="s">
        <v>27855</v>
      </c>
    </row>
    <row r="63" spans="1:2" x14ac:dyDescent="0.25">
      <c r="A63" s="28" t="s">
        <v>27856</v>
      </c>
      <c r="B63" s="28" t="s">
        <v>27857</v>
      </c>
    </row>
    <row r="64" spans="1:2" x14ac:dyDescent="0.25">
      <c r="A64" s="28" t="s">
        <v>27858</v>
      </c>
      <c r="B64" s="28" t="s">
        <v>27859</v>
      </c>
    </row>
    <row r="65" spans="1:2" x14ac:dyDescent="0.25">
      <c r="A65" s="28" t="s">
        <v>27860</v>
      </c>
      <c r="B65" s="28" t="s">
        <v>27861</v>
      </c>
    </row>
    <row r="66" spans="1:2" x14ac:dyDescent="0.25">
      <c r="A66" s="28" t="s">
        <v>27862</v>
      </c>
      <c r="B66" s="28" t="s">
        <v>27863</v>
      </c>
    </row>
    <row r="67" spans="1:2" x14ac:dyDescent="0.25">
      <c r="A67" s="28" t="s">
        <v>27864</v>
      </c>
      <c r="B67" s="28" t="s">
        <v>27865</v>
      </c>
    </row>
    <row r="68" spans="1:2" x14ac:dyDescent="0.25">
      <c r="A68" s="28" t="s">
        <v>27866</v>
      </c>
      <c r="B68" s="28" t="s">
        <v>27867</v>
      </c>
    </row>
    <row r="69" spans="1:2" x14ac:dyDescent="0.25">
      <c r="A69" s="28" t="s">
        <v>27868</v>
      </c>
      <c r="B69" s="28" t="s">
        <v>27869</v>
      </c>
    </row>
    <row r="70" spans="1:2" x14ac:dyDescent="0.25">
      <c r="A70" s="28" t="s">
        <v>27870</v>
      </c>
      <c r="B70" s="28" t="s">
        <v>27871</v>
      </c>
    </row>
    <row r="71" spans="1:2" x14ac:dyDescent="0.25">
      <c r="A71" s="28" t="s">
        <v>27872</v>
      </c>
      <c r="B71" s="28" t="s">
        <v>27873</v>
      </c>
    </row>
    <row r="72" spans="1:2" x14ac:dyDescent="0.25">
      <c r="A72" s="28" t="s">
        <v>27874</v>
      </c>
      <c r="B72" s="28" t="s">
        <v>27875</v>
      </c>
    </row>
    <row r="73" spans="1:2" x14ac:dyDescent="0.25">
      <c r="A73" s="28" t="s">
        <v>27876</v>
      </c>
      <c r="B73" s="28" t="s">
        <v>27877</v>
      </c>
    </row>
    <row r="74" spans="1:2" x14ac:dyDescent="0.25">
      <c r="A74" s="28" t="s">
        <v>27878</v>
      </c>
      <c r="B74" s="28" t="s">
        <v>27879</v>
      </c>
    </row>
    <row r="75" spans="1:2" x14ac:dyDescent="0.25">
      <c r="A75" s="28" t="s">
        <v>27880</v>
      </c>
      <c r="B75" s="28" t="s">
        <v>27881</v>
      </c>
    </row>
    <row r="76" spans="1:2" x14ac:dyDescent="0.25">
      <c r="A76" s="28" t="s">
        <v>27882</v>
      </c>
      <c r="B76" s="28" t="s">
        <v>27883</v>
      </c>
    </row>
    <row r="77" spans="1:2" x14ac:dyDescent="0.25">
      <c r="A77" s="28" t="s">
        <v>27884</v>
      </c>
      <c r="B77" s="28" t="s">
        <v>27885</v>
      </c>
    </row>
    <row r="78" spans="1:2" x14ac:dyDescent="0.25">
      <c r="A78" s="28" t="s">
        <v>27886</v>
      </c>
      <c r="B78" s="28" t="s">
        <v>27887</v>
      </c>
    </row>
    <row r="79" spans="1:2" x14ac:dyDescent="0.25">
      <c r="A79" s="28" t="s">
        <v>27888</v>
      </c>
      <c r="B79" s="28" t="s">
        <v>27889</v>
      </c>
    </row>
    <row r="80" spans="1:2" x14ac:dyDescent="0.25">
      <c r="A80" s="28" t="s">
        <v>27890</v>
      </c>
      <c r="B80" s="28" t="s">
        <v>27891</v>
      </c>
    </row>
    <row r="81" spans="1:2" x14ac:dyDescent="0.25">
      <c r="A81" s="28" t="s">
        <v>27892</v>
      </c>
      <c r="B81" s="28" t="s">
        <v>27893</v>
      </c>
    </row>
    <row r="82" spans="1:2" x14ac:dyDescent="0.25">
      <c r="A82" s="28" t="s">
        <v>27894</v>
      </c>
      <c r="B82" s="28" t="s">
        <v>27895</v>
      </c>
    </row>
    <row r="83" spans="1:2" x14ac:dyDescent="0.25">
      <c r="A83" s="28" t="s">
        <v>27896</v>
      </c>
      <c r="B83" s="28" t="s">
        <v>27897</v>
      </c>
    </row>
    <row r="84" spans="1:2" x14ac:dyDescent="0.25">
      <c r="A84" s="28" t="s">
        <v>27898</v>
      </c>
      <c r="B84" s="28" t="s">
        <v>27899</v>
      </c>
    </row>
    <row r="85" spans="1:2" x14ac:dyDescent="0.25">
      <c r="A85" s="28" t="s">
        <v>27900</v>
      </c>
      <c r="B85" s="28" t="s">
        <v>27901</v>
      </c>
    </row>
    <row r="86" spans="1:2" x14ac:dyDescent="0.25">
      <c r="A86" s="28" t="s">
        <v>27902</v>
      </c>
      <c r="B86" s="28" t="s">
        <v>27903</v>
      </c>
    </row>
    <row r="87" spans="1:2" x14ac:dyDescent="0.25">
      <c r="A87" s="28" t="s">
        <v>27904</v>
      </c>
      <c r="B87" s="28" t="s">
        <v>27905</v>
      </c>
    </row>
    <row r="88" spans="1:2" x14ac:dyDescent="0.25">
      <c r="A88" s="28" t="s">
        <v>27906</v>
      </c>
      <c r="B88" s="28" t="s">
        <v>27907</v>
      </c>
    </row>
    <row r="89" spans="1:2" x14ac:dyDescent="0.25">
      <c r="A89" s="28" t="s">
        <v>27908</v>
      </c>
      <c r="B89" s="28" t="s">
        <v>27909</v>
      </c>
    </row>
    <row r="90" spans="1:2" x14ac:dyDescent="0.25">
      <c r="A90" s="28" t="s">
        <v>27910</v>
      </c>
      <c r="B90" s="28" t="s">
        <v>27911</v>
      </c>
    </row>
    <row r="91" spans="1:2" x14ac:dyDescent="0.25">
      <c r="A91" s="28" t="s">
        <v>27912</v>
      </c>
      <c r="B91" s="28" t="s">
        <v>27913</v>
      </c>
    </row>
    <row r="92" spans="1:2" x14ac:dyDescent="0.25">
      <c r="A92" s="28" t="s">
        <v>27914</v>
      </c>
      <c r="B92" s="28" t="s">
        <v>27915</v>
      </c>
    </row>
    <row r="93" spans="1:2" x14ac:dyDescent="0.25">
      <c r="A93" s="28" t="s">
        <v>27916</v>
      </c>
      <c r="B93" s="28" t="s">
        <v>27917</v>
      </c>
    </row>
    <row r="94" spans="1:2" x14ac:dyDescent="0.25">
      <c r="A94" s="28" t="s">
        <v>27918</v>
      </c>
      <c r="B94" s="28" t="s">
        <v>27919</v>
      </c>
    </row>
    <row r="95" spans="1:2" x14ac:dyDescent="0.25">
      <c r="A95" s="28" t="s">
        <v>27920</v>
      </c>
      <c r="B95" s="28" t="s">
        <v>27921</v>
      </c>
    </row>
    <row r="96" spans="1:2" x14ac:dyDescent="0.25">
      <c r="A96" s="28" t="s">
        <v>27922</v>
      </c>
      <c r="B96" s="28" t="s">
        <v>27923</v>
      </c>
    </row>
    <row r="97" spans="1:2" x14ac:dyDescent="0.25">
      <c r="A97" s="28" t="s">
        <v>27924</v>
      </c>
      <c r="B97" s="28" t="s">
        <v>27925</v>
      </c>
    </row>
    <row r="98" spans="1:2" x14ac:dyDescent="0.25">
      <c r="A98" s="28" t="s">
        <v>27926</v>
      </c>
      <c r="B98" s="28" t="s">
        <v>27927</v>
      </c>
    </row>
    <row r="99" spans="1:2" x14ac:dyDescent="0.25">
      <c r="A99" s="28" t="s">
        <v>27928</v>
      </c>
      <c r="B99" s="28" t="s">
        <v>27929</v>
      </c>
    </row>
    <row r="100" spans="1:2" x14ac:dyDescent="0.25">
      <c r="A100" s="28" t="s">
        <v>27930</v>
      </c>
      <c r="B100" s="28" t="s">
        <v>27931</v>
      </c>
    </row>
    <row r="101" spans="1:2" x14ac:dyDescent="0.25">
      <c r="A101" s="28" t="s">
        <v>27932</v>
      </c>
      <c r="B101" s="28" t="s">
        <v>27933</v>
      </c>
    </row>
    <row r="102" spans="1:2" x14ac:dyDescent="0.25">
      <c r="A102" s="28" t="s">
        <v>27934</v>
      </c>
      <c r="B102" s="28" t="s">
        <v>27935</v>
      </c>
    </row>
    <row r="103" spans="1:2" x14ac:dyDescent="0.25">
      <c r="A103" s="28" t="s">
        <v>27936</v>
      </c>
      <c r="B103" s="28" t="s">
        <v>27937</v>
      </c>
    </row>
    <row r="104" spans="1:2" x14ac:dyDescent="0.25">
      <c r="A104" s="28" t="s">
        <v>27938</v>
      </c>
      <c r="B104" s="28" t="s">
        <v>27939</v>
      </c>
    </row>
    <row r="105" spans="1:2" x14ac:dyDescent="0.25">
      <c r="A105" s="28" t="s">
        <v>27940</v>
      </c>
      <c r="B105" s="28" t="s">
        <v>27941</v>
      </c>
    </row>
    <row r="106" spans="1:2" x14ac:dyDescent="0.25">
      <c r="A106" s="28" t="s">
        <v>27942</v>
      </c>
      <c r="B106" s="28" t="s">
        <v>27943</v>
      </c>
    </row>
    <row r="107" spans="1:2" x14ac:dyDescent="0.25">
      <c r="A107" s="28" t="s">
        <v>27944</v>
      </c>
      <c r="B107" s="28" t="s">
        <v>27945</v>
      </c>
    </row>
    <row r="108" spans="1:2" x14ac:dyDescent="0.25">
      <c r="A108" s="28" t="s">
        <v>27946</v>
      </c>
      <c r="B108" s="28" t="s">
        <v>27947</v>
      </c>
    </row>
    <row r="109" spans="1:2" x14ac:dyDescent="0.25">
      <c r="A109" s="28" t="s">
        <v>27948</v>
      </c>
      <c r="B109" s="28" t="s">
        <v>27949</v>
      </c>
    </row>
    <row r="110" spans="1:2" x14ac:dyDescent="0.25">
      <c r="A110" s="28" t="s">
        <v>27950</v>
      </c>
      <c r="B110" s="28" t="s">
        <v>27951</v>
      </c>
    </row>
    <row r="111" spans="1:2" x14ac:dyDescent="0.25">
      <c r="A111" s="28" t="s">
        <v>27952</v>
      </c>
      <c r="B111" s="28" t="s">
        <v>27953</v>
      </c>
    </row>
    <row r="112" spans="1:2" x14ac:dyDescent="0.25">
      <c r="A112" s="28" t="s">
        <v>27954</v>
      </c>
      <c r="B112" s="28" t="s">
        <v>27955</v>
      </c>
    </row>
    <row r="113" spans="1:2" x14ac:dyDescent="0.25">
      <c r="A113" s="28" t="s">
        <v>27956</v>
      </c>
      <c r="B113" s="28" t="s">
        <v>27957</v>
      </c>
    </row>
    <row r="114" spans="1:2" x14ac:dyDescent="0.25">
      <c r="A114" s="28" t="s">
        <v>27958</v>
      </c>
      <c r="B114" s="28" t="s">
        <v>27959</v>
      </c>
    </row>
    <row r="115" spans="1:2" x14ac:dyDescent="0.25">
      <c r="A115" s="28" t="s">
        <v>27960</v>
      </c>
      <c r="B115" s="28" t="s">
        <v>27961</v>
      </c>
    </row>
    <row r="116" spans="1:2" x14ac:dyDescent="0.25">
      <c r="A116" s="28" t="s">
        <v>27962</v>
      </c>
      <c r="B116" s="28" t="s">
        <v>27963</v>
      </c>
    </row>
    <row r="117" spans="1:2" x14ac:dyDescent="0.25">
      <c r="A117" s="28" t="s">
        <v>27964</v>
      </c>
      <c r="B117" s="28" t="s">
        <v>27965</v>
      </c>
    </row>
    <row r="118" spans="1:2" x14ac:dyDescent="0.25">
      <c r="A118" s="28" t="s">
        <v>27966</v>
      </c>
      <c r="B118" s="28" t="s">
        <v>27967</v>
      </c>
    </row>
    <row r="119" spans="1:2" x14ac:dyDescent="0.25">
      <c r="A119" s="28" t="s">
        <v>27968</v>
      </c>
      <c r="B119" s="28" t="s">
        <v>27969</v>
      </c>
    </row>
    <row r="120" spans="1:2" x14ac:dyDescent="0.25">
      <c r="A120" s="28" t="s">
        <v>27970</v>
      </c>
      <c r="B120" s="28" t="s">
        <v>27971</v>
      </c>
    </row>
    <row r="121" spans="1:2" x14ac:dyDescent="0.25">
      <c r="A121" s="28" t="s">
        <v>27972</v>
      </c>
      <c r="B121" s="28" t="s">
        <v>27973</v>
      </c>
    </row>
    <row r="122" spans="1:2" x14ac:dyDescent="0.25">
      <c r="A122" s="28" t="s">
        <v>27974</v>
      </c>
      <c r="B122" s="28" t="s">
        <v>27975</v>
      </c>
    </row>
    <row r="123" spans="1:2" x14ac:dyDescent="0.25">
      <c r="A123" s="28" t="s">
        <v>27976</v>
      </c>
      <c r="B123" s="28" t="s">
        <v>27977</v>
      </c>
    </row>
    <row r="124" spans="1:2" x14ac:dyDescent="0.25">
      <c r="A124" s="28" t="s">
        <v>27978</v>
      </c>
      <c r="B124" s="28" t="s">
        <v>27979</v>
      </c>
    </row>
    <row r="125" spans="1:2" x14ac:dyDescent="0.25">
      <c r="A125" s="28" t="s">
        <v>27980</v>
      </c>
      <c r="B125" s="28" t="s">
        <v>27981</v>
      </c>
    </row>
    <row r="126" spans="1:2" x14ac:dyDescent="0.25">
      <c r="A126" s="28" t="s">
        <v>27982</v>
      </c>
      <c r="B126" s="28" t="s">
        <v>27983</v>
      </c>
    </row>
    <row r="127" spans="1:2" x14ac:dyDescent="0.25">
      <c r="A127" s="28" t="s">
        <v>27984</v>
      </c>
      <c r="B127" s="28" t="s">
        <v>27985</v>
      </c>
    </row>
    <row r="128" spans="1:2" x14ac:dyDescent="0.25">
      <c r="A128" s="28" t="s">
        <v>27986</v>
      </c>
      <c r="B128" s="28" t="s">
        <v>27987</v>
      </c>
    </row>
    <row r="129" spans="1:2" x14ac:dyDescent="0.25">
      <c r="A129" s="28" t="s">
        <v>27988</v>
      </c>
      <c r="B129" s="28" t="s">
        <v>27989</v>
      </c>
    </row>
    <row r="130" spans="1:2" x14ac:dyDescent="0.25">
      <c r="A130" s="28" t="s">
        <v>27990</v>
      </c>
      <c r="B130" s="28" t="s">
        <v>27991</v>
      </c>
    </row>
    <row r="131" spans="1:2" x14ac:dyDescent="0.25">
      <c r="A131" s="28" t="s">
        <v>27992</v>
      </c>
      <c r="B131" s="28" t="s">
        <v>27993</v>
      </c>
    </row>
    <row r="132" spans="1:2" x14ac:dyDescent="0.25">
      <c r="A132" s="28" t="s">
        <v>27994</v>
      </c>
      <c r="B132" s="28" t="s">
        <v>27995</v>
      </c>
    </row>
    <row r="133" spans="1:2" x14ac:dyDescent="0.25">
      <c r="A133" s="28" t="s">
        <v>27996</v>
      </c>
      <c r="B133" s="28" t="s">
        <v>27997</v>
      </c>
    </row>
    <row r="134" spans="1:2" x14ac:dyDescent="0.25">
      <c r="A134" s="28" t="s">
        <v>27998</v>
      </c>
      <c r="B134" s="28" t="s">
        <v>27999</v>
      </c>
    </row>
    <row r="135" spans="1:2" x14ac:dyDescent="0.25">
      <c r="A135" s="28" t="s">
        <v>28000</v>
      </c>
      <c r="B135" s="28" t="s">
        <v>28001</v>
      </c>
    </row>
    <row r="136" spans="1:2" x14ac:dyDescent="0.25">
      <c r="A136" s="28" t="s">
        <v>28002</v>
      </c>
      <c r="B136" s="28" t="s">
        <v>28003</v>
      </c>
    </row>
    <row r="137" spans="1:2" x14ac:dyDescent="0.25">
      <c r="A137" s="28" t="s">
        <v>28004</v>
      </c>
      <c r="B137" s="28" t="s">
        <v>28005</v>
      </c>
    </row>
    <row r="138" spans="1:2" x14ac:dyDescent="0.25">
      <c r="A138" s="28" t="s">
        <v>28006</v>
      </c>
      <c r="B138" s="28" t="s">
        <v>28007</v>
      </c>
    </row>
    <row r="139" spans="1:2" x14ac:dyDescent="0.25">
      <c r="A139" s="28" t="s">
        <v>28008</v>
      </c>
      <c r="B139" s="28" t="s">
        <v>28009</v>
      </c>
    </row>
    <row r="140" spans="1:2" x14ac:dyDescent="0.25">
      <c r="A140" s="28" t="s">
        <v>28010</v>
      </c>
      <c r="B140" s="28" t="s">
        <v>28011</v>
      </c>
    </row>
    <row r="141" spans="1:2" x14ac:dyDescent="0.25">
      <c r="A141" s="28" t="s">
        <v>28012</v>
      </c>
      <c r="B141" s="28" t="s">
        <v>28013</v>
      </c>
    </row>
    <row r="142" spans="1:2" x14ac:dyDescent="0.25">
      <c r="A142" s="28" t="s">
        <v>28014</v>
      </c>
      <c r="B142" s="28" t="s">
        <v>28015</v>
      </c>
    </row>
    <row r="143" spans="1:2" x14ac:dyDescent="0.25">
      <c r="A143" s="28" t="s">
        <v>28016</v>
      </c>
      <c r="B143" s="28" t="s">
        <v>28017</v>
      </c>
    </row>
    <row r="144" spans="1:2" x14ac:dyDescent="0.25">
      <c r="A144" s="28" t="s">
        <v>28018</v>
      </c>
      <c r="B144" s="28" t="s">
        <v>28019</v>
      </c>
    </row>
    <row r="145" spans="1:2" x14ac:dyDescent="0.25">
      <c r="A145" s="28" t="s">
        <v>28020</v>
      </c>
      <c r="B145" s="28" t="s">
        <v>28021</v>
      </c>
    </row>
    <row r="146" spans="1:2" x14ac:dyDescent="0.25">
      <c r="A146" s="28" t="s">
        <v>28022</v>
      </c>
      <c r="B146" s="28" t="s">
        <v>28023</v>
      </c>
    </row>
    <row r="147" spans="1:2" x14ac:dyDescent="0.25">
      <c r="A147" s="28" t="s">
        <v>28024</v>
      </c>
      <c r="B147" s="28" t="s">
        <v>28025</v>
      </c>
    </row>
    <row r="148" spans="1:2" x14ac:dyDescent="0.25">
      <c r="A148" s="28" t="s">
        <v>28026</v>
      </c>
      <c r="B148" s="28" t="s">
        <v>28027</v>
      </c>
    </row>
    <row r="149" spans="1:2" x14ac:dyDescent="0.25">
      <c r="A149" s="28" t="s">
        <v>28028</v>
      </c>
      <c r="B149" s="28" t="s">
        <v>28029</v>
      </c>
    </row>
    <row r="150" spans="1:2" x14ac:dyDescent="0.25">
      <c r="A150" s="28" t="s">
        <v>28030</v>
      </c>
      <c r="B150" s="28" t="s">
        <v>28031</v>
      </c>
    </row>
    <row r="151" spans="1:2" x14ac:dyDescent="0.25">
      <c r="A151" s="28" t="s">
        <v>28032</v>
      </c>
      <c r="B151" s="28" t="s">
        <v>28033</v>
      </c>
    </row>
    <row r="152" spans="1:2" x14ac:dyDescent="0.25">
      <c r="A152" s="28" t="s">
        <v>28034</v>
      </c>
      <c r="B152" s="28" t="s">
        <v>28035</v>
      </c>
    </row>
    <row r="153" spans="1:2" x14ac:dyDescent="0.25">
      <c r="A153" s="28" t="s">
        <v>28036</v>
      </c>
      <c r="B153" s="28" t="s">
        <v>28037</v>
      </c>
    </row>
    <row r="154" spans="1:2" x14ac:dyDescent="0.25">
      <c r="A154" s="28" t="s">
        <v>28038</v>
      </c>
      <c r="B154" s="28" t="s">
        <v>28039</v>
      </c>
    </row>
    <row r="155" spans="1:2" x14ac:dyDescent="0.25">
      <c r="A155" s="28" t="s">
        <v>28040</v>
      </c>
      <c r="B155" s="28" t="s">
        <v>28041</v>
      </c>
    </row>
    <row r="156" spans="1:2" x14ac:dyDescent="0.25">
      <c r="A156" s="28" t="s">
        <v>28443</v>
      </c>
      <c r="B156" s="28" t="s">
        <v>28042</v>
      </c>
    </row>
    <row r="157" spans="1:2" x14ac:dyDescent="0.25">
      <c r="A157" s="28" t="s">
        <v>28043</v>
      </c>
      <c r="B157" s="28" t="s">
        <v>28044</v>
      </c>
    </row>
    <row r="158" spans="1:2" x14ac:dyDescent="0.25">
      <c r="A158" s="28" t="s">
        <v>28045</v>
      </c>
      <c r="B158" s="28" t="s">
        <v>28046</v>
      </c>
    </row>
    <row r="159" spans="1:2" x14ac:dyDescent="0.25">
      <c r="A159" s="28" t="s">
        <v>28047</v>
      </c>
      <c r="B159" s="28" t="s">
        <v>28048</v>
      </c>
    </row>
    <row r="160" spans="1:2" x14ac:dyDescent="0.25">
      <c r="A160" s="28" t="s">
        <v>28049</v>
      </c>
      <c r="B160" s="28" t="s">
        <v>28050</v>
      </c>
    </row>
    <row r="161" spans="1:2" x14ac:dyDescent="0.25">
      <c r="A161" s="28" t="s">
        <v>28051</v>
      </c>
      <c r="B161" s="28" t="s">
        <v>28052</v>
      </c>
    </row>
    <row r="162" spans="1:2" x14ac:dyDescent="0.25">
      <c r="A162" s="28" t="s">
        <v>28053</v>
      </c>
      <c r="B162" s="28" t="s">
        <v>28054</v>
      </c>
    </row>
    <row r="163" spans="1:2" x14ac:dyDescent="0.25">
      <c r="A163" s="28" t="s">
        <v>28055</v>
      </c>
      <c r="B163" s="28" t="s">
        <v>28056</v>
      </c>
    </row>
    <row r="164" spans="1:2" x14ac:dyDescent="0.25">
      <c r="A164" s="28" t="s">
        <v>28057</v>
      </c>
      <c r="B164" s="28" t="s">
        <v>28058</v>
      </c>
    </row>
    <row r="165" spans="1:2" x14ac:dyDescent="0.25">
      <c r="A165" s="28" t="s">
        <v>28059</v>
      </c>
      <c r="B165" s="28" t="s">
        <v>28060</v>
      </c>
    </row>
    <row r="166" spans="1:2" x14ac:dyDescent="0.25">
      <c r="A166" s="28" t="s">
        <v>28061</v>
      </c>
      <c r="B166" s="28" t="s">
        <v>28062</v>
      </c>
    </row>
    <row r="167" spans="1:2" x14ac:dyDescent="0.25">
      <c r="A167" s="28" t="s">
        <v>28063</v>
      </c>
      <c r="B167" s="28" t="s">
        <v>28064</v>
      </c>
    </row>
    <row r="168" spans="1:2" x14ac:dyDescent="0.25">
      <c r="A168" s="28" t="s">
        <v>28065</v>
      </c>
      <c r="B168" s="28" t="s">
        <v>28066</v>
      </c>
    </row>
    <row r="169" spans="1:2" x14ac:dyDescent="0.25">
      <c r="A169" s="28" t="s">
        <v>28067</v>
      </c>
      <c r="B169" s="28" t="s">
        <v>28068</v>
      </c>
    </row>
    <row r="170" spans="1:2" x14ac:dyDescent="0.25">
      <c r="A170" s="28" t="s">
        <v>28069</v>
      </c>
      <c r="B170" s="28" t="s">
        <v>28070</v>
      </c>
    </row>
    <row r="171" spans="1:2" x14ac:dyDescent="0.25">
      <c r="A171" s="28" t="s">
        <v>28071</v>
      </c>
      <c r="B171" s="28" t="s">
        <v>28072</v>
      </c>
    </row>
    <row r="172" spans="1:2" x14ac:dyDescent="0.25">
      <c r="A172" s="28" t="s">
        <v>28073</v>
      </c>
      <c r="B172" s="28" t="s">
        <v>28074</v>
      </c>
    </row>
    <row r="173" spans="1:2" x14ac:dyDescent="0.25">
      <c r="A173" s="28" t="s">
        <v>28075</v>
      </c>
      <c r="B173" s="28" t="s">
        <v>28076</v>
      </c>
    </row>
    <row r="174" spans="1:2" x14ac:dyDescent="0.25">
      <c r="A174" s="28" t="s">
        <v>28077</v>
      </c>
      <c r="B174" s="28" t="s">
        <v>28078</v>
      </c>
    </row>
    <row r="175" spans="1:2" x14ac:dyDescent="0.25">
      <c r="A175" s="28" t="s">
        <v>28079</v>
      </c>
      <c r="B175" s="28" t="s">
        <v>28080</v>
      </c>
    </row>
    <row r="176" spans="1:2" x14ac:dyDescent="0.25">
      <c r="A176" s="28" t="s">
        <v>28081</v>
      </c>
      <c r="B176" s="28" t="s">
        <v>28082</v>
      </c>
    </row>
    <row r="177" spans="1:2" x14ac:dyDescent="0.25">
      <c r="A177" s="28" t="s">
        <v>28083</v>
      </c>
      <c r="B177" s="28" t="s">
        <v>28084</v>
      </c>
    </row>
    <row r="178" spans="1:2" x14ac:dyDescent="0.25">
      <c r="A178" s="28" t="s">
        <v>28085</v>
      </c>
      <c r="B178" s="28" t="s">
        <v>28086</v>
      </c>
    </row>
    <row r="179" spans="1:2" x14ac:dyDescent="0.25">
      <c r="A179" s="28" t="s">
        <v>28087</v>
      </c>
      <c r="B179" s="28" t="s">
        <v>28088</v>
      </c>
    </row>
    <row r="180" spans="1:2" x14ac:dyDescent="0.25">
      <c r="A180" s="28" t="s">
        <v>28089</v>
      </c>
      <c r="B180" s="28" t="s">
        <v>28090</v>
      </c>
    </row>
    <row r="181" spans="1:2" x14ac:dyDescent="0.25">
      <c r="A181" s="28" t="s">
        <v>28091</v>
      </c>
      <c r="B181" s="28" t="s">
        <v>28092</v>
      </c>
    </row>
    <row r="182" spans="1:2" x14ac:dyDescent="0.25">
      <c r="A182" s="28" t="s">
        <v>28093</v>
      </c>
      <c r="B182" s="28" t="s">
        <v>28094</v>
      </c>
    </row>
    <row r="183" spans="1:2" x14ac:dyDescent="0.25">
      <c r="A183" s="28" t="s">
        <v>28095</v>
      </c>
      <c r="B183" s="28" t="s">
        <v>28096</v>
      </c>
    </row>
    <row r="184" spans="1:2" x14ac:dyDescent="0.25">
      <c r="A184" s="28" t="s">
        <v>28097</v>
      </c>
      <c r="B184" s="28" t="s">
        <v>28098</v>
      </c>
    </row>
    <row r="185" spans="1:2" x14ac:dyDescent="0.25">
      <c r="A185" s="28" t="s">
        <v>28099</v>
      </c>
      <c r="B185" s="28" t="s">
        <v>28100</v>
      </c>
    </row>
    <row r="186" spans="1:2" x14ac:dyDescent="0.25">
      <c r="A186" s="28" t="s">
        <v>28101</v>
      </c>
      <c r="B186" s="28" t="s">
        <v>28102</v>
      </c>
    </row>
    <row r="187" spans="1:2" x14ac:dyDescent="0.25">
      <c r="A187" s="28" t="s">
        <v>28103</v>
      </c>
      <c r="B187" s="28" t="s">
        <v>28104</v>
      </c>
    </row>
    <row r="188" spans="1:2" x14ac:dyDescent="0.25">
      <c r="A188" s="28" t="s">
        <v>28105</v>
      </c>
      <c r="B188" s="28" t="s">
        <v>28106</v>
      </c>
    </row>
    <row r="189" spans="1:2" x14ac:dyDescent="0.25">
      <c r="A189" s="28" t="s">
        <v>28107</v>
      </c>
      <c r="B189" s="28" t="s">
        <v>28108</v>
      </c>
    </row>
    <row r="190" spans="1:2" x14ac:dyDescent="0.25">
      <c r="A190" s="28" t="s">
        <v>28109</v>
      </c>
      <c r="B190" s="28" t="s">
        <v>28110</v>
      </c>
    </row>
    <row r="191" spans="1:2" x14ac:dyDescent="0.25">
      <c r="A191" s="28" t="s">
        <v>28111</v>
      </c>
      <c r="B191" s="28" t="s">
        <v>28112</v>
      </c>
    </row>
    <row r="192" spans="1:2" x14ac:dyDescent="0.25">
      <c r="A192" s="28" t="s">
        <v>28113</v>
      </c>
      <c r="B192" s="28" t="s">
        <v>28114</v>
      </c>
    </row>
    <row r="193" spans="1:2" x14ac:dyDescent="0.25">
      <c r="A193" s="28" t="s">
        <v>28115</v>
      </c>
      <c r="B193" s="28" t="s">
        <v>28116</v>
      </c>
    </row>
    <row r="194" spans="1:2" x14ac:dyDescent="0.25">
      <c r="A194" s="28" t="s">
        <v>28117</v>
      </c>
      <c r="B194" s="28" t="s">
        <v>28118</v>
      </c>
    </row>
    <row r="195" spans="1:2" x14ac:dyDescent="0.25">
      <c r="A195" s="28" t="s">
        <v>28119</v>
      </c>
      <c r="B195" s="28" t="s">
        <v>28120</v>
      </c>
    </row>
    <row r="196" spans="1:2" x14ac:dyDescent="0.25">
      <c r="A196" s="28" t="s">
        <v>28121</v>
      </c>
      <c r="B196" s="28" t="s">
        <v>28122</v>
      </c>
    </row>
    <row r="197" spans="1:2" x14ac:dyDescent="0.25">
      <c r="A197" s="28" t="s">
        <v>28123</v>
      </c>
      <c r="B197" s="28" t="s">
        <v>28124</v>
      </c>
    </row>
    <row r="198" spans="1:2" x14ac:dyDescent="0.25">
      <c r="A198" s="28" t="s">
        <v>28125</v>
      </c>
      <c r="B198" s="28" t="s">
        <v>28126</v>
      </c>
    </row>
    <row r="199" spans="1:2" x14ac:dyDescent="0.25">
      <c r="A199" s="28" t="s">
        <v>28127</v>
      </c>
      <c r="B199" s="28" t="s">
        <v>28128</v>
      </c>
    </row>
    <row r="200" spans="1:2" x14ac:dyDescent="0.25">
      <c r="A200" s="28" t="s">
        <v>28129</v>
      </c>
      <c r="B200" s="28" t="s">
        <v>28130</v>
      </c>
    </row>
    <row r="201" spans="1:2" x14ac:dyDescent="0.25">
      <c r="A201" s="28" t="s">
        <v>28131</v>
      </c>
      <c r="B201" s="28" t="s">
        <v>28132</v>
      </c>
    </row>
    <row r="202" spans="1:2" x14ac:dyDescent="0.25">
      <c r="A202" s="28" t="s">
        <v>28133</v>
      </c>
      <c r="B202" s="28" t="s">
        <v>28134</v>
      </c>
    </row>
    <row r="203" spans="1:2" x14ac:dyDescent="0.25">
      <c r="A203" s="28" t="s">
        <v>28135</v>
      </c>
      <c r="B203" s="28" t="s">
        <v>28136</v>
      </c>
    </row>
    <row r="204" spans="1:2" x14ac:dyDescent="0.25">
      <c r="A204" s="28" t="s">
        <v>28137</v>
      </c>
      <c r="B204" s="28" t="s">
        <v>28138</v>
      </c>
    </row>
    <row r="205" spans="1:2" x14ac:dyDescent="0.25">
      <c r="A205" s="28" t="s">
        <v>28139</v>
      </c>
      <c r="B205" s="28" t="s">
        <v>28140</v>
      </c>
    </row>
    <row r="206" spans="1:2" x14ac:dyDescent="0.25">
      <c r="A206" s="28" t="s">
        <v>28141</v>
      </c>
      <c r="B206" s="28" t="s">
        <v>28142</v>
      </c>
    </row>
    <row r="207" spans="1:2" x14ac:dyDescent="0.25">
      <c r="A207" s="28" t="s">
        <v>28143</v>
      </c>
      <c r="B207" s="28" t="s">
        <v>28144</v>
      </c>
    </row>
    <row r="208" spans="1:2" x14ac:dyDescent="0.25">
      <c r="A208" s="28" t="s">
        <v>28145</v>
      </c>
      <c r="B208" s="28" t="s">
        <v>28146</v>
      </c>
    </row>
    <row r="209" spans="1:2" x14ac:dyDescent="0.25">
      <c r="A209" s="28" t="s">
        <v>28147</v>
      </c>
      <c r="B209" s="28" t="s">
        <v>28148</v>
      </c>
    </row>
    <row r="210" spans="1:2" x14ac:dyDescent="0.25">
      <c r="A210" s="28" t="s">
        <v>28149</v>
      </c>
      <c r="B210" s="28" t="s">
        <v>28150</v>
      </c>
    </row>
    <row r="211" spans="1:2" x14ac:dyDescent="0.25">
      <c r="A211" s="28" t="s">
        <v>28151</v>
      </c>
      <c r="B211" s="28" t="s">
        <v>28152</v>
      </c>
    </row>
    <row r="212" spans="1:2" x14ac:dyDescent="0.25">
      <c r="A212" s="28" t="s">
        <v>28153</v>
      </c>
      <c r="B212" s="28" t="s">
        <v>28154</v>
      </c>
    </row>
    <row r="213" spans="1:2" x14ac:dyDescent="0.25">
      <c r="A213" s="28" t="s">
        <v>28155</v>
      </c>
      <c r="B213" s="28" t="s">
        <v>28156</v>
      </c>
    </row>
    <row r="214" spans="1:2" x14ac:dyDescent="0.25">
      <c r="A214" s="28" t="s">
        <v>28157</v>
      </c>
      <c r="B214" s="28" t="s">
        <v>28158</v>
      </c>
    </row>
    <row r="215" spans="1:2" x14ac:dyDescent="0.25">
      <c r="A215" s="28" t="s">
        <v>28159</v>
      </c>
      <c r="B215" s="28" t="s">
        <v>28160</v>
      </c>
    </row>
    <row r="216" spans="1:2" x14ac:dyDescent="0.25">
      <c r="A216" s="28" t="s">
        <v>28161</v>
      </c>
      <c r="B216" s="28" t="s">
        <v>28162</v>
      </c>
    </row>
    <row r="217" spans="1:2" x14ac:dyDescent="0.25">
      <c r="A217" s="28" t="s">
        <v>28163</v>
      </c>
      <c r="B217" s="28" t="s">
        <v>28164</v>
      </c>
    </row>
    <row r="218" spans="1:2" x14ac:dyDescent="0.25">
      <c r="A218" s="28" t="s">
        <v>28165</v>
      </c>
      <c r="B218" s="28" t="s">
        <v>28166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28167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26765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28168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28444</v>
      </c>
      <c r="B531" s="28" t="s">
        <v>3434</v>
      </c>
    </row>
    <row r="532" spans="1:2" x14ac:dyDescent="0.25">
      <c r="A532" s="28" t="s">
        <v>28445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27192</v>
      </c>
      <c r="B576" s="28" t="s">
        <v>27193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27275</v>
      </c>
      <c r="B593" s="28" t="s">
        <v>27276</v>
      </c>
    </row>
    <row r="594" spans="1:2" x14ac:dyDescent="0.25">
      <c r="A594" s="28" t="s">
        <v>28169</v>
      </c>
      <c r="B594" s="28" t="s">
        <v>28170</v>
      </c>
    </row>
    <row r="595" spans="1:2" x14ac:dyDescent="0.25">
      <c r="A595" s="28" t="s">
        <v>28171</v>
      </c>
      <c r="B595" s="28" t="s">
        <v>28172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28173</v>
      </c>
      <c r="B683" s="28" t="s">
        <v>28174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28175</v>
      </c>
      <c r="B699" s="28" t="s">
        <v>28176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28177</v>
      </c>
      <c r="B712" s="28" t="s">
        <v>28178</v>
      </c>
    </row>
    <row r="713" spans="1:2" x14ac:dyDescent="0.25">
      <c r="A713" s="28" t="s">
        <v>28179</v>
      </c>
      <c r="B713" s="28" t="s">
        <v>28180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28181</v>
      </c>
      <c r="B715" s="28" t="s">
        <v>28182</v>
      </c>
    </row>
    <row r="716" spans="1:2" x14ac:dyDescent="0.25">
      <c r="A716" s="28" t="s">
        <v>28183</v>
      </c>
      <c r="B716" s="28" t="s">
        <v>28184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28185</v>
      </c>
      <c r="B718" s="28" t="s">
        <v>28186</v>
      </c>
    </row>
    <row r="719" spans="1:2" x14ac:dyDescent="0.25">
      <c r="A719" s="28" t="s">
        <v>28187</v>
      </c>
      <c r="B719" s="28" t="s">
        <v>28188</v>
      </c>
    </row>
    <row r="720" spans="1:2" x14ac:dyDescent="0.25">
      <c r="A720" s="28" t="s">
        <v>28189</v>
      </c>
      <c r="B720" s="28" t="s">
        <v>28190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28191</v>
      </c>
      <c r="B723" s="28" t="s">
        <v>28192</v>
      </c>
    </row>
    <row r="724" spans="1:2" x14ac:dyDescent="0.25">
      <c r="A724" s="28" t="s">
        <v>28193</v>
      </c>
      <c r="B724" s="28" t="s">
        <v>28194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28195</v>
      </c>
      <c r="B726" s="28" t="s">
        <v>28196</v>
      </c>
    </row>
    <row r="727" spans="1:2" x14ac:dyDescent="0.25">
      <c r="A727" s="28" t="s">
        <v>28197</v>
      </c>
      <c r="B727" s="28" t="s">
        <v>28198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28199</v>
      </c>
      <c r="B733" s="28" t="s">
        <v>28200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28201</v>
      </c>
      <c r="B735" s="28" t="s">
        <v>28202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28203</v>
      </c>
      <c r="B742" s="28" t="s">
        <v>28204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28205</v>
      </c>
      <c r="B755" s="28" t="s">
        <v>28206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28207</v>
      </c>
      <c r="B760" s="28" t="s">
        <v>28208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27603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28209</v>
      </c>
      <c r="B782" s="28" t="s">
        <v>28210</v>
      </c>
    </row>
    <row r="783" spans="1:2" x14ac:dyDescent="0.25">
      <c r="A783" s="28" t="s">
        <v>28211</v>
      </c>
      <c r="B783" s="28" t="s">
        <v>28212</v>
      </c>
    </row>
    <row r="784" spans="1:2" x14ac:dyDescent="0.25">
      <c r="A784" s="28" t="s">
        <v>28213</v>
      </c>
      <c r="B784" s="28" t="s">
        <v>28214</v>
      </c>
    </row>
    <row r="785" spans="1:2" x14ac:dyDescent="0.25">
      <c r="A785" s="28" t="s">
        <v>28215</v>
      </c>
      <c r="B785" s="28" t="s">
        <v>28216</v>
      </c>
    </row>
    <row r="786" spans="1:2" x14ac:dyDescent="0.25">
      <c r="A786" s="28" t="s">
        <v>28217</v>
      </c>
      <c r="B786" s="28" t="s">
        <v>28218</v>
      </c>
    </row>
    <row r="787" spans="1:2" x14ac:dyDescent="0.25">
      <c r="A787" s="28" t="s">
        <v>28219</v>
      </c>
      <c r="B787" s="28" t="s">
        <v>28220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28221</v>
      </c>
      <c r="B800" s="28" t="s">
        <v>28222</v>
      </c>
    </row>
    <row r="801" spans="1:2" x14ac:dyDescent="0.25">
      <c r="A801" s="28" t="s">
        <v>27604</v>
      </c>
      <c r="B801" s="28" t="s">
        <v>22379</v>
      </c>
    </row>
    <row r="802" spans="1:2" x14ac:dyDescent="0.25">
      <c r="A802" s="28" t="s">
        <v>28223</v>
      </c>
      <c r="B802" s="28" t="s">
        <v>28224</v>
      </c>
    </row>
    <row r="803" spans="1:2" x14ac:dyDescent="0.25">
      <c r="A803" s="28" t="s">
        <v>28225</v>
      </c>
      <c r="B803" s="28" t="s">
        <v>28226</v>
      </c>
    </row>
    <row r="804" spans="1:2" x14ac:dyDescent="0.25">
      <c r="A804" s="28" t="s">
        <v>28227</v>
      </c>
      <c r="B804" s="28" t="s">
        <v>28228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28229</v>
      </c>
      <c r="B826" s="28" t="s">
        <v>28230</v>
      </c>
    </row>
    <row r="827" spans="1:2" x14ac:dyDescent="0.25">
      <c r="A827" s="28" t="s">
        <v>28231</v>
      </c>
      <c r="B827" s="28" t="s">
        <v>28232</v>
      </c>
    </row>
    <row r="828" spans="1:2" x14ac:dyDescent="0.25">
      <c r="A828" s="28" t="s">
        <v>28233</v>
      </c>
      <c r="B828" s="28" t="s">
        <v>28234</v>
      </c>
    </row>
    <row r="829" spans="1:2" x14ac:dyDescent="0.25">
      <c r="A829" s="28" t="s">
        <v>28235</v>
      </c>
      <c r="B829" s="28" t="s">
        <v>28236</v>
      </c>
    </row>
    <row r="830" spans="1:2" x14ac:dyDescent="0.25">
      <c r="A830" s="28" t="s">
        <v>28237</v>
      </c>
      <c r="B830" s="28" t="s">
        <v>28238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27341</v>
      </c>
      <c r="B903" s="28" t="s">
        <v>27342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28239</v>
      </c>
      <c r="B917" s="28" t="s">
        <v>15002</v>
      </c>
    </row>
    <row r="918" spans="1:2" x14ac:dyDescent="0.25">
      <c r="A918" s="28" t="s">
        <v>28240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27374</v>
      </c>
      <c r="B1075" s="28" t="s">
        <v>27375</v>
      </c>
    </row>
    <row r="1076" spans="1:2" x14ac:dyDescent="0.25">
      <c r="A1076" s="28" t="s">
        <v>27372</v>
      </c>
      <c r="B1076" s="28" t="s">
        <v>27373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27376</v>
      </c>
      <c r="B1078" s="28" t="s">
        <v>27377</v>
      </c>
    </row>
    <row r="1079" spans="1:2" x14ac:dyDescent="0.25">
      <c r="A1079" s="28" t="s">
        <v>27378</v>
      </c>
      <c r="B1079" s="28" t="s">
        <v>27379</v>
      </c>
    </row>
    <row r="1080" spans="1:2" x14ac:dyDescent="0.25">
      <c r="A1080" s="28" t="s">
        <v>27380</v>
      </c>
      <c r="B1080" s="28" t="s">
        <v>27381</v>
      </c>
    </row>
    <row r="1081" spans="1:2" x14ac:dyDescent="0.25">
      <c r="A1081" s="28" t="s">
        <v>27382</v>
      </c>
      <c r="B1081" s="28" t="s">
        <v>27383</v>
      </c>
    </row>
    <row r="1082" spans="1:2" x14ac:dyDescent="0.25">
      <c r="A1082" s="28" t="s">
        <v>27384</v>
      </c>
      <c r="B1082" s="28" t="s">
        <v>27385</v>
      </c>
    </row>
    <row r="1083" spans="1:2" x14ac:dyDescent="0.25">
      <c r="A1083" s="28" t="s">
        <v>27386</v>
      </c>
      <c r="B1083" s="28" t="s">
        <v>27387</v>
      </c>
    </row>
    <row r="1084" spans="1:2" x14ac:dyDescent="0.25">
      <c r="A1084" s="28" t="s">
        <v>27388</v>
      </c>
      <c r="B1084" s="28" t="s">
        <v>27389</v>
      </c>
    </row>
    <row r="1085" spans="1:2" x14ac:dyDescent="0.25">
      <c r="A1085" s="28" t="s">
        <v>27390</v>
      </c>
      <c r="B1085" s="28" t="s">
        <v>27391</v>
      </c>
    </row>
    <row r="1086" spans="1:2" x14ac:dyDescent="0.25">
      <c r="A1086" s="28" t="s">
        <v>27392</v>
      </c>
      <c r="B1086" s="28" t="s">
        <v>27393</v>
      </c>
    </row>
    <row r="1087" spans="1:2" x14ac:dyDescent="0.25">
      <c r="A1087" s="28" t="s">
        <v>27394</v>
      </c>
      <c r="B1087" s="28" t="s">
        <v>27395</v>
      </c>
    </row>
    <row r="1088" spans="1:2" x14ac:dyDescent="0.25">
      <c r="A1088" s="28" t="s">
        <v>27396</v>
      </c>
      <c r="B1088" s="28" t="s">
        <v>27397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27357</v>
      </c>
      <c r="B1097" s="28" t="s">
        <v>27358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27369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27398</v>
      </c>
      <c r="B1124" s="28" t="s">
        <v>27399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27434</v>
      </c>
      <c r="B1182" s="28" t="s">
        <v>27435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27400</v>
      </c>
      <c r="B1227" s="28" t="s">
        <v>27401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27359</v>
      </c>
      <c r="B1240" s="28" t="s">
        <v>27360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27361</v>
      </c>
      <c r="B1245" s="28" t="s">
        <v>27362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27621</v>
      </c>
      <c r="B1254" s="28" t="s">
        <v>27622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27363</v>
      </c>
      <c r="B1259" s="28" t="s">
        <v>27364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27402</v>
      </c>
      <c r="B1278" s="28" t="s">
        <v>27403</v>
      </c>
    </row>
    <row r="1279" spans="1:2" x14ac:dyDescent="0.25">
      <c r="A1279" s="28" t="s">
        <v>27365</v>
      </c>
      <c r="B1279" s="28" t="s">
        <v>27366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27367</v>
      </c>
      <c r="B1289" s="28" t="s">
        <v>27368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27404</v>
      </c>
      <c r="B1368" s="28" t="s">
        <v>27405</v>
      </c>
    </row>
    <row r="1369" spans="1:2" x14ac:dyDescent="0.25">
      <c r="A1369" s="28" t="s">
        <v>27406</v>
      </c>
      <c r="B1369" s="28" t="s">
        <v>27407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27075</v>
      </c>
      <c r="B1476" s="28" t="s">
        <v>27076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27277</v>
      </c>
      <c r="B1510" s="28" t="s">
        <v>27278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27408</v>
      </c>
      <c r="B1608" s="28" t="s">
        <v>27409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27355</v>
      </c>
      <c r="B1628" s="28" t="s">
        <v>27356</v>
      </c>
    </row>
    <row r="1629" spans="1:2" x14ac:dyDescent="0.25">
      <c r="A1629" s="28" t="s">
        <v>27353</v>
      </c>
      <c r="B1629" s="28" t="s">
        <v>27354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27432</v>
      </c>
      <c r="B1644" s="28" t="s">
        <v>27433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27343</v>
      </c>
      <c r="B1769" s="28" t="s">
        <v>27344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26788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27623</v>
      </c>
      <c r="B2023" s="28" t="s">
        <v>27624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27625</v>
      </c>
      <c r="B2046" s="28" t="s">
        <v>27626</v>
      </c>
    </row>
    <row r="2047" spans="1:2" x14ac:dyDescent="0.25">
      <c r="A2047" s="28" t="s">
        <v>27627</v>
      </c>
      <c r="B2047" s="28" t="s">
        <v>27628</v>
      </c>
    </row>
    <row r="2048" spans="1:2" x14ac:dyDescent="0.25">
      <c r="A2048" s="28" t="s">
        <v>27629</v>
      </c>
      <c r="B2048" s="28" t="s">
        <v>27630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27631</v>
      </c>
      <c r="B2050" s="28" t="s">
        <v>27632</v>
      </c>
    </row>
    <row r="2051" spans="1:2" x14ac:dyDescent="0.25">
      <c r="A2051" s="28" t="s">
        <v>27633</v>
      </c>
      <c r="B2051" s="28" t="s">
        <v>27634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27635</v>
      </c>
      <c r="B2099" s="28" t="s">
        <v>27636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26725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27637</v>
      </c>
      <c r="B2220" s="28" t="s">
        <v>27638</v>
      </c>
    </row>
    <row r="2221" spans="1:2" x14ac:dyDescent="0.25">
      <c r="A2221" s="28" t="s">
        <v>27639</v>
      </c>
      <c r="B2221" s="28" t="s">
        <v>27640</v>
      </c>
    </row>
    <row r="2222" spans="1:2" x14ac:dyDescent="0.25">
      <c r="A2222" s="28" t="s">
        <v>27641</v>
      </c>
      <c r="B2222" s="28" t="s">
        <v>27642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27035</v>
      </c>
      <c r="B2228" s="28" t="s">
        <v>27036</v>
      </c>
    </row>
    <row r="2229" spans="1:2" x14ac:dyDescent="0.25">
      <c r="A2229" s="28" t="s">
        <v>27643</v>
      </c>
      <c r="B2229" s="28" t="s">
        <v>27644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26859</v>
      </c>
      <c r="B2232" s="28" t="s">
        <v>26860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27645</v>
      </c>
      <c r="B2238" s="28" t="s">
        <v>27646</v>
      </c>
    </row>
    <row r="2239" spans="1:2" x14ac:dyDescent="0.25">
      <c r="A2239" s="28" t="s">
        <v>26853</v>
      </c>
      <c r="B2239" s="28" t="s">
        <v>26854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27647</v>
      </c>
      <c r="B2248" s="28" t="s">
        <v>27648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26726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27649</v>
      </c>
      <c r="B2300" s="28" t="s">
        <v>27650</v>
      </c>
    </row>
    <row r="2301" spans="1:2" x14ac:dyDescent="0.25">
      <c r="A2301" s="28" t="s">
        <v>27651</v>
      </c>
      <c r="B2301" s="28" t="s">
        <v>27652</v>
      </c>
    </row>
    <row r="2302" spans="1:2" x14ac:dyDescent="0.25">
      <c r="A2302" s="28" t="s">
        <v>26959</v>
      </c>
      <c r="B2302" s="28" t="s">
        <v>26960</v>
      </c>
    </row>
    <row r="2303" spans="1:2" x14ac:dyDescent="0.25">
      <c r="A2303" s="28" t="s">
        <v>26961</v>
      </c>
      <c r="B2303" s="28" t="s">
        <v>26962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26963</v>
      </c>
      <c r="B2314" s="28" t="s">
        <v>26964</v>
      </c>
    </row>
    <row r="2315" spans="1:2" x14ac:dyDescent="0.25">
      <c r="A2315" s="28" t="s">
        <v>26965</v>
      </c>
      <c r="B2315" s="28" t="s">
        <v>26966</v>
      </c>
    </row>
    <row r="2316" spans="1:2" x14ac:dyDescent="0.25">
      <c r="A2316" s="28" t="s">
        <v>26967</v>
      </c>
      <c r="B2316" s="28" t="s">
        <v>26968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26724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26776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27055</v>
      </c>
      <c r="B2432" s="28" t="s">
        <v>27056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27653</v>
      </c>
      <c r="B2435" s="28" t="s">
        <v>27654</v>
      </c>
    </row>
    <row r="2436" spans="1:2" x14ac:dyDescent="0.25">
      <c r="A2436" s="28" t="s">
        <v>27655</v>
      </c>
      <c r="B2436" s="28" t="s">
        <v>27656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27286</v>
      </c>
      <c r="B2441" s="28" t="s">
        <v>27287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27288</v>
      </c>
      <c r="B2453" s="28" t="s">
        <v>27289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26780</v>
      </c>
      <c r="B2471" s="28" t="s">
        <v>14327</v>
      </c>
    </row>
    <row r="2472" spans="1:2" x14ac:dyDescent="0.25">
      <c r="A2472" s="28" t="s">
        <v>27657</v>
      </c>
      <c r="B2472" s="28" t="s">
        <v>14358</v>
      </c>
    </row>
    <row r="2473" spans="1:2" x14ac:dyDescent="0.25">
      <c r="A2473" s="28" t="s">
        <v>27279</v>
      </c>
      <c r="B2473" s="28" t="s">
        <v>27280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27281</v>
      </c>
      <c r="B2484" s="28" t="s">
        <v>27282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27290</v>
      </c>
      <c r="B2508" s="28" t="s">
        <v>27291</v>
      </c>
    </row>
    <row r="2509" spans="1:2" x14ac:dyDescent="0.25">
      <c r="A2509" s="28" t="s">
        <v>27294</v>
      </c>
      <c r="B2509" s="28" t="s">
        <v>27295</v>
      </c>
    </row>
    <row r="2510" spans="1:2" x14ac:dyDescent="0.25">
      <c r="A2510" s="28" t="s">
        <v>27292</v>
      </c>
      <c r="B2510" s="28" t="s">
        <v>27293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27305</v>
      </c>
      <c r="B2535" s="28" t="s">
        <v>27306</v>
      </c>
    </row>
    <row r="2536" spans="1:2" x14ac:dyDescent="0.25">
      <c r="A2536" s="28" t="s">
        <v>27303</v>
      </c>
      <c r="B2536" s="28" t="s">
        <v>27304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27307</v>
      </c>
      <c r="B2575" s="28" t="s">
        <v>27308</v>
      </c>
    </row>
    <row r="2576" spans="1:2" x14ac:dyDescent="0.25">
      <c r="A2576" s="28" t="s">
        <v>27299</v>
      </c>
      <c r="B2576" s="28" t="s">
        <v>27300</v>
      </c>
    </row>
    <row r="2577" spans="1:2" x14ac:dyDescent="0.25">
      <c r="A2577" s="28" t="s">
        <v>27301</v>
      </c>
      <c r="B2577" s="28" t="s">
        <v>27302</v>
      </c>
    </row>
    <row r="2578" spans="1:2" x14ac:dyDescent="0.25">
      <c r="A2578" s="28" t="s">
        <v>27297</v>
      </c>
      <c r="B2578" s="28" t="s">
        <v>27298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27658</v>
      </c>
      <c r="B2588" s="28" t="s">
        <v>27285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27283</v>
      </c>
      <c r="B2593" s="28" t="s">
        <v>27284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27296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27309</v>
      </c>
      <c r="B2678" s="28" t="s">
        <v>27310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27311</v>
      </c>
      <c r="B2720" s="28" t="s">
        <v>27312</v>
      </c>
    </row>
    <row r="2721" spans="1:2" x14ac:dyDescent="0.25">
      <c r="A2721" s="28" t="s">
        <v>27313</v>
      </c>
      <c r="B2721" s="28" t="s">
        <v>27314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27315</v>
      </c>
      <c r="B2725" s="28" t="s">
        <v>27316</v>
      </c>
    </row>
    <row r="2726" spans="1:2" x14ac:dyDescent="0.25">
      <c r="A2726" s="28" t="s">
        <v>27317</v>
      </c>
      <c r="B2726" s="28" t="s">
        <v>27318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27323</v>
      </c>
      <c r="B2739" s="28" t="s">
        <v>27324</v>
      </c>
    </row>
    <row r="2740" spans="1:2" x14ac:dyDescent="0.25">
      <c r="A2740" s="28" t="s">
        <v>27319</v>
      </c>
      <c r="B2740" s="28" t="s">
        <v>27320</v>
      </c>
    </row>
    <row r="2741" spans="1:2" x14ac:dyDescent="0.25">
      <c r="A2741" s="28" t="s">
        <v>27321</v>
      </c>
      <c r="B2741" s="28" t="s">
        <v>27322</v>
      </c>
    </row>
    <row r="2742" spans="1:2" x14ac:dyDescent="0.25">
      <c r="A2742" s="28" t="s">
        <v>27331</v>
      </c>
      <c r="B2742" s="28" t="s">
        <v>27332</v>
      </c>
    </row>
    <row r="2743" spans="1:2" x14ac:dyDescent="0.25">
      <c r="A2743" s="28" t="s">
        <v>27327</v>
      </c>
      <c r="B2743" s="28" t="s">
        <v>27328</v>
      </c>
    </row>
    <row r="2744" spans="1:2" x14ac:dyDescent="0.25">
      <c r="A2744" s="28" t="s">
        <v>27325</v>
      </c>
      <c r="B2744" s="28" t="s">
        <v>27326</v>
      </c>
    </row>
    <row r="2745" spans="1:2" x14ac:dyDescent="0.25">
      <c r="A2745" s="28" t="s">
        <v>27329</v>
      </c>
      <c r="B2745" s="28" t="s">
        <v>27330</v>
      </c>
    </row>
    <row r="2746" spans="1:2" x14ac:dyDescent="0.25">
      <c r="A2746" s="28" t="s">
        <v>27333</v>
      </c>
      <c r="B2746" s="28" t="s">
        <v>27334</v>
      </c>
    </row>
    <row r="2747" spans="1:2" x14ac:dyDescent="0.25">
      <c r="A2747" s="28" t="s">
        <v>27335</v>
      </c>
      <c r="B2747" s="28" t="s">
        <v>27336</v>
      </c>
    </row>
    <row r="2748" spans="1:2" x14ac:dyDescent="0.25">
      <c r="A2748" s="28" t="s">
        <v>27337</v>
      </c>
      <c r="B2748" s="28" t="s">
        <v>27338</v>
      </c>
    </row>
    <row r="2749" spans="1:2" x14ac:dyDescent="0.25">
      <c r="A2749" s="28" t="s">
        <v>27339</v>
      </c>
      <c r="B2749" s="28" t="s">
        <v>27340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26770</v>
      </c>
      <c r="B2871" s="28" t="s">
        <v>7382</v>
      </c>
    </row>
    <row r="2872" spans="1:2" x14ac:dyDescent="0.25">
      <c r="A2872" s="28" t="s">
        <v>26771</v>
      </c>
      <c r="B2872" s="28" t="s">
        <v>7385</v>
      </c>
    </row>
    <row r="2873" spans="1:2" x14ac:dyDescent="0.25">
      <c r="A2873" s="28" t="s">
        <v>26769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26766</v>
      </c>
      <c r="B2878" s="28" t="s">
        <v>26833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26772</v>
      </c>
      <c r="B2891" s="28" t="s">
        <v>7886</v>
      </c>
    </row>
    <row r="2892" spans="1:2" x14ac:dyDescent="0.25">
      <c r="A2892" s="28" t="s">
        <v>26774</v>
      </c>
      <c r="B2892" s="28" t="s">
        <v>7888</v>
      </c>
    </row>
    <row r="2893" spans="1:2" x14ac:dyDescent="0.25">
      <c r="A2893" s="28" t="s">
        <v>26773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27099</v>
      </c>
      <c r="B3001" s="28" t="s">
        <v>27100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27101</v>
      </c>
      <c r="B3006" s="28" t="s">
        <v>27102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27103</v>
      </c>
      <c r="B3008" s="28" t="s">
        <v>27104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27105</v>
      </c>
      <c r="B3013" s="28" t="s">
        <v>27106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27118</v>
      </c>
      <c r="B3036" s="28" t="s">
        <v>27119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27120</v>
      </c>
      <c r="B3038" s="28" t="s">
        <v>27121</v>
      </c>
    </row>
    <row r="3039" spans="1:2" x14ac:dyDescent="0.25">
      <c r="A3039" s="28" t="s">
        <v>27122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27123</v>
      </c>
      <c r="B3042" s="28" t="s">
        <v>27124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27125</v>
      </c>
      <c r="B3045" s="28" t="s">
        <v>9199</v>
      </c>
    </row>
    <row r="3046" spans="1:2" x14ac:dyDescent="0.25">
      <c r="A3046" s="28" t="s">
        <v>27126</v>
      </c>
      <c r="B3046" s="28" t="s">
        <v>27127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27128</v>
      </c>
      <c r="B3049" s="28" t="s">
        <v>27129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27130</v>
      </c>
      <c r="B3051" s="28" t="s">
        <v>27131</v>
      </c>
    </row>
    <row r="3052" spans="1:2" x14ac:dyDescent="0.25">
      <c r="A3052" s="28" t="s">
        <v>27659</v>
      </c>
      <c r="B3052" s="28" t="s">
        <v>9300</v>
      </c>
    </row>
    <row r="3053" spans="1:2" x14ac:dyDescent="0.25">
      <c r="A3053" s="28" t="s">
        <v>27138</v>
      </c>
      <c r="B3053" s="28" t="s">
        <v>27139</v>
      </c>
    </row>
    <row r="3054" spans="1:2" x14ac:dyDescent="0.25">
      <c r="A3054" s="28" t="s">
        <v>27136</v>
      </c>
      <c r="B3054" s="28" t="s">
        <v>27137</v>
      </c>
    </row>
    <row r="3055" spans="1:2" x14ac:dyDescent="0.25">
      <c r="A3055" s="28" t="s">
        <v>27660</v>
      </c>
      <c r="B3055" s="28" t="s">
        <v>9301</v>
      </c>
    </row>
    <row r="3056" spans="1:2" x14ac:dyDescent="0.25">
      <c r="A3056" s="28" t="s">
        <v>27140</v>
      </c>
      <c r="B3056" s="28" t="s">
        <v>27141</v>
      </c>
    </row>
    <row r="3057" spans="1:2" x14ac:dyDescent="0.25">
      <c r="A3057" s="28" t="s">
        <v>27661</v>
      </c>
      <c r="B3057" s="28" t="s">
        <v>9302</v>
      </c>
    </row>
    <row r="3058" spans="1:2" x14ac:dyDescent="0.25">
      <c r="A3058" s="28" t="s">
        <v>27662</v>
      </c>
      <c r="B3058" s="28" t="s">
        <v>9303</v>
      </c>
    </row>
    <row r="3059" spans="1:2" x14ac:dyDescent="0.25">
      <c r="A3059" s="28" t="s">
        <v>27142</v>
      </c>
      <c r="B3059" s="28" t="s">
        <v>27143</v>
      </c>
    </row>
    <row r="3060" spans="1:2" x14ac:dyDescent="0.25">
      <c r="A3060" s="28" t="s">
        <v>27663</v>
      </c>
      <c r="B3060" s="28" t="s">
        <v>9304</v>
      </c>
    </row>
    <row r="3061" spans="1:2" x14ac:dyDescent="0.25">
      <c r="A3061" s="28" t="s">
        <v>27144</v>
      </c>
      <c r="B3061" s="28" t="s">
        <v>27145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27089</v>
      </c>
      <c r="B3074" s="28" t="s">
        <v>27090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27172</v>
      </c>
      <c r="B3179" s="28" t="s">
        <v>27173</v>
      </c>
    </row>
    <row r="3180" spans="1:2" x14ac:dyDescent="0.25">
      <c r="A3180" s="28" t="s">
        <v>27174</v>
      </c>
      <c r="B3180" s="28" t="s">
        <v>27175</v>
      </c>
    </row>
    <row r="3181" spans="1:2" x14ac:dyDescent="0.25">
      <c r="A3181" s="28" t="s">
        <v>27176</v>
      </c>
      <c r="B3181" s="28" t="s">
        <v>27177</v>
      </c>
    </row>
    <row r="3182" spans="1:2" x14ac:dyDescent="0.25">
      <c r="A3182" s="28" t="s">
        <v>27178</v>
      </c>
      <c r="B3182" s="28" t="s">
        <v>27179</v>
      </c>
    </row>
    <row r="3183" spans="1:2" x14ac:dyDescent="0.25">
      <c r="A3183" s="28" t="s">
        <v>27180</v>
      </c>
      <c r="B3183" s="28" t="s">
        <v>27181</v>
      </c>
    </row>
    <row r="3184" spans="1:2" x14ac:dyDescent="0.25">
      <c r="A3184" s="28" t="s">
        <v>27182</v>
      </c>
      <c r="B3184" s="28" t="s">
        <v>27183</v>
      </c>
    </row>
    <row r="3185" spans="1:2" x14ac:dyDescent="0.25">
      <c r="A3185" s="28" t="s">
        <v>27184</v>
      </c>
      <c r="B3185" s="28" t="s">
        <v>27185</v>
      </c>
    </row>
    <row r="3186" spans="1:2" x14ac:dyDescent="0.25">
      <c r="A3186" s="28" t="s">
        <v>27190</v>
      </c>
      <c r="B3186" s="28" t="s">
        <v>27191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26775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27410</v>
      </c>
      <c r="B3679" s="28" t="s">
        <v>27411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27414</v>
      </c>
      <c r="B3681" s="28" t="s">
        <v>27415</v>
      </c>
    </row>
    <row r="3682" spans="1:2" x14ac:dyDescent="0.25">
      <c r="A3682" s="28" t="s">
        <v>27412</v>
      </c>
      <c r="B3682" s="28" t="s">
        <v>27413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27664</v>
      </c>
      <c r="B3690" s="28" t="s">
        <v>27665</v>
      </c>
    </row>
    <row r="3691" spans="1:2" x14ac:dyDescent="0.25">
      <c r="A3691" s="28" t="s">
        <v>27666</v>
      </c>
      <c r="B3691" s="28" t="s">
        <v>27667</v>
      </c>
    </row>
    <row r="3692" spans="1:2" x14ac:dyDescent="0.25">
      <c r="A3692" s="28" t="s">
        <v>27668</v>
      </c>
      <c r="B3692" s="28" t="s">
        <v>27669</v>
      </c>
    </row>
    <row r="3693" spans="1:2" x14ac:dyDescent="0.25">
      <c r="A3693" s="28" t="s">
        <v>27670</v>
      </c>
      <c r="B3693" s="28" t="s">
        <v>27671</v>
      </c>
    </row>
    <row r="3694" spans="1:2" x14ac:dyDescent="0.25">
      <c r="A3694" s="28" t="s">
        <v>27672</v>
      </c>
      <c r="B3694" s="28" t="s">
        <v>27673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26779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27349</v>
      </c>
      <c r="B4502" s="28" t="s">
        <v>27350</v>
      </c>
    </row>
    <row r="4503" spans="1:2" x14ac:dyDescent="0.25">
      <c r="A4503" s="28" t="s">
        <v>27351</v>
      </c>
      <c r="B4503" s="28" t="s">
        <v>27352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27347</v>
      </c>
      <c r="B4505" s="28" t="s">
        <v>27348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27345</v>
      </c>
      <c r="B4508" s="28" t="s">
        <v>27346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27674</v>
      </c>
      <c r="B4881" s="28" t="s">
        <v>2505</v>
      </c>
    </row>
    <row r="4882" spans="1:2" x14ac:dyDescent="0.25">
      <c r="A4882" s="28" t="s">
        <v>26764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27675</v>
      </c>
      <c r="B5103" s="28" t="s">
        <v>27676</v>
      </c>
    </row>
    <row r="5104" spans="1:2" x14ac:dyDescent="0.25">
      <c r="A5104" s="28" t="s">
        <v>27677</v>
      </c>
      <c r="B5104" s="28" t="s">
        <v>27678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27679</v>
      </c>
      <c r="B5125" s="28" t="s">
        <v>27680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27681</v>
      </c>
      <c r="B5148" s="28" t="s">
        <v>27682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27683</v>
      </c>
      <c r="B5165" s="28" t="s">
        <v>27684</v>
      </c>
    </row>
    <row r="5166" spans="1:2" x14ac:dyDescent="0.25">
      <c r="A5166" s="28" t="s">
        <v>27685</v>
      </c>
      <c r="B5166" s="28" t="s">
        <v>27686</v>
      </c>
    </row>
    <row r="5167" spans="1:2" x14ac:dyDescent="0.25">
      <c r="A5167" s="28" t="s">
        <v>27687</v>
      </c>
      <c r="B5167" s="28" t="s">
        <v>27688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27689</v>
      </c>
      <c r="B5297" s="28" t="s">
        <v>27690</v>
      </c>
    </row>
    <row r="5298" spans="1:2" x14ac:dyDescent="0.25">
      <c r="A5298" s="28" t="s">
        <v>27691</v>
      </c>
      <c r="B5298" s="28" t="s">
        <v>27692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27693</v>
      </c>
      <c r="B5374" s="28" t="s">
        <v>27694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27695</v>
      </c>
      <c r="B5381" s="28" t="s">
        <v>27696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27039</v>
      </c>
      <c r="B5391" s="28" t="s">
        <v>27040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27037</v>
      </c>
      <c r="B5393" s="28" t="s">
        <v>27038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26763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27049</v>
      </c>
      <c r="B5477" s="28" t="s">
        <v>27050</v>
      </c>
    </row>
    <row r="5478" spans="1:2" x14ac:dyDescent="0.25">
      <c r="A5478" s="28" t="s">
        <v>27047</v>
      </c>
      <c r="B5478" s="28" t="s">
        <v>27048</v>
      </c>
    </row>
    <row r="5479" spans="1:2" x14ac:dyDescent="0.25">
      <c r="A5479" s="28" t="s">
        <v>27051</v>
      </c>
      <c r="B5479" s="28" t="s">
        <v>27052</v>
      </c>
    </row>
    <row r="5480" spans="1:2" x14ac:dyDescent="0.25">
      <c r="A5480" s="28" t="s">
        <v>27053</v>
      </c>
      <c r="B5480" s="28" t="s">
        <v>27054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26745</v>
      </c>
      <c r="B5562" s="28" t="s">
        <v>26815</v>
      </c>
    </row>
    <row r="5563" spans="1:2" x14ac:dyDescent="0.25">
      <c r="A5563" s="28" t="s">
        <v>26746</v>
      </c>
      <c r="B5563" s="28" t="s">
        <v>26816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27697</v>
      </c>
      <c r="B5597" s="28" t="s">
        <v>27698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26940</v>
      </c>
      <c r="B5600" s="28" t="s">
        <v>26941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26942</v>
      </c>
      <c r="B5617" s="28" t="s">
        <v>26943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26747</v>
      </c>
      <c r="B5632" s="28" t="s">
        <v>26817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26712</v>
      </c>
      <c r="B5635" s="28" t="s">
        <v>550</v>
      </c>
    </row>
    <row r="5636" spans="1:2" x14ac:dyDescent="0.25">
      <c r="A5636" s="28" t="s">
        <v>26710</v>
      </c>
      <c r="B5636" s="28" t="s">
        <v>26793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26709</v>
      </c>
      <c r="B5638" s="28" t="s">
        <v>26792</v>
      </c>
    </row>
    <row r="5639" spans="1:2" x14ac:dyDescent="0.25">
      <c r="A5639" s="28" t="s">
        <v>26711</v>
      </c>
      <c r="B5639" s="28" t="s">
        <v>26794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26748</v>
      </c>
      <c r="B5647" s="28" t="s">
        <v>26818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27699</v>
      </c>
      <c r="B5666" s="28" t="s">
        <v>27700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26944</v>
      </c>
      <c r="B5699" s="28" t="s">
        <v>26945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27701</v>
      </c>
      <c r="B5712" s="28" t="s">
        <v>27702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26946</v>
      </c>
      <c r="B5715" s="28" t="s">
        <v>26947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26855</v>
      </c>
      <c r="B5727" s="28" t="s">
        <v>26856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26749</v>
      </c>
      <c r="B5740" s="28" t="s">
        <v>26819</v>
      </c>
    </row>
    <row r="5741" spans="1:2" x14ac:dyDescent="0.25">
      <c r="A5741" s="28" t="s">
        <v>26727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26948</v>
      </c>
      <c r="B5743" s="28" t="s">
        <v>26949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26950</v>
      </c>
      <c r="B5757" s="28" t="s">
        <v>26951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26857</v>
      </c>
      <c r="B5763" s="28" t="s">
        <v>26858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26952</v>
      </c>
      <c r="B5778" s="28" t="s">
        <v>26953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27703</v>
      </c>
      <c r="B5794" s="28" t="s">
        <v>26954</v>
      </c>
    </row>
    <row r="5795" spans="1:2" x14ac:dyDescent="0.25">
      <c r="A5795" s="28" t="s">
        <v>26750</v>
      </c>
      <c r="B5795" s="28" t="s">
        <v>26820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27704</v>
      </c>
      <c r="B5798" s="28" t="s">
        <v>27705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26751</v>
      </c>
      <c r="B5814" s="28" t="s">
        <v>26821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26713</v>
      </c>
      <c r="B5819" s="28" t="s">
        <v>26795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26714</v>
      </c>
      <c r="B5822" s="28" t="s">
        <v>26796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26752</v>
      </c>
      <c r="B5828" s="28" t="s">
        <v>26822</v>
      </c>
    </row>
    <row r="5829" spans="1:2" x14ac:dyDescent="0.25">
      <c r="A5829" s="28" t="s">
        <v>27706</v>
      </c>
      <c r="B5829" s="28" t="s">
        <v>27707</v>
      </c>
    </row>
    <row r="5830" spans="1:2" x14ac:dyDescent="0.25">
      <c r="A5830" s="28" t="s">
        <v>26753</v>
      </c>
      <c r="B5830" s="28" t="s">
        <v>26823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26754</v>
      </c>
      <c r="B5851" s="28" t="s">
        <v>26824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27708</v>
      </c>
      <c r="B5859" s="28" t="s">
        <v>26861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26862</v>
      </c>
      <c r="B5861" s="28" t="s">
        <v>26863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26955</v>
      </c>
      <c r="B5885" s="28" t="s">
        <v>26956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27709</v>
      </c>
      <c r="B5891" s="28" t="s">
        <v>27710</v>
      </c>
    </row>
    <row r="5892" spans="1:2" x14ac:dyDescent="0.25">
      <c r="A5892" s="28" t="s">
        <v>26957</v>
      </c>
      <c r="B5892" s="28" t="s">
        <v>26958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26755</v>
      </c>
      <c r="B5898" s="28" t="s">
        <v>26825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26888</v>
      </c>
      <c r="B5900" s="28" t="s">
        <v>26889</v>
      </c>
    </row>
    <row r="5901" spans="1:2" x14ac:dyDescent="0.25">
      <c r="A5901" s="28" t="s">
        <v>26728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27261</v>
      </c>
      <c r="B5930" s="28" t="s">
        <v>27262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28241</v>
      </c>
      <c r="B5952" s="28" t="s">
        <v>27711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27186</v>
      </c>
      <c r="B6140" s="28" t="s">
        <v>27187</v>
      </c>
    </row>
    <row r="6141" spans="1:2" x14ac:dyDescent="0.25">
      <c r="A6141" s="28" t="s">
        <v>27188</v>
      </c>
      <c r="B6141" s="28" t="s">
        <v>27189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27269</v>
      </c>
      <c r="B6158" s="28" t="s">
        <v>27270</v>
      </c>
    </row>
    <row r="6159" spans="1:2" x14ac:dyDescent="0.25">
      <c r="A6159" s="28" t="s">
        <v>27271</v>
      </c>
      <c r="B6159" s="28" t="s">
        <v>27272</v>
      </c>
    </row>
    <row r="6160" spans="1:2" x14ac:dyDescent="0.25">
      <c r="A6160" s="28" t="s">
        <v>27273</v>
      </c>
      <c r="B6160" s="28" t="s">
        <v>27274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27416</v>
      </c>
      <c r="B6180" s="28" t="s">
        <v>27417</v>
      </c>
    </row>
    <row r="6181" spans="1:2" x14ac:dyDescent="0.25">
      <c r="A6181" s="28" t="s">
        <v>27418</v>
      </c>
      <c r="B6181" s="28" t="s">
        <v>27419</v>
      </c>
    </row>
    <row r="6182" spans="1:2" x14ac:dyDescent="0.25">
      <c r="A6182" s="28" t="s">
        <v>27420</v>
      </c>
      <c r="B6182" s="28" t="s">
        <v>27421</v>
      </c>
    </row>
    <row r="6183" spans="1:2" x14ac:dyDescent="0.25">
      <c r="A6183" s="28" t="s">
        <v>27422</v>
      </c>
      <c r="B6183" s="28" t="s">
        <v>27423</v>
      </c>
    </row>
    <row r="6184" spans="1:2" x14ac:dyDescent="0.25">
      <c r="A6184" s="28" t="s">
        <v>27712</v>
      </c>
      <c r="B6184" s="28" t="s">
        <v>27713</v>
      </c>
    </row>
    <row r="6185" spans="1:2" x14ac:dyDescent="0.25">
      <c r="A6185" s="28" t="s">
        <v>27714</v>
      </c>
      <c r="B6185" s="28" t="s">
        <v>27715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27426</v>
      </c>
      <c r="B6199" s="28" t="s">
        <v>27427</v>
      </c>
    </row>
    <row r="6200" spans="1:2" x14ac:dyDescent="0.25">
      <c r="A6200" s="28" t="s">
        <v>27424</v>
      </c>
      <c r="B6200" s="28" t="s">
        <v>27425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27428</v>
      </c>
      <c r="B6202" s="28" t="s">
        <v>27429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27716</v>
      </c>
      <c r="B6331" s="28" t="s">
        <v>27717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27043</v>
      </c>
      <c r="B6365" s="28" t="s">
        <v>27044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27045</v>
      </c>
      <c r="B6367" s="28" t="s">
        <v>27046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27041</v>
      </c>
      <c r="B6369" s="28" t="s">
        <v>27042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27073</v>
      </c>
      <c r="B6375" s="28" t="s">
        <v>27074</v>
      </c>
    </row>
    <row r="6376" spans="1:2" x14ac:dyDescent="0.25">
      <c r="A6376" s="28" t="s">
        <v>27069</v>
      </c>
      <c r="B6376" s="28" t="s">
        <v>27070</v>
      </c>
    </row>
    <row r="6377" spans="1:2" x14ac:dyDescent="0.25">
      <c r="A6377" s="28" t="s">
        <v>27071</v>
      </c>
      <c r="B6377" s="28" t="s">
        <v>27072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27718</v>
      </c>
      <c r="B6385" s="28" t="s">
        <v>27719</v>
      </c>
    </row>
    <row r="6386" spans="1:2" x14ac:dyDescent="0.25">
      <c r="A6386" s="28" t="s">
        <v>27720</v>
      </c>
      <c r="B6386" s="28" t="s">
        <v>27721</v>
      </c>
    </row>
    <row r="6387" spans="1:2" x14ac:dyDescent="0.25">
      <c r="A6387" s="28" t="s">
        <v>27722</v>
      </c>
      <c r="B6387" s="28" t="s">
        <v>27723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26883</v>
      </c>
      <c r="B6426" s="28" t="s">
        <v>26884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26890</v>
      </c>
      <c r="B6450" s="28" t="s">
        <v>26891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27724</v>
      </c>
      <c r="B6452" s="28" t="s">
        <v>26927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26782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26868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28242</v>
      </c>
      <c r="B7055" s="28" t="s">
        <v>28243</v>
      </c>
    </row>
    <row r="7056" spans="1:2" x14ac:dyDescent="0.25">
      <c r="A7056" s="28" t="s">
        <v>28244</v>
      </c>
      <c r="B7056" s="28" t="s">
        <v>28245</v>
      </c>
    </row>
    <row r="7057" spans="1:2" x14ac:dyDescent="0.25">
      <c r="A7057" s="28" t="s">
        <v>28246</v>
      </c>
      <c r="B7057" s="28" t="s">
        <v>28247</v>
      </c>
    </row>
    <row r="7058" spans="1:2" x14ac:dyDescent="0.25">
      <c r="A7058" s="28" t="s">
        <v>28248</v>
      </c>
      <c r="B7058" s="28" t="s">
        <v>28249</v>
      </c>
    </row>
    <row r="7059" spans="1:2" x14ac:dyDescent="0.25">
      <c r="A7059" s="28" t="s">
        <v>28250</v>
      </c>
      <c r="B7059" s="28" t="s">
        <v>28251</v>
      </c>
    </row>
    <row r="7060" spans="1:2" x14ac:dyDescent="0.25">
      <c r="A7060" s="28" t="s">
        <v>28252</v>
      </c>
      <c r="B7060" s="28" t="s">
        <v>28253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27370</v>
      </c>
      <c r="B7144" s="28" t="s">
        <v>27371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26790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27725</v>
      </c>
      <c r="B7656" s="28" t="s">
        <v>27726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27727</v>
      </c>
      <c r="B7731" s="28" t="s">
        <v>27728</v>
      </c>
    </row>
    <row r="7732" spans="1:2" x14ac:dyDescent="0.25">
      <c r="A7732" s="28" t="s">
        <v>27729</v>
      </c>
      <c r="B7732" s="28" t="s">
        <v>27730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26789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27731</v>
      </c>
      <c r="B7836" s="28" t="s">
        <v>27732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27733</v>
      </c>
      <c r="B7927" s="28" t="s">
        <v>27734</v>
      </c>
    </row>
    <row r="7928" spans="1:2" x14ac:dyDescent="0.25">
      <c r="A7928" s="28" t="s">
        <v>27735</v>
      </c>
      <c r="B7928" s="28" t="s">
        <v>27736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27737</v>
      </c>
      <c r="B7965" s="28" t="s">
        <v>27738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27065</v>
      </c>
      <c r="B8284" s="28" t="s">
        <v>27066</v>
      </c>
    </row>
    <row r="8285" spans="1:2" x14ac:dyDescent="0.25">
      <c r="A8285" s="28" t="s">
        <v>27067</v>
      </c>
      <c r="B8285" s="28" t="s">
        <v>27068</v>
      </c>
    </row>
    <row r="8286" spans="1:2" x14ac:dyDescent="0.25">
      <c r="A8286" s="28" t="s">
        <v>27063</v>
      </c>
      <c r="B8286" s="28" t="s">
        <v>27064</v>
      </c>
    </row>
    <row r="8287" spans="1:2" x14ac:dyDescent="0.25">
      <c r="A8287" s="28" t="s">
        <v>27059</v>
      </c>
      <c r="B8287" s="28" t="s">
        <v>27060</v>
      </c>
    </row>
    <row r="8288" spans="1:2" x14ac:dyDescent="0.25">
      <c r="A8288" s="28" t="s">
        <v>27061</v>
      </c>
      <c r="B8288" s="28" t="s">
        <v>27062</v>
      </c>
    </row>
    <row r="8289" spans="1:2" x14ac:dyDescent="0.25">
      <c r="A8289" s="28" t="s">
        <v>27739</v>
      </c>
      <c r="B8289" s="28" t="s">
        <v>27740</v>
      </c>
    </row>
    <row r="8290" spans="1:2" x14ac:dyDescent="0.25">
      <c r="A8290" s="28" t="s">
        <v>27741</v>
      </c>
      <c r="B8290" s="28" t="s">
        <v>27742</v>
      </c>
    </row>
    <row r="8291" spans="1:2" x14ac:dyDescent="0.25">
      <c r="A8291" s="28" t="s">
        <v>27057</v>
      </c>
      <c r="B8291" s="28" t="s">
        <v>27058</v>
      </c>
    </row>
    <row r="8292" spans="1:2" x14ac:dyDescent="0.25">
      <c r="A8292" s="28" t="s">
        <v>27743</v>
      </c>
      <c r="B8292" s="28" t="s">
        <v>27744</v>
      </c>
    </row>
    <row r="8293" spans="1:2" x14ac:dyDescent="0.25">
      <c r="A8293" s="28" t="s">
        <v>27745</v>
      </c>
      <c r="B8293" s="28" t="s">
        <v>27746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26783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26784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26785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27236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27237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26864</v>
      </c>
      <c r="B8958" s="28" t="s">
        <v>26865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26892</v>
      </c>
      <c r="B8967" s="28" t="s">
        <v>26893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26866</v>
      </c>
      <c r="B8973" s="28" t="s">
        <v>26867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26716</v>
      </c>
      <c r="B8979" s="28" t="s">
        <v>26798</v>
      </c>
    </row>
    <row r="8980" spans="1:2" x14ac:dyDescent="0.25">
      <c r="A8980" s="28" t="s">
        <v>26869</v>
      </c>
      <c r="B8980" s="28" t="s">
        <v>26870</v>
      </c>
    </row>
    <row r="8981" spans="1:2" x14ac:dyDescent="0.25">
      <c r="A8981" s="28" t="s">
        <v>26718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26717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26969</v>
      </c>
      <c r="B8987" s="28" t="s">
        <v>26970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26720</v>
      </c>
      <c r="B9000" s="28" t="s">
        <v>1551</v>
      </c>
    </row>
    <row r="9001" spans="1:2" x14ac:dyDescent="0.25">
      <c r="A9001" s="28" t="s">
        <v>26719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26973</v>
      </c>
      <c r="B9004" s="28" t="s">
        <v>26974</v>
      </c>
    </row>
    <row r="9005" spans="1:2" x14ac:dyDescent="0.25">
      <c r="A9005" s="28" t="s">
        <v>26971</v>
      </c>
      <c r="B9005" s="28" t="s">
        <v>26972</v>
      </c>
    </row>
    <row r="9006" spans="1:2" x14ac:dyDescent="0.25">
      <c r="A9006" s="28" t="s">
        <v>26975</v>
      </c>
      <c r="B9006" s="28" t="s">
        <v>26976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26722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26871</v>
      </c>
      <c r="B9014" s="28" t="s">
        <v>26872</v>
      </c>
    </row>
    <row r="9015" spans="1:2" x14ac:dyDescent="0.25">
      <c r="A9015" s="28" t="s">
        <v>26877</v>
      </c>
      <c r="B9015" s="28" t="s">
        <v>26878</v>
      </c>
    </row>
    <row r="9016" spans="1:2" x14ac:dyDescent="0.25">
      <c r="A9016" s="28" t="s">
        <v>26879</v>
      </c>
      <c r="B9016" s="28" t="s">
        <v>26880</v>
      </c>
    </row>
    <row r="9017" spans="1:2" x14ac:dyDescent="0.25">
      <c r="A9017" s="28" t="s">
        <v>26875</v>
      </c>
      <c r="B9017" s="28" t="s">
        <v>26876</v>
      </c>
    </row>
    <row r="9018" spans="1:2" x14ac:dyDescent="0.25">
      <c r="A9018" s="28" t="s">
        <v>26721</v>
      </c>
      <c r="B9018" s="28" t="s">
        <v>1558</v>
      </c>
    </row>
    <row r="9019" spans="1:2" x14ac:dyDescent="0.25">
      <c r="A9019" s="28" t="s">
        <v>26873</v>
      </c>
      <c r="B9019" s="28" t="s">
        <v>26874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26894</v>
      </c>
      <c r="B9023" s="28" t="s">
        <v>26895</v>
      </c>
    </row>
    <row r="9024" spans="1:2" x14ac:dyDescent="0.25">
      <c r="A9024" s="28" t="s">
        <v>26904</v>
      </c>
      <c r="B9024" s="28" t="s">
        <v>26905</v>
      </c>
    </row>
    <row r="9025" spans="1:2" x14ac:dyDescent="0.25">
      <c r="A9025" s="28" t="s">
        <v>26906</v>
      </c>
      <c r="B9025" s="28" t="s">
        <v>26907</v>
      </c>
    </row>
    <row r="9026" spans="1:2" x14ac:dyDescent="0.25">
      <c r="A9026" s="28" t="s">
        <v>26900</v>
      </c>
      <c r="B9026" s="28" t="s">
        <v>26901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26898</v>
      </c>
      <c r="B9028" s="28" t="s">
        <v>26899</v>
      </c>
    </row>
    <row r="9029" spans="1:2" x14ac:dyDescent="0.25">
      <c r="A9029" s="28" t="s">
        <v>26896</v>
      </c>
      <c r="B9029" s="28" t="s">
        <v>26897</v>
      </c>
    </row>
    <row r="9030" spans="1:2" x14ac:dyDescent="0.25">
      <c r="A9030" s="28" t="s">
        <v>26902</v>
      </c>
      <c r="B9030" s="28" t="s">
        <v>26903</v>
      </c>
    </row>
    <row r="9031" spans="1:2" x14ac:dyDescent="0.25">
      <c r="A9031" s="28" t="s">
        <v>27747</v>
      </c>
      <c r="B9031" s="28" t="s">
        <v>26977</v>
      </c>
    </row>
    <row r="9032" spans="1:2" x14ac:dyDescent="0.25">
      <c r="A9032" s="28" t="s">
        <v>26978</v>
      </c>
      <c r="B9032" s="28" t="s">
        <v>26979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26881</v>
      </c>
      <c r="B9034" s="28" t="s">
        <v>26882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26715</v>
      </c>
      <c r="B9057" s="28" t="s">
        <v>26797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26980</v>
      </c>
      <c r="B9076" s="28" t="s">
        <v>26981</v>
      </c>
    </row>
    <row r="9077" spans="1:2" x14ac:dyDescent="0.25">
      <c r="A9077" s="28" t="s">
        <v>26982</v>
      </c>
      <c r="B9077" s="28" t="s">
        <v>26983</v>
      </c>
    </row>
    <row r="9078" spans="1:2" x14ac:dyDescent="0.25">
      <c r="A9078" s="28" t="s">
        <v>26756</v>
      </c>
      <c r="B9078" s="28" t="s">
        <v>26826</v>
      </c>
    </row>
    <row r="9079" spans="1:2" x14ac:dyDescent="0.25">
      <c r="A9079" s="28" t="s">
        <v>26984</v>
      </c>
      <c r="B9079" s="28" t="s">
        <v>26985</v>
      </c>
    </row>
    <row r="9080" spans="1:2" x14ac:dyDescent="0.25">
      <c r="A9080" s="28" t="s">
        <v>26986</v>
      </c>
      <c r="B9080" s="28" t="s">
        <v>26987</v>
      </c>
    </row>
    <row r="9081" spans="1:2" x14ac:dyDescent="0.25">
      <c r="A9081" s="28" t="s">
        <v>27748</v>
      </c>
      <c r="B9081" s="28" t="s">
        <v>27749</v>
      </c>
    </row>
    <row r="9082" spans="1:2" x14ac:dyDescent="0.25">
      <c r="A9082" s="28" t="s">
        <v>27750</v>
      </c>
      <c r="B9082" s="28" t="s">
        <v>27751</v>
      </c>
    </row>
    <row r="9083" spans="1:2" x14ac:dyDescent="0.25">
      <c r="A9083" s="28" t="s">
        <v>27752</v>
      </c>
      <c r="B9083" s="28" t="s">
        <v>27753</v>
      </c>
    </row>
    <row r="9084" spans="1:2" x14ac:dyDescent="0.25">
      <c r="A9084" s="28" t="s">
        <v>27754</v>
      </c>
      <c r="B9084" s="28" t="s">
        <v>27755</v>
      </c>
    </row>
    <row r="9085" spans="1:2" x14ac:dyDescent="0.25">
      <c r="A9085" s="28" t="s">
        <v>26988</v>
      </c>
      <c r="B9085" s="28" t="s">
        <v>26989</v>
      </c>
    </row>
    <row r="9086" spans="1:2" x14ac:dyDescent="0.25">
      <c r="A9086" s="28" t="s">
        <v>26759</v>
      </c>
      <c r="B9086" s="28" t="s">
        <v>26829</v>
      </c>
    </row>
    <row r="9087" spans="1:2" x14ac:dyDescent="0.25">
      <c r="A9087" s="28" t="s">
        <v>26757</v>
      </c>
      <c r="B9087" s="28" t="s">
        <v>26827</v>
      </c>
    </row>
    <row r="9088" spans="1:2" x14ac:dyDescent="0.25">
      <c r="A9088" s="28" t="s">
        <v>26758</v>
      </c>
      <c r="B9088" s="28" t="s">
        <v>26828</v>
      </c>
    </row>
    <row r="9089" spans="1:2" x14ac:dyDescent="0.25">
      <c r="A9089" s="28" t="s">
        <v>26761</v>
      </c>
      <c r="B9089" s="28" t="s">
        <v>26831</v>
      </c>
    </row>
    <row r="9090" spans="1:2" x14ac:dyDescent="0.25">
      <c r="A9090" s="28" t="s">
        <v>26760</v>
      </c>
      <c r="B9090" s="28" t="s">
        <v>26830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26723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26994</v>
      </c>
      <c r="B9098" s="28" t="s">
        <v>26995</v>
      </c>
    </row>
    <row r="9099" spans="1:2" x14ac:dyDescent="0.25">
      <c r="A9099" s="28" t="s">
        <v>26992</v>
      </c>
      <c r="B9099" s="28" t="s">
        <v>26993</v>
      </c>
    </row>
    <row r="9100" spans="1:2" x14ac:dyDescent="0.25">
      <c r="A9100" s="28" t="s">
        <v>26990</v>
      </c>
      <c r="B9100" s="28" t="s">
        <v>26991</v>
      </c>
    </row>
    <row r="9101" spans="1:2" x14ac:dyDescent="0.25">
      <c r="A9101" s="28" t="s">
        <v>26996</v>
      </c>
      <c r="B9101" s="28" t="s">
        <v>26997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27756</v>
      </c>
      <c r="B9122" s="28" t="s">
        <v>27757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27020</v>
      </c>
      <c r="B9138" s="28" t="s">
        <v>27021</v>
      </c>
    </row>
    <row r="9139" spans="1:2" x14ac:dyDescent="0.25">
      <c r="A9139" s="28" t="s">
        <v>27022</v>
      </c>
      <c r="B9139" s="28" t="s">
        <v>27023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27024</v>
      </c>
      <c r="B9141" s="28" t="s">
        <v>27025</v>
      </c>
    </row>
    <row r="9142" spans="1:2" x14ac:dyDescent="0.25">
      <c r="A9142" s="28" t="s">
        <v>27758</v>
      </c>
      <c r="B9142" s="28" t="s">
        <v>27759</v>
      </c>
    </row>
    <row r="9143" spans="1:2" x14ac:dyDescent="0.25">
      <c r="A9143" s="28" t="s">
        <v>27026</v>
      </c>
      <c r="B9143" s="28" t="s">
        <v>27027</v>
      </c>
    </row>
    <row r="9144" spans="1:2" x14ac:dyDescent="0.25">
      <c r="A9144" s="28" t="s">
        <v>27760</v>
      </c>
      <c r="B9144" s="28" t="s">
        <v>27032</v>
      </c>
    </row>
    <row r="9145" spans="1:2" x14ac:dyDescent="0.25">
      <c r="A9145" s="28" t="s">
        <v>27030</v>
      </c>
      <c r="B9145" s="28" t="s">
        <v>27031</v>
      </c>
    </row>
    <row r="9146" spans="1:2" x14ac:dyDescent="0.25">
      <c r="A9146" s="28" t="s">
        <v>27028</v>
      </c>
      <c r="B9146" s="28" t="s">
        <v>27029</v>
      </c>
    </row>
    <row r="9147" spans="1:2" x14ac:dyDescent="0.25">
      <c r="A9147" s="28" t="s">
        <v>27761</v>
      </c>
      <c r="B9147" s="28" t="s">
        <v>27762</v>
      </c>
    </row>
    <row r="9148" spans="1:2" x14ac:dyDescent="0.25">
      <c r="A9148" s="28" t="s">
        <v>27763</v>
      </c>
      <c r="B9148" s="28" t="s">
        <v>27764</v>
      </c>
    </row>
    <row r="9149" spans="1:2" x14ac:dyDescent="0.25">
      <c r="A9149" s="28" t="s">
        <v>26762</v>
      </c>
      <c r="B9149" s="28" t="s">
        <v>26832</v>
      </c>
    </row>
    <row r="9150" spans="1:2" x14ac:dyDescent="0.25">
      <c r="A9150" s="28" t="s">
        <v>26912</v>
      </c>
      <c r="B9150" s="28" t="s">
        <v>26913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26786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26787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27765</v>
      </c>
      <c r="B9468" s="28" t="s">
        <v>26998</v>
      </c>
    </row>
    <row r="9469" spans="1:2" x14ac:dyDescent="0.25">
      <c r="A9469" s="28" t="s">
        <v>27766</v>
      </c>
      <c r="B9469" s="28" t="s">
        <v>26999</v>
      </c>
    </row>
    <row r="9470" spans="1:2" x14ac:dyDescent="0.25">
      <c r="A9470" s="28" t="s">
        <v>27000</v>
      </c>
      <c r="B9470" s="28" t="s">
        <v>27001</v>
      </c>
    </row>
    <row r="9471" spans="1:2" x14ac:dyDescent="0.25">
      <c r="A9471" s="28" t="s">
        <v>27004</v>
      </c>
      <c r="B9471" s="28" t="s">
        <v>27005</v>
      </c>
    </row>
    <row r="9472" spans="1:2" x14ac:dyDescent="0.25">
      <c r="A9472" s="28" t="s">
        <v>27002</v>
      </c>
      <c r="B9472" s="28" t="s">
        <v>27003</v>
      </c>
    </row>
    <row r="9473" spans="1:2" x14ac:dyDescent="0.25">
      <c r="A9473" s="28" t="s">
        <v>27006</v>
      </c>
      <c r="B9473" s="28" t="s">
        <v>27007</v>
      </c>
    </row>
    <row r="9474" spans="1:2" x14ac:dyDescent="0.25">
      <c r="A9474" s="28" t="s">
        <v>27008</v>
      </c>
      <c r="B9474" s="28" t="s">
        <v>27009</v>
      </c>
    </row>
    <row r="9475" spans="1:2" x14ac:dyDescent="0.25">
      <c r="A9475" s="28" t="s">
        <v>27010</v>
      </c>
      <c r="B9475" s="28" t="s">
        <v>27011</v>
      </c>
    </row>
    <row r="9476" spans="1:2" x14ac:dyDescent="0.25">
      <c r="A9476" s="28" t="s">
        <v>27014</v>
      </c>
      <c r="B9476" s="28" t="s">
        <v>27015</v>
      </c>
    </row>
    <row r="9477" spans="1:2" x14ac:dyDescent="0.25">
      <c r="A9477" s="28" t="s">
        <v>27012</v>
      </c>
      <c r="B9477" s="28" t="s">
        <v>27013</v>
      </c>
    </row>
    <row r="9478" spans="1:2" x14ac:dyDescent="0.25">
      <c r="A9478" s="28" t="s">
        <v>27018</v>
      </c>
      <c r="B9478" s="28" t="s">
        <v>27019</v>
      </c>
    </row>
    <row r="9479" spans="1:2" x14ac:dyDescent="0.25">
      <c r="A9479" s="28" t="s">
        <v>27016</v>
      </c>
      <c r="B9479" s="28" t="s">
        <v>27017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27087</v>
      </c>
      <c r="B9569" s="28" t="s">
        <v>27088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27097</v>
      </c>
      <c r="B9594" s="28" t="s">
        <v>27098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27109</v>
      </c>
      <c r="B9621" s="28" t="s">
        <v>27110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27111</v>
      </c>
      <c r="B9625" s="28" t="s">
        <v>27112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27150</v>
      </c>
      <c r="B9636" s="28" t="s">
        <v>27151</v>
      </c>
    </row>
    <row r="9637" spans="1:2" x14ac:dyDescent="0.25">
      <c r="A9637" s="28" t="s">
        <v>27152</v>
      </c>
      <c r="B9637" s="28" t="s">
        <v>27153</v>
      </c>
    </row>
    <row r="9638" spans="1:2" x14ac:dyDescent="0.25">
      <c r="A9638" s="28" t="s">
        <v>27154</v>
      </c>
      <c r="B9638" s="28" t="s">
        <v>27155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27115</v>
      </c>
      <c r="B9715" s="28" t="s">
        <v>27116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27132</v>
      </c>
      <c r="B9721" s="28" t="s">
        <v>27133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27146</v>
      </c>
      <c r="B9723" s="28" t="s">
        <v>27147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27107</v>
      </c>
      <c r="B9780" s="28" t="s">
        <v>27108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27156</v>
      </c>
      <c r="B9821" s="28" t="s">
        <v>27157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27158</v>
      </c>
      <c r="B9828" s="28" t="s">
        <v>27159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27091</v>
      </c>
      <c r="B9880" s="28" t="s">
        <v>27092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27160</v>
      </c>
      <c r="B9973" s="28" t="s">
        <v>27161</v>
      </c>
    </row>
    <row r="9974" spans="1:2" x14ac:dyDescent="0.25">
      <c r="A9974" s="28" t="s">
        <v>27162</v>
      </c>
      <c r="B9974" s="28" t="s">
        <v>27163</v>
      </c>
    </row>
    <row r="9975" spans="1:2" x14ac:dyDescent="0.25">
      <c r="A9975" s="28" t="s">
        <v>27164</v>
      </c>
      <c r="B9975" s="28" t="s">
        <v>27165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27079</v>
      </c>
      <c r="B9997" s="28" t="s">
        <v>27080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27077</v>
      </c>
      <c r="B10011" s="28" t="s">
        <v>27078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26767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27117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27148</v>
      </c>
      <c r="B10169" s="28" t="s">
        <v>27149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26768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27081</v>
      </c>
      <c r="B10228" s="28" t="s">
        <v>27082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27083</v>
      </c>
      <c r="B10251" s="28" t="s">
        <v>27084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27113</v>
      </c>
      <c r="B10317" s="28" t="s">
        <v>27114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27134</v>
      </c>
      <c r="B10334" s="28" t="s">
        <v>27135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27166</v>
      </c>
      <c r="B10339" s="28" t="s">
        <v>27167</v>
      </c>
    </row>
    <row r="10340" spans="1:2" x14ac:dyDescent="0.25">
      <c r="A10340" s="28" t="s">
        <v>27168</v>
      </c>
      <c r="B10340" s="28" t="s">
        <v>27169</v>
      </c>
    </row>
    <row r="10341" spans="1:2" x14ac:dyDescent="0.25">
      <c r="A10341" s="28" t="s">
        <v>27170</v>
      </c>
      <c r="B10341" s="28" t="s">
        <v>27171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27085</v>
      </c>
      <c r="B10355" s="28" t="s">
        <v>27086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27194</v>
      </c>
      <c r="B10376" s="28" t="s">
        <v>27195</v>
      </c>
    </row>
    <row r="10377" spans="1:2" x14ac:dyDescent="0.25">
      <c r="A10377" s="28" t="s">
        <v>27196</v>
      </c>
      <c r="B10377" s="28" t="s">
        <v>27197</v>
      </c>
    </row>
    <row r="10378" spans="1:2" x14ac:dyDescent="0.25">
      <c r="A10378" s="28" t="s">
        <v>27198</v>
      </c>
      <c r="B10378" s="28" t="s">
        <v>27199</v>
      </c>
    </row>
    <row r="10379" spans="1:2" x14ac:dyDescent="0.25">
      <c r="A10379" s="28" t="s">
        <v>27200</v>
      </c>
      <c r="B10379" s="28" t="s">
        <v>27201</v>
      </c>
    </row>
    <row r="10380" spans="1:2" x14ac:dyDescent="0.25">
      <c r="A10380" s="28" t="s">
        <v>27202</v>
      </c>
      <c r="B10380" s="28" t="s">
        <v>27203</v>
      </c>
    </row>
    <row r="10381" spans="1:2" x14ac:dyDescent="0.25">
      <c r="A10381" s="28" t="s">
        <v>27204</v>
      </c>
      <c r="B10381" s="28" t="s">
        <v>27205</v>
      </c>
    </row>
    <row r="10382" spans="1:2" x14ac:dyDescent="0.25">
      <c r="A10382" s="28" t="s">
        <v>27206</v>
      </c>
      <c r="B10382" s="28" t="s">
        <v>27207</v>
      </c>
    </row>
    <row r="10383" spans="1:2" x14ac:dyDescent="0.25">
      <c r="A10383" s="28" t="s">
        <v>27208</v>
      </c>
      <c r="B10383" s="28" t="s">
        <v>27209</v>
      </c>
    </row>
    <row r="10384" spans="1:2" x14ac:dyDescent="0.25">
      <c r="A10384" s="28" t="s">
        <v>27210</v>
      </c>
      <c r="B10384" s="28" t="s">
        <v>27211</v>
      </c>
    </row>
    <row r="10385" spans="1:2" x14ac:dyDescent="0.25">
      <c r="A10385" s="28" t="s">
        <v>27212</v>
      </c>
      <c r="B10385" s="28" t="s">
        <v>27213</v>
      </c>
    </row>
    <row r="10386" spans="1:2" x14ac:dyDescent="0.25">
      <c r="A10386" s="28" t="s">
        <v>27214</v>
      </c>
      <c r="B10386" s="28" t="s">
        <v>27215</v>
      </c>
    </row>
    <row r="10387" spans="1:2" x14ac:dyDescent="0.25">
      <c r="A10387" s="28" t="s">
        <v>27216</v>
      </c>
      <c r="B10387" s="28" t="s">
        <v>27217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27218</v>
      </c>
      <c r="B10390" s="28" t="s">
        <v>27219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27093</v>
      </c>
      <c r="B10392" s="28" t="s">
        <v>27094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27095</v>
      </c>
      <c r="B10400" s="28" t="s">
        <v>27096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27220</v>
      </c>
      <c r="B10425" s="28" t="s">
        <v>27221</v>
      </c>
    </row>
    <row r="10426" spans="1:2" x14ac:dyDescent="0.25">
      <c r="A10426" s="28" t="s">
        <v>27224</v>
      </c>
      <c r="B10426" s="28" t="s">
        <v>27225</v>
      </c>
    </row>
    <row r="10427" spans="1:2" x14ac:dyDescent="0.25">
      <c r="A10427" s="28" t="s">
        <v>27222</v>
      </c>
      <c r="B10427" s="28" t="s">
        <v>27223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27226</v>
      </c>
      <c r="B10429" s="28" t="s">
        <v>27227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27228</v>
      </c>
      <c r="B10437" s="28" t="s">
        <v>27229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27230</v>
      </c>
      <c r="B10442" s="28" t="s">
        <v>27231</v>
      </c>
    </row>
    <row r="10443" spans="1:2" x14ac:dyDescent="0.25">
      <c r="A10443" s="28" t="s">
        <v>27232</v>
      </c>
      <c r="B10443" s="28" t="s">
        <v>27233</v>
      </c>
    </row>
    <row r="10444" spans="1:2" x14ac:dyDescent="0.25">
      <c r="A10444" s="28" t="s">
        <v>27234</v>
      </c>
      <c r="B10444" s="28" t="s">
        <v>27235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26777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27241</v>
      </c>
      <c r="B10629" s="28" t="s">
        <v>27242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28254</v>
      </c>
      <c r="B10643" s="28" t="s">
        <v>27238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27239</v>
      </c>
      <c r="B10716" s="28" t="s">
        <v>27240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26778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27243</v>
      </c>
      <c r="B10804" s="28" t="s">
        <v>27244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27253</v>
      </c>
      <c r="B10842" s="28" t="s">
        <v>27254</v>
      </c>
    </row>
    <row r="10843" spans="1:2" x14ac:dyDescent="0.25">
      <c r="A10843" s="28" t="s">
        <v>27255</v>
      </c>
      <c r="B10843" s="28" t="s">
        <v>27256</v>
      </c>
    </row>
    <row r="10844" spans="1:2" x14ac:dyDescent="0.25">
      <c r="A10844" s="28" t="s">
        <v>27251</v>
      </c>
      <c r="B10844" s="28" t="s">
        <v>27252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27247</v>
      </c>
      <c r="B10872" s="28" t="s">
        <v>27248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27245</v>
      </c>
      <c r="B10874" s="28" t="s">
        <v>27246</v>
      </c>
    </row>
    <row r="10875" spans="1:2" x14ac:dyDescent="0.25">
      <c r="A10875" s="28" t="s">
        <v>27249</v>
      </c>
      <c r="B10875" s="28" t="s">
        <v>27250</v>
      </c>
    </row>
    <row r="10876" spans="1:2" x14ac:dyDescent="0.25">
      <c r="A10876" s="28" t="s">
        <v>27257</v>
      </c>
      <c r="B10876" s="28" t="s">
        <v>27258</v>
      </c>
    </row>
    <row r="10877" spans="1:2" x14ac:dyDescent="0.25">
      <c r="A10877" s="28" t="s">
        <v>27259</v>
      </c>
      <c r="B10877" s="28" t="s">
        <v>27260</v>
      </c>
    </row>
    <row r="10878" spans="1:2" x14ac:dyDescent="0.25">
      <c r="A10878" s="28" t="s">
        <v>27263</v>
      </c>
      <c r="B10878" s="28" t="s">
        <v>27264</v>
      </c>
    </row>
    <row r="10879" spans="1:2" x14ac:dyDescent="0.25">
      <c r="A10879" s="28" t="s">
        <v>27265</v>
      </c>
      <c r="B10879" s="28" t="s">
        <v>27266</v>
      </c>
    </row>
    <row r="10880" spans="1:2" x14ac:dyDescent="0.25">
      <c r="A10880" s="28" t="s">
        <v>27267</v>
      </c>
      <c r="B10880" s="28" t="s">
        <v>27268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26781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27430</v>
      </c>
      <c r="B11281" s="28" t="s">
        <v>27431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27767</v>
      </c>
      <c r="B12437" s="28" t="s">
        <v>27768</v>
      </c>
    </row>
    <row r="12438" spans="1:2" x14ac:dyDescent="0.25">
      <c r="A12438" s="28" t="s">
        <v>27769</v>
      </c>
      <c r="B12438" s="28" t="s">
        <v>27770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27771</v>
      </c>
      <c r="B12494" s="28" t="s">
        <v>27772</v>
      </c>
    </row>
    <row r="12495" spans="1:2" x14ac:dyDescent="0.25">
      <c r="A12495" s="28" t="s">
        <v>27773</v>
      </c>
      <c r="B12495" s="28" t="s">
        <v>27774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27775</v>
      </c>
      <c r="B12520" s="28" t="s">
        <v>27776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27777</v>
      </c>
      <c r="B12637" s="28" t="s">
        <v>27778</v>
      </c>
    </row>
    <row r="12638" spans="1:2" x14ac:dyDescent="0.25">
      <c r="A12638" s="28" t="s">
        <v>27779</v>
      </c>
      <c r="B12638" s="28" t="s">
        <v>27780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27781</v>
      </c>
      <c r="B12657" s="28" t="s">
        <v>27782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27783</v>
      </c>
      <c r="B12662" s="28" t="s">
        <v>27784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27785</v>
      </c>
      <c r="B12687" s="28" t="s">
        <v>27786</v>
      </c>
    </row>
    <row r="12688" spans="1:2" x14ac:dyDescent="0.25">
      <c r="A12688" s="28" t="s">
        <v>27787</v>
      </c>
      <c r="B12688" s="28" t="s">
        <v>27788</v>
      </c>
    </row>
    <row r="12689" spans="1:2" x14ac:dyDescent="0.25">
      <c r="A12689" s="28" t="s">
        <v>27789</v>
      </c>
      <c r="B12689" s="28" t="s">
        <v>27790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27791</v>
      </c>
      <c r="B12697" s="28" t="s">
        <v>27792</v>
      </c>
    </row>
    <row r="12698" spans="1:2" x14ac:dyDescent="0.25">
      <c r="A12698" s="28" t="s">
        <v>27793</v>
      </c>
      <c r="B12698" s="28" t="s">
        <v>27794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27795</v>
      </c>
      <c r="B12705" s="28" t="s">
        <v>27796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27797</v>
      </c>
      <c r="B12713" s="28" t="s">
        <v>27798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27799</v>
      </c>
      <c r="B12716" s="28" t="s">
        <v>27800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27801</v>
      </c>
      <c r="B12718" s="28" t="s">
        <v>27802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26852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27803</v>
      </c>
      <c r="B12736" s="28" t="s">
        <v>27804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27805</v>
      </c>
      <c r="B12803" s="28" t="s">
        <v>27806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26729</v>
      </c>
      <c r="B13012" s="30" t="s">
        <v>26799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26914</v>
      </c>
      <c r="B13020" s="30" t="s">
        <v>26915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26916</v>
      </c>
      <c r="B13030" s="30" t="s">
        <v>26917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26918</v>
      </c>
      <c r="B13034" s="30" t="s">
        <v>26919</v>
      </c>
    </row>
    <row r="13035" spans="1:2" x14ac:dyDescent="0.25">
      <c r="A13035" s="30" t="s">
        <v>26920</v>
      </c>
      <c r="B13035" s="30" t="s">
        <v>26921</v>
      </c>
    </row>
    <row r="13036" spans="1:2" x14ac:dyDescent="0.25">
      <c r="A13036" s="30" t="s">
        <v>27807</v>
      </c>
      <c r="B13036" s="30" t="s">
        <v>26922</v>
      </c>
    </row>
    <row r="13037" spans="1:2" x14ac:dyDescent="0.25">
      <c r="A13037" s="30" t="s">
        <v>26923</v>
      </c>
      <c r="B13037" s="30" t="s">
        <v>26924</v>
      </c>
    </row>
    <row r="13038" spans="1:2" x14ac:dyDescent="0.25">
      <c r="A13038" s="30" t="s">
        <v>26730</v>
      </c>
      <c r="B13038" s="30" t="s">
        <v>26800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26732</v>
      </c>
      <c r="B13041" s="30" t="s">
        <v>26802</v>
      </c>
    </row>
    <row r="13042" spans="1:2" x14ac:dyDescent="0.25">
      <c r="A13042" s="30" t="s">
        <v>26731</v>
      </c>
      <c r="B13042" s="30" t="s">
        <v>26801</v>
      </c>
    </row>
    <row r="13043" spans="1:2" x14ac:dyDescent="0.25">
      <c r="A13043" s="30" t="s">
        <v>26733</v>
      </c>
      <c r="B13043" s="30" t="s">
        <v>26803</v>
      </c>
    </row>
    <row r="13044" spans="1:2" x14ac:dyDescent="0.25">
      <c r="A13044" s="30" t="s">
        <v>26925</v>
      </c>
      <c r="B13044" s="30" t="s">
        <v>26926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26734</v>
      </c>
      <c r="B13051" s="30" t="s">
        <v>26804</v>
      </c>
    </row>
    <row r="13052" spans="1:2" x14ac:dyDescent="0.25">
      <c r="A13052" s="30" t="s">
        <v>26735</v>
      </c>
      <c r="B13052" s="30" t="s">
        <v>26805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26736</v>
      </c>
      <c r="B13059" s="30" t="s">
        <v>26806</v>
      </c>
    </row>
    <row r="13060" spans="1:2" x14ac:dyDescent="0.25">
      <c r="A13060" s="30" t="s">
        <v>26908</v>
      </c>
      <c r="B13060" s="30" t="s">
        <v>26909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26708</v>
      </c>
      <c r="B13064" s="30" t="s">
        <v>26791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27033</v>
      </c>
      <c r="B13069" s="30" t="s">
        <v>27034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26928</v>
      </c>
      <c r="B13094" s="30" t="s">
        <v>26929</v>
      </c>
    </row>
    <row r="13095" spans="1:2" x14ac:dyDescent="0.25">
      <c r="A13095" s="30" t="s">
        <v>26930</v>
      </c>
      <c r="B13095" s="30" t="s">
        <v>26931</v>
      </c>
    </row>
    <row r="13096" spans="1:2" x14ac:dyDescent="0.25">
      <c r="A13096" s="30" t="s">
        <v>26910</v>
      </c>
      <c r="B13096" s="30" t="s">
        <v>26911</v>
      </c>
    </row>
    <row r="13097" spans="1:2" x14ac:dyDescent="0.25">
      <c r="A13097" s="30" t="s">
        <v>26737</v>
      </c>
      <c r="B13097" s="30" t="s">
        <v>26807</v>
      </c>
    </row>
    <row r="13098" spans="1:2" x14ac:dyDescent="0.25">
      <c r="A13098" s="30" t="s">
        <v>26739</v>
      </c>
      <c r="B13098" s="30" t="s">
        <v>26809</v>
      </c>
    </row>
    <row r="13099" spans="1:2" x14ac:dyDescent="0.25">
      <c r="A13099" s="30" t="s">
        <v>26738</v>
      </c>
      <c r="B13099" s="30" t="s">
        <v>26808</v>
      </c>
    </row>
    <row r="13100" spans="1:2" x14ac:dyDescent="0.25">
      <c r="A13100" s="30" t="s">
        <v>26740</v>
      </c>
      <c r="B13100" s="30" t="s">
        <v>26810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27808</v>
      </c>
      <c r="B13150" s="30" t="s">
        <v>27809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26934</v>
      </c>
      <c r="B13154" s="30" t="s">
        <v>26935</v>
      </c>
    </row>
    <row r="13155" spans="1:2" x14ac:dyDescent="0.25">
      <c r="A13155" s="30" t="s">
        <v>26932</v>
      </c>
      <c r="B13155" s="30" t="s">
        <v>26933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26741</v>
      </c>
      <c r="B13165" s="30" t="s">
        <v>26811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26885</v>
      </c>
      <c r="B13168" s="30" t="s">
        <v>26886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26936</v>
      </c>
      <c r="B13170" s="30" t="s">
        <v>26937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26887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26742</v>
      </c>
      <c r="B13195" s="30" t="s">
        <v>26812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26743</v>
      </c>
      <c r="B13208" s="30" t="s">
        <v>26813</v>
      </c>
    </row>
    <row r="13209" spans="1:2" x14ac:dyDescent="0.25">
      <c r="A13209" s="30" t="s">
        <v>26744</v>
      </c>
      <c r="B13209" s="30" t="s">
        <v>26814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26938</v>
      </c>
      <c r="B13246" s="30" t="s">
        <v>26939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27810</v>
      </c>
      <c r="B13248" s="30" t="s">
        <v>27811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401"/>
  <sheetViews>
    <sheetView tabSelected="1" topLeftCell="T1" zoomScaleNormal="100" workbookViewId="0">
      <pane ySplit="1" topLeftCell="A233" activePane="bottomLeft" state="frozen"/>
      <selection pane="bottomLeft" activeCell="Z333" sqref="Z333"/>
    </sheetView>
  </sheetViews>
  <sheetFormatPr defaultColWidth="18.7109375" defaultRowHeight="15" outlineLevelCol="1" x14ac:dyDescent="0.25"/>
  <cols>
    <col min="1" max="1" width="10.85546875" style="111" customWidth="1"/>
    <col min="2" max="2" width="23.71093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16.28515625" style="92" bestFit="1" customWidth="1"/>
    <col min="10" max="10" width="49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2" style="91" bestFit="1" customWidth="1"/>
    <col min="17" max="17" width="51" style="89" customWidth="1"/>
    <col min="18" max="18" width="10.85546875" style="92" customWidth="1"/>
    <col min="19" max="19" width="7.140625" style="93" bestFit="1" customWidth="1"/>
    <col min="20" max="20" width="10.5703125" style="14" customWidth="1"/>
    <col min="21" max="21" width="78.42578125" style="101" customWidth="1"/>
    <col min="22" max="22" width="83.5703125" style="100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7" customWidth="1" collapsed="1"/>
    <col min="26" max="26" width="26.85546875" style="73" bestFit="1" customWidth="1"/>
    <col min="27" max="27" width="16.5703125" style="76" bestFit="1" customWidth="1" collapsed="1"/>
    <col min="28" max="28" width="17" style="97" bestFit="1" customWidth="1"/>
    <col min="29" max="29" width="15" style="97" bestFit="1" customWidth="1"/>
    <col min="30" max="30" width="20.5703125" style="97" bestFit="1" customWidth="1"/>
    <col min="31" max="31" width="17.28515625" style="97" bestFit="1" customWidth="1"/>
    <col min="32" max="32" width="18.5703125" style="97" customWidth="1"/>
    <col min="33" max="33" width="29.5703125" style="97" bestFit="1" customWidth="1"/>
    <col min="34" max="34" width="26.5703125" style="97" bestFit="1" customWidth="1"/>
    <col min="35" max="35" width="29.85546875" style="97" bestFit="1" customWidth="1"/>
    <col min="36" max="36" width="32.5703125" style="97" bestFit="1" customWidth="1"/>
    <col min="37" max="37" width="27" style="97" bestFit="1" customWidth="1"/>
    <col min="38" max="38" width="19" style="97" bestFit="1" customWidth="1"/>
    <col min="39" max="39" width="20.140625" style="97" bestFit="1" customWidth="1"/>
    <col min="40" max="40" width="22.28515625" style="97" bestFit="1" customWidth="1"/>
    <col min="41" max="41" width="14.5703125" style="97" bestFit="1" customWidth="1"/>
    <col min="42" max="42" width="13.5703125" style="97" bestFit="1" customWidth="1"/>
    <col min="43" max="43" width="15.85546875" style="97" bestFit="1" customWidth="1"/>
    <col min="44" max="44" width="16.7109375" style="97" bestFit="1" customWidth="1"/>
    <col min="45" max="45" width="27.5703125" style="64" customWidth="1"/>
    <col min="46" max="46" width="26" style="65" customWidth="1"/>
    <col min="47" max="47" width="30" style="96" customWidth="1"/>
    <col min="48" max="48" width="108.42578125" style="94" bestFit="1" customWidth="1"/>
    <col min="49" max="16384" width="18.7109375" style="14"/>
  </cols>
  <sheetData>
    <row r="1" spans="1:48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28701</v>
      </c>
      <c r="O1" s="87" t="s">
        <v>28702</v>
      </c>
      <c r="P1" s="72" t="s">
        <v>7</v>
      </c>
      <c r="Q1" s="69" t="s">
        <v>89</v>
      </c>
      <c r="R1" s="69" t="s">
        <v>3</v>
      </c>
      <c r="S1" s="69" t="s">
        <v>245</v>
      </c>
      <c r="T1" s="88" t="s">
        <v>246</v>
      </c>
      <c r="U1" s="78" t="s">
        <v>248</v>
      </c>
      <c r="V1" s="69" t="s">
        <v>85</v>
      </c>
      <c r="W1" s="99" t="s">
        <v>27605</v>
      </c>
      <c r="X1" s="77" t="s">
        <v>27812</v>
      </c>
      <c r="Y1" s="116" t="s">
        <v>2</v>
      </c>
      <c r="Z1" s="98" t="str" cm="1">
        <f t="array" aca="1" ref="Z1:Z401" ca="1">_xlfn._xlws.SORT(INDIRECT("Строчный!R1:R"&amp;COUNTA(Строчный!R:R)),1,-1,FALSE)</f>
        <v>Артикул характеристики</v>
      </c>
      <c r="AA1" s="74" t="s">
        <v>247</v>
      </c>
      <c r="AB1" s="70" t="s">
        <v>27608</v>
      </c>
      <c r="AC1" s="70" t="s">
        <v>27609</v>
      </c>
      <c r="AD1" s="70" t="s">
        <v>27610</v>
      </c>
      <c r="AE1" s="70" t="s">
        <v>27607</v>
      </c>
      <c r="AF1" s="70" t="s">
        <v>27606</v>
      </c>
      <c r="AG1" s="70" t="s">
        <v>253</v>
      </c>
      <c r="AH1" s="70" t="s">
        <v>254</v>
      </c>
      <c r="AI1" s="70" t="s">
        <v>255</v>
      </c>
      <c r="AJ1" s="70" t="s">
        <v>256</v>
      </c>
      <c r="AK1" s="70" t="s">
        <v>27612</v>
      </c>
      <c r="AL1" s="70" t="s">
        <v>27613</v>
      </c>
      <c r="AM1" s="70" t="s">
        <v>27614</v>
      </c>
      <c r="AN1" s="70" t="s">
        <v>27615</v>
      </c>
      <c r="AO1" s="70" t="s">
        <v>27616</v>
      </c>
      <c r="AP1" s="70" t="s">
        <v>27617</v>
      </c>
      <c r="AQ1" s="70" t="s">
        <v>27618</v>
      </c>
      <c r="AR1" s="70" t="s">
        <v>27619</v>
      </c>
      <c r="AS1" s="70" t="s">
        <v>260</v>
      </c>
      <c r="AT1" s="70" t="s">
        <v>261</v>
      </c>
      <c r="AU1" s="71" t="s">
        <v>262</v>
      </c>
      <c r="AV1" s="95" t="s">
        <v>263</v>
      </c>
    </row>
    <row r="2" spans="1:48" ht="14.45" customHeight="1" x14ac:dyDescent="0.25">
      <c r="A2" s="110" t="str">
        <f ca="1">LEFT(Z2,9)</f>
        <v>31-295-09</v>
      </c>
      <c r="B2" s="107" t="str">
        <f ca="1">_xlfn.LET(_xlpm.CAPS,0,_xlpm.Style,_xlfn.XLOOKUP($A2,Строчный!$A:$A,Строчный!B:B,"ERR",0),IF(_xlpm.CAPS=0,_xlpm.Style,LOWER(_xlpm.Style)))</f>
        <v>B1981H ALICE</v>
      </c>
      <c r="C2" s="81" t="str">
        <f ca="1">PROPER(_xlfn.XLOOKUP($A2,Строчный!$A:$A,Строчный!C:C,"ERR",0))</f>
        <v>Шляпы</v>
      </c>
      <c r="D2" s="81" t="str">
        <f ca="1">_xlfn.LET(_xlpm.DATA,(_xlfn.XLOOKUP($A2,Строчный!$A:$A,Строчный!D:D,"ERR",0)),UPPER(MID(_xlpm.DATA,1,1))&amp;LOWER(MID(_xlpm.DATA,2,LEN(_xlpm.DATA)-1)))</f>
        <v>Шляпа с широкими полями</v>
      </c>
      <c r="E2" s="81" t="str">
        <f ca="1">PROPER(_xlfn.XLOOKUP($A2,Строчный!$A:$A,Строчный!E:E,"ERR",0))</f>
        <v>Betmar</v>
      </c>
      <c r="F2" s="81" t="str">
        <f ca="1">LOWER(_xlfn.XLOOKUP($A2,Строчный!$A:$A,Строчный!F:F,"ERR",0))</f>
        <v>летний</v>
      </c>
      <c r="G2" s="81" t="str">
        <f ca="1">UPPER(_xlfn.XLOOKUP($A2,Строчный!$A:$A,Строчный!G:G,"ERR",0))</f>
        <v>BETMAR</v>
      </c>
      <c r="H2" s="81" t="str">
        <f ca="1">LOWER(_xlfn.XLOOKUP($A2,Строчный!$A:$A,Строчный!H:H,"ERR",0))</f>
        <v>black multi</v>
      </c>
      <c r="I2" s="81" t="str">
        <f ca="1">LOWER(_xlfn.XLOOKUP($A2,Строчный!$A:$A,Строчный!I:I,"ERR",0))</f>
        <v>черный</v>
      </c>
      <c r="J2" s="81" t="str">
        <f ca="1">SUBSTITUTE(LOWER(_xlfn.XLOOKUP($A2,Строчный!$A:$A,Строчный!J:J,"ERR",0)),"подклад","Подклад")</f>
        <v>65% бумага - 23% полипропилен - 12% полиэстер</v>
      </c>
      <c r="K2" s="81" t="str">
        <f ca="1">LOWER(_xlfn.XLOOKUP($A2,Строчный!$A:$A,Строчный!K:K,"ERR",0))</f>
        <v>бумажные</v>
      </c>
      <c r="L2" s="81" t="str">
        <f ca="1">PROPER(_xlfn.XLOOKUP($A2,Строчный!$A:$A,Строчный!L:L,"ERR",0))</f>
        <v>Женский</v>
      </c>
      <c r="M2" s="113" t="str">
        <f ca="1">PROPER(_xlfn.XLOOKUP($A2,Строчный!$A:$A,Строчный!M:M,"ERR",0))</f>
        <v>Китай</v>
      </c>
      <c r="N2" s="81" t="str">
        <f ca="1">UPPER(_xlfn.XLOOKUP($A2,Строчный!$A:$A,Строчный!O:O,"ERR",0))</f>
        <v/>
      </c>
      <c r="O2" s="107" t="str">
        <f ca="1">PROPER(_xlfn.XLOOKUP($A2,Строчный!$A:$A,Строчный!P:P,"ERR",0))</f>
        <v/>
      </c>
      <c r="P2" s="90">
        <f ca="1">VALUE(_xlfn.XLOOKUP($A2,Строчный!$A:$A,Строчный!N:N,"ERR",0))</f>
        <v>760.50000000000011</v>
      </c>
      <c r="Q2" s="89" t="str">
        <f ca="1">_xlfn.XLOOKUP($G2,Фабрика!A:A,Фабрика!B:B,"ERR",0)</f>
        <v>Bollman Headwear Europe Ltd; 2 Merchants drive, Caelisle, Cumbria CA3 0JW, United Kingdom</v>
      </c>
      <c r="R2" s="80" t="str">
        <f ca="1">_xlfn.XLOOKUP(RIGHT(Z2,2),Размеры!D:D,Размеры!A:A,"ERR",0)</f>
        <v>ONE</v>
      </c>
      <c r="S2" s="80">
        <f ca="1">VALUE(_xlfn.XLOOKUP($Z2,Строчный!$R:$R,Строчный!T:T,"ERR",0))</f>
        <v>3</v>
      </c>
      <c r="T2" s="14" t="s">
        <v>265</v>
      </c>
      <c r="U2" s="101" t="str">
        <f t="shared" ref="U2:U33" ca="1" si="0">CONCATENATE(AA2," ",G2," арт. ",B2," (",I2,")")</f>
        <v>Шляпа BETMAR арт. B1981H ALICE (черный)</v>
      </c>
      <c r="V2" s="100" t="str">
        <f t="shared" ref="V2:V33" ca="1" si="1">CONCATENATE(AA2," ",G2," арт. ",B2," (",I2,") {",H2,"}")</f>
        <v>Шляпа BETMAR арт. B1981H ALICE (черный) {black multi}</v>
      </c>
      <c r="W2" s="18" t="str">
        <f t="shared" ref="W2:W33" ca="1" si="2">IFERROR(MID(I2,FIND("-",I2)+1,LEN(I2)),IFERROR(MID(I2,1,FIND("/",I2)-2),I2))</f>
        <v>черный</v>
      </c>
      <c r="X2" s="18" t="str">
        <f t="shared" ref="X2:X33" ca="1" si="3">IFERROR(MID(I2,FIND("-",I2)+1,LEN(I2)),IFERROR(MID(I2,FIND("/",I2)+2,LEN(I2)),I2))</f>
        <v>черный</v>
      </c>
      <c r="Y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Z2" s="73" t="str">
        <f ca="1"/>
        <v>31-295-09-00</v>
      </c>
      <c r="AA2" s="75" t="str">
        <f ca="1">VLOOKUP(C2,Группа!A:B,2,FALSE)</f>
        <v>Шляпа</v>
      </c>
      <c r="AB2" s="97" t="str">
        <f ca="1">IFERROR(VLOOKUP(R2,Размеры!A:C,3,FALSE),"")</f>
        <v>ONE</v>
      </c>
      <c r="AC2" s="97" t="str">
        <f ca="1">VLOOKUP(I2,ЦветПолный!A:B,2,FALSE)</f>
        <v>09</v>
      </c>
      <c r="AD2" s="97" t="str">
        <f ca="1">IFERROR(VLOOKUP(R2,Размеры!A:D,4,FALSE),"")</f>
        <v>00</v>
      </c>
      <c r="AE2" s="97">
        <f ca="1">IF(LEFT(IFERROR(VLOOKUP(LOOKUP(2,1/SEARCH(B2,Товары!A:A),Товары!A:A),Товары!A:B,2,0),""),6)=MID(Z2,1,6),1,0)</f>
        <v>1</v>
      </c>
      <c r="AG2" s="97">
        <f ca="1">SUMIF(Группа!A:A,C2,Группа!C:C)</f>
        <v>1</v>
      </c>
      <c r="AH2" s="97">
        <f ca="1">SUMIF(Группа!B:B,AA2,Группа!C:C)</f>
        <v>1</v>
      </c>
      <c r="AI2" s="97">
        <f ca="1">SUMIF(Формы!A:A,D2,Формы!B:B)</f>
        <v>1</v>
      </c>
      <c r="AJ2" s="97">
        <f ca="1">SUMIF(Материал!A:A,K2,Материал!B:B)</f>
        <v>1</v>
      </c>
      <c r="AK2" s="97">
        <f ca="1">SUMIF(Размеры!A:A,R2,Размеры!E:E)</f>
        <v>1</v>
      </c>
      <c r="AL2" s="97">
        <f ca="1">SUMIF(Сезон!A:A,F2,Сезон!B:B)</f>
        <v>1</v>
      </c>
      <c r="AM2" s="97">
        <f ca="1">SUMIF(Состав!A:A,J2,Состав!B:B)</f>
        <v>0</v>
      </c>
      <c r="AN2" s="97">
        <f ca="1">VLOOKUP(I2,ЦветПолный!A:C,3,0)</f>
        <v>1</v>
      </c>
      <c r="AO2" s="97">
        <f ca="1">SUMIF(Цвет!A:A,Y2,Цвет!B:B)</f>
        <v>1</v>
      </c>
      <c r="AP2" s="97">
        <f ca="1">_xlfn.XLOOKUP(L2,Пол!A:A,Пол!B:B,0,0)</f>
        <v>1</v>
      </c>
      <c r="AQ2" s="97">
        <f ca="1">SUMIF(Марка!A:A,G2,Марка!B:B)</f>
        <v>1</v>
      </c>
      <c r="AR2" s="97">
        <f ca="1">SUMIF(Страна!A:A,M2,Страна!B:B)</f>
        <v>1</v>
      </c>
      <c r="AS2" s="64" t="e">
        <f ca="1">IF(VLOOKUP(V2,Товары!A:B,2,FALSE)=A2,"Есть в 1С","ERR")</f>
        <v>#N/A</v>
      </c>
      <c r="AT2" s="65" t="e">
        <f ca="1">IF(VLOOKUP(A2,Товары!B:B,1,FALSE)=A2,"Есть в 1С","ERR")</f>
        <v>#N/A</v>
      </c>
      <c r="AU2" s="96" t="e">
        <f ca="1">VLOOKUP(V2,Товары!A:B,2,FALSE)</f>
        <v>#N/A</v>
      </c>
      <c r="AV2" s="94" t="e">
        <f ca="1">VLOOKUP(V2,Товары!A:B,1,FALSE)</f>
        <v>#N/A</v>
      </c>
    </row>
    <row r="3" spans="1:48" ht="14.45" customHeight="1" x14ac:dyDescent="0.25">
      <c r="A3" s="110" t="str">
        <f t="shared" ref="A3:A66" ca="1" si="4">LEFT(Z3,9)</f>
        <v>31-289-09</v>
      </c>
      <c r="B3" s="107" t="str">
        <f ca="1">_xlfn.LET(_xlpm.CAPS,0,_xlpm.Style,_xlfn.XLOOKUP($A3,Строчный!$A:$A,Строчный!B:B,"ERR",0),IF(_xlpm.CAPS=0,_xlpm.Style,LOWER(_xlpm.Style)))</f>
        <v>B1971H EMMELINE</v>
      </c>
      <c r="C3" s="81" t="str">
        <f ca="1">PROPER(_xlfn.XLOOKUP($A3,Строчный!$A:$A,Строчный!C:C,"ERR",0))</f>
        <v>Шляпы</v>
      </c>
      <c r="D3" s="81" t="str">
        <f ca="1">_xlfn.LET(_xlpm.DATA,(_xlfn.XLOOKUP($A3,Строчный!$A:$A,Строчный!D:D,"ERR",0)),UPPER(MID(_xlpm.DATA,1,1))&amp;LOWER(MID(_xlpm.DATA,2,LEN(_xlpm.DATA)-1)))</f>
        <v>Шляпа с широкими полями</v>
      </c>
      <c r="E3" s="81" t="str">
        <f ca="1">PROPER(_xlfn.XLOOKUP($A3,Строчный!$A:$A,Строчный!E:E,"ERR",0))</f>
        <v>Betmar</v>
      </c>
      <c r="F3" s="81" t="str">
        <f ca="1">LOWER(_xlfn.XLOOKUP($A3,Строчный!$A:$A,Строчный!F:F,"ERR",0))</f>
        <v>летний</v>
      </c>
      <c r="G3" s="81" t="str">
        <f ca="1">UPPER(_xlfn.XLOOKUP($A3,Строчный!$A:$A,Строчный!G:G,"ERR",0))</f>
        <v>BETMAR</v>
      </c>
      <c r="H3" s="81" t="str">
        <f ca="1">LOWER(_xlfn.XLOOKUP($A3,Строчный!$A:$A,Строчный!H:H,"ERR",0))</f>
        <v>black</v>
      </c>
      <c r="I3" s="81" t="str">
        <f ca="1">LOWER(_xlfn.XLOOKUP($A3,Строчный!$A:$A,Строчный!I:I,"ERR",0))</f>
        <v>черный</v>
      </c>
      <c r="J3" s="81" t="str">
        <f ca="1">SUBSTITUTE(LOWER(_xlfn.XLOOKUP($A3,Строчный!$A:$A,Строчный!J:J,"ERR",0)),"подклад","Подклад")</f>
        <v>100% полиэстер</v>
      </c>
      <c r="K3" s="81" t="str">
        <f ca="1">LOWER(_xlfn.XLOOKUP($A3,Строчный!$A:$A,Строчный!K:K,"ERR",0))</f>
        <v/>
      </c>
      <c r="L3" s="81" t="str">
        <f ca="1">PROPER(_xlfn.XLOOKUP($A3,Строчный!$A:$A,Строчный!L:L,"ERR",0))</f>
        <v>Женский</v>
      </c>
      <c r="M3" s="113" t="str">
        <f ca="1">PROPER(_xlfn.XLOOKUP($A3,Строчный!$A:$A,Строчный!M:M,"ERR",0))</f>
        <v>Китай</v>
      </c>
      <c r="N3" s="81" t="str">
        <f ca="1">UPPER(_xlfn.XLOOKUP($A3,Строчный!$A:$A,Строчный!O:O,"ERR",0))</f>
        <v/>
      </c>
      <c r="O3" s="107" t="str">
        <f ca="1">PROPER(_xlfn.XLOOKUP($A3,Строчный!$A:$A,Строчный!P:P,"ERR",0))</f>
        <v/>
      </c>
      <c r="P3" s="90">
        <f ca="1">VALUE(_xlfn.XLOOKUP($A3,Строчный!$A:$A,Строчный!N:N,"ERR",0))</f>
        <v>760.50000000000011</v>
      </c>
      <c r="Q3" s="89" t="str">
        <f ca="1">_xlfn.XLOOKUP($G3,Фабрика!A:A,Фабрика!B:B,"ERR",0)</f>
        <v>Bollman Headwear Europe Ltd; 2 Merchants drive, Caelisle, Cumbria CA3 0JW, United Kingdom</v>
      </c>
      <c r="R3" s="80" t="str">
        <f ca="1">_xlfn.XLOOKUP(RIGHT(Z3,2),Размеры!D:D,Размеры!A:A,"ERR",0)</f>
        <v>ONE</v>
      </c>
      <c r="S3" s="80">
        <f ca="1">VALUE(_xlfn.XLOOKUP($Z3,Строчный!$R:$R,Строчный!T:T,"ERR",0))</f>
        <v>3</v>
      </c>
      <c r="T3" s="14" t="s">
        <v>265</v>
      </c>
      <c r="U3" s="101" t="str">
        <f t="shared" ca="1" si="0"/>
        <v>Шляпа BETMAR арт. B1971H EMMELINE (черный)</v>
      </c>
      <c r="V3" s="100" t="str">
        <f t="shared" ca="1" si="1"/>
        <v>Шляпа BETMAR арт. B1971H EMMELINE (черный) {black}</v>
      </c>
      <c r="W3" s="18" t="str">
        <f t="shared" ca="1" si="2"/>
        <v>черный</v>
      </c>
      <c r="X3" s="18" t="str">
        <f t="shared" ca="1" si="3"/>
        <v>черный</v>
      </c>
      <c r="Y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Z3" s="73" t="str">
        <f ca="1"/>
        <v>31-289-09-00</v>
      </c>
      <c r="AA3" s="75" t="str">
        <f ca="1">VLOOKUP(C3,Группа!A:B,2,FALSE)</f>
        <v>Шляпа</v>
      </c>
      <c r="AB3" s="97" t="str">
        <f ca="1">IFERROR(VLOOKUP(R3,Размеры!A:C,3,FALSE),"")</f>
        <v>ONE</v>
      </c>
      <c r="AC3" s="97" t="str">
        <f ca="1">VLOOKUP(I3,ЦветПолный!A:B,2,FALSE)</f>
        <v>09</v>
      </c>
      <c r="AD3" s="97" t="str">
        <f ca="1">IFERROR(VLOOKUP(R3,Размеры!A:D,4,FALSE),"")</f>
        <v>00</v>
      </c>
      <c r="AE3" s="97">
        <f ca="1">IF(LEFT(IFERROR(VLOOKUP(LOOKUP(2,1/SEARCH(B3,Товары!A:A),Товары!A:A),Товары!A:B,2,0),""),6)=MID(Z3,1,6),1,0)</f>
        <v>1</v>
      </c>
      <c r="AG3" s="97">
        <f ca="1">SUMIF(Группа!A:A,C3,Группа!C:C)</f>
        <v>1</v>
      </c>
      <c r="AH3" s="97">
        <f ca="1">SUMIF(Группа!B:B,AA3,Группа!C:C)</f>
        <v>1</v>
      </c>
      <c r="AI3" s="97">
        <f ca="1">SUMIF(Формы!A:A,D3,Формы!B:B)</f>
        <v>1</v>
      </c>
      <c r="AJ3" s="97">
        <f ca="1">SUMIF(Материал!A:A,K3,Материал!B:B)</f>
        <v>0</v>
      </c>
      <c r="AK3" s="97">
        <f ca="1">SUMIF(Размеры!A:A,R3,Размеры!E:E)</f>
        <v>1</v>
      </c>
      <c r="AL3" s="97">
        <f ca="1">SUMIF(Сезон!A:A,F3,Сезон!B:B)</f>
        <v>1</v>
      </c>
      <c r="AM3" s="97">
        <f ca="1">SUMIF(Состав!A:A,J3,Состав!B:B)</f>
        <v>1</v>
      </c>
      <c r="AN3" s="97">
        <f ca="1">VLOOKUP(I3,ЦветПолный!A:C,3,0)</f>
        <v>1</v>
      </c>
      <c r="AO3" s="97">
        <f ca="1">SUMIF(Цвет!A:A,Y3,Цвет!B:B)</f>
        <v>1</v>
      </c>
      <c r="AP3" s="97">
        <f ca="1">_xlfn.XLOOKUP(L3,Пол!A:A,Пол!B:B,0,0)</f>
        <v>1</v>
      </c>
      <c r="AQ3" s="97">
        <f ca="1">SUMIF(Марка!A:A,G3,Марка!B:B)</f>
        <v>1</v>
      </c>
      <c r="AR3" s="97">
        <f ca="1">SUMIF(Страна!A:A,M3,Страна!B:B)</f>
        <v>1</v>
      </c>
      <c r="AS3" s="64" t="str">
        <f ca="1">IF(VLOOKUP(V3,Товары!A:B,2,FALSE)=A3,"Есть в 1С","ERR")</f>
        <v>Есть в 1С</v>
      </c>
      <c r="AT3" s="65" t="str">
        <f ca="1">IF(VLOOKUP(A3,Товары!B:B,1,FALSE)=A3,"Есть в 1С","ERR")</f>
        <v>Есть в 1С</v>
      </c>
      <c r="AU3" s="96" t="str">
        <f ca="1">VLOOKUP(V3,Товары!A:B,2,FALSE)</f>
        <v>31-289-09</v>
      </c>
      <c r="AV3" s="94" t="str">
        <f ca="1">VLOOKUP(V3,Товары!A:B,1,FALSE)</f>
        <v>Шляпа BETMAR арт. B1971H EMMELINE (черный) {black}</v>
      </c>
    </row>
    <row r="4" spans="1:48" ht="14.45" customHeight="1" x14ac:dyDescent="0.25">
      <c r="A4" s="110" t="str">
        <f t="shared" ca="1" si="4"/>
        <v>31-270-14</v>
      </c>
      <c r="B4" s="107" t="str">
        <f ca="1">_xlfn.LET(_xlpm.CAPS,0,_xlpm.Style,_xlfn.XLOOKUP($A4,Строчный!$A:$A,Строчный!B:B,"ERR",0),IF(_xlpm.CAPS=0,_xlpm.Style,LOWER(_xlpm.Style)))</f>
        <v>B1945H MARIE</v>
      </c>
      <c r="C4" s="81" t="str">
        <f ca="1">PROPER(_xlfn.XLOOKUP($A4,Строчный!$A:$A,Строчный!C:C,"ERR",0))</f>
        <v>Шляпы</v>
      </c>
      <c r="D4" s="81" t="str">
        <f ca="1">_xlfn.LET(_xlpm.DATA,(_xlfn.XLOOKUP($A4,Строчный!$A:$A,Строчный!D:D,"ERR",0)),UPPER(MID(_xlpm.DATA,1,1))&amp;LOWER(MID(_xlpm.DATA,2,LEN(_xlpm.DATA)-1)))</f>
        <v>Шляпа с широкими полями</v>
      </c>
      <c r="E4" s="81" t="str">
        <f ca="1">PROPER(_xlfn.XLOOKUP($A4,Строчный!$A:$A,Строчный!E:E,"ERR",0))</f>
        <v>Betmar</v>
      </c>
      <c r="F4" s="81" t="str">
        <f ca="1">LOWER(_xlfn.XLOOKUP($A4,Строчный!$A:$A,Строчный!F:F,"ERR",0))</f>
        <v>летний</v>
      </c>
      <c r="G4" s="81" t="str">
        <f ca="1">UPPER(_xlfn.XLOOKUP($A4,Строчный!$A:$A,Строчный!G:G,"ERR",0))</f>
        <v>BETMAR</v>
      </c>
      <c r="H4" s="81" t="str">
        <f ca="1">LOWER(_xlfn.XLOOKUP($A4,Строчный!$A:$A,Строчный!H:H,"ERR",0))</f>
        <v>tan</v>
      </c>
      <c r="I4" s="81" t="str">
        <f ca="1">LOWER(_xlfn.XLOOKUP($A4,Строчный!$A:$A,Строчный!I:I,"ERR",0))</f>
        <v>коричневый</v>
      </c>
      <c r="J4" s="81" t="str">
        <f ca="1">SUBSTITUTE(LOWER(_xlfn.XLOOKUP($A4,Строчный!$A:$A,Строчный!J:J,"ERR",0)),"подклад","Подклад")</f>
        <v>79% бумага - 12% полипропилен - 9% полиэстер</v>
      </c>
      <c r="K4" s="81" t="str">
        <f ca="1">LOWER(_xlfn.XLOOKUP($A4,Строчный!$A:$A,Строчный!K:K,"ERR",0))</f>
        <v>бумажные</v>
      </c>
      <c r="L4" s="81" t="str">
        <f ca="1">PROPER(_xlfn.XLOOKUP($A4,Строчный!$A:$A,Строчный!L:L,"ERR",0))</f>
        <v>Женский</v>
      </c>
      <c r="M4" s="113" t="str">
        <f ca="1">PROPER(_xlfn.XLOOKUP($A4,Строчный!$A:$A,Строчный!M:M,"ERR",0))</f>
        <v>Китай</v>
      </c>
      <c r="N4" s="81" t="str">
        <f ca="1">UPPER(_xlfn.XLOOKUP($A4,Строчный!$A:$A,Строчный!O:O,"ERR",0))</f>
        <v/>
      </c>
      <c r="O4" s="107" t="str">
        <f ca="1">PROPER(_xlfn.XLOOKUP($A4,Строчный!$A:$A,Строчный!P:P,"ERR",0))</f>
        <v/>
      </c>
      <c r="P4" s="90">
        <f ca="1">VALUE(_xlfn.XLOOKUP($A4,Строчный!$A:$A,Строчный!N:N,"ERR",0))</f>
        <v>699.66000000000008</v>
      </c>
      <c r="Q4" s="89" t="str">
        <f ca="1">_xlfn.XLOOKUP($G4,Фабрика!A:A,Фабрика!B:B,"ERR",0)</f>
        <v>Bollman Headwear Europe Ltd; 2 Merchants drive, Caelisle, Cumbria CA3 0JW, United Kingdom</v>
      </c>
      <c r="R4" s="80" t="str">
        <f ca="1">_xlfn.XLOOKUP(RIGHT(Z4,2),Размеры!D:D,Размеры!A:A,"ERR",0)</f>
        <v>ONE</v>
      </c>
      <c r="S4" s="80">
        <f ca="1">VALUE(_xlfn.XLOOKUP($Z4,Строчный!$R:$R,Строчный!T:T,"ERR",0))</f>
        <v>5</v>
      </c>
      <c r="T4" s="14" t="s">
        <v>265</v>
      </c>
      <c r="U4" s="101" t="str">
        <f t="shared" ca="1" si="0"/>
        <v>Шляпа BETMAR арт. B1945H MARIE (коричневый)</v>
      </c>
      <c r="V4" s="100" t="str">
        <f t="shared" ca="1" si="1"/>
        <v>Шляпа BETMAR арт. B1945H MARIE (коричневый) {tan}</v>
      </c>
      <c r="W4" s="18" t="str">
        <f t="shared" ca="1" si="2"/>
        <v>коричневый</v>
      </c>
      <c r="X4" s="18" t="str">
        <f t="shared" ca="1" si="3"/>
        <v>коричневый</v>
      </c>
      <c r="Y4" s="117" t="str">
        <f ca="1">_xlfn.LET(_xlpm.FormColors,_xlfn.XLOOKUP(A4,Строчный!A:A,Строчный!Q:Q,"",0),IF(_xlpm.FormColors=0,IFERROR(MID(I4,FIND("-",I4)+1,LEN(I4)),IFERROR(MID(I4,1,FIND("/",I4)-2),I4)),_xlpm.FormColors))</f>
        <v>коричневый</v>
      </c>
      <c r="Z4" s="73" t="str">
        <f ca="1"/>
        <v>31-270-14-00</v>
      </c>
      <c r="AA4" s="75" t="str">
        <f ca="1">VLOOKUP(C4,Группа!A:B,2,FALSE)</f>
        <v>Шляпа</v>
      </c>
      <c r="AB4" s="97" t="str">
        <f ca="1">IFERROR(VLOOKUP(R4,Размеры!A:C,3,FALSE),"")</f>
        <v>ONE</v>
      </c>
      <c r="AC4" s="97" t="str">
        <f ca="1">VLOOKUP(I4,ЦветПолный!A:B,2,FALSE)</f>
        <v>14</v>
      </c>
      <c r="AD4" s="97" t="str">
        <f ca="1">IFERROR(VLOOKUP(R4,Размеры!A:D,4,FALSE),"")</f>
        <v>00</v>
      </c>
      <c r="AE4" s="97">
        <f ca="1">IF(LEFT(IFERROR(VLOOKUP(LOOKUP(2,1/SEARCH(B4,Товары!A:A),Товары!A:A),Товары!A:B,2,0),""),6)=MID(Z4,1,6),1,0)</f>
        <v>1</v>
      </c>
      <c r="AG4" s="97">
        <f ca="1">SUMIF(Группа!A:A,C4,Группа!C:C)</f>
        <v>1</v>
      </c>
      <c r="AH4" s="97">
        <f ca="1">SUMIF(Группа!B:B,AA4,Группа!C:C)</f>
        <v>1</v>
      </c>
      <c r="AI4" s="97">
        <f ca="1">SUMIF(Формы!A:A,D4,Формы!B:B)</f>
        <v>1</v>
      </c>
      <c r="AJ4" s="97">
        <f ca="1">SUMIF(Материал!A:A,K4,Материал!B:B)</f>
        <v>1</v>
      </c>
      <c r="AK4" s="97">
        <f ca="1">SUMIF(Размеры!A:A,R4,Размеры!E:E)</f>
        <v>1</v>
      </c>
      <c r="AL4" s="97">
        <f ca="1">SUMIF(Сезон!A:A,F4,Сезон!B:B)</f>
        <v>1</v>
      </c>
      <c r="AM4" s="97">
        <f ca="1">SUMIF(Состав!A:A,J4,Состав!B:B)</f>
        <v>0</v>
      </c>
      <c r="AN4" s="97">
        <f ca="1">VLOOKUP(I4,ЦветПолный!A:C,3,0)</f>
        <v>1</v>
      </c>
      <c r="AO4" s="97">
        <f ca="1">SUMIF(Цвет!A:A,Y4,Цвет!B:B)</f>
        <v>1</v>
      </c>
      <c r="AP4" s="97">
        <f ca="1">_xlfn.XLOOKUP(L4,Пол!A:A,Пол!B:B,0,0)</f>
        <v>1</v>
      </c>
      <c r="AQ4" s="97">
        <f ca="1">SUMIF(Марка!A:A,G4,Марка!B:B)</f>
        <v>1</v>
      </c>
      <c r="AR4" s="97">
        <f ca="1">SUMIF(Страна!A:A,M4,Страна!B:B)</f>
        <v>1</v>
      </c>
      <c r="AS4" s="64" t="str">
        <f ca="1">IF(VLOOKUP(V4,Товары!A:B,2,FALSE)=A4,"Есть в 1С","ERR")</f>
        <v>Есть в 1С</v>
      </c>
      <c r="AT4" s="65" t="str">
        <f ca="1">IF(VLOOKUP(A4,Товары!B:B,1,FALSE)=A4,"Есть в 1С","ERR")</f>
        <v>Есть в 1С</v>
      </c>
      <c r="AU4" s="96" t="str">
        <f ca="1">VLOOKUP(V4,Товары!A:B,2,FALSE)</f>
        <v>31-270-14</v>
      </c>
      <c r="AV4" s="94" t="str">
        <f ca="1">VLOOKUP(V4,Товары!A:B,1,FALSE)</f>
        <v>Шляпа BETMAR арт. B1945H MARIE (коричневый) {tan}</v>
      </c>
    </row>
    <row r="5" spans="1:48" ht="14.45" customHeight="1" x14ac:dyDescent="0.25">
      <c r="A5" s="110" t="str">
        <f t="shared" ca="1" si="4"/>
        <v>31-243-09</v>
      </c>
      <c r="B5" s="107" t="str">
        <f ca="1">_xlfn.LET(_xlpm.CAPS,0,_xlpm.Style,_xlfn.XLOOKUP($A5,Строчный!$A:$A,Строчный!B:B,"ERR",0),IF(_xlpm.CAPS=0,_xlpm.Style,LOWER(_xlpm.Style)))</f>
        <v>B1910H RIVERIA</v>
      </c>
      <c r="C5" s="81" t="str">
        <f ca="1">PROPER(_xlfn.XLOOKUP($A5,Строчный!$A:$A,Строчный!C:C,"ERR",0))</f>
        <v>Шляпы</v>
      </c>
      <c r="D5" s="81" t="str">
        <f ca="1">_xlfn.LET(_xlpm.DATA,(_xlfn.XLOOKUP($A5,Строчный!$A:$A,Строчный!D:D,"ERR",0)),UPPER(MID(_xlpm.DATA,1,1))&amp;LOWER(MID(_xlpm.DATA,2,LEN(_xlpm.DATA)-1)))</f>
        <v>Шляпа канотье</v>
      </c>
      <c r="E5" s="81" t="str">
        <f ca="1">PROPER(_xlfn.XLOOKUP($A5,Строчный!$A:$A,Строчный!E:E,"ERR",0))</f>
        <v>Betmar</v>
      </c>
      <c r="F5" s="81" t="str">
        <f ca="1">LOWER(_xlfn.XLOOKUP($A5,Строчный!$A:$A,Строчный!F:F,"ERR",0))</f>
        <v>летний</v>
      </c>
      <c r="G5" s="81" t="str">
        <f ca="1">UPPER(_xlfn.XLOOKUP($A5,Строчный!$A:$A,Строчный!G:G,"ERR",0))</f>
        <v>BETMAR</v>
      </c>
      <c r="H5" s="81" t="str">
        <f ca="1">LOWER(_xlfn.XLOOKUP($A5,Строчный!$A:$A,Строчный!H:H,"ERR",0))</f>
        <v>black</v>
      </c>
      <c r="I5" s="81" t="str">
        <f ca="1">LOWER(_xlfn.XLOOKUP($A5,Строчный!$A:$A,Строчный!I:I,"ERR",0))</f>
        <v>черный</v>
      </c>
      <c r="J5" s="81" t="str">
        <f ca="1">SUBSTITUTE(LOWER(_xlfn.XLOOKUP($A5,Строчный!$A:$A,Строчный!J:J,"ERR",0)),"подклад","Подклад")</f>
        <v>100% солома</v>
      </c>
      <c r="K5" s="81" t="str">
        <f ca="1">LOWER(_xlfn.XLOOKUP($A5,Строчный!$A:$A,Строчный!K:K,"ERR",0))</f>
        <v>соломенные</v>
      </c>
      <c r="L5" s="81" t="str">
        <f ca="1">PROPER(_xlfn.XLOOKUP($A5,Строчный!$A:$A,Строчный!L:L,"ERR",0))</f>
        <v>Женский</v>
      </c>
      <c r="M5" s="113" t="str">
        <f ca="1">PROPER(_xlfn.XLOOKUP($A5,Строчный!$A:$A,Строчный!M:M,"ERR",0))</f>
        <v>Китай</v>
      </c>
      <c r="N5" s="81" t="str">
        <f ca="1">UPPER(_xlfn.XLOOKUP($A5,Строчный!$A:$A,Строчный!O:O,"ERR",0))</f>
        <v/>
      </c>
      <c r="O5" s="107" t="str">
        <f ca="1">PROPER(_xlfn.XLOOKUP($A5,Строчный!$A:$A,Строчный!P:P,"ERR",0))</f>
        <v/>
      </c>
      <c r="P5" s="90">
        <f ca="1">VALUE(_xlfn.XLOOKUP($A5,Строчный!$A:$A,Строчный!N:N,"ERR",0))</f>
        <v>606.05999999999995</v>
      </c>
      <c r="Q5" s="89" t="str">
        <f ca="1">_xlfn.XLOOKUP($G5,Фабрика!A:A,Фабрика!B:B,"ERR",0)</f>
        <v>Bollman Headwear Europe Ltd; 2 Merchants drive, Caelisle, Cumbria CA3 0JW, United Kingdom</v>
      </c>
      <c r="R5" s="80" t="str">
        <f ca="1">_xlfn.XLOOKUP(RIGHT(Z5,2),Размеры!D:D,Размеры!A:A,"ERR",0)</f>
        <v>ONE</v>
      </c>
      <c r="S5" s="80">
        <f ca="1">VALUE(_xlfn.XLOOKUP($Z5,Строчный!$R:$R,Строчный!T:T,"ERR",0))</f>
        <v>2</v>
      </c>
      <c r="T5" s="14" t="s">
        <v>265</v>
      </c>
      <c r="U5" s="101" t="str">
        <f t="shared" ca="1" si="0"/>
        <v>Шляпа BETMAR арт. B1910H RIVERIA (черный)</v>
      </c>
      <c r="V5" s="100" t="str">
        <f t="shared" ca="1" si="1"/>
        <v>Шляпа BETMAR арт. B1910H RIVERIA (черный) {black}</v>
      </c>
      <c r="W5" s="18" t="str">
        <f t="shared" ca="1" si="2"/>
        <v>черный</v>
      </c>
      <c r="X5" s="18" t="str">
        <f t="shared" ca="1" si="3"/>
        <v>черный</v>
      </c>
      <c r="Y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Z5" s="73" t="str">
        <f ca="1"/>
        <v>31-243-09-00</v>
      </c>
      <c r="AA5" s="75" t="str">
        <f ca="1">VLOOKUP(C5,Группа!A:B,2,FALSE)</f>
        <v>Шляпа</v>
      </c>
      <c r="AB5" s="97" t="str">
        <f ca="1">IFERROR(VLOOKUP(R5,Размеры!A:C,3,FALSE),"")</f>
        <v>ONE</v>
      </c>
      <c r="AC5" s="97" t="str">
        <f ca="1">VLOOKUP(I5,ЦветПолный!A:B,2,FALSE)</f>
        <v>09</v>
      </c>
      <c r="AD5" s="97" t="str">
        <f ca="1">IFERROR(VLOOKUP(R5,Размеры!A:D,4,FALSE),"")</f>
        <v>00</v>
      </c>
      <c r="AE5" s="97">
        <f ca="1">IF(LEFT(IFERROR(VLOOKUP(LOOKUP(2,1/SEARCH(B5,Товары!A:A),Товары!A:A),Товары!A:B,2,0),""),6)=MID(Z5,1,6),1,0)</f>
        <v>1</v>
      </c>
      <c r="AG5" s="97">
        <f ca="1">SUMIF(Группа!A:A,C5,Группа!C:C)</f>
        <v>1</v>
      </c>
      <c r="AH5" s="97">
        <f ca="1">SUMIF(Группа!B:B,AA5,Группа!C:C)</f>
        <v>1</v>
      </c>
      <c r="AI5" s="97">
        <f ca="1">SUMIF(Формы!A:A,D5,Формы!B:B)</f>
        <v>1</v>
      </c>
      <c r="AJ5" s="97">
        <f ca="1">SUMIF(Материал!A:A,K5,Материал!B:B)</f>
        <v>1</v>
      </c>
      <c r="AK5" s="97">
        <f ca="1">SUMIF(Размеры!A:A,R5,Размеры!E:E)</f>
        <v>1</v>
      </c>
      <c r="AL5" s="97">
        <f ca="1">SUMIF(Сезон!A:A,F5,Сезон!B:B)</f>
        <v>1</v>
      </c>
      <c r="AM5" s="97">
        <f ca="1">SUMIF(Состав!A:A,J5,Состав!B:B)</f>
        <v>1</v>
      </c>
      <c r="AN5" s="97">
        <f ca="1">VLOOKUP(I5,ЦветПолный!A:C,3,0)</f>
        <v>1</v>
      </c>
      <c r="AO5" s="97">
        <f ca="1">SUMIF(Цвет!A:A,Y5,Цвет!B:B)</f>
        <v>1</v>
      </c>
      <c r="AP5" s="97">
        <f ca="1">_xlfn.XLOOKUP(L5,Пол!A:A,Пол!B:B,0,0)</f>
        <v>1</v>
      </c>
      <c r="AQ5" s="97">
        <f ca="1">SUMIF(Марка!A:A,G5,Марка!B:B)</f>
        <v>1</v>
      </c>
      <c r="AR5" s="97">
        <f ca="1">SUMIF(Страна!A:A,M5,Страна!B:B)</f>
        <v>1</v>
      </c>
      <c r="AS5" s="64" t="str">
        <f ca="1">IF(VLOOKUP(V5,Товары!A:B,2,FALSE)=A5,"Есть в 1С","ERR")</f>
        <v>Есть в 1С</v>
      </c>
      <c r="AT5" s="65" t="str">
        <f ca="1">IF(VLOOKUP(A5,Товары!B:B,1,FALSE)=A5,"Есть в 1С","ERR")</f>
        <v>Есть в 1С</v>
      </c>
      <c r="AU5" s="96" t="str">
        <f ca="1">VLOOKUP(V5,Товары!A:B,2,FALSE)</f>
        <v>31-243-09</v>
      </c>
      <c r="AV5" s="94" t="str">
        <f ca="1">VLOOKUP(V5,Товары!A:B,1,FALSE)</f>
        <v>Шляпа BETMAR арт. B1910H RIVERIA (черный) {black}</v>
      </c>
    </row>
    <row r="6" spans="1:48" x14ac:dyDescent="0.25">
      <c r="A6" s="110" t="str">
        <f t="shared" ca="1" si="4"/>
        <v>31-238-91</v>
      </c>
      <c r="B6" s="107" t="str">
        <f ca="1">_xlfn.LET(_xlpm.CAPS,0,_xlpm.Style,_xlfn.XLOOKUP($A6,Строчный!$A:$A,Строчный!B:B,"ERR",0),IF(_xlpm.CAPS=0,_xlpm.Style,LOWER(_xlpm.Style)))</f>
        <v>B1900H BLANCHET</v>
      </c>
      <c r="C6" s="81" t="str">
        <f ca="1">PROPER(_xlfn.XLOOKUP($A6,Строчный!$A:$A,Строчный!C:C,"ERR",0))</f>
        <v>Шляпы</v>
      </c>
      <c r="D6" s="81" t="str">
        <f ca="1">_xlfn.LET(_xlpm.DATA,(_xlfn.XLOOKUP($A6,Строчный!$A:$A,Строчный!D:D,"ERR",0)),UPPER(MID(_xlpm.DATA,1,1))&amp;LOWER(MID(_xlpm.DATA,2,LEN(_xlpm.DATA)-1)))</f>
        <v>Шляпа с широкими полями</v>
      </c>
      <c r="E6" s="81" t="str">
        <f ca="1">PROPER(_xlfn.XLOOKUP($A6,Строчный!$A:$A,Строчный!E:E,"ERR",0))</f>
        <v>Betmar</v>
      </c>
      <c r="F6" s="81" t="str">
        <f ca="1">LOWER(_xlfn.XLOOKUP($A6,Строчный!$A:$A,Строчный!F:F,"ERR",0))</f>
        <v>летний</v>
      </c>
      <c r="G6" s="81" t="str">
        <f ca="1">UPPER(_xlfn.XLOOKUP($A6,Строчный!$A:$A,Строчный!G:G,"ERR",0))</f>
        <v>BETMAR</v>
      </c>
      <c r="H6" s="81" t="str">
        <f ca="1">LOWER(_xlfn.XLOOKUP($A6,Строчный!$A:$A,Строчный!H:H,"ERR",0))</f>
        <v>auburn sand</v>
      </c>
      <c r="I6" s="81" t="str">
        <f ca="1">LOWER(_xlfn.XLOOKUP($A6,Строчный!$A:$A,Строчный!I:I,"ERR",0))</f>
        <v>кофейный</v>
      </c>
      <c r="J6" s="81" t="str">
        <f ca="1">SUBSTITUTE(LOWER(_xlfn.XLOOKUP($A6,Строчный!$A:$A,Строчный!J:J,"ERR",0)),"подклад","Подклад")</f>
        <v>45% бумага - 35% полипропилен - 20% полиэстер</v>
      </c>
      <c r="K6" s="81" t="str">
        <f ca="1">LOWER(_xlfn.XLOOKUP($A6,Строчный!$A:$A,Строчный!K:K,"ERR",0))</f>
        <v>бумажные</v>
      </c>
      <c r="L6" s="81" t="str">
        <f ca="1">PROPER(_xlfn.XLOOKUP($A6,Строчный!$A:$A,Строчный!L:L,"ERR",0))</f>
        <v>Женский</v>
      </c>
      <c r="M6" s="113" t="str">
        <f ca="1">PROPER(_xlfn.XLOOKUP($A6,Строчный!$A:$A,Строчный!M:M,"ERR",0))</f>
        <v>Китай</v>
      </c>
      <c r="N6" s="81" t="str">
        <f ca="1">UPPER(_xlfn.XLOOKUP($A6,Строчный!$A:$A,Строчный!O:O,"ERR",0))</f>
        <v/>
      </c>
      <c r="O6" s="107" t="str">
        <f ca="1">PROPER(_xlfn.XLOOKUP($A6,Строчный!$A:$A,Строчный!P:P,"ERR",0))</f>
        <v/>
      </c>
      <c r="P6" s="90">
        <f ca="1">VALUE(_xlfn.XLOOKUP($A6,Строчный!$A:$A,Строчный!N:N,"ERR",0))</f>
        <v>787.41000000000008</v>
      </c>
      <c r="Q6" s="89" t="str">
        <f ca="1">_xlfn.XLOOKUP($G6,Фабрика!A:A,Фабрика!B:B,"ERR",0)</f>
        <v>Bollman Headwear Europe Ltd; 2 Merchants drive, Caelisle, Cumbria CA3 0JW, United Kingdom</v>
      </c>
      <c r="R6" s="80" t="str">
        <f ca="1">_xlfn.XLOOKUP(RIGHT(Z6,2),Размеры!D:D,Размеры!A:A,"ERR",0)</f>
        <v>ONE</v>
      </c>
      <c r="S6" s="80">
        <f ca="1">VALUE(_xlfn.XLOOKUP($Z6,Строчный!$R:$R,Строчный!T:T,"ERR",0))</f>
        <v>3</v>
      </c>
      <c r="T6" s="14" t="s">
        <v>265</v>
      </c>
      <c r="U6" s="101" t="str">
        <f t="shared" ca="1" si="0"/>
        <v>Шляпа BETMAR арт. B1900H BLANCHET (кофейный)</v>
      </c>
      <c r="V6" s="100" t="str">
        <f t="shared" ca="1" si="1"/>
        <v>Шляпа BETMAR арт. B1900H BLANCHET (кофейный) {auburn sand}</v>
      </c>
      <c r="W6" s="18" t="str">
        <f t="shared" ca="1" si="2"/>
        <v>кофейный</v>
      </c>
      <c r="X6" s="18" t="str">
        <f t="shared" ca="1" si="3"/>
        <v>кофейный</v>
      </c>
      <c r="Y6" s="117" t="str">
        <f ca="1">_xlfn.LET(_xlpm.FormColors,_xlfn.XLOOKUP(A6,Строчный!A:A,Строчный!Q:Q,"",0),IF(_xlpm.FormColors=0,IFERROR(MID(I6,FIND("-",I6)+1,LEN(I6)),IFERROR(MID(I6,1,FIND("/",I6)-2),I6)),_xlpm.FormColors))</f>
        <v>кофейный</v>
      </c>
      <c r="Z6" s="73" t="str">
        <f ca="1"/>
        <v>31-238-91-00</v>
      </c>
      <c r="AA6" s="75" t="str">
        <f ca="1">VLOOKUP(C6,Группа!A:B,2,FALSE)</f>
        <v>Шляпа</v>
      </c>
      <c r="AB6" s="97" t="str">
        <f ca="1">IFERROR(VLOOKUP(R6,Размеры!A:C,3,FALSE),"")</f>
        <v>ONE</v>
      </c>
      <c r="AC6" s="97" t="str">
        <f ca="1">VLOOKUP(I6,ЦветПолный!A:B,2,FALSE)</f>
        <v>91</v>
      </c>
      <c r="AD6" s="97" t="str">
        <f ca="1">IFERROR(VLOOKUP(R6,Размеры!A:D,4,FALSE),"")</f>
        <v>00</v>
      </c>
      <c r="AE6" s="97">
        <f ca="1">IF(LEFT(IFERROR(VLOOKUP(LOOKUP(2,1/SEARCH(B6,Товары!A:A),Товары!A:A),Товары!A:B,2,0),""),6)=MID(Z6,1,6),1,0)</f>
        <v>1</v>
      </c>
      <c r="AG6" s="97">
        <f ca="1">SUMIF(Группа!A:A,C6,Группа!C:C)</f>
        <v>1</v>
      </c>
      <c r="AH6" s="97">
        <f ca="1">SUMIF(Группа!B:B,AA6,Группа!C:C)</f>
        <v>1</v>
      </c>
      <c r="AI6" s="97">
        <f ca="1">SUMIF(Формы!A:A,D6,Формы!B:B)</f>
        <v>1</v>
      </c>
      <c r="AJ6" s="97">
        <f ca="1">SUMIF(Материал!A:A,K6,Материал!B:B)</f>
        <v>1</v>
      </c>
      <c r="AK6" s="97">
        <f ca="1">SUMIF(Размеры!A:A,R6,Размеры!E:E)</f>
        <v>1</v>
      </c>
      <c r="AL6" s="97">
        <f ca="1">SUMIF(Сезон!A:A,F6,Сезон!B:B)</f>
        <v>1</v>
      </c>
      <c r="AM6" s="97">
        <f ca="1">SUMIF(Состав!A:A,J6,Состав!B:B)</f>
        <v>1</v>
      </c>
      <c r="AN6" s="97">
        <f ca="1">VLOOKUP(I6,ЦветПолный!A:C,3,0)</f>
        <v>1</v>
      </c>
      <c r="AO6" s="97">
        <f ca="1">SUMIF(Цвет!A:A,Y6,Цвет!B:B)</f>
        <v>0</v>
      </c>
      <c r="AP6" s="97">
        <f ca="1">_xlfn.XLOOKUP(L6,Пол!A:A,Пол!B:B,0,0)</f>
        <v>1</v>
      </c>
      <c r="AQ6" s="97">
        <f ca="1">SUMIF(Марка!A:A,G6,Марка!B:B)</f>
        <v>1</v>
      </c>
      <c r="AR6" s="97">
        <f ca="1">SUMIF(Страна!A:A,M6,Страна!B:B)</f>
        <v>1</v>
      </c>
      <c r="AS6" s="64" t="str">
        <f ca="1">IF(VLOOKUP(V6,Товары!A:B,2,FALSE)=A6,"Есть в 1С","ERR")</f>
        <v>Есть в 1С</v>
      </c>
      <c r="AT6" s="65" t="str">
        <f ca="1">IF(VLOOKUP(A6,Товары!B:B,1,FALSE)=A6,"Есть в 1С","ERR")</f>
        <v>Есть в 1С</v>
      </c>
      <c r="AU6" s="96" t="str">
        <f ca="1">VLOOKUP(V6,Товары!A:B,2,FALSE)</f>
        <v>31-238-91</v>
      </c>
      <c r="AV6" s="94" t="str">
        <f ca="1">VLOOKUP(V6,Товары!A:B,1,FALSE)</f>
        <v>Шляпа BETMAR арт. B1900H BLANCHET (кофейный) {auburn sand}</v>
      </c>
    </row>
    <row r="7" spans="1:48" ht="14.45" customHeight="1" x14ac:dyDescent="0.25">
      <c r="A7" s="110" t="str">
        <f t="shared" ca="1" si="4"/>
        <v>31-238-02</v>
      </c>
      <c r="B7" s="107" t="str">
        <f ca="1">_xlfn.LET(_xlpm.CAPS,0,_xlpm.Style,_xlfn.XLOOKUP($A7,Строчный!$A:$A,Строчный!B:B,"ERR",0),IF(_xlpm.CAPS=0,_xlpm.Style,LOWER(_xlpm.Style)))</f>
        <v>B1900H BLANCHET</v>
      </c>
      <c r="C7" s="81" t="str">
        <f ca="1">PROPER(_xlfn.XLOOKUP($A7,Строчный!$A:$A,Строчный!C:C,"ERR",0))</f>
        <v>Шляпы</v>
      </c>
      <c r="D7" s="81" t="str">
        <f ca="1">_xlfn.LET(_xlpm.DATA,(_xlfn.XLOOKUP($A7,Строчный!$A:$A,Строчный!D:D,"ERR",0)),UPPER(MID(_xlpm.DATA,1,1))&amp;LOWER(MID(_xlpm.DATA,2,LEN(_xlpm.DATA)-1)))</f>
        <v>Шляпа с широкими полями</v>
      </c>
      <c r="E7" s="81" t="str">
        <f ca="1">PROPER(_xlfn.XLOOKUP($A7,Строчный!$A:$A,Строчный!E:E,"ERR",0))</f>
        <v>Betmar</v>
      </c>
      <c r="F7" s="81" t="str">
        <f ca="1">LOWER(_xlfn.XLOOKUP($A7,Строчный!$A:$A,Строчный!F:F,"ERR",0))</f>
        <v>летний</v>
      </c>
      <c r="G7" s="81" t="str">
        <f ca="1">UPPER(_xlfn.XLOOKUP($A7,Строчный!$A:$A,Строчный!G:G,"ERR",0))</f>
        <v>BETMAR</v>
      </c>
      <c r="H7" s="81" t="str">
        <f ca="1">LOWER(_xlfn.XLOOKUP($A7,Строчный!$A:$A,Строчный!H:H,"ERR",0))</f>
        <v>natural</v>
      </c>
      <c r="I7" s="81" t="str">
        <f ca="1">LOWER(_xlfn.XLOOKUP($A7,Строчный!$A:$A,Строчный!I:I,"ERR",0))</f>
        <v>бежевый</v>
      </c>
      <c r="J7" s="81" t="str">
        <f ca="1">SUBSTITUTE(LOWER(_xlfn.XLOOKUP($A7,Строчный!$A:$A,Строчный!J:J,"ERR",0)),"подклад","Подклад")</f>
        <v>45% бумага - 35% полипропилен - 20% полиэстер</v>
      </c>
      <c r="K7" s="81" t="str">
        <f ca="1">LOWER(_xlfn.XLOOKUP($A7,Строчный!$A:$A,Строчный!K:K,"ERR",0))</f>
        <v>бумажные</v>
      </c>
      <c r="L7" s="81" t="str">
        <f ca="1">PROPER(_xlfn.XLOOKUP($A7,Строчный!$A:$A,Строчный!L:L,"ERR",0))</f>
        <v>Женский</v>
      </c>
      <c r="M7" s="113" t="str">
        <f ca="1">PROPER(_xlfn.XLOOKUP($A7,Строчный!$A:$A,Строчный!M:M,"ERR",0))</f>
        <v>Китай</v>
      </c>
      <c r="N7" s="81" t="str">
        <f ca="1">UPPER(_xlfn.XLOOKUP($A7,Строчный!$A:$A,Строчный!O:O,"ERR",0))</f>
        <v/>
      </c>
      <c r="O7" s="107" t="str">
        <f ca="1">PROPER(_xlfn.XLOOKUP($A7,Строчный!$A:$A,Строчный!P:P,"ERR",0))</f>
        <v/>
      </c>
      <c r="P7" s="90">
        <f ca="1">VALUE(_xlfn.XLOOKUP($A7,Строчный!$A:$A,Строчный!N:N,"ERR",0))</f>
        <v>787.41000000000008</v>
      </c>
      <c r="Q7" s="89" t="str">
        <f ca="1">_xlfn.XLOOKUP($G7,Фабрика!A:A,Фабрика!B:B,"ERR",0)</f>
        <v>Bollman Headwear Europe Ltd; 2 Merchants drive, Caelisle, Cumbria CA3 0JW, United Kingdom</v>
      </c>
      <c r="R7" s="80" t="str">
        <f ca="1">_xlfn.XLOOKUP(RIGHT(Z7,2),Размеры!D:D,Размеры!A:A,"ERR",0)</f>
        <v>ONE</v>
      </c>
      <c r="S7" s="80">
        <f ca="1">VALUE(_xlfn.XLOOKUP($Z7,Строчный!$R:$R,Строчный!T:T,"ERR",0))</f>
        <v>3</v>
      </c>
      <c r="T7" s="14" t="s">
        <v>265</v>
      </c>
      <c r="U7" s="101" t="str">
        <f t="shared" ca="1" si="0"/>
        <v>Шляпа BETMAR арт. B1900H BLANCHET (бежевый)</v>
      </c>
      <c r="V7" s="100" t="str">
        <f t="shared" ca="1" si="1"/>
        <v>Шляпа BETMAR арт. B1900H BLANCHET (бежевый) {natural}</v>
      </c>
      <c r="W7" s="18" t="str">
        <f t="shared" ca="1" si="2"/>
        <v>бежевый</v>
      </c>
      <c r="X7" s="18" t="str">
        <f t="shared" ca="1" si="3"/>
        <v>бежевый</v>
      </c>
      <c r="Y7" s="117" t="str">
        <f ca="1">_xlfn.LET(_xlpm.FormColors,_xlfn.XLOOKUP(A7,Строчный!A:A,Строчный!Q:Q,"",0),IF(_xlpm.FormColors=0,IFERROR(MID(I7,FIND("-",I7)+1,LEN(I7)),IFERROR(MID(I7,1,FIND("/",I7)-2),I7)),_xlpm.FormColors))</f>
        <v>бежевый</v>
      </c>
      <c r="Z7" s="73" t="str">
        <f ca="1"/>
        <v>31-238-02-00</v>
      </c>
      <c r="AA7" s="75" t="str">
        <f ca="1">VLOOKUP(C7,Группа!A:B,2,FALSE)</f>
        <v>Шляпа</v>
      </c>
      <c r="AB7" s="97" t="str">
        <f ca="1">IFERROR(VLOOKUP(R7,Размеры!A:C,3,FALSE),"")</f>
        <v>ONE</v>
      </c>
      <c r="AC7" s="97" t="str">
        <f ca="1">VLOOKUP(I7,ЦветПолный!A:B,2,FALSE)</f>
        <v>02</v>
      </c>
      <c r="AD7" s="97" t="str">
        <f ca="1">IFERROR(VLOOKUP(R7,Размеры!A:D,4,FALSE),"")</f>
        <v>00</v>
      </c>
      <c r="AE7" s="97">
        <f ca="1">IF(LEFT(IFERROR(VLOOKUP(LOOKUP(2,1/SEARCH(B7,Товары!A:A),Товары!A:A),Товары!A:B,2,0),""),6)=MID(Z7,1,6),1,0)</f>
        <v>1</v>
      </c>
      <c r="AG7" s="97">
        <f ca="1">SUMIF(Группа!A:A,C7,Группа!C:C)</f>
        <v>1</v>
      </c>
      <c r="AH7" s="97">
        <f ca="1">SUMIF(Группа!B:B,AA7,Группа!C:C)</f>
        <v>1</v>
      </c>
      <c r="AI7" s="97">
        <f ca="1">SUMIF(Формы!A:A,D7,Формы!B:B)</f>
        <v>1</v>
      </c>
      <c r="AJ7" s="97">
        <f ca="1">SUMIF(Материал!A:A,K7,Материал!B:B)</f>
        <v>1</v>
      </c>
      <c r="AK7" s="97">
        <f ca="1">SUMIF(Размеры!A:A,R7,Размеры!E:E)</f>
        <v>1</v>
      </c>
      <c r="AL7" s="97">
        <f ca="1">SUMIF(Сезон!A:A,F7,Сезон!B:B)</f>
        <v>1</v>
      </c>
      <c r="AM7" s="97">
        <f ca="1">SUMIF(Состав!A:A,J7,Состав!B:B)</f>
        <v>1</v>
      </c>
      <c r="AN7" s="97">
        <f ca="1">VLOOKUP(I7,ЦветПолный!A:C,3,0)</f>
        <v>1</v>
      </c>
      <c r="AO7" s="97">
        <f ca="1">SUMIF(Цвет!A:A,Y7,Цвет!B:B)</f>
        <v>1</v>
      </c>
      <c r="AP7" s="97">
        <f ca="1">_xlfn.XLOOKUP(L7,Пол!A:A,Пол!B:B,0,0)</f>
        <v>1</v>
      </c>
      <c r="AQ7" s="97">
        <f ca="1">SUMIF(Марка!A:A,G7,Марка!B:B)</f>
        <v>1</v>
      </c>
      <c r="AR7" s="97">
        <f ca="1">SUMIF(Страна!A:A,M7,Страна!B:B)</f>
        <v>1</v>
      </c>
      <c r="AS7" s="64" t="str">
        <f ca="1">IF(VLOOKUP(V7,Товары!A:B,2,FALSE)=A7,"Есть в 1С","ERR")</f>
        <v>Есть в 1С</v>
      </c>
      <c r="AT7" s="65" t="str">
        <f ca="1">IF(VLOOKUP(A7,Товары!B:B,1,FALSE)=A7,"Есть в 1С","ERR")</f>
        <v>Есть в 1С</v>
      </c>
      <c r="AU7" s="96" t="str">
        <f ca="1">VLOOKUP(V7,Товары!A:B,2,FALSE)</f>
        <v>31-238-02</v>
      </c>
      <c r="AV7" s="94" t="str">
        <f ca="1">VLOOKUP(V7,Товары!A:B,1,FALSE)</f>
        <v>Шляпа BETMAR арт. B1900H BLANCHET (бежевый) {natural}</v>
      </c>
    </row>
    <row r="8" spans="1:48" ht="14.45" customHeight="1" x14ac:dyDescent="0.25">
      <c r="A8" s="110" t="str">
        <f t="shared" ca="1" si="4"/>
        <v>31-237-20</v>
      </c>
      <c r="B8" s="107" t="str">
        <f ca="1">_xlfn.LET(_xlpm.CAPS,0,_xlpm.Style,_xlfn.XLOOKUP($A8,Строчный!$A:$A,Строчный!B:B,"ERR",0),IF(_xlpm.CAPS=0,_xlpm.Style,LOWER(_xlpm.Style)))</f>
        <v>B1899H GOSSAMER MINI</v>
      </c>
      <c r="C8" s="81" t="str">
        <f ca="1">PROPER(_xlfn.XLOOKUP($A8,Строчный!$A:$A,Строчный!C:C,"ERR",0))</f>
        <v>Шляпы</v>
      </c>
      <c r="D8" s="81" t="str">
        <f ca="1">_xlfn.LET(_xlpm.DATA,(_xlfn.XLOOKUP($A8,Строчный!$A:$A,Строчный!D:D,"ERR",0)),UPPER(MID(_xlpm.DATA,1,1))&amp;LOWER(MID(_xlpm.DATA,2,LEN(_xlpm.DATA)-1)))</f>
        <v>Шляпа клош</v>
      </c>
      <c r="E8" s="81" t="str">
        <f ca="1">PROPER(_xlfn.XLOOKUP($A8,Строчный!$A:$A,Строчный!E:E,"ERR",0))</f>
        <v>Betmar</v>
      </c>
      <c r="F8" s="81" t="str">
        <f ca="1">LOWER(_xlfn.XLOOKUP($A8,Строчный!$A:$A,Строчный!F:F,"ERR",0))</f>
        <v>летний</v>
      </c>
      <c r="G8" s="81" t="str">
        <f ca="1">UPPER(_xlfn.XLOOKUP($A8,Строчный!$A:$A,Строчный!G:G,"ERR",0))</f>
        <v>BETMAR</v>
      </c>
      <c r="H8" s="81" t="str">
        <f ca="1">LOWER(_xlfn.XLOOKUP($A8,Строчный!$A:$A,Строчный!H:H,"ERR",0))</f>
        <v>lemon</v>
      </c>
      <c r="I8" s="81" t="str">
        <f ca="1">LOWER(_xlfn.XLOOKUP($A8,Строчный!$A:$A,Строчный!I:I,"ERR",0))</f>
        <v>лимонный</v>
      </c>
      <c r="J8" s="81" t="str">
        <f ca="1">SUBSTITUTE(LOWER(_xlfn.XLOOKUP($A8,Строчный!$A:$A,Строчный!J:J,"ERR",0)),"подклад","Подклад")</f>
        <v>45% бумага - 35% полипропилен - 20% полиэстер</v>
      </c>
      <c r="K8" s="81" t="str">
        <f ca="1">LOWER(_xlfn.XLOOKUP($A8,Строчный!$A:$A,Строчный!K:K,"ERR",0))</f>
        <v>бумажные</v>
      </c>
      <c r="L8" s="81" t="str">
        <f ca="1">PROPER(_xlfn.XLOOKUP($A8,Строчный!$A:$A,Строчный!L:L,"ERR",0))</f>
        <v>Женский</v>
      </c>
      <c r="M8" s="113" t="str">
        <f ca="1">PROPER(_xlfn.XLOOKUP($A8,Строчный!$A:$A,Строчный!M:M,"ERR",0))</f>
        <v>Китай</v>
      </c>
      <c r="N8" s="81" t="str">
        <f ca="1">UPPER(_xlfn.XLOOKUP($A8,Строчный!$A:$A,Строчный!O:O,"ERR",0))</f>
        <v/>
      </c>
      <c r="O8" s="107" t="str">
        <f ca="1">PROPER(_xlfn.XLOOKUP($A8,Строчный!$A:$A,Строчный!P:P,"ERR",0))</f>
        <v/>
      </c>
      <c r="P8" s="90">
        <f ca="1">VALUE(_xlfn.XLOOKUP($A8,Строчный!$A:$A,Строчный!N:N,"ERR",0))</f>
        <v>629.46</v>
      </c>
      <c r="Q8" s="89" t="str">
        <f ca="1">_xlfn.XLOOKUP($G8,Фабрика!A:A,Фабрика!B:B,"ERR",0)</f>
        <v>Bollman Headwear Europe Ltd; 2 Merchants drive, Caelisle, Cumbria CA3 0JW, United Kingdom</v>
      </c>
      <c r="R8" s="80" t="str">
        <f ca="1">_xlfn.XLOOKUP(RIGHT(Z8,2),Размеры!D:D,Размеры!A:A,"ERR",0)</f>
        <v>ONE</v>
      </c>
      <c r="S8" s="80">
        <f ca="1">VALUE(_xlfn.XLOOKUP($Z8,Строчный!$R:$R,Строчный!T:T,"ERR",0))</f>
        <v>5</v>
      </c>
      <c r="T8" s="14" t="s">
        <v>265</v>
      </c>
      <c r="U8" s="101" t="str">
        <f t="shared" ca="1" si="0"/>
        <v>Шляпа BETMAR арт. B1899H GOSSAMER MINI (лимонный)</v>
      </c>
      <c r="V8" s="100" t="str">
        <f t="shared" ca="1" si="1"/>
        <v>Шляпа BETMAR арт. B1899H GOSSAMER MINI (лимонный) {lemon}</v>
      </c>
      <c r="W8" s="18" t="str">
        <f t="shared" ca="1" si="2"/>
        <v>лимонный</v>
      </c>
      <c r="X8" s="18" t="str">
        <f t="shared" ca="1" si="3"/>
        <v>лимонный</v>
      </c>
      <c r="Y8" s="117" t="str">
        <f ca="1">_xlfn.LET(_xlpm.FormColors,_xlfn.XLOOKUP(A8,Строчный!A:A,Строчный!Q:Q,"",0),IF(_xlpm.FormColors=0,IFERROR(MID(I8,FIND("-",I8)+1,LEN(I8)),IFERROR(MID(I8,1,FIND("/",I8)-2),I8)),_xlpm.FormColors))</f>
        <v>лимонный</v>
      </c>
      <c r="Z8" s="73" t="str">
        <f ca="1"/>
        <v>31-237-20-00</v>
      </c>
      <c r="AA8" s="75" t="str">
        <f ca="1">VLOOKUP(C8,Группа!A:B,2,FALSE)</f>
        <v>Шляпа</v>
      </c>
      <c r="AB8" s="97" t="str">
        <f ca="1">IFERROR(VLOOKUP(R8,Размеры!A:C,3,FALSE),"")</f>
        <v>ONE</v>
      </c>
      <c r="AC8" s="97" t="str">
        <f ca="1">VLOOKUP(I8,ЦветПолный!A:B,2,FALSE)</f>
        <v>20</v>
      </c>
      <c r="AD8" s="97" t="str">
        <f ca="1">IFERROR(VLOOKUP(R8,Размеры!A:D,4,FALSE),"")</f>
        <v>00</v>
      </c>
      <c r="AE8" s="97">
        <f ca="1">IF(LEFT(IFERROR(VLOOKUP(LOOKUP(2,1/SEARCH(B8,Товары!A:A),Товары!A:A),Товары!A:B,2,0),""),6)=MID(Z8,1,6),1,0)</f>
        <v>1</v>
      </c>
      <c r="AG8" s="97">
        <f ca="1">SUMIF(Группа!A:A,C8,Группа!C:C)</f>
        <v>1</v>
      </c>
      <c r="AH8" s="97">
        <f ca="1">SUMIF(Группа!B:B,AA8,Группа!C:C)</f>
        <v>1</v>
      </c>
      <c r="AI8" s="97">
        <f ca="1">SUMIF(Формы!A:A,D8,Формы!B:B)</f>
        <v>1</v>
      </c>
      <c r="AJ8" s="97">
        <f ca="1">SUMIF(Материал!A:A,K8,Материал!B:B)</f>
        <v>1</v>
      </c>
      <c r="AK8" s="97">
        <f ca="1">SUMIF(Размеры!A:A,R8,Размеры!E:E)</f>
        <v>1</v>
      </c>
      <c r="AL8" s="97">
        <f ca="1">SUMIF(Сезон!A:A,F8,Сезон!B:B)</f>
        <v>1</v>
      </c>
      <c r="AM8" s="97">
        <f ca="1">SUMIF(Состав!A:A,J8,Состав!B:B)</f>
        <v>1</v>
      </c>
      <c r="AN8" s="97">
        <f ca="1">VLOOKUP(I8,ЦветПолный!A:C,3,0)</f>
        <v>1</v>
      </c>
      <c r="AO8" s="97">
        <f ca="1">SUMIF(Цвет!A:A,Y8,Цвет!B:B)</f>
        <v>0</v>
      </c>
      <c r="AP8" s="97">
        <f ca="1">_xlfn.XLOOKUP(L8,Пол!A:A,Пол!B:B,0,0)</f>
        <v>1</v>
      </c>
      <c r="AQ8" s="97">
        <f ca="1">SUMIF(Марка!A:A,G8,Марка!B:B)</f>
        <v>1</v>
      </c>
      <c r="AR8" s="97">
        <f ca="1">SUMIF(Страна!A:A,M8,Страна!B:B)</f>
        <v>1</v>
      </c>
      <c r="AS8" s="64" t="str">
        <f ca="1">IF(VLOOKUP(V8,Товары!A:B,2,FALSE)=A8,"Есть в 1С","ERR")</f>
        <v>Есть в 1С</v>
      </c>
      <c r="AT8" s="65" t="str">
        <f ca="1">IF(VLOOKUP(A8,Товары!B:B,1,FALSE)=A8,"Есть в 1С","ERR")</f>
        <v>Есть в 1С</v>
      </c>
      <c r="AU8" s="96" t="str">
        <f ca="1">VLOOKUP(V8,Товары!A:B,2,FALSE)</f>
        <v>31-237-20</v>
      </c>
      <c r="AV8" s="94" t="str">
        <f ca="1">VLOOKUP(V8,Товары!A:B,1,FALSE)</f>
        <v>Шляпа BETMAR арт. B1899H GOSSAMER MINI (лимонный) {lemon}</v>
      </c>
    </row>
    <row r="9" spans="1:48" ht="14.45" customHeight="1" x14ac:dyDescent="0.25">
      <c r="A9" s="110" t="str">
        <f t="shared" ca="1" si="4"/>
        <v>31-237-17</v>
      </c>
      <c r="B9" s="107" t="str">
        <f ca="1">_xlfn.LET(_xlpm.CAPS,0,_xlpm.Style,_xlfn.XLOOKUP($A9,Строчный!$A:$A,Строчный!B:B,"ERR",0),IF(_xlpm.CAPS=0,_xlpm.Style,LOWER(_xlpm.Style)))</f>
        <v>B1899H GOSSAMER MINI</v>
      </c>
      <c r="C9" s="81" t="str">
        <f ca="1">PROPER(_xlfn.XLOOKUP($A9,Строчный!$A:$A,Строчный!C:C,"ERR",0))</f>
        <v>Шляпы</v>
      </c>
      <c r="D9" s="81" t="str">
        <f ca="1">_xlfn.LET(_xlpm.DATA,(_xlfn.XLOOKUP($A9,Строчный!$A:$A,Строчный!D:D,"ERR",0)),UPPER(MID(_xlpm.DATA,1,1))&amp;LOWER(MID(_xlpm.DATA,2,LEN(_xlpm.DATA)-1)))</f>
        <v>Шляпа клош</v>
      </c>
      <c r="E9" s="81" t="str">
        <f ca="1">PROPER(_xlfn.XLOOKUP($A9,Строчный!$A:$A,Строчный!E:E,"ERR",0))</f>
        <v>Betmar</v>
      </c>
      <c r="F9" s="81" t="str">
        <f ca="1">LOWER(_xlfn.XLOOKUP($A9,Строчный!$A:$A,Строчный!F:F,"ERR",0))</f>
        <v>летний</v>
      </c>
      <c r="G9" s="81" t="str">
        <f ca="1">UPPER(_xlfn.XLOOKUP($A9,Строчный!$A:$A,Строчный!G:G,"ERR",0))</f>
        <v>BETMAR</v>
      </c>
      <c r="H9" s="81" t="str">
        <f ca="1">LOWER(_xlfn.XLOOKUP($A9,Строчный!$A:$A,Строчный!H:H,"ERR",0))</f>
        <v>white</v>
      </c>
      <c r="I9" s="81" t="str">
        <f ca="1">LOWER(_xlfn.XLOOKUP($A9,Строчный!$A:$A,Строчный!I:I,"ERR",0))</f>
        <v>белый</v>
      </c>
      <c r="J9" s="81" t="str">
        <f ca="1">SUBSTITUTE(LOWER(_xlfn.XLOOKUP($A9,Строчный!$A:$A,Строчный!J:J,"ERR",0)),"подклад","Подклад")</f>
        <v>45% бумага - 35% полипропилен - 20% полиэстер</v>
      </c>
      <c r="K9" s="81" t="str">
        <f ca="1">LOWER(_xlfn.XLOOKUP($A9,Строчный!$A:$A,Строчный!K:K,"ERR",0))</f>
        <v>бумажные</v>
      </c>
      <c r="L9" s="81" t="str">
        <f ca="1">PROPER(_xlfn.XLOOKUP($A9,Строчный!$A:$A,Строчный!L:L,"ERR",0))</f>
        <v>Женский</v>
      </c>
      <c r="M9" s="113" t="str">
        <f ca="1">PROPER(_xlfn.XLOOKUP($A9,Строчный!$A:$A,Строчный!M:M,"ERR",0))</f>
        <v>Китай</v>
      </c>
      <c r="N9" s="81" t="str">
        <f ca="1">UPPER(_xlfn.XLOOKUP($A9,Строчный!$A:$A,Строчный!O:O,"ERR",0))</f>
        <v/>
      </c>
      <c r="O9" s="107" t="str">
        <f ca="1">PROPER(_xlfn.XLOOKUP($A9,Строчный!$A:$A,Строчный!P:P,"ERR",0))</f>
        <v/>
      </c>
      <c r="P9" s="90">
        <f ca="1">VALUE(_xlfn.XLOOKUP($A9,Строчный!$A:$A,Строчный!N:N,"ERR",0))</f>
        <v>629.46</v>
      </c>
      <c r="Q9" s="89" t="str">
        <f ca="1">_xlfn.XLOOKUP($G9,Фабрика!A:A,Фабрика!B:B,"ERR",0)</f>
        <v>Bollman Headwear Europe Ltd; 2 Merchants drive, Caelisle, Cumbria CA3 0JW, United Kingdom</v>
      </c>
      <c r="R9" s="80" t="str">
        <f ca="1">_xlfn.XLOOKUP(RIGHT(Z9,2),Размеры!D:D,Размеры!A:A,"ERR",0)</f>
        <v>ONE</v>
      </c>
      <c r="S9" s="80">
        <f ca="1">VALUE(_xlfn.XLOOKUP($Z9,Строчный!$R:$R,Строчный!T:T,"ERR",0))</f>
        <v>4</v>
      </c>
      <c r="T9" s="14" t="s">
        <v>265</v>
      </c>
      <c r="U9" s="101" t="str">
        <f t="shared" ca="1" si="0"/>
        <v>Шляпа BETMAR арт. B1899H GOSSAMER MINI (белый)</v>
      </c>
      <c r="V9" s="100" t="str">
        <f t="shared" ca="1" si="1"/>
        <v>Шляпа BETMAR арт. B1899H GOSSAMER MINI (белый) {white}</v>
      </c>
      <c r="W9" s="18" t="str">
        <f t="shared" ca="1" si="2"/>
        <v>белый</v>
      </c>
      <c r="X9" s="18" t="str">
        <f t="shared" ca="1" si="3"/>
        <v>белый</v>
      </c>
      <c r="Y9" s="117" t="str">
        <f ca="1">_xlfn.LET(_xlpm.FormColors,_xlfn.XLOOKUP(A9,Строчный!A:A,Строчный!Q:Q,"",0),IF(_xlpm.FormColors=0,IFERROR(MID(I9,FIND("-",I9)+1,LEN(I9)),IFERROR(MID(I9,1,FIND("/",I9)-2),I9)),_xlpm.FormColors))</f>
        <v>белый</v>
      </c>
      <c r="Z9" s="73" t="str">
        <f ca="1"/>
        <v>31-237-17-00</v>
      </c>
      <c r="AA9" s="75" t="str">
        <f ca="1">VLOOKUP(C9,Группа!A:B,2,FALSE)</f>
        <v>Шляпа</v>
      </c>
      <c r="AB9" s="97" t="str">
        <f ca="1">IFERROR(VLOOKUP(R9,Размеры!A:C,3,FALSE),"")</f>
        <v>ONE</v>
      </c>
      <c r="AC9" s="97" t="str">
        <f ca="1">VLOOKUP(I9,ЦветПолный!A:B,2,FALSE)</f>
        <v>17</v>
      </c>
      <c r="AD9" s="97" t="str">
        <f ca="1">IFERROR(VLOOKUP(R9,Размеры!A:D,4,FALSE),"")</f>
        <v>00</v>
      </c>
      <c r="AE9" s="97">
        <f ca="1">IF(LEFT(IFERROR(VLOOKUP(LOOKUP(2,1/SEARCH(B9,Товары!A:A),Товары!A:A),Товары!A:B,2,0),""),6)=MID(Z9,1,6),1,0)</f>
        <v>1</v>
      </c>
      <c r="AG9" s="97">
        <f ca="1">SUMIF(Группа!A:A,C9,Группа!C:C)</f>
        <v>1</v>
      </c>
      <c r="AH9" s="97">
        <f ca="1">SUMIF(Группа!B:B,AA9,Группа!C:C)</f>
        <v>1</v>
      </c>
      <c r="AI9" s="97">
        <f ca="1">SUMIF(Формы!A:A,D9,Формы!B:B)</f>
        <v>1</v>
      </c>
      <c r="AJ9" s="97">
        <f ca="1">SUMIF(Материал!A:A,K9,Материал!B:B)</f>
        <v>1</v>
      </c>
      <c r="AK9" s="97">
        <f ca="1">SUMIF(Размеры!A:A,R9,Размеры!E:E)</f>
        <v>1</v>
      </c>
      <c r="AL9" s="97">
        <f ca="1">SUMIF(Сезон!A:A,F9,Сезон!B:B)</f>
        <v>1</v>
      </c>
      <c r="AM9" s="97">
        <f ca="1">SUMIF(Состав!A:A,J9,Состав!B:B)</f>
        <v>1</v>
      </c>
      <c r="AN9" s="97">
        <f ca="1">VLOOKUP(I9,ЦветПолный!A:C,3,0)</f>
        <v>1</v>
      </c>
      <c r="AO9" s="97">
        <f ca="1">SUMIF(Цвет!A:A,Y9,Цвет!B:B)</f>
        <v>1</v>
      </c>
      <c r="AP9" s="97">
        <f ca="1">_xlfn.XLOOKUP(L9,Пол!A:A,Пол!B:B,0,0)</f>
        <v>1</v>
      </c>
      <c r="AQ9" s="97">
        <f ca="1">SUMIF(Марка!A:A,G9,Марка!B:B)</f>
        <v>1</v>
      </c>
      <c r="AR9" s="97">
        <f ca="1">SUMIF(Страна!A:A,M9,Страна!B:B)</f>
        <v>1</v>
      </c>
      <c r="AS9" s="64" t="str">
        <f ca="1">IF(VLOOKUP(V9,Товары!A:B,2,FALSE)=A9,"Есть в 1С","ERR")</f>
        <v>Есть в 1С</v>
      </c>
      <c r="AT9" s="65" t="str">
        <f ca="1">IF(VLOOKUP(A9,Товары!B:B,1,FALSE)=A9,"Есть в 1С","ERR")</f>
        <v>Есть в 1С</v>
      </c>
      <c r="AU9" s="96" t="str">
        <f ca="1">VLOOKUP(V9,Товары!A:B,2,FALSE)</f>
        <v>31-237-17</v>
      </c>
      <c r="AV9" s="94" t="str">
        <f ca="1">VLOOKUP(V9,Товары!A:B,1,FALSE)</f>
        <v>Шляпа BETMAR арт. B1899H GOSSAMER MINI (белый) {white}</v>
      </c>
    </row>
    <row r="10" spans="1:48" x14ac:dyDescent="0.25">
      <c r="A10" s="110" t="str">
        <f t="shared" ca="1" si="4"/>
        <v>31-237-08</v>
      </c>
      <c r="B10" s="107" t="str">
        <f ca="1">_xlfn.LET(_xlpm.CAPS,0,_xlpm.Style,_xlfn.XLOOKUP($A10,Строчный!$A:$A,Строчный!B:B,"ERR",0),IF(_xlpm.CAPS=0,_xlpm.Style,LOWER(_xlpm.Style)))</f>
        <v>B1899H GOSSAMER MINI</v>
      </c>
      <c r="C10" s="81" t="str">
        <f ca="1">PROPER(_xlfn.XLOOKUP($A10,Строчный!$A:$A,Строчный!C:C,"ERR",0))</f>
        <v>Шляпы</v>
      </c>
      <c r="D10" s="81" t="str">
        <f ca="1">_xlfn.LET(_xlpm.DATA,(_xlfn.XLOOKUP($A10,Строчный!$A:$A,Строчный!D:D,"ERR",0)),UPPER(MID(_xlpm.DATA,1,1))&amp;LOWER(MID(_xlpm.DATA,2,LEN(_xlpm.DATA)-1)))</f>
        <v>Шляпа клош</v>
      </c>
      <c r="E10" s="81" t="str">
        <f ca="1">PROPER(_xlfn.XLOOKUP($A10,Строчный!$A:$A,Строчный!E:E,"ERR",0))</f>
        <v>Betmar</v>
      </c>
      <c r="F10" s="81" t="str">
        <f ca="1">LOWER(_xlfn.XLOOKUP($A10,Строчный!$A:$A,Строчный!F:F,"ERR",0))</f>
        <v>летний</v>
      </c>
      <c r="G10" s="81" t="str">
        <f ca="1">UPPER(_xlfn.XLOOKUP($A10,Строчный!$A:$A,Строчный!G:G,"ERR",0))</f>
        <v>BETMAR</v>
      </c>
      <c r="H10" s="81" t="str">
        <f ca="1">LOWER(_xlfn.XLOOKUP($A10,Строчный!$A:$A,Строчный!H:H,"ERR",0))</f>
        <v>lavender charcoal</v>
      </c>
      <c r="I10" s="81" t="str">
        <f ca="1">LOWER(_xlfn.XLOOKUP($A10,Строчный!$A:$A,Строчный!I:I,"ERR",0))</f>
        <v>серый</v>
      </c>
      <c r="J10" s="81" t="str">
        <f ca="1">SUBSTITUTE(LOWER(_xlfn.XLOOKUP($A10,Строчный!$A:$A,Строчный!J:J,"ERR",0)),"подклад","Подклад")</f>
        <v>50% бумага - 33% полипропилен - 17% полиэстер</v>
      </c>
      <c r="K10" s="81" t="str">
        <f ca="1">LOWER(_xlfn.XLOOKUP($A10,Строчный!$A:$A,Строчный!K:K,"ERR",0))</f>
        <v>бумажные</v>
      </c>
      <c r="L10" s="81" t="str">
        <f ca="1">PROPER(_xlfn.XLOOKUP($A10,Строчный!$A:$A,Строчный!L:L,"ERR",0))</f>
        <v>Женский</v>
      </c>
      <c r="M10" s="113" t="str">
        <f ca="1">PROPER(_xlfn.XLOOKUP($A10,Строчный!$A:$A,Строчный!M:M,"ERR",0))</f>
        <v>Китай</v>
      </c>
      <c r="N10" s="81" t="str">
        <f ca="1">UPPER(_xlfn.XLOOKUP($A10,Строчный!$A:$A,Строчный!O:O,"ERR",0))</f>
        <v/>
      </c>
      <c r="O10" s="107" t="str">
        <f ca="1">PROPER(_xlfn.XLOOKUP($A10,Строчный!$A:$A,Строчный!P:P,"ERR",0))</f>
        <v/>
      </c>
      <c r="P10" s="90">
        <f ca="1">VALUE(_xlfn.XLOOKUP($A10,Строчный!$A:$A,Строчный!N:N,"ERR",0))</f>
        <v>629.46</v>
      </c>
      <c r="Q10" s="89" t="str">
        <f ca="1">_xlfn.XLOOKUP($G10,Фабрика!A:A,Фабрика!B:B,"ERR",0)</f>
        <v>Bollman Headwear Europe Ltd; 2 Merchants drive, Caelisle, Cumbria CA3 0JW, United Kingdom</v>
      </c>
      <c r="R10" s="80" t="str">
        <f ca="1">_xlfn.XLOOKUP(RIGHT(Z10,2),Размеры!D:D,Размеры!A:A,"ERR",0)</f>
        <v>ONE</v>
      </c>
      <c r="S10" s="80">
        <f ca="1">VALUE(_xlfn.XLOOKUP($Z10,Строчный!$R:$R,Строчный!T:T,"ERR",0))</f>
        <v>5</v>
      </c>
      <c r="T10" s="14" t="s">
        <v>265</v>
      </c>
      <c r="U10" s="101" t="str">
        <f t="shared" ca="1" si="0"/>
        <v>Шляпа BETMAR арт. B1899H GOSSAMER MINI (серый)</v>
      </c>
      <c r="V10" s="100" t="str">
        <f t="shared" ca="1" si="1"/>
        <v>Шляпа BETMAR арт. B1899H GOSSAMER MINI (серый) {lavender charcoal}</v>
      </c>
      <c r="W10" s="18" t="str">
        <f t="shared" ca="1" si="2"/>
        <v>серый</v>
      </c>
      <c r="X10" s="18" t="str">
        <f t="shared" ca="1" si="3"/>
        <v>серый</v>
      </c>
      <c r="Y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Z10" s="73" t="str">
        <f ca="1"/>
        <v>31-237-08-00</v>
      </c>
      <c r="AA10" s="75" t="str">
        <f ca="1">VLOOKUP(C10,Группа!A:B,2,FALSE)</f>
        <v>Шляпа</v>
      </c>
      <c r="AB10" s="97" t="str">
        <f ca="1">IFERROR(VLOOKUP(R10,Размеры!A:C,3,FALSE),"")</f>
        <v>ONE</v>
      </c>
      <c r="AC10" s="97" t="str">
        <f ca="1">VLOOKUP(I10,ЦветПолный!A:B,2,FALSE)</f>
        <v>08</v>
      </c>
      <c r="AD10" s="97" t="str">
        <f ca="1">IFERROR(VLOOKUP(R10,Размеры!A:D,4,FALSE),"")</f>
        <v>00</v>
      </c>
      <c r="AE10" s="97">
        <f ca="1">IF(LEFT(IFERROR(VLOOKUP(LOOKUP(2,1/SEARCH(B10,Товары!A:A),Товары!A:A),Товары!A:B,2,0),""),6)=MID(Z10,1,6),1,0)</f>
        <v>1</v>
      </c>
      <c r="AG10" s="97">
        <f ca="1">SUMIF(Группа!A:A,C10,Группа!C:C)</f>
        <v>1</v>
      </c>
      <c r="AH10" s="97">
        <f ca="1">SUMIF(Группа!B:B,AA10,Группа!C:C)</f>
        <v>1</v>
      </c>
      <c r="AI10" s="97">
        <f ca="1">SUMIF(Формы!A:A,D10,Формы!B:B)</f>
        <v>1</v>
      </c>
      <c r="AJ10" s="97">
        <f ca="1">SUMIF(Материал!A:A,K10,Материал!B:B)</f>
        <v>1</v>
      </c>
      <c r="AK10" s="97">
        <f ca="1">SUMIF(Размеры!A:A,R10,Размеры!E:E)</f>
        <v>1</v>
      </c>
      <c r="AL10" s="97">
        <f ca="1">SUMIF(Сезон!A:A,F10,Сезон!B:B)</f>
        <v>1</v>
      </c>
      <c r="AM10" s="97">
        <f ca="1">SUMIF(Состав!A:A,J10,Состав!B:B)</f>
        <v>1</v>
      </c>
      <c r="AN10" s="97">
        <f ca="1">VLOOKUP(I10,ЦветПолный!A:C,3,0)</f>
        <v>1</v>
      </c>
      <c r="AO10" s="97">
        <f ca="1">SUMIF(Цвет!A:A,Y10,Цвет!B:B)</f>
        <v>1</v>
      </c>
      <c r="AP10" s="97">
        <f ca="1">_xlfn.XLOOKUP(L10,Пол!A:A,Пол!B:B,0,0)</f>
        <v>1</v>
      </c>
      <c r="AQ10" s="97">
        <f ca="1">SUMIF(Марка!A:A,G10,Марка!B:B)</f>
        <v>1</v>
      </c>
      <c r="AR10" s="97">
        <f ca="1">SUMIF(Страна!A:A,M10,Страна!B:B)</f>
        <v>1</v>
      </c>
      <c r="AS10" s="64" t="e">
        <f ca="1">IF(VLOOKUP(V10,Товары!A:B,2,FALSE)=A10,"Есть в 1С","ERR")</f>
        <v>#N/A</v>
      </c>
      <c r="AT10" s="65" t="e">
        <f ca="1">IF(VLOOKUP(A10,Товары!B:B,1,FALSE)=A10,"Есть в 1С","ERR")</f>
        <v>#N/A</v>
      </c>
      <c r="AU10" s="96" t="e">
        <f ca="1">VLOOKUP(V10,Товары!A:B,2,FALSE)</f>
        <v>#N/A</v>
      </c>
      <c r="AV10" s="94" t="e">
        <f ca="1">VLOOKUP(V10,Товары!A:B,1,FALSE)</f>
        <v>#N/A</v>
      </c>
    </row>
    <row r="11" spans="1:48" x14ac:dyDescent="0.25">
      <c r="A11" s="110" t="str">
        <f t="shared" ca="1" si="4"/>
        <v>31-206-14</v>
      </c>
      <c r="B11" s="107" t="str">
        <f ca="1">_xlfn.LET(_xlpm.CAPS,0,_xlpm.Style,_xlfn.XLOOKUP($A11,Строчный!$A:$A,Строчный!B:B,"ERR",0),IF(_xlpm.CAPS=0,_xlpm.Style,LOWER(_xlpm.Style)))</f>
        <v>B1815H ELLERY</v>
      </c>
      <c r="C11" s="81" t="str">
        <f ca="1">PROPER(_xlfn.XLOOKUP($A11,Строчный!$A:$A,Строчный!C:C,"ERR",0))</f>
        <v>Шляпы</v>
      </c>
      <c r="D11" s="81" t="str">
        <f ca="1">_xlfn.LET(_xlpm.DATA,(_xlfn.XLOOKUP($A11,Строчный!$A:$A,Строчный!D:D,"ERR",0)),UPPER(MID(_xlpm.DATA,1,1))&amp;LOWER(MID(_xlpm.DATA,2,LEN(_xlpm.DATA)-1)))</f>
        <v>Шляпа федора</v>
      </c>
      <c r="E11" s="81" t="str">
        <f ca="1">PROPER(_xlfn.XLOOKUP($A11,Строчный!$A:$A,Строчный!E:E,"ERR",0))</f>
        <v>Betmar</v>
      </c>
      <c r="F11" s="81" t="str">
        <f ca="1">LOWER(_xlfn.XLOOKUP($A11,Строчный!$A:$A,Строчный!F:F,"ERR",0))</f>
        <v>летний</v>
      </c>
      <c r="G11" s="81" t="str">
        <f ca="1">UPPER(_xlfn.XLOOKUP($A11,Строчный!$A:$A,Строчный!G:G,"ERR",0))</f>
        <v>BETMAR</v>
      </c>
      <c r="H11" s="81" t="str">
        <f ca="1">LOWER(_xlfn.XLOOKUP($A11,Строчный!$A:$A,Строчный!H:H,"ERR",0))</f>
        <v>brown multi</v>
      </c>
      <c r="I11" s="81" t="str">
        <f ca="1">LOWER(_xlfn.XLOOKUP($A11,Строчный!$A:$A,Строчный!I:I,"ERR",0))</f>
        <v>коричневый</v>
      </c>
      <c r="J11" s="81" t="str">
        <f ca="1">SUBSTITUTE(LOWER(_xlfn.XLOOKUP($A11,Строчный!$A:$A,Строчный!J:J,"ERR",0)),"подклад","Подклад")</f>
        <v>80% бумага - 20% полиэстер</v>
      </c>
      <c r="K11" s="81" t="str">
        <f ca="1">LOWER(_xlfn.XLOOKUP($A11,Строчный!$A:$A,Строчный!K:K,"ERR",0))</f>
        <v>бумажные</v>
      </c>
      <c r="L11" s="81" t="str">
        <f ca="1">PROPER(_xlfn.XLOOKUP($A11,Строчный!$A:$A,Строчный!L:L,"ERR",0))</f>
        <v>Женский</v>
      </c>
      <c r="M11" s="113" t="str">
        <f ca="1">PROPER(_xlfn.XLOOKUP($A11,Строчный!$A:$A,Строчный!M:M,"ERR",0))</f>
        <v>Китай</v>
      </c>
      <c r="N11" s="81" t="str">
        <f ca="1">UPPER(_xlfn.XLOOKUP($A11,Строчный!$A:$A,Строчный!O:O,"ERR",0))</f>
        <v/>
      </c>
      <c r="O11" s="107" t="str">
        <f ca="1">PROPER(_xlfn.XLOOKUP($A11,Строчный!$A:$A,Строчный!P:P,"ERR",0))</f>
        <v/>
      </c>
      <c r="P11" s="90">
        <f ca="1">VALUE(_xlfn.XLOOKUP($A11,Строчный!$A:$A,Строчный!N:N,"ERR",0))</f>
        <v>787.41000000000008</v>
      </c>
      <c r="Q11" s="89" t="str">
        <f ca="1">_xlfn.XLOOKUP($G11,Фабрика!A:A,Фабрика!B:B,"ERR",0)</f>
        <v>Bollman Headwear Europe Ltd; 2 Merchants drive, Caelisle, Cumbria CA3 0JW, United Kingdom</v>
      </c>
      <c r="R11" s="80" t="str">
        <f ca="1">_xlfn.XLOOKUP(RIGHT(Z11,2),Размеры!D:D,Размеры!A:A,"ERR",0)</f>
        <v>ONE</v>
      </c>
      <c r="S11" s="80">
        <f ca="1">VALUE(_xlfn.XLOOKUP($Z11,Строчный!$R:$R,Строчный!T:T,"ERR",0))</f>
        <v>8</v>
      </c>
      <c r="T11" s="14" t="s">
        <v>265</v>
      </c>
      <c r="U11" s="101" t="str">
        <f t="shared" ca="1" si="0"/>
        <v>Шляпа BETMAR арт. B1815H ELLERY (коричневый)</v>
      </c>
      <c r="V11" s="100" t="str">
        <f t="shared" ca="1" si="1"/>
        <v>Шляпа BETMAR арт. B1815H ELLERY (коричневый) {brown multi}</v>
      </c>
      <c r="W11" s="18" t="str">
        <f t="shared" ca="1" si="2"/>
        <v>коричневый</v>
      </c>
      <c r="X11" s="18" t="str">
        <f t="shared" ca="1" si="3"/>
        <v>коричневый</v>
      </c>
      <c r="Y11" s="117" t="str">
        <f ca="1">_xlfn.LET(_xlpm.FormColors,_xlfn.XLOOKUP(A11,Строчный!A:A,Строчный!Q:Q,"",0),IF(_xlpm.FormColors=0,IFERROR(MID(I11,FIND("-",I11)+1,LEN(I11)),IFERROR(MID(I11,1,FIND("/",I11)-2),I11)),_xlpm.FormColors))</f>
        <v>коричневый</v>
      </c>
      <c r="Z11" s="73" t="str">
        <f ca="1"/>
        <v>31-206-14-00</v>
      </c>
      <c r="AA11" s="75" t="str">
        <f ca="1">VLOOKUP(C11,Группа!A:B,2,FALSE)</f>
        <v>Шляпа</v>
      </c>
      <c r="AB11" s="97" t="str">
        <f ca="1">IFERROR(VLOOKUP(R11,Размеры!A:C,3,FALSE),"")</f>
        <v>ONE</v>
      </c>
      <c r="AC11" s="97" t="str">
        <f ca="1">VLOOKUP(I11,ЦветПолный!A:B,2,FALSE)</f>
        <v>14</v>
      </c>
      <c r="AD11" s="97" t="str">
        <f ca="1">IFERROR(VLOOKUP(R11,Размеры!A:D,4,FALSE),"")</f>
        <v>00</v>
      </c>
      <c r="AE11" s="97">
        <f ca="1">IF(LEFT(IFERROR(VLOOKUP(LOOKUP(2,1/SEARCH(B11,Товары!A:A),Товары!A:A),Товары!A:B,2,0),""),6)=MID(Z11,1,6),1,0)</f>
        <v>1</v>
      </c>
      <c r="AG11" s="97">
        <f ca="1">SUMIF(Группа!A:A,C11,Группа!C:C)</f>
        <v>1</v>
      </c>
      <c r="AH11" s="97">
        <f ca="1">SUMIF(Группа!B:B,AA11,Группа!C:C)</f>
        <v>1</v>
      </c>
      <c r="AI11" s="97">
        <f ca="1">SUMIF(Формы!A:A,D11,Формы!B:B)</f>
        <v>1</v>
      </c>
      <c r="AJ11" s="97">
        <f ca="1">SUMIF(Материал!A:A,K11,Материал!B:B)</f>
        <v>1</v>
      </c>
      <c r="AK11" s="97">
        <f ca="1">SUMIF(Размеры!A:A,R11,Размеры!E:E)</f>
        <v>1</v>
      </c>
      <c r="AL11" s="97">
        <f ca="1">SUMIF(Сезон!A:A,F11,Сезон!B:B)</f>
        <v>1</v>
      </c>
      <c r="AM11" s="97">
        <f ca="1">SUMIF(Состав!A:A,J11,Состав!B:B)</f>
        <v>1</v>
      </c>
      <c r="AN11" s="97">
        <f ca="1">VLOOKUP(I11,ЦветПолный!A:C,3,0)</f>
        <v>1</v>
      </c>
      <c r="AO11" s="97">
        <f ca="1">SUMIF(Цвет!A:A,Y11,Цвет!B:B)</f>
        <v>1</v>
      </c>
      <c r="AP11" s="97">
        <f ca="1">_xlfn.XLOOKUP(L11,Пол!A:A,Пол!B:B,0,0)</f>
        <v>1</v>
      </c>
      <c r="AQ11" s="97">
        <f ca="1">SUMIF(Марка!A:A,G11,Марка!B:B)</f>
        <v>1</v>
      </c>
      <c r="AR11" s="97">
        <f ca="1">SUMIF(Страна!A:A,M11,Страна!B:B)</f>
        <v>1</v>
      </c>
      <c r="AS11" s="64" t="str">
        <f ca="1">IF(VLOOKUP(V11,Товары!A:B,2,FALSE)=A11,"Есть в 1С","ERR")</f>
        <v>Есть в 1С</v>
      </c>
      <c r="AT11" s="65" t="str">
        <f ca="1">IF(VLOOKUP(A11,Товары!B:B,1,FALSE)=A11,"Есть в 1С","ERR")</f>
        <v>Есть в 1С</v>
      </c>
      <c r="AU11" s="96" t="str">
        <f ca="1">VLOOKUP(V11,Товары!A:B,2,FALSE)</f>
        <v>31-206-14</v>
      </c>
      <c r="AV11" s="94" t="str">
        <f ca="1">VLOOKUP(V11,Товары!A:B,1,FALSE)</f>
        <v>Шляпа BETMAR арт. B1815H ELLERY (коричневый) {brown multi}</v>
      </c>
    </row>
    <row r="12" spans="1:48" x14ac:dyDescent="0.25">
      <c r="A12" s="110" t="str">
        <f t="shared" ca="1" si="4"/>
        <v>31-206-09</v>
      </c>
      <c r="B12" s="107" t="str">
        <f ca="1">_xlfn.LET(_xlpm.CAPS,0,_xlpm.Style,_xlfn.XLOOKUP($A12,Строчный!$A:$A,Строчный!B:B,"ERR",0),IF(_xlpm.CAPS=0,_xlpm.Style,LOWER(_xlpm.Style)))</f>
        <v>B1815H ELLERY</v>
      </c>
      <c r="C12" s="81" t="str">
        <f ca="1">PROPER(_xlfn.XLOOKUP($A12,Строчный!$A:$A,Строчный!C:C,"ERR",0))</f>
        <v>Шляпы</v>
      </c>
      <c r="D12" s="81" t="str">
        <f ca="1">_xlfn.LET(_xlpm.DATA,(_xlfn.XLOOKUP($A12,Строчный!$A:$A,Строчный!D:D,"ERR",0)),UPPER(MID(_xlpm.DATA,1,1))&amp;LOWER(MID(_xlpm.DATA,2,LEN(_xlpm.DATA)-1)))</f>
        <v>Шляпа федора</v>
      </c>
      <c r="E12" s="81" t="str">
        <f ca="1">PROPER(_xlfn.XLOOKUP($A12,Строчный!$A:$A,Строчный!E:E,"ERR",0))</f>
        <v>Betmar</v>
      </c>
      <c r="F12" s="81" t="str">
        <f ca="1">LOWER(_xlfn.XLOOKUP($A12,Строчный!$A:$A,Строчный!F:F,"ERR",0))</f>
        <v>летний</v>
      </c>
      <c r="G12" s="81" t="str">
        <f ca="1">UPPER(_xlfn.XLOOKUP($A12,Строчный!$A:$A,Строчный!G:G,"ERR",0))</f>
        <v>BETMAR</v>
      </c>
      <c r="H12" s="81" t="str">
        <f ca="1">LOWER(_xlfn.XLOOKUP($A12,Строчный!$A:$A,Строчный!H:H,"ERR",0))</f>
        <v>black</v>
      </c>
      <c r="I12" s="81" t="str">
        <f ca="1">LOWER(_xlfn.XLOOKUP($A12,Строчный!$A:$A,Строчный!I:I,"ERR",0))</f>
        <v>черный</v>
      </c>
      <c r="J12" s="81" t="str">
        <f ca="1">SUBSTITUTE(LOWER(_xlfn.XLOOKUP($A12,Строчный!$A:$A,Строчный!J:J,"ERR",0)),"подклад","Подклад")</f>
        <v>80% бумага - 20% полиэстер</v>
      </c>
      <c r="K12" s="81" t="str">
        <f ca="1">LOWER(_xlfn.XLOOKUP($A12,Строчный!$A:$A,Строчный!K:K,"ERR",0))</f>
        <v>бумажные</v>
      </c>
      <c r="L12" s="81" t="str">
        <f ca="1">PROPER(_xlfn.XLOOKUP($A12,Строчный!$A:$A,Строчный!L:L,"ERR",0))</f>
        <v>Женский</v>
      </c>
      <c r="M12" s="113" t="str">
        <f ca="1">PROPER(_xlfn.XLOOKUP($A12,Строчный!$A:$A,Строчный!M:M,"ERR",0))</f>
        <v>Китай</v>
      </c>
      <c r="N12" s="81" t="str">
        <f ca="1">UPPER(_xlfn.XLOOKUP($A12,Строчный!$A:$A,Строчный!O:O,"ERR",0))</f>
        <v/>
      </c>
      <c r="O12" s="107" t="str">
        <f ca="1">PROPER(_xlfn.XLOOKUP($A12,Строчный!$A:$A,Строчный!P:P,"ERR",0))</f>
        <v/>
      </c>
      <c r="P12" s="90">
        <f ca="1">VALUE(_xlfn.XLOOKUP($A12,Строчный!$A:$A,Строчный!N:N,"ERR",0))</f>
        <v>787.41000000000008</v>
      </c>
      <c r="Q12" s="89" t="str">
        <f ca="1">_xlfn.XLOOKUP($G12,Фабрика!A:A,Фабрика!B:B,"ERR",0)</f>
        <v>Bollman Headwear Europe Ltd; 2 Merchants drive, Caelisle, Cumbria CA3 0JW, United Kingdom</v>
      </c>
      <c r="R12" s="80" t="str">
        <f ca="1">_xlfn.XLOOKUP(RIGHT(Z12,2),Размеры!D:D,Размеры!A:A,"ERR",0)</f>
        <v>ONE</v>
      </c>
      <c r="S12" s="80">
        <f ca="1">VALUE(_xlfn.XLOOKUP($Z12,Строчный!$R:$R,Строчный!T:T,"ERR",0))</f>
        <v>8</v>
      </c>
      <c r="T12" s="14" t="s">
        <v>265</v>
      </c>
      <c r="U12" s="101" t="str">
        <f t="shared" ca="1" si="0"/>
        <v>Шляпа BETMAR арт. B1815H ELLERY (черный)</v>
      </c>
      <c r="V12" s="100" t="str">
        <f t="shared" ca="1" si="1"/>
        <v>Шляпа BETMAR арт. B1815H ELLERY (черный) {black}</v>
      </c>
      <c r="W12" s="18" t="str">
        <f t="shared" ca="1" si="2"/>
        <v>черный</v>
      </c>
      <c r="X12" s="18" t="str">
        <f t="shared" ca="1" si="3"/>
        <v>черный</v>
      </c>
      <c r="Y12" s="117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Z12" s="73" t="str">
        <f ca="1"/>
        <v>31-206-09-00</v>
      </c>
      <c r="AA12" s="75" t="str">
        <f ca="1">VLOOKUP(C12,Группа!A:B,2,FALSE)</f>
        <v>Шляпа</v>
      </c>
      <c r="AB12" s="97" t="str">
        <f ca="1">IFERROR(VLOOKUP(R12,Размеры!A:C,3,FALSE),"")</f>
        <v>ONE</v>
      </c>
      <c r="AC12" s="97" t="str">
        <f ca="1">VLOOKUP(I12,ЦветПолный!A:B,2,FALSE)</f>
        <v>09</v>
      </c>
      <c r="AD12" s="97" t="str">
        <f ca="1">IFERROR(VLOOKUP(R12,Размеры!A:D,4,FALSE),"")</f>
        <v>00</v>
      </c>
      <c r="AE12" s="97">
        <f ca="1">IF(LEFT(IFERROR(VLOOKUP(LOOKUP(2,1/SEARCH(B12,Товары!A:A),Товары!A:A),Товары!A:B,2,0),""),6)=MID(Z12,1,6),1,0)</f>
        <v>1</v>
      </c>
      <c r="AG12" s="97">
        <f ca="1">SUMIF(Группа!A:A,C12,Группа!C:C)</f>
        <v>1</v>
      </c>
      <c r="AH12" s="97">
        <f ca="1">SUMIF(Группа!B:B,AA12,Группа!C:C)</f>
        <v>1</v>
      </c>
      <c r="AI12" s="97">
        <f ca="1">SUMIF(Формы!A:A,D12,Формы!B:B)</f>
        <v>1</v>
      </c>
      <c r="AJ12" s="97">
        <f ca="1">SUMIF(Материал!A:A,K12,Материал!B:B)</f>
        <v>1</v>
      </c>
      <c r="AK12" s="97">
        <f ca="1">SUMIF(Размеры!A:A,R12,Размеры!E:E)</f>
        <v>1</v>
      </c>
      <c r="AL12" s="97">
        <f ca="1">SUMIF(Сезон!A:A,F12,Сезон!B:B)</f>
        <v>1</v>
      </c>
      <c r="AM12" s="97">
        <f ca="1">SUMIF(Состав!A:A,J12,Состав!B:B)</f>
        <v>1</v>
      </c>
      <c r="AN12" s="97">
        <f ca="1">VLOOKUP(I12,ЦветПолный!A:C,3,0)</f>
        <v>1</v>
      </c>
      <c r="AO12" s="97">
        <f ca="1">SUMIF(Цвет!A:A,Y12,Цвет!B:B)</f>
        <v>1</v>
      </c>
      <c r="AP12" s="97">
        <f ca="1">_xlfn.XLOOKUP(L12,Пол!A:A,Пол!B:B,0,0)</f>
        <v>1</v>
      </c>
      <c r="AQ12" s="97">
        <f ca="1">SUMIF(Марка!A:A,G12,Марка!B:B)</f>
        <v>1</v>
      </c>
      <c r="AR12" s="97">
        <f ca="1">SUMIF(Страна!A:A,M12,Страна!B:B)</f>
        <v>1</v>
      </c>
      <c r="AS12" s="64" t="str">
        <f ca="1">IF(VLOOKUP(V12,Товары!A:B,2,FALSE)=A12,"Есть в 1С","ERR")</f>
        <v>Есть в 1С</v>
      </c>
      <c r="AT12" s="65" t="str">
        <f ca="1">IF(VLOOKUP(A12,Товары!B:B,1,FALSE)=A12,"Есть в 1С","ERR")</f>
        <v>Есть в 1С</v>
      </c>
      <c r="AU12" s="96" t="str">
        <f ca="1">VLOOKUP(V12,Товары!A:B,2,FALSE)</f>
        <v>31-206-09</v>
      </c>
      <c r="AV12" s="94" t="str">
        <f ca="1">VLOOKUP(V12,Товары!A:B,1,FALSE)</f>
        <v>Шляпа BETMAR арт. B1815H ELLERY (черный) {black}</v>
      </c>
    </row>
    <row r="13" spans="1:48" x14ac:dyDescent="0.25">
      <c r="A13" s="110" t="str">
        <f t="shared" ca="1" si="4"/>
        <v>31-206-02</v>
      </c>
      <c r="B13" s="107" t="str">
        <f ca="1">_xlfn.LET(_xlpm.CAPS,0,_xlpm.Style,_xlfn.XLOOKUP($A13,Строчный!$A:$A,Строчный!B:B,"ERR",0),IF(_xlpm.CAPS=0,_xlpm.Style,LOWER(_xlpm.Style)))</f>
        <v>B1815H ELLERY</v>
      </c>
      <c r="C13" s="81" t="str">
        <f ca="1">PROPER(_xlfn.XLOOKUP($A13,Строчный!$A:$A,Строчный!C:C,"ERR",0))</f>
        <v>Шляпы</v>
      </c>
      <c r="D13" s="81" t="str">
        <f ca="1">_xlfn.LET(_xlpm.DATA,(_xlfn.XLOOKUP($A13,Строчный!$A:$A,Строчный!D:D,"ERR",0)),UPPER(MID(_xlpm.DATA,1,1))&amp;LOWER(MID(_xlpm.DATA,2,LEN(_xlpm.DATA)-1)))</f>
        <v>Шляпа федора</v>
      </c>
      <c r="E13" s="81" t="str">
        <f ca="1">PROPER(_xlfn.XLOOKUP($A13,Строчный!$A:$A,Строчный!E:E,"ERR",0))</f>
        <v>Betmar</v>
      </c>
      <c r="F13" s="81" t="str">
        <f ca="1">LOWER(_xlfn.XLOOKUP($A13,Строчный!$A:$A,Строчный!F:F,"ERR",0))</f>
        <v>летний</v>
      </c>
      <c r="G13" s="81" t="str">
        <f ca="1">UPPER(_xlfn.XLOOKUP($A13,Строчный!$A:$A,Строчный!G:G,"ERR",0))</f>
        <v>BETMAR</v>
      </c>
      <c r="H13" s="81" t="str">
        <f ca="1">LOWER(_xlfn.XLOOKUP($A13,Строчный!$A:$A,Строчный!H:H,"ERR",0))</f>
        <v>natural</v>
      </c>
      <c r="I13" s="81" t="str">
        <f ca="1">LOWER(_xlfn.XLOOKUP($A13,Строчный!$A:$A,Строчный!I:I,"ERR",0))</f>
        <v>бежевый</v>
      </c>
      <c r="J13" s="81" t="str">
        <f ca="1">SUBSTITUTE(LOWER(_xlfn.XLOOKUP($A13,Строчный!$A:$A,Строчный!J:J,"ERR",0)),"подклад","Подклад")</f>
        <v>80% бумага - 20% полиэстер</v>
      </c>
      <c r="K13" s="81" t="str">
        <f ca="1">LOWER(_xlfn.XLOOKUP($A13,Строчный!$A:$A,Строчный!K:K,"ERR",0))</f>
        <v>бумажные</v>
      </c>
      <c r="L13" s="81" t="str">
        <f ca="1">PROPER(_xlfn.XLOOKUP($A13,Строчный!$A:$A,Строчный!L:L,"ERR",0))</f>
        <v>Женский</v>
      </c>
      <c r="M13" s="113" t="str">
        <f ca="1">PROPER(_xlfn.XLOOKUP($A13,Строчный!$A:$A,Строчный!M:M,"ERR",0))</f>
        <v>Китай</v>
      </c>
      <c r="N13" s="81" t="str">
        <f ca="1">UPPER(_xlfn.XLOOKUP($A13,Строчный!$A:$A,Строчный!O:O,"ERR",0))</f>
        <v/>
      </c>
      <c r="O13" s="107" t="str">
        <f ca="1">PROPER(_xlfn.XLOOKUP($A13,Строчный!$A:$A,Строчный!P:P,"ERR",0))</f>
        <v/>
      </c>
      <c r="P13" s="90">
        <f ca="1">VALUE(_xlfn.XLOOKUP($A13,Строчный!$A:$A,Строчный!N:N,"ERR",0))</f>
        <v>787.41000000000008</v>
      </c>
      <c r="Q13" s="89" t="str">
        <f ca="1">_xlfn.XLOOKUP($G13,Фабрика!A:A,Фабрика!B:B,"ERR",0)</f>
        <v>Bollman Headwear Europe Ltd; 2 Merchants drive, Caelisle, Cumbria CA3 0JW, United Kingdom</v>
      </c>
      <c r="R13" s="80" t="str">
        <f ca="1">_xlfn.XLOOKUP(RIGHT(Z13,2),Размеры!D:D,Размеры!A:A,"ERR",0)</f>
        <v>ONE</v>
      </c>
      <c r="S13" s="80">
        <f ca="1">VALUE(_xlfn.XLOOKUP($Z13,Строчный!$R:$R,Строчный!T:T,"ERR",0))</f>
        <v>8</v>
      </c>
      <c r="T13" s="14" t="s">
        <v>265</v>
      </c>
      <c r="U13" s="101" t="str">
        <f t="shared" ca="1" si="0"/>
        <v>Шляпа BETMAR арт. B1815H ELLERY (бежевый)</v>
      </c>
      <c r="V13" s="100" t="str">
        <f t="shared" ca="1" si="1"/>
        <v>Шляпа BETMAR арт. B1815H ELLERY (бежевый) {natural}</v>
      </c>
      <c r="W13" s="18" t="str">
        <f t="shared" ca="1" si="2"/>
        <v>бежевый</v>
      </c>
      <c r="X13" s="18" t="str">
        <f t="shared" ca="1" si="3"/>
        <v>бежевый</v>
      </c>
      <c r="Y13" s="117" t="str">
        <f ca="1">_xlfn.LET(_xlpm.FormColors,_xlfn.XLOOKUP(A13,Строчный!A:A,Строчный!Q:Q,"",0),IF(_xlpm.FormColors=0,IFERROR(MID(I13,FIND("-",I13)+1,LEN(I13)),IFERROR(MID(I13,1,FIND("/",I13)-2),I13)),_xlpm.FormColors))</f>
        <v>бежевый</v>
      </c>
      <c r="Z13" s="73" t="str">
        <f ca="1"/>
        <v>31-206-02-00</v>
      </c>
      <c r="AA13" s="75" t="str">
        <f ca="1">VLOOKUP(C13,Группа!A:B,2,FALSE)</f>
        <v>Шляпа</v>
      </c>
      <c r="AB13" s="97" t="str">
        <f ca="1">IFERROR(VLOOKUP(R13,Размеры!A:C,3,FALSE),"")</f>
        <v>ONE</v>
      </c>
      <c r="AC13" s="97" t="str">
        <f ca="1">VLOOKUP(I13,ЦветПолный!A:B,2,FALSE)</f>
        <v>02</v>
      </c>
      <c r="AD13" s="97" t="str">
        <f ca="1">IFERROR(VLOOKUP(R13,Размеры!A:D,4,FALSE),"")</f>
        <v>00</v>
      </c>
      <c r="AE13" s="97">
        <f ca="1">IF(LEFT(IFERROR(VLOOKUP(LOOKUP(2,1/SEARCH(B13,Товары!A:A),Товары!A:A),Товары!A:B,2,0),""),6)=MID(Z13,1,6),1,0)</f>
        <v>1</v>
      </c>
      <c r="AG13" s="97">
        <f ca="1">SUMIF(Группа!A:A,C13,Группа!C:C)</f>
        <v>1</v>
      </c>
      <c r="AH13" s="97">
        <f ca="1">SUMIF(Группа!B:B,AA13,Группа!C:C)</f>
        <v>1</v>
      </c>
      <c r="AI13" s="97">
        <f ca="1">SUMIF(Формы!A:A,D13,Формы!B:B)</f>
        <v>1</v>
      </c>
      <c r="AJ13" s="97">
        <f ca="1">SUMIF(Материал!A:A,K13,Материал!B:B)</f>
        <v>1</v>
      </c>
      <c r="AK13" s="97">
        <f ca="1">SUMIF(Размеры!A:A,R13,Размеры!E:E)</f>
        <v>1</v>
      </c>
      <c r="AL13" s="97">
        <f ca="1">SUMIF(Сезон!A:A,F13,Сезон!B:B)</f>
        <v>1</v>
      </c>
      <c r="AM13" s="97">
        <f ca="1">SUMIF(Состав!A:A,J13,Состав!B:B)</f>
        <v>1</v>
      </c>
      <c r="AN13" s="97">
        <f ca="1">VLOOKUP(I13,ЦветПолный!A:C,3,0)</f>
        <v>1</v>
      </c>
      <c r="AO13" s="97">
        <f ca="1">SUMIF(Цвет!A:A,Y13,Цвет!B:B)</f>
        <v>1</v>
      </c>
      <c r="AP13" s="97">
        <f ca="1">_xlfn.XLOOKUP(L13,Пол!A:A,Пол!B:B,0,0)</f>
        <v>1</v>
      </c>
      <c r="AQ13" s="97">
        <f ca="1">SUMIF(Марка!A:A,G13,Марка!B:B)</f>
        <v>1</v>
      </c>
      <c r="AR13" s="97">
        <f ca="1">SUMIF(Страна!A:A,M13,Страна!B:B)</f>
        <v>1</v>
      </c>
      <c r="AS13" s="64" t="str">
        <f ca="1">IF(VLOOKUP(V13,Товары!A:B,2,FALSE)=A13,"Есть в 1С","ERR")</f>
        <v>Есть в 1С</v>
      </c>
      <c r="AT13" s="65" t="str">
        <f ca="1">IF(VLOOKUP(A13,Товары!B:B,1,FALSE)=A13,"Есть в 1С","ERR")</f>
        <v>Есть в 1С</v>
      </c>
      <c r="AU13" s="96" t="str">
        <f ca="1">VLOOKUP(V13,Товары!A:B,2,FALSE)</f>
        <v>31-206-02</v>
      </c>
      <c r="AV13" s="94" t="str">
        <f ca="1">VLOOKUP(V13,Товары!A:B,1,FALSE)</f>
        <v>Шляпа BETMAR арт. B1815H ELLERY (бежевый) {natural}</v>
      </c>
    </row>
    <row r="14" spans="1:48" x14ac:dyDescent="0.25">
      <c r="A14" s="110" t="str">
        <f t="shared" ca="1" si="4"/>
        <v>31-171-53</v>
      </c>
      <c r="B14" s="107" t="str">
        <f ca="1">_xlfn.LET(_xlpm.CAPS,0,_xlpm.Style,_xlfn.XLOOKUP($A14,Строчный!$A:$A,Строчный!B:B,"ERR",0),IF(_xlpm.CAPS=0,_xlpm.Style,LOWER(_xlpm.Style)))</f>
        <v>B1735H AUDREY</v>
      </c>
      <c r="C14" s="81" t="str">
        <f ca="1">PROPER(_xlfn.XLOOKUP($A14,Строчный!$A:$A,Строчный!C:C,"ERR",0))</f>
        <v>Шляпы</v>
      </c>
      <c r="D14" s="81" t="str">
        <f ca="1">_xlfn.LET(_xlpm.DATA,(_xlfn.XLOOKUP($A14,Строчный!$A:$A,Строчный!D:D,"ERR",0)),UPPER(MID(_xlpm.DATA,1,1))&amp;LOWER(MID(_xlpm.DATA,2,LEN(_xlpm.DATA)-1)))</f>
        <v>Шляпа с широкими полями</v>
      </c>
      <c r="E14" s="81" t="str">
        <f ca="1">PROPER(_xlfn.XLOOKUP($A14,Строчный!$A:$A,Строчный!E:E,"ERR",0))</f>
        <v>Betmar</v>
      </c>
      <c r="F14" s="81" t="str">
        <f ca="1">LOWER(_xlfn.XLOOKUP($A14,Строчный!$A:$A,Строчный!F:F,"ERR",0))</f>
        <v>летний</v>
      </c>
      <c r="G14" s="81" t="str">
        <f ca="1">UPPER(_xlfn.XLOOKUP($A14,Строчный!$A:$A,Строчный!G:G,"ERR",0))</f>
        <v>BETMAR</v>
      </c>
      <c r="H14" s="81" t="str">
        <f ca="1">LOWER(_xlfn.XLOOKUP($A14,Строчный!$A:$A,Строчный!H:H,"ERR",0))</f>
        <v>natural.black</v>
      </c>
      <c r="I14" s="81" t="str">
        <f ca="1">LOWER(_xlfn.XLOOKUP($A14,Строчный!$A:$A,Строчный!I:I,"ERR",0))</f>
        <v>бежевый / черный</v>
      </c>
      <c r="J14" s="81" t="str">
        <f ca="1">SUBSTITUTE(LOWER(_xlfn.XLOOKUP($A14,Строчный!$A:$A,Строчный!J:J,"ERR",0)),"подклад","Подклад")</f>
        <v>45% бумага - 35% полипропилен - 20% полиэстер</v>
      </c>
      <c r="K14" s="81" t="str">
        <f ca="1">LOWER(_xlfn.XLOOKUP($A14,Строчный!$A:$A,Строчный!K:K,"ERR",0))</f>
        <v>бумажные</v>
      </c>
      <c r="L14" s="81" t="str">
        <f ca="1">PROPER(_xlfn.XLOOKUP($A14,Строчный!$A:$A,Строчный!L:L,"ERR",0))</f>
        <v>Женский</v>
      </c>
      <c r="M14" s="113" t="str">
        <f ca="1">PROPER(_xlfn.XLOOKUP($A14,Строчный!$A:$A,Строчный!M:M,"ERR",0))</f>
        <v>Китай</v>
      </c>
      <c r="N14" s="81" t="str">
        <f ca="1">UPPER(_xlfn.XLOOKUP($A14,Строчный!$A:$A,Строчный!O:O,"ERR",0))</f>
        <v/>
      </c>
      <c r="O14" s="107" t="str">
        <f ca="1">PROPER(_xlfn.XLOOKUP($A14,Строчный!$A:$A,Строчный!P:P,"ERR",0))</f>
        <v/>
      </c>
      <c r="P14" s="90">
        <f ca="1">VALUE(_xlfn.XLOOKUP($A14,Строчный!$A:$A,Строчный!N:N,"ERR",0))</f>
        <v>725.40000000000009</v>
      </c>
      <c r="Q14" s="89" t="str">
        <f ca="1">_xlfn.XLOOKUP($G14,Фабрика!A:A,Фабрика!B:B,"ERR",0)</f>
        <v>Bollman Headwear Europe Ltd; 2 Merchants drive, Caelisle, Cumbria CA3 0JW, United Kingdom</v>
      </c>
      <c r="R14" s="80" t="str">
        <f ca="1">_xlfn.XLOOKUP(RIGHT(Z14,2),Размеры!D:D,Размеры!A:A,"ERR",0)</f>
        <v>ONE</v>
      </c>
      <c r="S14" s="80">
        <f ca="1">VALUE(_xlfn.XLOOKUP($Z14,Строчный!$R:$R,Строчный!T:T,"ERR",0))</f>
        <v>3</v>
      </c>
      <c r="T14" s="14" t="s">
        <v>265</v>
      </c>
      <c r="U14" s="101" t="str">
        <f t="shared" ca="1" si="0"/>
        <v>Шляпа BETMAR арт. B1735H AUDREY (бежевый / черный)</v>
      </c>
      <c r="V14" s="100" t="str">
        <f t="shared" ca="1" si="1"/>
        <v>Шляпа BETMAR арт. B1735H AUDREY (бежевый / черный) {natural.black}</v>
      </c>
      <c r="W14" s="18" t="str">
        <f t="shared" ca="1" si="2"/>
        <v>бежевый</v>
      </c>
      <c r="X14" s="18" t="str">
        <f t="shared" ca="1" si="3"/>
        <v>черный</v>
      </c>
      <c r="Y14" s="117" t="str">
        <f ca="1">_xlfn.LET(_xlpm.FormColors,_xlfn.XLOOKUP(A14,Строчный!A:A,Строчный!Q:Q,"",0),IF(_xlpm.FormColors=0,IFERROR(MID(I14,FIND("-",I14)+1,LEN(I14)),IFERROR(MID(I14,1,FIND("/",I14)-2),I14)),_xlpm.FormColors))</f>
        <v>бежевый</v>
      </c>
      <c r="Z14" s="73" t="str">
        <f ca="1"/>
        <v>31-171-53-00</v>
      </c>
      <c r="AA14" s="75" t="str">
        <f ca="1">VLOOKUP(C14,Группа!A:B,2,FALSE)</f>
        <v>Шляпа</v>
      </c>
      <c r="AB14" s="97" t="str">
        <f ca="1">IFERROR(VLOOKUP(R14,Размеры!A:C,3,FALSE),"")</f>
        <v>ONE</v>
      </c>
      <c r="AC14" s="97" t="str">
        <f ca="1">VLOOKUP(I14,ЦветПолный!A:B,2,FALSE)</f>
        <v>53</v>
      </c>
      <c r="AD14" s="97" t="str">
        <f ca="1">IFERROR(VLOOKUP(R14,Размеры!A:D,4,FALSE),"")</f>
        <v>00</v>
      </c>
      <c r="AE14" s="97">
        <f ca="1">IF(LEFT(IFERROR(VLOOKUP(LOOKUP(2,1/SEARCH(B14,Товары!A:A),Товары!A:A),Товары!A:B,2,0),""),6)=MID(Z14,1,6),1,0)</f>
        <v>1</v>
      </c>
      <c r="AG14" s="97">
        <f ca="1">SUMIF(Группа!A:A,C14,Группа!C:C)</f>
        <v>1</v>
      </c>
      <c r="AH14" s="97">
        <f ca="1">SUMIF(Группа!B:B,AA14,Группа!C:C)</f>
        <v>1</v>
      </c>
      <c r="AI14" s="97">
        <f ca="1">SUMIF(Формы!A:A,D14,Формы!B:B)</f>
        <v>1</v>
      </c>
      <c r="AJ14" s="97">
        <f ca="1">SUMIF(Материал!A:A,K14,Материал!B:B)</f>
        <v>1</v>
      </c>
      <c r="AK14" s="97">
        <f ca="1">SUMIF(Размеры!A:A,R14,Размеры!E:E)</f>
        <v>1</v>
      </c>
      <c r="AL14" s="97">
        <f ca="1">SUMIF(Сезон!A:A,F14,Сезон!B:B)</f>
        <v>1</v>
      </c>
      <c r="AM14" s="97">
        <f ca="1">SUMIF(Состав!A:A,J14,Состав!B:B)</f>
        <v>1</v>
      </c>
      <c r="AN14" s="97">
        <f ca="1">VLOOKUP(I14,ЦветПолный!A:C,3,0)</f>
        <v>1</v>
      </c>
      <c r="AO14" s="97">
        <f ca="1">SUMIF(Цвет!A:A,Y14,Цвет!B:B)</f>
        <v>1</v>
      </c>
      <c r="AP14" s="97">
        <f ca="1">_xlfn.XLOOKUP(L14,Пол!A:A,Пол!B:B,0,0)</f>
        <v>1</v>
      </c>
      <c r="AQ14" s="97">
        <f ca="1">SUMIF(Марка!A:A,G14,Марка!B:B)</f>
        <v>1</v>
      </c>
      <c r="AR14" s="97">
        <f ca="1">SUMIF(Страна!A:A,M14,Страна!B:B)</f>
        <v>1</v>
      </c>
      <c r="AS14" s="64" t="str">
        <f ca="1">IF(VLOOKUP(V14,Товары!A:B,2,FALSE)=A14,"Есть в 1С","ERR")</f>
        <v>Есть в 1С</v>
      </c>
      <c r="AT14" s="65" t="str">
        <f ca="1">IF(VLOOKUP(A14,Товары!B:B,1,FALSE)=A14,"Есть в 1С","ERR")</f>
        <v>Есть в 1С</v>
      </c>
      <c r="AU14" s="96" t="str">
        <f ca="1">VLOOKUP(V14,Товары!A:B,2,FALSE)</f>
        <v>31-171-53</v>
      </c>
      <c r="AV14" s="94" t="str">
        <f ca="1">VLOOKUP(V14,Товары!A:B,1,FALSE)</f>
        <v>Шляпа BETMAR арт. B1735H AUDREY (бежевый / черный) {natural.black}</v>
      </c>
    </row>
    <row r="15" spans="1:48" x14ac:dyDescent="0.25">
      <c r="A15" s="110" t="str">
        <f t="shared" ca="1" si="4"/>
        <v>31-171-00</v>
      </c>
      <c r="B15" s="107" t="str">
        <f ca="1">_xlfn.LET(_xlpm.CAPS,0,_xlpm.Style,_xlfn.XLOOKUP($A15,Строчный!$A:$A,Строчный!B:B,"ERR",0),IF(_xlpm.CAPS=0,_xlpm.Style,LOWER(_xlpm.Style)))</f>
        <v>B1735H AUDREY</v>
      </c>
      <c r="C15" s="81" t="str">
        <f ca="1">PROPER(_xlfn.XLOOKUP($A15,Строчный!$A:$A,Строчный!C:C,"ERR",0))</f>
        <v>Шляпы</v>
      </c>
      <c r="D15" s="81" t="str">
        <f ca="1">_xlfn.LET(_xlpm.DATA,(_xlfn.XLOOKUP($A15,Строчный!$A:$A,Строчный!D:D,"ERR",0)),UPPER(MID(_xlpm.DATA,1,1))&amp;LOWER(MID(_xlpm.DATA,2,LEN(_xlpm.DATA)-1)))</f>
        <v>Шляпа с широкими полями</v>
      </c>
      <c r="E15" s="81" t="str">
        <f ca="1">PROPER(_xlfn.XLOOKUP($A15,Строчный!$A:$A,Строчный!E:E,"ERR",0))</f>
        <v>Betmar</v>
      </c>
      <c r="F15" s="81" t="str">
        <f ca="1">LOWER(_xlfn.XLOOKUP($A15,Строчный!$A:$A,Строчный!F:F,"ERR",0))</f>
        <v>летний</v>
      </c>
      <c r="G15" s="81" t="str">
        <f ca="1">UPPER(_xlfn.XLOOKUP($A15,Строчный!$A:$A,Строчный!G:G,"ERR",0))</f>
        <v>BETMAR</v>
      </c>
      <c r="H15" s="81" t="str">
        <f ca="1">LOWER(_xlfn.XLOOKUP($A15,Строчный!$A:$A,Строчный!H:H,"ERR",0))</f>
        <v>white.natural</v>
      </c>
      <c r="I15" s="81" t="str">
        <f ca="1">LOWER(_xlfn.XLOOKUP($A15,Строчный!$A:$A,Строчный!I:I,"ERR",0))</f>
        <v>бежевый / белый</v>
      </c>
      <c r="J15" s="81" t="str">
        <f ca="1">SUBSTITUTE(LOWER(_xlfn.XLOOKUP($A15,Строчный!$A:$A,Строчный!J:J,"ERR",0)),"подклад","Подклад")</f>
        <v>45% бумага - 35% полипропилен - 20% полиэстер</v>
      </c>
      <c r="K15" s="81" t="str">
        <f ca="1">LOWER(_xlfn.XLOOKUP($A15,Строчный!$A:$A,Строчный!K:K,"ERR",0))</f>
        <v>бумажные</v>
      </c>
      <c r="L15" s="81" t="str">
        <f ca="1">PROPER(_xlfn.XLOOKUP($A15,Строчный!$A:$A,Строчный!L:L,"ERR",0))</f>
        <v>Женский</v>
      </c>
      <c r="M15" s="113" t="str">
        <f ca="1">PROPER(_xlfn.XLOOKUP($A15,Строчный!$A:$A,Строчный!M:M,"ERR",0))</f>
        <v>Китай</v>
      </c>
      <c r="N15" s="81" t="str">
        <f ca="1">UPPER(_xlfn.XLOOKUP($A15,Строчный!$A:$A,Строчный!O:O,"ERR",0))</f>
        <v/>
      </c>
      <c r="O15" s="107" t="str">
        <f ca="1">PROPER(_xlfn.XLOOKUP($A15,Строчный!$A:$A,Строчный!P:P,"ERR",0))</f>
        <v/>
      </c>
      <c r="P15" s="90">
        <f ca="1">VALUE(_xlfn.XLOOKUP($A15,Строчный!$A:$A,Строчный!N:N,"ERR",0))</f>
        <v>725.40000000000009</v>
      </c>
      <c r="Q15" s="89" t="str">
        <f ca="1">_xlfn.XLOOKUP($G15,Фабрика!A:A,Фабрика!B:B,"ERR",0)</f>
        <v>Bollman Headwear Europe Ltd; 2 Merchants drive, Caelisle, Cumbria CA3 0JW, United Kingdom</v>
      </c>
      <c r="R15" s="80" t="str">
        <f ca="1">_xlfn.XLOOKUP(RIGHT(Z15,2),Размеры!D:D,Размеры!A:A,"ERR",0)</f>
        <v>ONE</v>
      </c>
      <c r="S15" s="80">
        <f ca="1">VALUE(_xlfn.XLOOKUP($Z15,Строчный!$R:$R,Строчный!T:T,"ERR",0))</f>
        <v>3</v>
      </c>
      <c r="T15" s="14" t="s">
        <v>265</v>
      </c>
      <c r="U15" s="101" t="str">
        <f t="shared" ca="1" si="0"/>
        <v>Шляпа BETMAR арт. B1735H AUDREY (бежевый / белый)</v>
      </c>
      <c r="V15" s="100" t="str">
        <f t="shared" ca="1" si="1"/>
        <v>Шляпа BETMAR арт. B1735H AUDREY (бежевый / белый) {white.natural}</v>
      </c>
      <c r="W15" s="18" t="str">
        <f t="shared" ca="1" si="2"/>
        <v>бежевый</v>
      </c>
      <c r="X15" s="18" t="str">
        <f t="shared" ca="1" si="3"/>
        <v>белый</v>
      </c>
      <c r="Y15" s="117" t="str">
        <f ca="1">_xlfn.LET(_xlpm.FormColors,_xlfn.XLOOKUP(A15,Строчный!A:A,Строчный!Q:Q,"",0),IF(_xlpm.FormColors=0,IFERROR(MID(I15,FIND("-",I15)+1,LEN(I15)),IFERROR(MID(I15,1,FIND("/",I15)-2),I15)),_xlpm.FormColors))</f>
        <v>бежевый</v>
      </c>
      <c r="Z15" s="73" t="str">
        <f ca="1"/>
        <v>31-171-00-00</v>
      </c>
      <c r="AA15" s="75" t="str">
        <f ca="1">VLOOKUP(C15,Группа!A:B,2,FALSE)</f>
        <v>Шляпа</v>
      </c>
      <c r="AB15" s="97" t="str">
        <f ca="1">IFERROR(VLOOKUP(R15,Размеры!A:C,3,FALSE),"")</f>
        <v>ONE</v>
      </c>
      <c r="AC15" s="97" t="str">
        <f ca="1">VLOOKUP(I15,ЦветПолный!A:B,2,FALSE)</f>
        <v>17</v>
      </c>
      <c r="AD15" s="97" t="str">
        <f ca="1">IFERROR(VLOOKUP(R15,Размеры!A:D,4,FALSE),"")</f>
        <v>00</v>
      </c>
      <c r="AE15" s="97">
        <f ca="1">IF(LEFT(IFERROR(VLOOKUP(LOOKUP(2,1/SEARCH(B15,Товары!A:A),Товары!A:A),Товары!A:B,2,0),""),6)=MID(Z15,1,6),1,0)</f>
        <v>1</v>
      </c>
      <c r="AG15" s="97">
        <f ca="1">SUMIF(Группа!A:A,C15,Группа!C:C)</f>
        <v>1</v>
      </c>
      <c r="AH15" s="97">
        <f ca="1">SUMIF(Группа!B:B,AA15,Группа!C:C)</f>
        <v>1</v>
      </c>
      <c r="AI15" s="97">
        <f ca="1">SUMIF(Формы!A:A,D15,Формы!B:B)</f>
        <v>1</v>
      </c>
      <c r="AJ15" s="97">
        <f ca="1">SUMIF(Материал!A:A,K15,Материал!B:B)</f>
        <v>1</v>
      </c>
      <c r="AK15" s="97">
        <f ca="1">SUMIF(Размеры!A:A,R15,Размеры!E:E)</f>
        <v>1</v>
      </c>
      <c r="AL15" s="97">
        <f ca="1">SUMIF(Сезон!A:A,F15,Сезон!B:B)</f>
        <v>1</v>
      </c>
      <c r="AM15" s="97">
        <f ca="1">SUMIF(Состав!A:A,J15,Состав!B:B)</f>
        <v>1</v>
      </c>
      <c r="AN15" s="97">
        <f ca="1">VLOOKUP(I15,ЦветПолный!A:C,3,0)</f>
        <v>1</v>
      </c>
      <c r="AO15" s="97">
        <f ca="1">SUMIF(Цвет!A:A,Y15,Цвет!B:B)</f>
        <v>1</v>
      </c>
      <c r="AP15" s="97">
        <f ca="1">_xlfn.XLOOKUP(L15,Пол!A:A,Пол!B:B,0,0)</f>
        <v>1</v>
      </c>
      <c r="AQ15" s="97">
        <f ca="1">SUMIF(Марка!A:A,G15,Марка!B:B)</f>
        <v>1</v>
      </c>
      <c r="AR15" s="97">
        <f ca="1">SUMIF(Страна!A:A,M15,Страна!B:B)</f>
        <v>1</v>
      </c>
      <c r="AS15" s="64" t="str">
        <f ca="1">IF(VLOOKUP(V15,Товары!A:B,2,FALSE)=A15,"Есть в 1С","ERR")</f>
        <v>Есть в 1С</v>
      </c>
      <c r="AT15" s="65" t="str">
        <f ca="1">IF(VLOOKUP(A15,Товары!B:B,1,FALSE)=A15,"Есть в 1С","ERR")</f>
        <v>Есть в 1С</v>
      </c>
      <c r="AU15" s="96" t="str">
        <f ca="1">VLOOKUP(V15,Товары!A:B,2,FALSE)</f>
        <v>31-171-00</v>
      </c>
      <c r="AV15" s="94" t="str">
        <f ca="1">VLOOKUP(V15,Товары!A:B,1,FALSE)</f>
        <v>Шляпа BETMAR арт. B1735H AUDREY (бежевый / белый) {white.natural}</v>
      </c>
    </row>
    <row r="16" spans="1:48" x14ac:dyDescent="0.25">
      <c r="A16" s="110" t="str">
        <f t="shared" ca="1" si="4"/>
        <v>31-153-48</v>
      </c>
      <c r="B16" s="107" t="str">
        <f ca="1">_xlfn.LET(_xlpm.CAPS,0,_xlpm.Style,_xlfn.XLOOKUP($A16,Строчный!$A:$A,Строчный!B:B,"ERR",0),IF(_xlpm.CAPS=0,_xlpm.Style,LOWER(_xlpm.Style)))</f>
        <v>B1705H MONACO</v>
      </c>
      <c r="C16" s="81" t="str">
        <f ca="1">PROPER(_xlfn.XLOOKUP($A16,Строчный!$A:$A,Строчный!C:C,"ERR",0))</f>
        <v>Шляпы</v>
      </c>
      <c r="D16" s="81" t="str">
        <f ca="1">_xlfn.LET(_xlpm.DATA,(_xlfn.XLOOKUP($A16,Строчный!$A:$A,Строчный!D:D,"ERR",0)),UPPER(MID(_xlpm.DATA,1,1))&amp;LOWER(MID(_xlpm.DATA,2,LEN(_xlpm.DATA)-1)))</f>
        <v>Шляпа федора</v>
      </c>
      <c r="E16" s="81" t="str">
        <f ca="1">PROPER(_xlfn.XLOOKUP($A16,Строчный!$A:$A,Строчный!E:E,"ERR",0))</f>
        <v>Betmar</v>
      </c>
      <c r="F16" s="81" t="str">
        <f ca="1">LOWER(_xlfn.XLOOKUP($A16,Строчный!$A:$A,Строчный!F:F,"ERR",0))</f>
        <v>летний</v>
      </c>
      <c r="G16" s="81" t="str">
        <f ca="1">UPPER(_xlfn.XLOOKUP($A16,Строчный!$A:$A,Строчный!G:G,"ERR",0))</f>
        <v>BETMAR</v>
      </c>
      <c r="H16" s="81" t="str">
        <f ca="1">LOWER(_xlfn.XLOOKUP($A16,Строчный!$A:$A,Строчный!H:H,"ERR",0))</f>
        <v>ivory.black</v>
      </c>
      <c r="I16" s="81" t="str">
        <f ca="1">LOWER(_xlfn.XLOOKUP($A16,Строчный!$A:$A,Строчный!I:I,"ERR",0))</f>
        <v>белый / черный</v>
      </c>
      <c r="J16" s="81" t="str">
        <f ca="1">SUBSTITUTE(LOWER(_xlfn.XLOOKUP($A16,Строчный!$A:$A,Строчный!J:J,"ERR",0)),"подклад","Подклад")</f>
        <v>100% бумага</v>
      </c>
      <c r="K16" s="81" t="str">
        <f ca="1">LOWER(_xlfn.XLOOKUP($A16,Строчный!$A:$A,Строчный!K:K,"ERR",0))</f>
        <v>бумажные</v>
      </c>
      <c r="L16" s="81" t="str">
        <f ca="1">PROPER(_xlfn.XLOOKUP($A16,Строчный!$A:$A,Строчный!L:L,"ERR",0))</f>
        <v>Женский</v>
      </c>
      <c r="M16" s="113" t="str">
        <f ca="1">PROPER(_xlfn.XLOOKUP($A16,Строчный!$A:$A,Строчный!M:M,"ERR",0))</f>
        <v>Китай</v>
      </c>
      <c r="N16" s="81" t="str">
        <f ca="1">UPPER(_xlfn.XLOOKUP($A16,Строчный!$A:$A,Строчный!O:O,"ERR",0))</f>
        <v/>
      </c>
      <c r="O16" s="107" t="str">
        <f ca="1">PROPER(_xlfn.XLOOKUP($A16,Строчный!$A:$A,Строчный!P:P,"ERR",0))</f>
        <v/>
      </c>
      <c r="P16" s="90">
        <f ca="1">VALUE(_xlfn.XLOOKUP($A16,Строчный!$A:$A,Строчный!N:N,"ERR",0))</f>
        <v>804.96</v>
      </c>
      <c r="Q16" s="89" t="str">
        <f ca="1">_xlfn.XLOOKUP($G16,Фабрика!A:A,Фабрика!B:B,"ERR",0)</f>
        <v>Bollman Headwear Europe Ltd; 2 Merchants drive, Caelisle, Cumbria CA3 0JW, United Kingdom</v>
      </c>
      <c r="R16" s="80" t="str">
        <f ca="1">_xlfn.XLOOKUP(RIGHT(Z16,2),Размеры!D:D,Размеры!A:A,"ERR",0)</f>
        <v>ONE</v>
      </c>
      <c r="S16" s="80">
        <f ca="1">VALUE(_xlfn.XLOOKUP($Z16,Строчный!$R:$R,Строчный!T:T,"ERR",0))</f>
        <v>5</v>
      </c>
      <c r="T16" s="14" t="s">
        <v>265</v>
      </c>
      <c r="U16" s="101" t="str">
        <f t="shared" ca="1" si="0"/>
        <v>Шляпа BETMAR арт. B1705H MONACO (белый / черный)</v>
      </c>
      <c r="V16" s="100" t="str">
        <f t="shared" ca="1" si="1"/>
        <v>Шляпа BETMAR арт. B1705H MONACO (белый / черный) {ivory.black}</v>
      </c>
      <c r="W16" s="18" t="str">
        <f t="shared" ca="1" si="2"/>
        <v>белый</v>
      </c>
      <c r="X16" s="18" t="str">
        <f t="shared" ca="1" si="3"/>
        <v>черный</v>
      </c>
      <c r="Y16" s="117" t="str">
        <f ca="1">_xlfn.LET(_xlpm.FormColors,_xlfn.XLOOKUP(A16,Строчный!A:A,Строчный!Q:Q,"",0),IF(_xlpm.FormColors=0,IFERROR(MID(I16,FIND("-",I16)+1,LEN(I16)),IFERROR(MID(I16,1,FIND("/",I16)-2),I16)),_xlpm.FormColors))</f>
        <v>белый</v>
      </c>
      <c r="Z16" s="73" t="str">
        <f ca="1"/>
        <v>31-153-48-00</v>
      </c>
      <c r="AA16" s="75" t="str">
        <f ca="1">VLOOKUP(C16,Группа!A:B,2,FALSE)</f>
        <v>Шляпа</v>
      </c>
      <c r="AB16" s="97" t="str">
        <f ca="1">IFERROR(VLOOKUP(R16,Размеры!A:C,3,FALSE),"")</f>
        <v>ONE</v>
      </c>
      <c r="AC16" s="97" t="str">
        <f ca="1">VLOOKUP(I16,ЦветПолный!A:B,2,FALSE)</f>
        <v>48</v>
      </c>
      <c r="AD16" s="97" t="str">
        <f ca="1">IFERROR(VLOOKUP(R16,Размеры!A:D,4,FALSE),"")</f>
        <v>00</v>
      </c>
      <c r="AE16" s="97">
        <f ca="1">IF(LEFT(IFERROR(VLOOKUP(LOOKUP(2,1/SEARCH(B16,Товары!A:A),Товары!A:A),Товары!A:B,2,0),""),6)=MID(Z16,1,6),1,0)</f>
        <v>1</v>
      </c>
      <c r="AG16" s="97">
        <f ca="1">SUMIF(Группа!A:A,C16,Группа!C:C)</f>
        <v>1</v>
      </c>
      <c r="AH16" s="97">
        <f ca="1">SUMIF(Группа!B:B,AA16,Группа!C:C)</f>
        <v>1</v>
      </c>
      <c r="AI16" s="97">
        <f ca="1">SUMIF(Формы!A:A,D16,Формы!B:B)</f>
        <v>1</v>
      </c>
      <c r="AJ16" s="97">
        <f ca="1">SUMIF(Материал!A:A,K16,Материал!B:B)</f>
        <v>1</v>
      </c>
      <c r="AK16" s="97">
        <f ca="1">SUMIF(Размеры!A:A,R16,Размеры!E:E)</f>
        <v>1</v>
      </c>
      <c r="AL16" s="97">
        <f ca="1">SUMIF(Сезон!A:A,F16,Сезон!B:B)</f>
        <v>1</v>
      </c>
      <c r="AM16" s="97">
        <f ca="1">SUMIF(Состав!A:A,J16,Состав!B:B)</f>
        <v>1</v>
      </c>
      <c r="AN16" s="97">
        <f ca="1">VLOOKUP(I16,ЦветПолный!A:C,3,0)</f>
        <v>1</v>
      </c>
      <c r="AO16" s="97">
        <f ca="1">SUMIF(Цвет!A:A,Y16,Цвет!B:B)</f>
        <v>1</v>
      </c>
      <c r="AP16" s="97">
        <f ca="1">_xlfn.XLOOKUP(L16,Пол!A:A,Пол!B:B,0,0)</f>
        <v>1</v>
      </c>
      <c r="AQ16" s="97">
        <f ca="1">SUMIF(Марка!A:A,G16,Марка!B:B)</f>
        <v>1</v>
      </c>
      <c r="AR16" s="97">
        <f ca="1">SUMIF(Страна!A:A,M16,Страна!B:B)</f>
        <v>1</v>
      </c>
      <c r="AS16" s="64" t="str">
        <f ca="1">IF(VLOOKUP(V16,Товары!A:B,2,FALSE)=A16,"Есть в 1С","ERR")</f>
        <v>Есть в 1С</v>
      </c>
      <c r="AT16" s="65" t="str">
        <f ca="1">IF(VLOOKUP(A16,Товары!B:B,1,FALSE)=A16,"Есть в 1С","ERR")</f>
        <v>Есть в 1С</v>
      </c>
      <c r="AU16" s="96" t="str">
        <f ca="1">VLOOKUP(V16,Товары!A:B,2,FALSE)</f>
        <v>31-153-48</v>
      </c>
      <c r="AV16" s="94" t="str">
        <f ca="1">VLOOKUP(V16,Товары!A:B,1,FALSE)</f>
        <v>Шляпа BETMAR арт. B1705H MONACO (белый / черный) {ivory.black}</v>
      </c>
    </row>
    <row r="17" spans="1:48" x14ac:dyDescent="0.25">
      <c r="A17" s="110" t="str">
        <f t="shared" ca="1" si="4"/>
        <v>31-152-53</v>
      </c>
      <c r="B17" s="107" t="str">
        <f ca="1">_xlfn.LET(_xlpm.CAPS,0,_xlpm.Style,_xlfn.XLOOKUP($A17,Строчный!$A:$A,Строчный!B:B,"ERR",0),IF(_xlpm.CAPS=0,_xlpm.Style,LOWER(_xlpm.Style)))</f>
        <v>B1703H PORTO</v>
      </c>
      <c r="C17" s="81" t="str">
        <f ca="1">PROPER(_xlfn.XLOOKUP($A17,Строчный!$A:$A,Строчный!C:C,"ERR",0))</f>
        <v>Шляпы</v>
      </c>
      <c r="D17" s="81" t="str">
        <f ca="1">_xlfn.LET(_xlpm.DATA,(_xlfn.XLOOKUP($A17,Строчный!$A:$A,Строчный!D:D,"ERR",0)),UPPER(MID(_xlpm.DATA,1,1))&amp;LOWER(MID(_xlpm.DATA,2,LEN(_xlpm.DATA)-1)))</f>
        <v>Шляпа с широкими полями</v>
      </c>
      <c r="E17" s="81" t="str">
        <f ca="1">PROPER(_xlfn.XLOOKUP($A17,Строчный!$A:$A,Строчный!E:E,"ERR",0))</f>
        <v>Betmar</v>
      </c>
      <c r="F17" s="81" t="str">
        <f ca="1">LOWER(_xlfn.XLOOKUP($A17,Строчный!$A:$A,Строчный!F:F,"ERR",0))</f>
        <v>летний</v>
      </c>
      <c r="G17" s="81" t="str">
        <f ca="1">UPPER(_xlfn.XLOOKUP($A17,Строчный!$A:$A,Строчный!G:G,"ERR",0))</f>
        <v>BETMAR</v>
      </c>
      <c r="H17" s="81" t="str">
        <f ca="1">LOWER(_xlfn.XLOOKUP($A17,Строчный!$A:$A,Строчный!H:H,"ERR",0))</f>
        <v>natural/black</v>
      </c>
      <c r="I17" s="81" t="str">
        <f ca="1">LOWER(_xlfn.XLOOKUP($A17,Строчный!$A:$A,Строчный!I:I,"ERR",0))</f>
        <v>бежевый / черный</v>
      </c>
      <c r="J17" s="81" t="str">
        <f ca="1">SUBSTITUTE(LOWER(_xlfn.XLOOKUP($A17,Строчный!$A:$A,Строчный!J:J,"ERR",0)),"подклад","Подклад")</f>
        <v>50% бумага - 33% полипропилен - 17% полиэстер</v>
      </c>
      <c r="K17" s="81" t="str">
        <f ca="1">LOWER(_xlfn.XLOOKUP($A17,Строчный!$A:$A,Строчный!K:K,"ERR",0))</f>
        <v>бумажные</v>
      </c>
      <c r="L17" s="81" t="str">
        <f ca="1">PROPER(_xlfn.XLOOKUP($A17,Строчный!$A:$A,Строчный!L:L,"ERR",0))</f>
        <v>Женский</v>
      </c>
      <c r="M17" s="113" t="str">
        <f ca="1">PROPER(_xlfn.XLOOKUP($A17,Строчный!$A:$A,Строчный!M:M,"ERR",0))</f>
        <v>Китай</v>
      </c>
      <c r="N17" s="81" t="str">
        <f ca="1">UPPER(_xlfn.XLOOKUP($A17,Строчный!$A:$A,Строчный!O:O,"ERR",0))</f>
        <v/>
      </c>
      <c r="O17" s="107" t="str">
        <f ca="1">PROPER(_xlfn.XLOOKUP($A17,Строчный!$A:$A,Строчный!P:P,"ERR",0))</f>
        <v/>
      </c>
      <c r="P17" s="90">
        <f ca="1">VALUE(_xlfn.XLOOKUP($A17,Строчный!$A:$A,Строчный!N:N,"ERR",0))</f>
        <v>717.21</v>
      </c>
      <c r="Q17" s="89" t="str">
        <f ca="1">_xlfn.XLOOKUP($G17,Фабрика!A:A,Фабрика!B:B,"ERR",0)</f>
        <v>Bollman Headwear Europe Ltd; 2 Merchants drive, Caelisle, Cumbria CA3 0JW, United Kingdom</v>
      </c>
      <c r="R17" s="80" t="str">
        <f ca="1">_xlfn.XLOOKUP(RIGHT(Z17,2),Размеры!D:D,Размеры!A:A,"ERR",0)</f>
        <v>ONE</v>
      </c>
      <c r="S17" s="80">
        <f ca="1">VALUE(_xlfn.XLOOKUP($Z17,Строчный!$R:$R,Строчный!T:T,"ERR",0))</f>
        <v>3</v>
      </c>
      <c r="T17" s="14" t="s">
        <v>265</v>
      </c>
      <c r="U17" s="101" t="str">
        <f t="shared" ca="1" si="0"/>
        <v>Шляпа BETMAR арт. B1703H PORTO (бежевый / черный)</v>
      </c>
      <c r="V17" s="100" t="str">
        <f t="shared" ca="1" si="1"/>
        <v>Шляпа BETMAR арт. B1703H PORTO (бежевый / черный) {natural/black}</v>
      </c>
      <c r="W17" s="18" t="str">
        <f t="shared" ca="1" si="2"/>
        <v>бежевый</v>
      </c>
      <c r="X17" s="18" t="str">
        <f t="shared" ca="1" si="3"/>
        <v>черный</v>
      </c>
      <c r="Y17" s="117" t="str">
        <f ca="1">_xlfn.LET(_xlpm.FormColors,_xlfn.XLOOKUP(A17,Строчный!A:A,Строчный!Q:Q,"",0),IF(_xlpm.FormColors=0,IFERROR(MID(I17,FIND("-",I17)+1,LEN(I17)),IFERROR(MID(I17,1,FIND("/",I17)-2),I17)),_xlpm.FormColors))</f>
        <v>бежевый</v>
      </c>
      <c r="Z17" s="73" t="str">
        <f ca="1"/>
        <v>31-152-53-00</v>
      </c>
      <c r="AA17" s="75" t="str">
        <f ca="1">VLOOKUP(C17,Группа!A:B,2,FALSE)</f>
        <v>Шляпа</v>
      </c>
      <c r="AB17" s="97" t="str">
        <f ca="1">IFERROR(VLOOKUP(R17,Размеры!A:C,3,FALSE),"")</f>
        <v>ONE</v>
      </c>
      <c r="AC17" s="97" t="str">
        <f ca="1">VLOOKUP(I17,ЦветПолный!A:B,2,FALSE)</f>
        <v>53</v>
      </c>
      <c r="AD17" s="97" t="str">
        <f ca="1">IFERROR(VLOOKUP(R17,Размеры!A:D,4,FALSE),"")</f>
        <v>00</v>
      </c>
      <c r="AE17" s="97">
        <f ca="1">IF(LEFT(IFERROR(VLOOKUP(LOOKUP(2,1/SEARCH(B17,Товары!A:A),Товары!A:A),Товары!A:B,2,0),""),6)=MID(Z17,1,6),1,0)</f>
        <v>1</v>
      </c>
      <c r="AG17" s="97">
        <f ca="1">SUMIF(Группа!A:A,C17,Группа!C:C)</f>
        <v>1</v>
      </c>
      <c r="AH17" s="97">
        <f ca="1">SUMIF(Группа!B:B,AA17,Группа!C:C)</f>
        <v>1</v>
      </c>
      <c r="AI17" s="97">
        <f ca="1">SUMIF(Формы!A:A,D17,Формы!B:B)</f>
        <v>1</v>
      </c>
      <c r="AJ17" s="97">
        <f ca="1">SUMIF(Материал!A:A,K17,Материал!B:B)</f>
        <v>1</v>
      </c>
      <c r="AK17" s="97">
        <f ca="1">SUMIF(Размеры!A:A,R17,Размеры!E:E)</f>
        <v>1</v>
      </c>
      <c r="AL17" s="97">
        <f ca="1">SUMIF(Сезон!A:A,F17,Сезон!B:B)</f>
        <v>1</v>
      </c>
      <c r="AM17" s="97">
        <f ca="1">SUMIF(Состав!A:A,J17,Состав!B:B)</f>
        <v>1</v>
      </c>
      <c r="AN17" s="97">
        <f ca="1">VLOOKUP(I17,ЦветПолный!A:C,3,0)</f>
        <v>1</v>
      </c>
      <c r="AO17" s="97">
        <f ca="1">SUMIF(Цвет!A:A,Y17,Цвет!B:B)</f>
        <v>1</v>
      </c>
      <c r="AP17" s="97">
        <f ca="1">_xlfn.XLOOKUP(L17,Пол!A:A,Пол!B:B,0,0)</f>
        <v>1</v>
      </c>
      <c r="AQ17" s="97">
        <f ca="1">SUMIF(Марка!A:A,G17,Марка!B:B)</f>
        <v>1</v>
      </c>
      <c r="AR17" s="97">
        <f ca="1">SUMIF(Страна!A:A,M17,Страна!B:B)</f>
        <v>1</v>
      </c>
      <c r="AS17" s="64" t="str">
        <f ca="1">IF(VLOOKUP(V17,Товары!A:B,2,FALSE)=A17,"Есть в 1С","ERR")</f>
        <v>Есть в 1С</v>
      </c>
      <c r="AT17" s="65" t="str">
        <f ca="1">IF(VLOOKUP(A17,Товары!B:B,1,FALSE)=A17,"Есть в 1С","ERR")</f>
        <v>Есть в 1С</v>
      </c>
      <c r="AU17" s="96" t="str">
        <f ca="1">VLOOKUP(V17,Товары!A:B,2,FALSE)</f>
        <v>31-152-53</v>
      </c>
      <c r="AV17" s="94" t="str">
        <f ca="1">VLOOKUP(V17,Товары!A:B,1,FALSE)</f>
        <v>Шляпа BETMAR арт. B1703H PORTO (бежевый / черный) {natural/black}</v>
      </c>
    </row>
    <row r="18" spans="1:48" x14ac:dyDescent="0.25">
      <c r="A18" s="110" t="str">
        <f t="shared" ca="1" si="4"/>
        <v>31-150-09</v>
      </c>
      <c r="B18" s="107" t="str">
        <f ca="1">_xlfn.LET(_xlpm.CAPS,0,_xlpm.Style,_xlfn.XLOOKUP($A18,Строчный!$A:$A,Строчный!B:B,"ERR",0),IF(_xlpm.CAPS=0,_xlpm.Style,LOWER(_xlpm.Style)))</f>
        <v>B1701H SELENA</v>
      </c>
      <c r="C18" s="81" t="str">
        <f ca="1">PROPER(_xlfn.XLOOKUP($A18,Строчный!$A:$A,Строчный!C:C,"ERR",0))</f>
        <v>Шляпы</v>
      </c>
      <c r="D18" s="81" t="str">
        <f ca="1">_xlfn.LET(_xlpm.DATA,(_xlfn.XLOOKUP($A18,Строчный!$A:$A,Строчный!D:D,"ERR",0)),UPPER(MID(_xlpm.DATA,1,1))&amp;LOWER(MID(_xlpm.DATA,2,LEN(_xlpm.DATA)-1)))</f>
        <v>Шляпа с широкими полями</v>
      </c>
      <c r="E18" s="81" t="str">
        <f ca="1">PROPER(_xlfn.XLOOKUP($A18,Строчный!$A:$A,Строчный!E:E,"ERR",0))</f>
        <v>Betmar</v>
      </c>
      <c r="F18" s="81" t="str">
        <f ca="1">LOWER(_xlfn.XLOOKUP($A18,Строчный!$A:$A,Строчный!F:F,"ERR",0))</f>
        <v>летний</v>
      </c>
      <c r="G18" s="81" t="str">
        <f ca="1">UPPER(_xlfn.XLOOKUP($A18,Строчный!$A:$A,Строчный!G:G,"ERR",0))</f>
        <v>BETMAR</v>
      </c>
      <c r="H18" s="81" t="str">
        <f ca="1">LOWER(_xlfn.XLOOKUP($A18,Строчный!$A:$A,Строчный!H:H,"ERR",0))</f>
        <v>black</v>
      </c>
      <c r="I18" s="81" t="str">
        <f ca="1">LOWER(_xlfn.XLOOKUP($A18,Строчный!$A:$A,Строчный!I:I,"ERR",0))</f>
        <v>черный</v>
      </c>
      <c r="J18" s="81" t="str">
        <f ca="1">SUBSTITUTE(LOWER(_xlfn.XLOOKUP($A18,Строчный!$A:$A,Строчный!J:J,"ERR",0)),"подклад","Подклад")</f>
        <v>88% бумага - 12% полиэстер</v>
      </c>
      <c r="K18" s="81" t="str">
        <f ca="1">LOWER(_xlfn.XLOOKUP($A18,Строчный!$A:$A,Строчный!K:K,"ERR",0))</f>
        <v>бумажные</v>
      </c>
      <c r="L18" s="81" t="str">
        <f ca="1">PROPER(_xlfn.XLOOKUP($A18,Строчный!$A:$A,Строчный!L:L,"ERR",0))</f>
        <v>Женский</v>
      </c>
      <c r="M18" s="113" t="str">
        <f ca="1">PROPER(_xlfn.XLOOKUP($A18,Строчный!$A:$A,Строчный!M:M,"ERR",0))</f>
        <v>Китай</v>
      </c>
      <c r="N18" s="81" t="str">
        <f ca="1">UPPER(_xlfn.XLOOKUP($A18,Строчный!$A:$A,Строчный!O:O,"ERR",0))</f>
        <v/>
      </c>
      <c r="O18" s="107" t="str">
        <f ca="1">PROPER(_xlfn.XLOOKUP($A18,Строчный!$A:$A,Строчный!P:P,"ERR",0))</f>
        <v/>
      </c>
      <c r="P18" s="90">
        <f ca="1">VALUE(_xlfn.XLOOKUP($A18,Строчный!$A:$A,Строчный!N:N,"ERR",0))</f>
        <v>661.05000000000007</v>
      </c>
      <c r="Q18" s="89" t="str">
        <f ca="1">_xlfn.XLOOKUP($G18,Фабрика!A:A,Фабрика!B:B,"ERR",0)</f>
        <v>Bollman Headwear Europe Ltd; 2 Merchants drive, Caelisle, Cumbria CA3 0JW, United Kingdom</v>
      </c>
      <c r="R18" s="80" t="str">
        <f ca="1">_xlfn.XLOOKUP(RIGHT(Z18,2),Размеры!D:D,Размеры!A:A,"ERR",0)</f>
        <v>ONE</v>
      </c>
      <c r="S18" s="80">
        <f ca="1">VALUE(_xlfn.XLOOKUP($Z18,Строчный!$R:$R,Строчный!T:T,"ERR",0))</f>
        <v>3</v>
      </c>
      <c r="T18" s="14" t="s">
        <v>265</v>
      </c>
      <c r="U18" s="101" t="str">
        <f t="shared" ca="1" si="0"/>
        <v>Шляпа BETMAR арт. B1701H SELENA (черный)</v>
      </c>
      <c r="V18" s="100" t="str">
        <f t="shared" ca="1" si="1"/>
        <v>Шляпа BETMAR арт. B1701H SELENA (черный) {black}</v>
      </c>
      <c r="W18" s="18" t="str">
        <f t="shared" ca="1" si="2"/>
        <v>черный</v>
      </c>
      <c r="X18" s="18" t="str">
        <f t="shared" ca="1" si="3"/>
        <v>черный</v>
      </c>
      <c r="Y18" s="117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Z18" s="73" t="str">
        <f ca="1"/>
        <v>31-150-09-00</v>
      </c>
      <c r="AA18" s="75" t="str">
        <f ca="1">VLOOKUP(C18,Группа!A:B,2,FALSE)</f>
        <v>Шляпа</v>
      </c>
      <c r="AB18" s="97" t="str">
        <f ca="1">IFERROR(VLOOKUP(R18,Размеры!A:C,3,FALSE),"")</f>
        <v>ONE</v>
      </c>
      <c r="AC18" s="97" t="str">
        <f ca="1">VLOOKUP(I18,ЦветПолный!A:B,2,FALSE)</f>
        <v>09</v>
      </c>
      <c r="AD18" s="97" t="str">
        <f ca="1">IFERROR(VLOOKUP(R18,Размеры!A:D,4,FALSE),"")</f>
        <v>00</v>
      </c>
      <c r="AE18" s="97">
        <f ca="1">IF(LEFT(IFERROR(VLOOKUP(LOOKUP(2,1/SEARCH(B18,Товары!A:A),Товары!A:A),Товары!A:B,2,0),""),6)=MID(Z18,1,6),1,0)</f>
        <v>1</v>
      </c>
      <c r="AG18" s="97">
        <f ca="1">SUMIF(Группа!A:A,C18,Группа!C:C)</f>
        <v>1</v>
      </c>
      <c r="AH18" s="97">
        <f ca="1">SUMIF(Группа!B:B,AA18,Группа!C:C)</f>
        <v>1</v>
      </c>
      <c r="AI18" s="97">
        <f ca="1">SUMIF(Формы!A:A,D18,Формы!B:B)</f>
        <v>1</v>
      </c>
      <c r="AJ18" s="97">
        <f ca="1">SUMIF(Материал!A:A,K18,Материал!B:B)</f>
        <v>1</v>
      </c>
      <c r="AK18" s="97">
        <f ca="1">SUMIF(Размеры!A:A,R18,Размеры!E:E)</f>
        <v>1</v>
      </c>
      <c r="AL18" s="97">
        <f ca="1">SUMIF(Сезон!A:A,F18,Сезон!B:B)</f>
        <v>1</v>
      </c>
      <c r="AM18" s="97">
        <f ca="1">SUMIF(Состав!A:A,J18,Состав!B:B)</f>
        <v>1</v>
      </c>
      <c r="AN18" s="97">
        <f ca="1">VLOOKUP(I18,ЦветПолный!A:C,3,0)</f>
        <v>1</v>
      </c>
      <c r="AO18" s="97">
        <f ca="1">SUMIF(Цвет!A:A,Y18,Цвет!B:B)</f>
        <v>1</v>
      </c>
      <c r="AP18" s="97">
        <f ca="1">_xlfn.XLOOKUP(L18,Пол!A:A,Пол!B:B,0,0)</f>
        <v>1</v>
      </c>
      <c r="AQ18" s="97">
        <f ca="1">SUMIF(Марка!A:A,G18,Марка!B:B)</f>
        <v>1</v>
      </c>
      <c r="AR18" s="97">
        <f ca="1">SUMIF(Страна!A:A,M18,Страна!B:B)</f>
        <v>1</v>
      </c>
      <c r="AS18" s="64" t="str">
        <f ca="1">IF(VLOOKUP(V18,Товары!A:B,2,FALSE)=A18,"Есть в 1С","ERR")</f>
        <v>Есть в 1С</v>
      </c>
      <c r="AT18" s="65" t="str">
        <f ca="1">IF(VLOOKUP(A18,Товары!B:B,1,FALSE)=A18,"Есть в 1С","ERR")</f>
        <v>Есть в 1С</v>
      </c>
      <c r="AU18" s="96" t="str">
        <f ca="1">VLOOKUP(V18,Товары!A:B,2,FALSE)</f>
        <v>31-150-09</v>
      </c>
      <c r="AV18" s="94" t="str">
        <f ca="1">VLOOKUP(V18,Товары!A:B,1,FALSE)</f>
        <v>Шляпа BETMAR арт. B1701H SELENA (черный) {black}</v>
      </c>
    </row>
    <row r="19" spans="1:48" x14ac:dyDescent="0.25">
      <c r="A19" s="110" t="str">
        <f t="shared" ca="1" si="4"/>
        <v>31-136-17</v>
      </c>
      <c r="B19" s="107" t="str">
        <f ca="1">_xlfn.LET(_xlpm.CAPS,0,_xlpm.Style,_xlfn.XLOOKUP($A19,Строчный!$A:$A,Строчный!B:B,"ERR",0),IF(_xlpm.CAPS=0,_xlpm.Style,LOWER(_xlpm.Style)))</f>
        <v>B1552H JASMINE</v>
      </c>
      <c r="C19" s="81" t="str">
        <f ca="1">PROPER(_xlfn.XLOOKUP($A19,Строчный!$A:$A,Строчный!C:C,"ERR",0))</f>
        <v>Шляпы</v>
      </c>
      <c r="D19" s="81" t="str">
        <f ca="1">_xlfn.LET(_xlpm.DATA,(_xlfn.XLOOKUP($A19,Строчный!$A:$A,Строчный!D:D,"ERR",0)),UPPER(MID(_xlpm.DATA,1,1))&amp;LOWER(MID(_xlpm.DATA,2,LEN(_xlpm.DATA)-1)))</f>
        <v>Шляпа с широкими полями</v>
      </c>
      <c r="E19" s="81" t="str">
        <f ca="1">PROPER(_xlfn.XLOOKUP($A19,Строчный!$A:$A,Строчный!E:E,"ERR",0))</f>
        <v>Betmar</v>
      </c>
      <c r="F19" s="81" t="str">
        <f ca="1">LOWER(_xlfn.XLOOKUP($A19,Строчный!$A:$A,Строчный!F:F,"ERR",0))</f>
        <v>летний</v>
      </c>
      <c r="G19" s="81" t="str">
        <f ca="1">UPPER(_xlfn.XLOOKUP($A19,Строчный!$A:$A,Строчный!G:G,"ERR",0))</f>
        <v>BETMAR</v>
      </c>
      <c r="H19" s="81" t="str">
        <f ca="1">LOWER(_xlfn.XLOOKUP($A19,Строчный!$A:$A,Строчный!H:H,"ERR",0))</f>
        <v>ivory black</v>
      </c>
      <c r="I19" s="81" t="str">
        <f ca="1">LOWER(_xlfn.XLOOKUP($A19,Строчный!$A:$A,Строчный!I:I,"ERR",0))</f>
        <v>белый</v>
      </c>
      <c r="J19" s="81" t="str">
        <f ca="1">SUBSTITUTE(LOWER(_xlfn.XLOOKUP($A19,Строчный!$A:$A,Строчный!J:J,"ERR",0)),"подклад","Подклад")</f>
        <v>80% бумага - 20% полиэстер</v>
      </c>
      <c r="K19" s="81" t="str">
        <f ca="1">LOWER(_xlfn.XLOOKUP($A19,Строчный!$A:$A,Строчный!K:K,"ERR",0))</f>
        <v>бумажные</v>
      </c>
      <c r="L19" s="81" t="str">
        <f ca="1">PROPER(_xlfn.XLOOKUP($A19,Строчный!$A:$A,Строчный!L:L,"ERR",0))</f>
        <v>Женский</v>
      </c>
      <c r="M19" s="113" t="str">
        <f ca="1">PROPER(_xlfn.XLOOKUP($A19,Строчный!$A:$A,Строчный!M:M,"ERR",0))</f>
        <v>Китай</v>
      </c>
      <c r="N19" s="81" t="str">
        <f ca="1">UPPER(_xlfn.XLOOKUP($A19,Строчный!$A:$A,Строчный!O:O,"ERR",0))</f>
        <v/>
      </c>
      <c r="O19" s="107" t="str">
        <f ca="1">PROPER(_xlfn.XLOOKUP($A19,Строчный!$A:$A,Строчный!P:P,"ERR",0))</f>
        <v/>
      </c>
      <c r="P19" s="90">
        <f ca="1">VALUE(_xlfn.XLOOKUP($A19,Строчный!$A:$A,Строчный!N:N,"ERR",0))</f>
        <v>654.03000000000009</v>
      </c>
      <c r="Q19" s="89" t="str">
        <f ca="1">_xlfn.XLOOKUP($G19,Фабрика!A:A,Фабрика!B:B,"ERR",0)</f>
        <v>Bollman Headwear Europe Ltd; 2 Merchants drive, Caelisle, Cumbria CA3 0JW, United Kingdom</v>
      </c>
      <c r="R19" s="80" t="str">
        <f ca="1">_xlfn.XLOOKUP(RIGHT(Z19,2),Размеры!D:D,Размеры!A:A,"ERR",0)</f>
        <v>ONE</v>
      </c>
      <c r="S19" s="80">
        <f ca="1">VALUE(_xlfn.XLOOKUP($Z19,Строчный!$R:$R,Строчный!T:T,"ERR",0))</f>
        <v>5</v>
      </c>
      <c r="T19" s="14" t="s">
        <v>265</v>
      </c>
      <c r="U19" s="101" t="str">
        <f t="shared" ca="1" si="0"/>
        <v>Шляпа BETMAR арт. B1552H JASMINE (белый)</v>
      </c>
      <c r="V19" s="100" t="str">
        <f t="shared" ca="1" si="1"/>
        <v>Шляпа BETMAR арт. B1552H JASMINE (белый) {ivory black}</v>
      </c>
      <c r="W19" s="18" t="str">
        <f t="shared" ca="1" si="2"/>
        <v>белый</v>
      </c>
      <c r="X19" s="18" t="str">
        <f t="shared" ca="1" si="3"/>
        <v>белый</v>
      </c>
      <c r="Y19" s="117" t="str">
        <f ca="1">_xlfn.LET(_xlpm.FormColors,_xlfn.XLOOKUP(A19,Строчный!A:A,Строчный!Q:Q,"",0),IF(_xlpm.FormColors=0,IFERROR(MID(I19,FIND("-",I19)+1,LEN(I19)),IFERROR(MID(I19,1,FIND("/",I19)-2),I19)),_xlpm.FormColors))</f>
        <v>белый</v>
      </c>
      <c r="Z19" s="73" t="str">
        <f ca="1"/>
        <v>31-136-17-00</v>
      </c>
      <c r="AA19" s="75" t="str">
        <f ca="1">VLOOKUP(C19,Группа!A:B,2,FALSE)</f>
        <v>Шляпа</v>
      </c>
      <c r="AB19" s="97" t="str">
        <f ca="1">IFERROR(VLOOKUP(R19,Размеры!A:C,3,FALSE),"")</f>
        <v>ONE</v>
      </c>
      <c r="AC19" s="97" t="str">
        <f ca="1">VLOOKUP(I19,ЦветПолный!A:B,2,FALSE)</f>
        <v>17</v>
      </c>
      <c r="AD19" s="97" t="str">
        <f ca="1">IFERROR(VLOOKUP(R19,Размеры!A:D,4,FALSE),"")</f>
        <v>00</v>
      </c>
      <c r="AE19" s="97">
        <f ca="1">IF(LEFT(IFERROR(VLOOKUP(LOOKUP(2,1/SEARCH(B19,Товары!A:A),Товары!A:A),Товары!A:B,2,0),""),6)=MID(Z19,1,6),1,0)</f>
        <v>1</v>
      </c>
      <c r="AG19" s="97">
        <f ca="1">SUMIF(Группа!A:A,C19,Группа!C:C)</f>
        <v>1</v>
      </c>
      <c r="AH19" s="97">
        <f ca="1">SUMIF(Группа!B:B,AA19,Группа!C:C)</f>
        <v>1</v>
      </c>
      <c r="AI19" s="97">
        <f ca="1">SUMIF(Формы!A:A,D19,Формы!B:B)</f>
        <v>1</v>
      </c>
      <c r="AJ19" s="97">
        <f ca="1">SUMIF(Материал!A:A,K19,Материал!B:B)</f>
        <v>1</v>
      </c>
      <c r="AK19" s="97">
        <f ca="1">SUMIF(Размеры!A:A,R19,Размеры!E:E)</f>
        <v>1</v>
      </c>
      <c r="AL19" s="97">
        <f ca="1">SUMIF(Сезон!A:A,F19,Сезон!B:B)</f>
        <v>1</v>
      </c>
      <c r="AM19" s="97">
        <f ca="1">SUMIF(Состав!A:A,J19,Состав!B:B)</f>
        <v>1</v>
      </c>
      <c r="AN19" s="97">
        <f ca="1">VLOOKUP(I19,ЦветПолный!A:C,3,0)</f>
        <v>1</v>
      </c>
      <c r="AO19" s="97">
        <f ca="1">SUMIF(Цвет!A:A,Y19,Цвет!B:B)</f>
        <v>1</v>
      </c>
      <c r="AP19" s="97">
        <f ca="1">_xlfn.XLOOKUP(L19,Пол!A:A,Пол!B:B,0,0)</f>
        <v>1</v>
      </c>
      <c r="AQ19" s="97">
        <f ca="1">SUMIF(Марка!A:A,G19,Марка!B:B)</f>
        <v>1</v>
      </c>
      <c r="AR19" s="97">
        <f ca="1">SUMIF(Страна!A:A,M19,Страна!B:B)</f>
        <v>1</v>
      </c>
      <c r="AS19" s="64" t="e">
        <f ca="1">IF(VLOOKUP(V19,Товары!A:B,2,FALSE)=A19,"Есть в 1С","ERR")</f>
        <v>#N/A</v>
      </c>
      <c r="AT19" s="65" t="e">
        <f ca="1">IF(VLOOKUP(A19,Товары!B:B,1,FALSE)=A19,"Есть в 1С","ERR")</f>
        <v>#N/A</v>
      </c>
      <c r="AU19" s="96" t="e">
        <f ca="1">VLOOKUP(V19,Товары!A:B,2,FALSE)</f>
        <v>#N/A</v>
      </c>
      <c r="AV19" s="94" t="e">
        <f ca="1">VLOOKUP(V19,Товары!A:B,1,FALSE)</f>
        <v>#N/A</v>
      </c>
    </row>
    <row r="20" spans="1:48" x14ac:dyDescent="0.25">
      <c r="A20" s="110" t="str">
        <f t="shared" ca="1" si="4"/>
        <v>31-128-95</v>
      </c>
      <c r="B20" s="107" t="str">
        <f ca="1">_xlfn.LET(_xlpm.CAPS,0,_xlpm.Style,_xlfn.XLOOKUP($A20,Строчный!$A:$A,Строчный!B:B,"ERR",0),IF(_xlpm.CAPS=0,_xlpm.Style,LOWER(_xlpm.Style)))</f>
        <v>B1557H LORA</v>
      </c>
      <c r="C20" s="81" t="str">
        <f ca="1">PROPER(_xlfn.XLOOKUP($A20,Строчный!$A:$A,Строчный!C:C,"ERR",0))</f>
        <v>Шляпы</v>
      </c>
      <c r="D20" s="81" t="str">
        <f ca="1">_xlfn.LET(_xlpm.DATA,(_xlfn.XLOOKUP($A20,Строчный!$A:$A,Строчный!D:D,"ERR",0)),UPPER(MID(_xlpm.DATA,1,1))&amp;LOWER(MID(_xlpm.DATA,2,LEN(_xlpm.DATA)-1)))</f>
        <v>Шляпа с широкими полями</v>
      </c>
      <c r="E20" s="81" t="str">
        <f ca="1">PROPER(_xlfn.XLOOKUP($A20,Строчный!$A:$A,Строчный!E:E,"ERR",0))</f>
        <v>Betmar</v>
      </c>
      <c r="F20" s="81" t="str">
        <f ca="1">LOWER(_xlfn.XLOOKUP($A20,Строчный!$A:$A,Строчный!F:F,"ERR",0))</f>
        <v>летний</v>
      </c>
      <c r="G20" s="81" t="str">
        <f ca="1">UPPER(_xlfn.XLOOKUP($A20,Строчный!$A:$A,Строчный!G:G,"ERR",0))</f>
        <v>BETMAR</v>
      </c>
      <c r="H20" s="81" t="str">
        <f ca="1">LOWER(_xlfn.XLOOKUP($A20,Строчный!$A:$A,Строчный!H:H,"ERR",0))</f>
        <v>navy.natural</v>
      </c>
      <c r="I20" s="81" t="str">
        <f ca="1">LOWER(_xlfn.XLOOKUP($A20,Строчный!$A:$A,Строчный!I:I,"ERR",0))</f>
        <v>синий / бежевый</v>
      </c>
      <c r="J20" s="81" t="str">
        <f ca="1">SUBSTITUTE(LOWER(_xlfn.XLOOKUP($A20,Строчный!$A:$A,Строчный!J:J,"ERR",0)),"подклад","Подклад")</f>
        <v>100% бумага</v>
      </c>
      <c r="K20" s="81" t="str">
        <f ca="1">LOWER(_xlfn.XLOOKUP($A20,Строчный!$A:$A,Строчный!K:K,"ERR",0))</f>
        <v>бумажные</v>
      </c>
      <c r="L20" s="81" t="str">
        <f ca="1">PROPER(_xlfn.XLOOKUP($A20,Строчный!$A:$A,Строчный!L:L,"ERR",0))</f>
        <v>Женский</v>
      </c>
      <c r="M20" s="113" t="str">
        <f ca="1">PROPER(_xlfn.XLOOKUP($A20,Строчный!$A:$A,Строчный!M:M,"ERR",0))</f>
        <v>Китай</v>
      </c>
      <c r="N20" s="81" t="str">
        <f ca="1">UPPER(_xlfn.XLOOKUP($A20,Строчный!$A:$A,Строчный!O:O,"ERR",0))</f>
        <v/>
      </c>
      <c r="O20" s="107" t="str">
        <f ca="1">PROPER(_xlfn.XLOOKUP($A20,Строчный!$A:$A,Строчный!P:P,"ERR",0))</f>
        <v/>
      </c>
      <c r="P20" s="90">
        <f ca="1">VALUE(_xlfn.XLOOKUP($A20,Строчный!$A:$A,Строчный!N:N,"ERR",0))</f>
        <v>628.29000000000008</v>
      </c>
      <c r="Q20" s="89" t="str">
        <f ca="1">_xlfn.XLOOKUP($G20,Фабрика!A:A,Фабрика!B:B,"ERR",0)</f>
        <v>Bollman Headwear Europe Ltd; 2 Merchants drive, Caelisle, Cumbria CA3 0JW, United Kingdom</v>
      </c>
      <c r="R20" s="80" t="str">
        <f ca="1">_xlfn.XLOOKUP(RIGHT(Z20,2),Размеры!D:D,Размеры!A:A,"ERR",0)</f>
        <v>ONE</v>
      </c>
      <c r="S20" s="80">
        <f ca="1">VALUE(_xlfn.XLOOKUP($Z20,Строчный!$R:$R,Строчный!T:T,"ERR",0))</f>
        <v>3</v>
      </c>
      <c r="T20" s="14" t="s">
        <v>265</v>
      </c>
      <c r="U20" s="101" t="str">
        <f t="shared" ca="1" si="0"/>
        <v>Шляпа BETMAR арт. B1557H LORA (синий / бежевый)</v>
      </c>
      <c r="V20" s="100" t="str">
        <f t="shared" ca="1" si="1"/>
        <v>Шляпа BETMAR арт. B1557H LORA (синий / бежевый) {navy.natural}</v>
      </c>
      <c r="W20" s="18" t="str">
        <f t="shared" ca="1" si="2"/>
        <v>синий</v>
      </c>
      <c r="X20" s="18" t="str">
        <f t="shared" ca="1" si="3"/>
        <v>бежевый</v>
      </c>
      <c r="Y20" s="117" t="str">
        <f ca="1">_xlfn.LET(_xlpm.FormColors,_xlfn.XLOOKUP(A20,Строчный!A:A,Строчный!Q:Q,"",0),IF(_xlpm.FormColors=0,IFERROR(MID(I20,FIND("-",I20)+1,LEN(I20)),IFERROR(MID(I20,1,FIND("/",I20)-2),I20)),_xlpm.FormColors))</f>
        <v>синий</v>
      </c>
      <c r="Z20" s="73" t="str">
        <f ca="1"/>
        <v>31-128-95-00</v>
      </c>
      <c r="AA20" s="75" t="str">
        <f ca="1">VLOOKUP(C20,Группа!A:B,2,FALSE)</f>
        <v>Шляпа</v>
      </c>
      <c r="AB20" s="97" t="str">
        <f ca="1">IFERROR(VLOOKUP(R20,Размеры!A:C,3,FALSE),"")</f>
        <v>ONE</v>
      </c>
      <c r="AC20" s="97" t="str">
        <f ca="1">VLOOKUP(I20,ЦветПолный!A:B,2,FALSE)</f>
        <v>95</v>
      </c>
      <c r="AD20" s="97" t="str">
        <f ca="1">IFERROR(VLOOKUP(R20,Размеры!A:D,4,FALSE),"")</f>
        <v>00</v>
      </c>
      <c r="AE20" s="97">
        <f ca="1">IF(LEFT(IFERROR(VLOOKUP(LOOKUP(2,1/SEARCH(B20,Товары!A:A),Товары!A:A),Товары!A:B,2,0),""),6)=MID(Z20,1,6),1,0)</f>
        <v>1</v>
      </c>
      <c r="AG20" s="97">
        <f ca="1">SUMIF(Группа!A:A,C20,Группа!C:C)</f>
        <v>1</v>
      </c>
      <c r="AH20" s="97">
        <f ca="1">SUMIF(Группа!B:B,AA20,Группа!C:C)</f>
        <v>1</v>
      </c>
      <c r="AI20" s="97">
        <f ca="1">SUMIF(Формы!A:A,D20,Формы!B:B)</f>
        <v>1</v>
      </c>
      <c r="AJ20" s="97">
        <f ca="1">SUMIF(Материал!A:A,K20,Материал!B:B)</f>
        <v>1</v>
      </c>
      <c r="AK20" s="97">
        <f ca="1">SUMIF(Размеры!A:A,R20,Размеры!E:E)</f>
        <v>1</v>
      </c>
      <c r="AL20" s="97">
        <f ca="1">SUMIF(Сезон!A:A,F20,Сезон!B:B)</f>
        <v>1</v>
      </c>
      <c r="AM20" s="97">
        <f ca="1">SUMIF(Состав!A:A,J20,Состав!B:B)</f>
        <v>1</v>
      </c>
      <c r="AN20" s="97">
        <f ca="1">VLOOKUP(I20,ЦветПолный!A:C,3,0)</f>
        <v>1</v>
      </c>
      <c r="AO20" s="97">
        <f ca="1">SUMIF(Цвет!A:A,Y20,Цвет!B:B)</f>
        <v>1</v>
      </c>
      <c r="AP20" s="97">
        <f ca="1">_xlfn.XLOOKUP(L20,Пол!A:A,Пол!B:B,0,0)</f>
        <v>1</v>
      </c>
      <c r="AQ20" s="97">
        <f ca="1">SUMIF(Марка!A:A,G20,Марка!B:B)</f>
        <v>1</v>
      </c>
      <c r="AR20" s="97">
        <f ca="1">SUMIF(Страна!A:A,M20,Страна!B:B)</f>
        <v>1</v>
      </c>
      <c r="AS20" s="64" t="str">
        <f ca="1">IF(VLOOKUP(V20,Товары!A:B,2,FALSE)=A20,"Есть в 1С","ERR")</f>
        <v>Есть в 1С</v>
      </c>
      <c r="AT20" s="65" t="str">
        <f ca="1">IF(VLOOKUP(A20,Товары!B:B,1,FALSE)=A20,"Есть в 1С","ERR")</f>
        <v>Есть в 1С</v>
      </c>
      <c r="AU20" s="96" t="str">
        <f ca="1">VLOOKUP(V20,Товары!A:B,2,FALSE)</f>
        <v>31-128-95</v>
      </c>
      <c r="AV20" s="94" t="str">
        <f ca="1">VLOOKUP(V20,Товары!A:B,1,FALSE)</f>
        <v>Шляпа BETMAR арт. B1557H LORA (синий / бежевый) {navy.natural}</v>
      </c>
    </row>
    <row r="21" spans="1:48" x14ac:dyDescent="0.25">
      <c r="A21" s="110" t="str">
        <f t="shared" ca="1" si="4"/>
        <v>31-084-87</v>
      </c>
      <c r="B21" s="107" t="str">
        <f ca="1">_xlfn.LET(_xlpm.CAPS,0,_xlpm.Style,_xlfn.XLOOKUP($A21,Строчный!$A:$A,Строчный!B:B,"ERR",0),IF(_xlpm.CAPS=0,_xlpm.Style,LOWER(_xlpm.Style)))</f>
        <v>B176 GOSSAMER</v>
      </c>
      <c r="C21" s="81" t="str">
        <f ca="1">PROPER(_xlfn.XLOOKUP($A21,Строчный!$A:$A,Строчный!C:C,"ERR",0))</f>
        <v>Шляпы</v>
      </c>
      <c r="D21" s="81" t="str">
        <f ca="1">_xlfn.LET(_xlpm.DATA,(_xlfn.XLOOKUP($A21,Строчный!$A:$A,Строчный!D:D,"ERR",0)),UPPER(MID(_xlpm.DATA,1,1))&amp;LOWER(MID(_xlpm.DATA,2,LEN(_xlpm.DATA)-1)))</f>
        <v>Шляпа клош</v>
      </c>
      <c r="E21" s="81" t="str">
        <f ca="1">PROPER(_xlfn.XLOOKUP($A21,Строчный!$A:$A,Строчный!E:E,"ERR",0))</f>
        <v>Betmar</v>
      </c>
      <c r="F21" s="81" t="str">
        <f ca="1">LOWER(_xlfn.XLOOKUP($A21,Строчный!$A:$A,Строчный!F:F,"ERR",0))</f>
        <v>летний</v>
      </c>
      <c r="G21" s="81" t="str">
        <f ca="1">UPPER(_xlfn.XLOOKUP($A21,Строчный!$A:$A,Строчный!G:G,"ERR",0))</f>
        <v>BETMAR</v>
      </c>
      <c r="H21" s="81" t="str">
        <f ca="1">LOWER(_xlfn.XLOOKUP($A21,Строчный!$A:$A,Строчный!H:H,"ERR",0))</f>
        <v>tropical multi</v>
      </c>
      <c r="I21" s="81" t="str">
        <f ca="1">LOWER(_xlfn.XLOOKUP($A21,Строчный!$A:$A,Строчный!I:I,"ERR",0))</f>
        <v>кирпичный</v>
      </c>
      <c r="J21" s="81" t="str">
        <f ca="1">SUBSTITUTE(LOWER(_xlfn.XLOOKUP($A21,Строчный!$A:$A,Строчный!J:J,"ERR",0)),"подклад","Подклад")</f>
        <v>50% бумага - 33% полипропилен - 17% полиэстер</v>
      </c>
      <c r="K21" s="81" t="str">
        <f ca="1">LOWER(_xlfn.XLOOKUP($A21,Строчный!$A:$A,Строчный!K:K,"ERR",0))</f>
        <v>бумажные</v>
      </c>
      <c r="L21" s="81" t="str">
        <f ca="1">PROPER(_xlfn.XLOOKUP($A21,Строчный!$A:$A,Строчный!L:L,"ERR",0))</f>
        <v>Женский</v>
      </c>
      <c r="M21" s="113" t="str">
        <f ca="1">PROPER(_xlfn.XLOOKUP($A21,Строчный!$A:$A,Строчный!M:M,"ERR",0))</f>
        <v>Китай</v>
      </c>
      <c r="N21" s="81" t="str">
        <f ca="1">UPPER(_xlfn.XLOOKUP($A21,Строчный!$A:$A,Строчный!O:O,"ERR",0))</f>
        <v/>
      </c>
      <c r="O21" s="107" t="str">
        <f ca="1">PROPER(_xlfn.XLOOKUP($A21,Строчный!$A:$A,Строчный!P:P,"ERR",0))</f>
        <v/>
      </c>
      <c r="P21" s="90">
        <f ca="1">VALUE(_xlfn.XLOOKUP($A21,Строчный!$A:$A,Строчный!N:N,"ERR",0))</f>
        <v>573.30000000000007</v>
      </c>
      <c r="Q21" s="89" t="str">
        <f ca="1">_xlfn.XLOOKUP($G21,Фабрика!A:A,Фабрика!B:B,"ERR",0)</f>
        <v>Bollman Headwear Europe Ltd; 2 Merchants drive, Caelisle, Cumbria CA3 0JW, United Kingdom</v>
      </c>
      <c r="R21" s="80" t="str">
        <f ca="1">_xlfn.XLOOKUP(RIGHT(Z21,2),Размеры!D:D,Размеры!A:A,"ERR",0)</f>
        <v>ONE</v>
      </c>
      <c r="S21" s="80">
        <f ca="1">VALUE(_xlfn.XLOOKUP($Z21,Строчный!$R:$R,Строчный!T:T,"ERR",0))</f>
        <v>3</v>
      </c>
      <c r="T21" s="14" t="s">
        <v>265</v>
      </c>
      <c r="U21" s="101" t="str">
        <f t="shared" ca="1" si="0"/>
        <v>Шляпа BETMAR арт. B176 GOSSAMER (кирпичный)</v>
      </c>
      <c r="V21" s="100" t="str">
        <f t="shared" ca="1" si="1"/>
        <v>Шляпа BETMAR арт. B176 GOSSAMER (кирпичный) {tropical multi}</v>
      </c>
      <c r="W21" s="18" t="str">
        <f t="shared" ca="1" si="2"/>
        <v>кирпичный</v>
      </c>
      <c r="X21" s="18" t="str">
        <f t="shared" ca="1" si="3"/>
        <v>кирпичный</v>
      </c>
      <c r="Y21" s="117" t="str">
        <f ca="1">_xlfn.LET(_xlpm.FormColors,_xlfn.XLOOKUP(A21,Строчный!A:A,Строчный!Q:Q,"",0),IF(_xlpm.FormColors=0,IFERROR(MID(I21,FIND("-",I21)+1,LEN(I21)),IFERROR(MID(I21,1,FIND("/",I21)-2),I21)),_xlpm.FormColors))</f>
        <v>кирпичный</v>
      </c>
      <c r="Z21" s="73" t="str">
        <f ca="1"/>
        <v>31-084-87-00</v>
      </c>
      <c r="AA21" s="75" t="str">
        <f ca="1">VLOOKUP(C21,Группа!A:B,2,FALSE)</f>
        <v>Шляпа</v>
      </c>
      <c r="AB21" s="97" t="str">
        <f ca="1">IFERROR(VLOOKUP(R21,Размеры!A:C,3,FALSE),"")</f>
        <v>ONE</v>
      </c>
      <c r="AC21" s="97" t="str">
        <f ca="1">VLOOKUP(I21,ЦветПолный!A:B,2,FALSE)</f>
        <v>13</v>
      </c>
      <c r="AD21" s="97" t="str">
        <f ca="1">IFERROR(VLOOKUP(R21,Размеры!A:D,4,FALSE),"")</f>
        <v>00</v>
      </c>
      <c r="AE21" s="97">
        <f ca="1">IF(LEFT(IFERROR(VLOOKUP(LOOKUP(2,1/SEARCH(B21,Товары!A:A),Товары!A:A),Товары!A:B,2,0),""),6)=MID(Z21,1,6),1,0)</f>
        <v>1</v>
      </c>
      <c r="AG21" s="97">
        <f ca="1">SUMIF(Группа!A:A,C21,Группа!C:C)</f>
        <v>1</v>
      </c>
      <c r="AH21" s="97">
        <f ca="1">SUMIF(Группа!B:B,AA21,Группа!C:C)</f>
        <v>1</v>
      </c>
      <c r="AI21" s="97">
        <f ca="1">SUMIF(Формы!A:A,D21,Формы!B:B)</f>
        <v>1</v>
      </c>
      <c r="AJ21" s="97">
        <f ca="1">SUMIF(Материал!A:A,K21,Материал!B:B)</f>
        <v>1</v>
      </c>
      <c r="AK21" s="97">
        <f ca="1">SUMIF(Размеры!A:A,R21,Размеры!E:E)</f>
        <v>1</v>
      </c>
      <c r="AL21" s="97">
        <f ca="1">SUMIF(Сезон!A:A,F21,Сезон!B:B)</f>
        <v>1</v>
      </c>
      <c r="AM21" s="97">
        <f ca="1">SUMIF(Состав!A:A,J21,Состав!B:B)</f>
        <v>1</v>
      </c>
      <c r="AN21" s="97">
        <f ca="1">VLOOKUP(I21,ЦветПолный!A:C,3,0)</f>
        <v>1</v>
      </c>
      <c r="AO21" s="97">
        <f ca="1">SUMIF(Цвет!A:A,Y21,Цвет!B:B)</f>
        <v>1</v>
      </c>
      <c r="AP21" s="97">
        <f ca="1">_xlfn.XLOOKUP(L21,Пол!A:A,Пол!B:B,0,0)</f>
        <v>1</v>
      </c>
      <c r="AQ21" s="97">
        <f ca="1">SUMIF(Марка!A:A,G21,Марка!B:B)</f>
        <v>1</v>
      </c>
      <c r="AR21" s="97">
        <f ca="1">SUMIF(Страна!A:A,M21,Страна!B:B)</f>
        <v>1</v>
      </c>
      <c r="AS21" s="64" t="str">
        <f ca="1">IF(VLOOKUP(V21,Товары!A:B,2,FALSE)=A21,"Есть в 1С","ERR")</f>
        <v>Есть в 1С</v>
      </c>
      <c r="AT21" s="65" t="str">
        <f ca="1">IF(VLOOKUP(A21,Товары!B:B,1,FALSE)=A21,"Есть в 1С","ERR")</f>
        <v>Есть в 1С</v>
      </c>
      <c r="AU21" s="96" t="str">
        <f ca="1">VLOOKUP(V21,Товары!A:B,2,FALSE)</f>
        <v>31-084-87</v>
      </c>
      <c r="AV21" s="94" t="str">
        <f ca="1">VLOOKUP(V21,Товары!A:B,1,FALSE)</f>
        <v>Шляпа BETMAR арт. B176 GOSSAMER (кирпичный) {tropical multi}</v>
      </c>
    </row>
    <row r="22" spans="1:48" x14ac:dyDescent="0.25">
      <c r="A22" s="110" t="str">
        <f t="shared" ca="1" si="4"/>
        <v>31-084-59</v>
      </c>
      <c r="B22" s="107" t="str">
        <f ca="1">_xlfn.LET(_xlpm.CAPS,0,_xlpm.Style,_xlfn.XLOOKUP($A22,Строчный!$A:$A,Строчный!B:B,"ERR",0),IF(_xlpm.CAPS=0,_xlpm.Style,LOWER(_xlpm.Style)))</f>
        <v>B176 GOSSAMER</v>
      </c>
      <c r="C22" s="81" t="str">
        <f ca="1">PROPER(_xlfn.XLOOKUP($A22,Строчный!$A:$A,Строчный!C:C,"ERR",0))</f>
        <v>Шляпы</v>
      </c>
      <c r="D22" s="81" t="str">
        <f ca="1">_xlfn.LET(_xlpm.DATA,(_xlfn.XLOOKUP($A22,Строчный!$A:$A,Строчный!D:D,"ERR",0)),UPPER(MID(_xlpm.DATA,1,1))&amp;LOWER(MID(_xlpm.DATA,2,LEN(_xlpm.DATA)-1)))</f>
        <v>Шляпа клош</v>
      </c>
      <c r="E22" s="81" t="str">
        <f ca="1">PROPER(_xlfn.XLOOKUP($A22,Строчный!$A:$A,Строчный!E:E,"ERR",0))</f>
        <v>Betmar</v>
      </c>
      <c r="F22" s="81" t="str">
        <f ca="1">LOWER(_xlfn.XLOOKUP($A22,Строчный!$A:$A,Строчный!F:F,"ERR",0))</f>
        <v>летний</v>
      </c>
      <c r="G22" s="81" t="str">
        <f ca="1">UPPER(_xlfn.XLOOKUP($A22,Строчный!$A:$A,Строчный!G:G,"ERR",0))</f>
        <v>BETMAR</v>
      </c>
      <c r="H22" s="81" t="str">
        <f ca="1">LOWER(_xlfn.XLOOKUP($A22,Строчный!$A:$A,Строчный!H:H,"ERR",0))</f>
        <v>desert natural</v>
      </c>
      <c r="I22" s="81" t="str">
        <f ca="1">LOWER(_xlfn.XLOOKUP($A22,Строчный!$A:$A,Строчный!I:I,"ERR",0))</f>
        <v>темно-бежевый</v>
      </c>
      <c r="J22" s="81" t="str">
        <f ca="1">SUBSTITUTE(LOWER(_xlfn.XLOOKUP($A22,Строчный!$A:$A,Строчный!J:J,"ERR",0)),"подклад","Подклад")</f>
        <v>50% бумага - 33% полипропилен - 17% полиэстер</v>
      </c>
      <c r="K22" s="81" t="str">
        <f ca="1">LOWER(_xlfn.XLOOKUP($A22,Строчный!$A:$A,Строчный!K:K,"ERR",0))</f>
        <v>бумажные</v>
      </c>
      <c r="L22" s="81" t="str">
        <f ca="1">PROPER(_xlfn.XLOOKUP($A22,Строчный!$A:$A,Строчный!L:L,"ERR",0))</f>
        <v>Женский</v>
      </c>
      <c r="M22" s="113" t="str">
        <f ca="1">PROPER(_xlfn.XLOOKUP($A22,Строчный!$A:$A,Строчный!M:M,"ERR",0))</f>
        <v>Китай</v>
      </c>
      <c r="N22" s="81" t="str">
        <f ca="1">UPPER(_xlfn.XLOOKUP($A22,Строчный!$A:$A,Строчный!O:O,"ERR",0))</f>
        <v/>
      </c>
      <c r="O22" s="107" t="str">
        <f ca="1">PROPER(_xlfn.XLOOKUP($A22,Строчный!$A:$A,Строчный!P:P,"ERR",0))</f>
        <v/>
      </c>
      <c r="P22" s="90">
        <f ca="1">VALUE(_xlfn.XLOOKUP($A22,Строчный!$A:$A,Строчный!N:N,"ERR",0))</f>
        <v>573.30000000000007</v>
      </c>
      <c r="Q22" s="89" t="str">
        <f ca="1">_xlfn.XLOOKUP($G22,Фабрика!A:A,Фабрика!B:B,"ERR",0)</f>
        <v>Bollman Headwear Europe Ltd; 2 Merchants drive, Caelisle, Cumbria CA3 0JW, United Kingdom</v>
      </c>
      <c r="R22" s="80" t="str">
        <f ca="1">_xlfn.XLOOKUP(RIGHT(Z22,2),Размеры!D:D,Размеры!A:A,"ERR",0)</f>
        <v>ONE</v>
      </c>
      <c r="S22" s="80">
        <f ca="1">VALUE(_xlfn.XLOOKUP($Z22,Строчный!$R:$R,Строчный!T:T,"ERR",0))</f>
        <v>2</v>
      </c>
      <c r="T22" s="14" t="s">
        <v>265</v>
      </c>
      <c r="U22" s="101" t="str">
        <f t="shared" ca="1" si="0"/>
        <v>Шляпа BETMAR арт. B176 GOSSAMER (темно-бежевый)</v>
      </c>
      <c r="V22" s="100" t="str">
        <f t="shared" ca="1" si="1"/>
        <v>Шляпа BETMAR арт. B176 GOSSAMER (темно-бежевый) {desert natural}</v>
      </c>
      <c r="W22" s="18" t="str">
        <f t="shared" ca="1" si="2"/>
        <v>бежевый</v>
      </c>
      <c r="X22" s="18" t="str">
        <f t="shared" ca="1" si="3"/>
        <v>бежевый</v>
      </c>
      <c r="Y22" s="117" t="str">
        <f ca="1">_xlfn.LET(_xlpm.FormColors,_xlfn.XLOOKUP(A22,Строчный!A:A,Строчный!Q:Q,"",0),IF(_xlpm.FormColors=0,IFERROR(MID(I22,FIND("-",I22)+1,LEN(I22)),IFERROR(MID(I22,1,FIND("/",I22)-2),I22)),_xlpm.FormColors))</f>
        <v>бежевый</v>
      </c>
      <c r="Z22" s="73" t="str">
        <f ca="1"/>
        <v>31-084-59-00</v>
      </c>
      <c r="AA22" s="75" t="str">
        <f ca="1">VLOOKUP(C22,Группа!A:B,2,FALSE)</f>
        <v>Шляпа</v>
      </c>
      <c r="AB22" s="97" t="str">
        <f ca="1">IFERROR(VLOOKUP(R22,Размеры!A:C,3,FALSE),"")</f>
        <v>ONE</v>
      </c>
      <c r="AC22" s="97" t="str">
        <f ca="1">VLOOKUP(I22,ЦветПолный!A:B,2,FALSE)</f>
        <v>00</v>
      </c>
      <c r="AD22" s="97" t="str">
        <f ca="1">IFERROR(VLOOKUP(R22,Размеры!A:D,4,FALSE),"")</f>
        <v>00</v>
      </c>
      <c r="AE22" s="97">
        <f ca="1">IF(LEFT(IFERROR(VLOOKUP(LOOKUP(2,1/SEARCH(B22,Товары!A:A),Товары!A:A),Товары!A:B,2,0),""),6)=MID(Z22,1,6),1,0)</f>
        <v>1</v>
      </c>
      <c r="AG22" s="97">
        <f ca="1">SUMIF(Группа!A:A,C22,Группа!C:C)</f>
        <v>1</v>
      </c>
      <c r="AH22" s="97">
        <f ca="1">SUMIF(Группа!B:B,AA22,Группа!C:C)</f>
        <v>1</v>
      </c>
      <c r="AI22" s="97">
        <f ca="1">SUMIF(Формы!A:A,D22,Формы!B:B)</f>
        <v>1</v>
      </c>
      <c r="AJ22" s="97">
        <f ca="1">SUMIF(Материал!A:A,K22,Материал!B:B)</f>
        <v>1</v>
      </c>
      <c r="AK22" s="97">
        <f ca="1">SUMIF(Размеры!A:A,R22,Размеры!E:E)</f>
        <v>1</v>
      </c>
      <c r="AL22" s="97">
        <f ca="1">SUMIF(Сезон!A:A,F22,Сезон!B:B)</f>
        <v>1</v>
      </c>
      <c r="AM22" s="97">
        <f ca="1">SUMIF(Состав!A:A,J22,Состав!B:B)</f>
        <v>1</v>
      </c>
      <c r="AN22" s="97">
        <f ca="1">VLOOKUP(I22,ЦветПолный!A:C,3,0)</f>
        <v>1</v>
      </c>
      <c r="AO22" s="97">
        <f ca="1">SUMIF(Цвет!A:A,Y22,Цвет!B:B)</f>
        <v>1</v>
      </c>
      <c r="AP22" s="97">
        <f ca="1">_xlfn.XLOOKUP(L22,Пол!A:A,Пол!B:B,0,0)</f>
        <v>1</v>
      </c>
      <c r="AQ22" s="97">
        <f ca="1">SUMIF(Марка!A:A,G22,Марка!B:B)</f>
        <v>1</v>
      </c>
      <c r="AR22" s="97">
        <f ca="1">SUMIF(Страна!A:A,M22,Страна!B:B)</f>
        <v>1</v>
      </c>
      <c r="AS22" s="64" t="str">
        <f ca="1">IF(VLOOKUP(V22,Товары!A:B,2,FALSE)=A22,"Есть в 1С","ERR")</f>
        <v>Есть в 1С</v>
      </c>
      <c r="AT22" s="65" t="str">
        <f ca="1">IF(VLOOKUP(A22,Товары!B:B,1,FALSE)=A22,"Есть в 1С","ERR")</f>
        <v>Есть в 1С</v>
      </c>
      <c r="AU22" s="96" t="str">
        <f ca="1">VLOOKUP(V22,Товары!A:B,2,FALSE)</f>
        <v>31-084-59</v>
      </c>
      <c r="AV22" s="94" t="str">
        <f ca="1">VLOOKUP(V22,Товары!A:B,1,FALSE)</f>
        <v>Шляпа BETMAR арт. B176 GOSSAMER (темно-бежевый) {desert natural}</v>
      </c>
    </row>
    <row r="23" spans="1:48" x14ac:dyDescent="0.25">
      <c r="A23" s="110" t="str">
        <f t="shared" ca="1" si="4"/>
        <v>31-084-31</v>
      </c>
      <c r="B23" s="107" t="str">
        <f ca="1">_xlfn.LET(_xlpm.CAPS,0,_xlpm.Style,_xlfn.XLOOKUP($A23,Строчный!$A:$A,Строчный!B:B,"ERR",0),IF(_xlpm.CAPS=0,_xlpm.Style,LOWER(_xlpm.Style)))</f>
        <v>B176 GOSSAMER</v>
      </c>
      <c r="C23" s="81" t="str">
        <f ca="1">PROPER(_xlfn.XLOOKUP($A23,Строчный!$A:$A,Строчный!C:C,"ERR",0))</f>
        <v>Шляпы</v>
      </c>
      <c r="D23" s="81" t="str">
        <f ca="1">_xlfn.LET(_xlpm.DATA,(_xlfn.XLOOKUP($A23,Строчный!$A:$A,Строчный!D:D,"ERR",0)),UPPER(MID(_xlpm.DATA,1,1))&amp;LOWER(MID(_xlpm.DATA,2,LEN(_xlpm.DATA)-1)))</f>
        <v>Шляпа клош</v>
      </c>
      <c r="E23" s="81" t="str">
        <f ca="1">PROPER(_xlfn.XLOOKUP($A23,Строчный!$A:$A,Строчный!E:E,"ERR",0))</f>
        <v>Betmar</v>
      </c>
      <c r="F23" s="81" t="str">
        <f ca="1">LOWER(_xlfn.XLOOKUP($A23,Строчный!$A:$A,Строчный!F:F,"ERR",0))</f>
        <v>летний</v>
      </c>
      <c r="G23" s="81" t="str">
        <f ca="1">UPPER(_xlfn.XLOOKUP($A23,Строчный!$A:$A,Строчный!G:G,"ERR",0))</f>
        <v>BETMAR</v>
      </c>
      <c r="H23" s="81" t="str">
        <f ca="1">LOWER(_xlfn.XLOOKUP($A23,Строчный!$A:$A,Строчный!H:H,"ERR",0))</f>
        <v>lavender charcoal</v>
      </c>
      <c r="I23" s="81" t="str">
        <f ca="1">LOWER(_xlfn.XLOOKUP($A23,Строчный!$A:$A,Строчный!I:I,"ERR",0))</f>
        <v>сиреневый</v>
      </c>
      <c r="J23" s="81" t="str">
        <f ca="1">SUBSTITUTE(LOWER(_xlfn.XLOOKUP($A23,Строчный!$A:$A,Строчный!J:J,"ERR",0)),"подклад","Подклад")</f>
        <v>50% бумага - 33% полипропилен - 17% полиэстер</v>
      </c>
      <c r="K23" s="81" t="str">
        <f ca="1">LOWER(_xlfn.XLOOKUP($A23,Строчный!$A:$A,Строчный!K:K,"ERR",0))</f>
        <v>бумажные</v>
      </c>
      <c r="L23" s="81" t="str">
        <f ca="1">PROPER(_xlfn.XLOOKUP($A23,Строчный!$A:$A,Строчный!L:L,"ERR",0))</f>
        <v>Женский</v>
      </c>
      <c r="M23" s="113" t="str">
        <f ca="1">PROPER(_xlfn.XLOOKUP($A23,Строчный!$A:$A,Строчный!M:M,"ERR",0))</f>
        <v>Китай</v>
      </c>
      <c r="N23" s="81" t="str">
        <f ca="1">UPPER(_xlfn.XLOOKUP($A23,Строчный!$A:$A,Строчный!O:O,"ERR",0))</f>
        <v/>
      </c>
      <c r="O23" s="107" t="str">
        <f ca="1">PROPER(_xlfn.XLOOKUP($A23,Строчный!$A:$A,Строчный!P:P,"ERR",0))</f>
        <v/>
      </c>
      <c r="P23" s="90">
        <f ca="1">VALUE(_xlfn.XLOOKUP($A23,Строчный!$A:$A,Строчный!N:N,"ERR",0))</f>
        <v>573.30000000000007</v>
      </c>
      <c r="Q23" s="89" t="str">
        <f ca="1">_xlfn.XLOOKUP($G23,Фабрика!A:A,Фабрика!B:B,"ERR",0)</f>
        <v>Bollman Headwear Europe Ltd; 2 Merchants drive, Caelisle, Cumbria CA3 0JW, United Kingdom</v>
      </c>
      <c r="R23" s="80" t="str">
        <f ca="1">_xlfn.XLOOKUP(RIGHT(Z23,2),Размеры!D:D,Размеры!A:A,"ERR",0)</f>
        <v>ONE</v>
      </c>
      <c r="S23" s="80">
        <f ca="1">VALUE(_xlfn.XLOOKUP($Z23,Строчный!$R:$R,Строчный!T:T,"ERR",0))</f>
        <v>4</v>
      </c>
      <c r="T23" s="14" t="s">
        <v>265</v>
      </c>
      <c r="U23" s="101" t="str">
        <f t="shared" ca="1" si="0"/>
        <v>Шляпа BETMAR арт. B176 GOSSAMER (сиреневый)</v>
      </c>
      <c r="V23" s="100" t="str">
        <f t="shared" ca="1" si="1"/>
        <v>Шляпа BETMAR арт. B176 GOSSAMER (сиреневый) {lavender charcoal}</v>
      </c>
      <c r="W23" s="18" t="str">
        <f t="shared" ca="1" si="2"/>
        <v>сиреневый</v>
      </c>
      <c r="X23" s="18" t="str">
        <f t="shared" ca="1" si="3"/>
        <v>сиреневый</v>
      </c>
      <c r="Y23" s="117" t="str">
        <f ca="1">_xlfn.LET(_xlpm.FormColors,_xlfn.XLOOKUP(A23,Строчный!A:A,Строчный!Q:Q,"",0),IF(_xlpm.FormColors=0,IFERROR(MID(I23,FIND("-",I23)+1,LEN(I23)),IFERROR(MID(I23,1,FIND("/",I23)-2),I23)),_xlpm.FormColors))</f>
        <v>сиреневый</v>
      </c>
      <c r="Z23" s="73" t="str">
        <f ca="1"/>
        <v>31-084-31-00</v>
      </c>
      <c r="AA23" s="75" t="str">
        <f ca="1">VLOOKUP(C23,Группа!A:B,2,FALSE)</f>
        <v>Шляпа</v>
      </c>
      <c r="AB23" s="97" t="str">
        <f ca="1">IFERROR(VLOOKUP(R23,Размеры!A:C,3,FALSE),"")</f>
        <v>ONE</v>
      </c>
      <c r="AC23" s="97" t="str">
        <f ca="1">VLOOKUP(I23,ЦветПолный!A:B,2,FALSE)</f>
        <v>31</v>
      </c>
      <c r="AD23" s="97" t="str">
        <f ca="1">IFERROR(VLOOKUP(R23,Размеры!A:D,4,FALSE),"")</f>
        <v>00</v>
      </c>
      <c r="AE23" s="97">
        <f ca="1">IF(LEFT(IFERROR(VLOOKUP(LOOKUP(2,1/SEARCH(B23,Товары!A:A),Товары!A:A),Товары!A:B,2,0),""),6)=MID(Z23,1,6),1,0)</f>
        <v>1</v>
      </c>
      <c r="AG23" s="97">
        <f ca="1">SUMIF(Группа!A:A,C23,Группа!C:C)</f>
        <v>1</v>
      </c>
      <c r="AH23" s="97">
        <f ca="1">SUMIF(Группа!B:B,AA23,Группа!C:C)</f>
        <v>1</v>
      </c>
      <c r="AI23" s="97">
        <f ca="1">SUMIF(Формы!A:A,D23,Формы!B:B)</f>
        <v>1</v>
      </c>
      <c r="AJ23" s="97">
        <f ca="1">SUMIF(Материал!A:A,K23,Материал!B:B)</f>
        <v>1</v>
      </c>
      <c r="AK23" s="97">
        <f ca="1">SUMIF(Размеры!A:A,R23,Размеры!E:E)</f>
        <v>1</v>
      </c>
      <c r="AL23" s="97">
        <f ca="1">SUMIF(Сезон!A:A,F23,Сезон!B:B)</f>
        <v>1</v>
      </c>
      <c r="AM23" s="97">
        <f ca="1">SUMIF(Состав!A:A,J23,Состав!B:B)</f>
        <v>1</v>
      </c>
      <c r="AN23" s="97">
        <f ca="1">VLOOKUP(I23,ЦветПолный!A:C,3,0)</f>
        <v>1</v>
      </c>
      <c r="AO23" s="97">
        <f ca="1">SUMIF(Цвет!A:A,Y23,Цвет!B:B)</f>
        <v>0</v>
      </c>
      <c r="AP23" s="97">
        <f ca="1">_xlfn.XLOOKUP(L23,Пол!A:A,Пол!B:B,0,0)</f>
        <v>1</v>
      </c>
      <c r="AQ23" s="97">
        <f ca="1">SUMIF(Марка!A:A,G23,Марка!B:B)</f>
        <v>1</v>
      </c>
      <c r="AR23" s="97">
        <f ca="1">SUMIF(Страна!A:A,M23,Страна!B:B)</f>
        <v>1</v>
      </c>
      <c r="AS23" s="64" t="str">
        <f ca="1">IF(VLOOKUP(V23,Товары!A:B,2,FALSE)=A23,"Есть в 1С","ERR")</f>
        <v>Есть в 1С</v>
      </c>
      <c r="AT23" s="65" t="str">
        <f ca="1">IF(VLOOKUP(A23,Товары!B:B,1,FALSE)=A23,"Есть в 1С","ERR")</f>
        <v>Есть в 1С</v>
      </c>
      <c r="AU23" s="96" t="str">
        <f ca="1">VLOOKUP(V23,Товары!A:B,2,FALSE)</f>
        <v>31-084-31</v>
      </c>
      <c r="AV23" s="94" t="str">
        <f ca="1">VLOOKUP(V23,Товары!A:B,1,FALSE)</f>
        <v>Шляпа BETMAR арт. B176 GOSSAMER (сиреневый) {lavender charcoal}</v>
      </c>
    </row>
    <row r="24" spans="1:48" x14ac:dyDescent="0.25">
      <c r="A24" s="110" t="str">
        <f t="shared" ca="1" si="4"/>
        <v>31-084-17</v>
      </c>
      <c r="B24" s="107" t="str">
        <f ca="1">_xlfn.LET(_xlpm.CAPS,0,_xlpm.Style,_xlfn.XLOOKUP($A24,Строчный!$A:$A,Строчный!B:B,"ERR",0),IF(_xlpm.CAPS=0,_xlpm.Style,LOWER(_xlpm.Style)))</f>
        <v>B176 GOSSAMER</v>
      </c>
      <c r="C24" s="81" t="str">
        <f ca="1">PROPER(_xlfn.XLOOKUP($A24,Строчный!$A:$A,Строчный!C:C,"ERR",0))</f>
        <v>Шляпы</v>
      </c>
      <c r="D24" s="81" t="str">
        <f ca="1">_xlfn.LET(_xlpm.DATA,(_xlfn.XLOOKUP($A24,Строчный!$A:$A,Строчный!D:D,"ERR",0)),UPPER(MID(_xlpm.DATA,1,1))&amp;LOWER(MID(_xlpm.DATA,2,LEN(_xlpm.DATA)-1)))</f>
        <v>Шляпа клош</v>
      </c>
      <c r="E24" s="81" t="str">
        <f ca="1">PROPER(_xlfn.XLOOKUP($A24,Строчный!$A:$A,Строчный!E:E,"ERR",0))</f>
        <v>Betmar</v>
      </c>
      <c r="F24" s="81" t="str">
        <f ca="1">LOWER(_xlfn.XLOOKUP($A24,Строчный!$A:$A,Строчный!F:F,"ERR",0))</f>
        <v>летний</v>
      </c>
      <c r="G24" s="81" t="str">
        <f ca="1">UPPER(_xlfn.XLOOKUP($A24,Строчный!$A:$A,Строчный!G:G,"ERR",0))</f>
        <v>BETMAR</v>
      </c>
      <c r="H24" s="81" t="str">
        <f ca="1">LOWER(_xlfn.XLOOKUP($A24,Строчный!$A:$A,Строчный!H:H,"ERR",0))</f>
        <v>white</v>
      </c>
      <c r="I24" s="81" t="str">
        <f ca="1">LOWER(_xlfn.XLOOKUP($A24,Строчный!$A:$A,Строчный!I:I,"ERR",0))</f>
        <v>белый</v>
      </c>
      <c r="J24" s="81" t="str">
        <f ca="1">SUBSTITUTE(LOWER(_xlfn.XLOOKUP($A24,Строчный!$A:$A,Строчный!J:J,"ERR",0)),"подклад","Подклад")</f>
        <v>50% бумага - 33% полипропилен - 17% полиэстер</v>
      </c>
      <c r="K24" s="81" t="str">
        <f ca="1">LOWER(_xlfn.XLOOKUP($A24,Строчный!$A:$A,Строчный!K:K,"ERR",0))</f>
        <v>бумажные</v>
      </c>
      <c r="L24" s="81" t="str">
        <f ca="1">PROPER(_xlfn.XLOOKUP($A24,Строчный!$A:$A,Строчный!L:L,"ERR",0))</f>
        <v>Женский</v>
      </c>
      <c r="M24" s="113" t="str">
        <f ca="1">PROPER(_xlfn.XLOOKUP($A24,Строчный!$A:$A,Строчный!M:M,"ERR",0))</f>
        <v>Китай</v>
      </c>
      <c r="N24" s="81" t="str">
        <f ca="1">UPPER(_xlfn.XLOOKUP($A24,Строчный!$A:$A,Строчный!O:O,"ERR",0))</f>
        <v/>
      </c>
      <c r="O24" s="107" t="str">
        <f ca="1">PROPER(_xlfn.XLOOKUP($A24,Строчный!$A:$A,Строчный!P:P,"ERR",0))</f>
        <v/>
      </c>
      <c r="P24" s="90">
        <f ca="1">VALUE(_xlfn.XLOOKUP($A24,Строчный!$A:$A,Строчный!N:N,"ERR",0))</f>
        <v>573.30000000000007</v>
      </c>
      <c r="Q24" s="89" t="str">
        <f ca="1">_xlfn.XLOOKUP($G24,Фабрика!A:A,Фабрика!B:B,"ERR",0)</f>
        <v>Bollman Headwear Europe Ltd; 2 Merchants drive, Caelisle, Cumbria CA3 0JW, United Kingdom</v>
      </c>
      <c r="R24" s="80" t="str">
        <f ca="1">_xlfn.XLOOKUP(RIGHT(Z24,2),Размеры!D:D,Размеры!A:A,"ERR",0)</f>
        <v>ONE</v>
      </c>
      <c r="S24" s="80">
        <f ca="1">VALUE(_xlfn.XLOOKUP($Z24,Строчный!$R:$R,Строчный!T:T,"ERR",0))</f>
        <v>12</v>
      </c>
      <c r="T24" s="14" t="s">
        <v>265</v>
      </c>
      <c r="U24" s="101" t="str">
        <f t="shared" ca="1" si="0"/>
        <v>Шляпа BETMAR арт. B176 GOSSAMER (белый)</v>
      </c>
      <c r="V24" s="100" t="str">
        <f t="shared" ca="1" si="1"/>
        <v>Шляпа BETMAR арт. B176 GOSSAMER (белый) {white}</v>
      </c>
      <c r="W24" s="18" t="str">
        <f t="shared" ca="1" si="2"/>
        <v>белый</v>
      </c>
      <c r="X24" s="18" t="str">
        <f t="shared" ca="1" si="3"/>
        <v>белый</v>
      </c>
      <c r="Y24" s="117" t="str">
        <f ca="1">_xlfn.LET(_xlpm.FormColors,_xlfn.XLOOKUP(A24,Строчный!A:A,Строчный!Q:Q,"",0),IF(_xlpm.FormColors=0,IFERROR(MID(I24,FIND("-",I24)+1,LEN(I24)),IFERROR(MID(I24,1,FIND("/",I24)-2),I24)),_xlpm.FormColors))</f>
        <v>белый</v>
      </c>
      <c r="Z24" s="73" t="str">
        <f ca="1"/>
        <v>31-084-17-00</v>
      </c>
      <c r="AA24" s="75" t="str">
        <f ca="1">VLOOKUP(C24,Группа!A:B,2,FALSE)</f>
        <v>Шляпа</v>
      </c>
      <c r="AB24" s="97" t="str">
        <f ca="1">IFERROR(VLOOKUP(R24,Размеры!A:C,3,FALSE),"")</f>
        <v>ONE</v>
      </c>
      <c r="AC24" s="97" t="str">
        <f ca="1">VLOOKUP(I24,ЦветПолный!A:B,2,FALSE)</f>
        <v>17</v>
      </c>
      <c r="AD24" s="97" t="str">
        <f ca="1">IFERROR(VLOOKUP(R24,Размеры!A:D,4,FALSE),"")</f>
        <v>00</v>
      </c>
      <c r="AE24" s="97">
        <f ca="1">IF(LEFT(IFERROR(VLOOKUP(LOOKUP(2,1/SEARCH(B24,Товары!A:A),Товары!A:A),Товары!A:B,2,0),""),6)=MID(Z24,1,6),1,0)</f>
        <v>1</v>
      </c>
      <c r="AG24" s="97">
        <f ca="1">SUMIF(Группа!A:A,C24,Группа!C:C)</f>
        <v>1</v>
      </c>
      <c r="AH24" s="97">
        <f ca="1">SUMIF(Группа!B:B,AA24,Группа!C:C)</f>
        <v>1</v>
      </c>
      <c r="AI24" s="97">
        <f ca="1">SUMIF(Формы!A:A,D24,Формы!B:B)</f>
        <v>1</v>
      </c>
      <c r="AJ24" s="97">
        <f ca="1">SUMIF(Материал!A:A,K24,Материал!B:B)</f>
        <v>1</v>
      </c>
      <c r="AK24" s="97">
        <f ca="1">SUMIF(Размеры!A:A,R24,Размеры!E:E)</f>
        <v>1</v>
      </c>
      <c r="AL24" s="97">
        <f ca="1">SUMIF(Сезон!A:A,F24,Сезон!B:B)</f>
        <v>1</v>
      </c>
      <c r="AM24" s="97">
        <f ca="1">SUMIF(Состав!A:A,J24,Состав!B:B)</f>
        <v>1</v>
      </c>
      <c r="AN24" s="97">
        <f ca="1">VLOOKUP(I24,ЦветПолный!A:C,3,0)</f>
        <v>1</v>
      </c>
      <c r="AO24" s="97">
        <f ca="1">SUMIF(Цвет!A:A,Y24,Цвет!B:B)</f>
        <v>1</v>
      </c>
      <c r="AP24" s="97">
        <f ca="1">_xlfn.XLOOKUP(L24,Пол!A:A,Пол!B:B,0,0)</f>
        <v>1</v>
      </c>
      <c r="AQ24" s="97">
        <f ca="1">SUMIF(Марка!A:A,G24,Марка!B:B)</f>
        <v>1</v>
      </c>
      <c r="AR24" s="97">
        <f ca="1">SUMIF(Страна!A:A,M24,Страна!B:B)</f>
        <v>1</v>
      </c>
      <c r="AS24" s="64" t="str">
        <f ca="1">IF(VLOOKUP(V24,Товары!A:B,2,FALSE)=A24,"Есть в 1С","ERR")</f>
        <v>Есть в 1С</v>
      </c>
      <c r="AT24" s="65" t="str">
        <f ca="1">IF(VLOOKUP(A24,Товары!B:B,1,FALSE)=A24,"Есть в 1С","ERR")</f>
        <v>Есть в 1С</v>
      </c>
      <c r="AU24" s="96" t="str">
        <f ca="1">VLOOKUP(V24,Товары!A:B,2,FALSE)</f>
        <v>31-084-17</v>
      </c>
      <c r="AV24" s="94" t="str">
        <f ca="1">VLOOKUP(V24,Товары!A:B,1,FALSE)</f>
        <v>Шляпа BETMAR арт. B176 GOSSAMER (белый) {white}</v>
      </c>
    </row>
    <row r="25" spans="1:48" x14ac:dyDescent="0.25">
      <c r="A25" s="110" t="str">
        <f t="shared" ca="1" si="4"/>
        <v>31-084-14</v>
      </c>
      <c r="B25" s="107" t="str">
        <f ca="1">_xlfn.LET(_xlpm.CAPS,0,_xlpm.Style,_xlfn.XLOOKUP($A25,Строчный!$A:$A,Строчный!B:B,"ERR",0),IF(_xlpm.CAPS=0,_xlpm.Style,LOWER(_xlpm.Style)))</f>
        <v>B176 GOSSAMER</v>
      </c>
      <c r="C25" s="81" t="str">
        <f ca="1">PROPER(_xlfn.XLOOKUP($A25,Строчный!$A:$A,Строчный!C:C,"ERR",0))</f>
        <v>Шляпы</v>
      </c>
      <c r="D25" s="81" t="str">
        <f ca="1">_xlfn.LET(_xlpm.DATA,(_xlfn.XLOOKUP($A25,Строчный!$A:$A,Строчный!D:D,"ERR",0)),UPPER(MID(_xlpm.DATA,1,1))&amp;LOWER(MID(_xlpm.DATA,2,LEN(_xlpm.DATA)-1)))</f>
        <v>Шляпа клош</v>
      </c>
      <c r="E25" s="81" t="str">
        <f ca="1">PROPER(_xlfn.XLOOKUP($A25,Строчный!$A:$A,Строчный!E:E,"ERR",0))</f>
        <v>Betmar</v>
      </c>
      <c r="F25" s="81" t="str">
        <f ca="1">LOWER(_xlfn.XLOOKUP($A25,Строчный!$A:$A,Строчный!F:F,"ERR",0))</f>
        <v>летний</v>
      </c>
      <c r="G25" s="81" t="str">
        <f ca="1">UPPER(_xlfn.XLOOKUP($A25,Строчный!$A:$A,Строчный!G:G,"ERR",0))</f>
        <v>BETMAR</v>
      </c>
      <c r="H25" s="81" t="str">
        <f ca="1">LOWER(_xlfn.XLOOKUP($A25,Строчный!$A:$A,Строчный!H:H,"ERR",0))</f>
        <v>rattlesnake</v>
      </c>
      <c r="I25" s="81" t="str">
        <f ca="1">LOWER(_xlfn.XLOOKUP($A25,Строчный!$A:$A,Строчный!I:I,"ERR",0))</f>
        <v>коричневый</v>
      </c>
      <c r="J25" s="81" t="str">
        <f ca="1">SUBSTITUTE(LOWER(_xlfn.XLOOKUP($A25,Строчный!$A:$A,Строчный!J:J,"ERR",0)),"подклад","Подклад")</f>
        <v>50% бумага - 33% полипропилен - 17% полиэстер</v>
      </c>
      <c r="K25" s="81" t="str">
        <f ca="1">LOWER(_xlfn.XLOOKUP($A25,Строчный!$A:$A,Строчный!K:K,"ERR",0))</f>
        <v>бумажные</v>
      </c>
      <c r="L25" s="81" t="str">
        <f ca="1">PROPER(_xlfn.XLOOKUP($A25,Строчный!$A:$A,Строчный!L:L,"ERR",0))</f>
        <v>Женский</v>
      </c>
      <c r="M25" s="113" t="str">
        <f ca="1">PROPER(_xlfn.XLOOKUP($A25,Строчный!$A:$A,Строчный!M:M,"ERR",0))</f>
        <v>Китай</v>
      </c>
      <c r="N25" s="81" t="str">
        <f ca="1">UPPER(_xlfn.XLOOKUP($A25,Строчный!$A:$A,Строчный!O:O,"ERR",0))</f>
        <v/>
      </c>
      <c r="O25" s="107" t="str">
        <f ca="1">PROPER(_xlfn.XLOOKUP($A25,Строчный!$A:$A,Строчный!P:P,"ERR",0))</f>
        <v/>
      </c>
      <c r="P25" s="90">
        <f ca="1">VALUE(_xlfn.XLOOKUP($A25,Строчный!$A:$A,Строчный!N:N,"ERR",0))</f>
        <v>573.30000000000007</v>
      </c>
      <c r="Q25" s="89" t="str">
        <f ca="1">_xlfn.XLOOKUP($G25,Фабрика!A:A,Фабрика!B:B,"ERR",0)</f>
        <v>Bollman Headwear Europe Ltd; 2 Merchants drive, Caelisle, Cumbria CA3 0JW, United Kingdom</v>
      </c>
      <c r="R25" s="80" t="str">
        <f ca="1">_xlfn.XLOOKUP(RIGHT(Z25,2),Размеры!D:D,Размеры!A:A,"ERR",0)</f>
        <v>ONE</v>
      </c>
      <c r="S25" s="80">
        <f ca="1">VALUE(_xlfn.XLOOKUP($Z25,Строчный!$R:$R,Строчный!T:T,"ERR",0))</f>
        <v>7</v>
      </c>
      <c r="T25" s="14" t="s">
        <v>265</v>
      </c>
      <c r="U25" s="101" t="str">
        <f t="shared" ca="1" si="0"/>
        <v>Шляпа BETMAR арт. B176 GOSSAMER (коричневый)</v>
      </c>
      <c r="V25" s="100" t="str">
        <f t="shared" ca="1" si="1"/>
        <v>Шляпа BETMAR арт. B176 GOSSAMER (коричневый) {rattlesnake}</v>
      </c>
      <c r="W25" s="18" t="str">
        <f t="shared" ca="1" si="2"/>
        <v>коричневый</v>
      </c>
      <c r="X25" s="18" t="str">
        <f t="shared" ca="1" si="3"/>
        <v>коричневый</v>
      </c>
      <c r="Y25" s="117" t="str">
        <f ca="1">_xlfn.LET(_xlpm.FormColors,_xlfn.XLOOKUP(A25,Строчный!A:A,Строчный!Q:Q,"",0),IF(_xlpm.FormColors=0,IFERROR(MID(I25,FIND("-",I25)+1,LEN(I25)),IFERROR(MID(I25,1,FIND("/",I25)-2),I25)),_xlpm.FormColors))</f>
        <v>коричневый</v>
      </c>
      <c r="Z25" s="73" t="str">
        <f ca="1"/>
        <v>31-084-14-00</v>
      </c>
      <c r="AA25" s="75" t="str">
        <f ca="1">VLOOKUP(C25,Группа!A:B,2,FALSE)</f>
        <v>Шляпа</v>
      </c>
      <c r="AB25" s="97" t="str">
        <f ca="1">IFERROR(VLOOKUP(R25,Размеры!A:C,3,FALSE),"")</f>
        <v>ONE</v>
      </c>
      <c r="AC25" s="97" t="str">
        <f ca="1">VLOOKUP(I25,ЦветПолный!A:B,2,FALSE)</f>
        <v>14</v>
      </c>
      <c r="AD25" s="97" t="str">
        <f ca="1">IFERROR(VLOOKUP(R25,Размеры!A:D,4,FALSE),"")</f>
        <v>00</v>
      </c>
      <c r="AE25" s="97">
        <f ca="1">IF(LEFT(IFERROR(VLOOKUP(LOOKUP(2,1/SEARCH(B25,Товары!A:A),Товары!A:A),Товары!A:B,2,0),""),6)=MID(Z25,1,6),1,0)</f>
        <v>1</v>
      </c>
      <c r="AG25" s="97">
        <f ca="1">SUMIF(Группа!A:A,C25,Группа!C:C)</f>
        <v>1</v>
      </c>
      <c r="AH25" s="97">
        <f ca="1">SUMIF(Группа!B:B,AA25,Группа!C:C)</f>
        <v>1</v>
      </c>
      <c r="AI25" s="97">
        <f ca="1">SUMIF(Формы!A:A,D25,Формы!B:B)</f>
        <v>1</v>
      </c>
      <c r="AJ25" s="97">
        <f ca="1">SUMIF(Материал!A:A,K25,Материал!B:B)</f>
        <v>1</v>
      </c>
      <c r="AK25" s="97">
        <f ca="1">SUMIF(Размеры!A:A,R25,Размеры!E:E)</f>
        <v>1</v>
      </c>
      <c r="AL25" s="97">
        <f ca="1">SUMIF(Сезон!A:A,F25,Сезон!B:B)</f>
        <v>1</v>
      </c>
      <c r="AM25" s="97">
        <f ca="1">SUMIF(Состав!A:A,J25,Состав!B:B)</f>
        <v>1</v>
      </c>
      <c r="AN25" s="97">
        <f ca="1">VLOOKUP(I25,ЦветПолный!A:C,3,0)</f>
        <v>1</v>
      </c>
      <c r="AO25" s="97">
        <f ca="1">SUMIF(Цвет!A:A,Y25,Цвет!B:B)</f>
        <v>1</v>
      </c>
      <c r="AP25" s="97">
        <f ca="1">_xlfn.XLOOKUP(L25,Пол!A:A,Пол!B:B,0,0)</f>
        <v>1</v>
      </c>
      <c r="AQ25" s="97">
        <f ca="1">SUMIF(Марка!A:A,G25,Марка!B:B)</f>
        <v>1</v>
      </c>
      <c r="AR25" s="97">
        <f ca="1">SUMIF(Страна!A:A,M25,Страна!B:B)</f>
        <v>1</v>
      </c>
      <c r="AS25" s="64" t="str">
        <f ca="1">IF(VLOOKUP(V25,Товары!A:B,2,FALSE)=A25,"Есть в 1С","ERR")</f>
        <v>Есть в 1С</v>
      </c>
      <c r="AT25" s="65" t="str">
        <f ca="1">IF(VLOOKUP(A25,Товары!B:B,1,FALSE)=A25,"Есть в 1С","ERR")</f>
        <v>Есть в 1С</v>
      </c>
      <c r="AU25" s="96" t="str">
        <f ca="1">VLOOKUP(V25,Товары!A:B,2,FALSE)</f>
        <v>31-084-14</v>
      </c>
      <c r="AV25" s="94" t="str">
        <f ca="1">VLOOKUP(V25,Товары!A:B,1,FALSE)</f>
        <v>Шляпа BETMAR арт. B176 GOSSAMER (коричневый) {rattlesnake}</v>
      </c>
    </row>
    <row r="26" spans="1:48" x14ac:dyDescent="0.25">
      <c r="A26" s="110" t="str">
        <f t="shared" ca="1" si="4"/>
        <v>31-084-11</v>
      </c>
      <c r="B26" s="107" t="str">
        <f ca="1">_xlfn.LET(_xlpm.CAPS,0,_xlpm.Style,_xlfn.XLOOKUP($A26,Строчный!$A:$A,Строчный!B:B,"ERR",0),IF(_xlpm.CAPS=0,_xlpm.Style,LOWER(_xlpm.Style)))</f>
        <v>B176 GOSSAMER</v>
      </c>
      <c r="C26" s="81" t="str">
        <f ca="1">PROPER(_xlfn.XLOOKUP($A26,Строчный!$A:$A,Строчный!C:C,"ERR",0))</f>
        <v>Шляпы</v>
      </c>
      <c r="D26" s="81" t="str">
        <f ca="1">_xlfn.LET(_xlpm.DATA,(_xlfn.XLOOKUP($A26,Строчный!$A:$A,Строчный!D:D,"ERR",0)),UPPER(MID(_xlpm.DATA,1,1))&amp;LOWER(MID(_xlpm.DATA,2,LEN(_xlpm.DATA)-1)))</f>
        <v>Шляпа клош</v>
      </c>
      <c r="E26" s="81" t="str">
        <f ca="1">PROPER(_xlfn.XLOOKUP($A26,Строчный!$A:$A,Строчный!E:E,"ERR",0))</f>
        <v>Betmar</v>
      </c>
      <c r="F26" s="81" t="str">
        <f ca="1">LOWER(_xlfn.XLOOKUP($A26,Строчный!$A:$A,Строчный!F:F,"ERR",0))</f>
        <v>летний</v>
      </c>
      <c r="G26" s="81" t="str">
        <f ca="1">UPPER(_xlfn.XLOOKUP($A26,Строчный!$A:$A,Строчный!G:G,"ERR",0))</f>
        <v>BETMAR</v>
      </c>
      <c r="H26" s="81" t="str">
        <f ca="1">LOWER(_xlfn.XLOOKUP($A26,Строчный!$A:$A,Строчный!H:H,"ERR",0))</f>
        <v>eden green</v>
      </c>
      <c r="I26" s="81" t="str">
        <f ca="1">LOWER(_xlfn.XLOOKUP($A26,Строчный!$A:$A,Строчный!I:I,"ERR",0))</f>
        <v>зеленый</v>
      </c>
      <c r="J26" s="81" t="str">
        <f ca="1">SUBSTITUTE(LOWER(_xlfn.XLOOKUP($A26,Строчный!$A:$A,Строчный!J:J,"ERR",0)),"подклад","Подклад")</f>
        <v>45% бумага - 35% полипропилен - 20% полиэстер</v>
      </c>
      <c r="K26" s="81" t="str">
        <f ca="1">LOWER(_xlfn.XLOOKUP($A26,Строчный!$A:$A,Строчный!K:K,"ERR",0))</f>
        <v>бумажные</v>
      </c>
      <c r="L26" s="81" t="str">
        <f ca="1">PROPER(_xlfn.XLOOKUP($A26,Строчный!$A:$A,Строчный!L:L,"ERR",0))</f>
        <v>Женский</v>
      </c>
      <c r="M26" s="113" t="str">
        <f ca="1">PROPER(_xlfn.XLOOKUP($A26,Строчный!$A:$A,Строчный!M:M,"ERR",0))</f>
        <v>Китай</v>
      </c>
      <c r="N26" s="81" t="str">
        <f ca="1">UPPER(_xlfn.XLOOKUP($A26,Строчный!$A:$A,Строчный!O:O,"ERR",0))</f>
        <v/>
      </c>
      <c r="O26" s="107" t="str">
        <f ca="1">PROPER(_xlfn.XLOOKUP($A26,Строчный!$A:$A,Строчный!P:P,"ERR",0))</f>
        <v/>
      </c>
      <c r="P26" s="90">
        <f ca="1">VALUE(_xlfn.XLOOKUP($A26,Строчный!$A:$A,Строчный!N:N,"ERR",0))</f>
        <v>573.30000000000007</v>
      </c>
      <c r="Q26" s="89" t="str">
        <f ca="1">_xlfn.XLOOKUP($G26,Фабрика!A:A,Фабрика!B:B,"ERR",0)</f>
        <v>Bollman Headwear Europe Ltd; 2 Merchants drive, Caelisle, Cumbria CA3 0JW, United Kingdom</v>
      </c>
      <c r="R26" s="80" t="str">
        <f ca="1">_xlfn.XLOOKUP(RIGHT(Z26,2),Размеры!D:D,Размеры!A:A,"ERR",0)</f>
        <v>ONE</v>
      </c>
      <c r="S26" s="80">
        <f ca="1">VALUE(_xlfn.XLOOKUP($Z26,Строчный!$R:$R,Строчный!T:T,"ERR",0))</f>
        <v>5</v>
      </c>
      <c r="T26" s="14" t="s">
        <v>265</v>
      </c>
      <c r="U26" s="101" t="str">
        <f t="shared" ca="1" si="0"/>
        <v>Шляпа BETMAR арт. B176 GOSSAMER (зеленый)</v>
      </c>
      <c r="V26" s="100" t="str">
        <f t="shared" ca="1" si="1"/>
        <v>Шляпа BETMAR арт. B176 GOSSAMER (зеленый) {eden green}</v>
      </c>
      <c r="W26" s="18" t="str">
        <f t="shared" ca="1" si="2"/>
        <v>зеленый</v>
      </c>
      <c r="X26" s="18" t="str">
        <f t="shared" ca="1" si="3"/>
        <v>зеленый</v>
      </c>
      <c r="Y26" s="117" t="str">
        <f ca="1">_xlfn.LET(_xlpm.FormColors,_xlfn.XLOOKUP(A26,Строчный!A:A,Строчный!Q:Q,"",0),IF(_xlpm.FormColors=0,IFERROR(MID(I26,FIND("-",I26)+1,LEN(I26)),IFERROR(MID(I26,1,FIND("/",I26)-2),I26)),_xlpm.FormColors))</f>
        <v>зеленый</v>
      </c>
      <c r="Z26" s="73" t="str">
        <f ca="1"/>
        <v>31-084-11-00</v>
      </c>
      <c r="AA26" s="75" t="str">
        <f ca="1">VLOOKUP(C26,Группа!A:B,2,FALSE)</f>
        <v>Шляпа</v>
      </c>
      <c r="AB26" s="97" t="str">
        <f ca="1">IFERROR(VLOOKUP(R26,Размеры!A:C,3,FALSE),"")</f>
        <v>ONE</v>
      </c>
      <c r="AC26" s="97" t="str">
        <f ca="1">VLOOKUP(I26,ЦветПолный!A:B,2,FALSE)</f>
        <v>11</v>
      </c>
      <c r="AD26" s="97" t="str">
        <f ca="1">IFERROR(VLOOKUP(R26,Размеры!A:D,4,FALSE),"")</f>
        <v>00</v>
      </c>
      <c r="AE26" s="97">
        <f ca="1">IF(LEFT(IFERROR(VLOOKUP(LOOKUP(2,1/SEARCH(B26,Товары!A:A),Товары!A:A),Товары!A:B,2,0),""),6)=MID(Z26,1,6),1,0)</f>
        <v>1</v>
      </c>
      <c r="AG26" s="97">
        <f ca="1">SUMIF(Группа!A:A,C26,Группа!C:C)</f>
        <v>1</v>
      </c>
      <c r="AH26" s="97">
        <f ca="1">SUMIF(Группа!B:B,AA26,Группа!C:C)</f>
        <v>1</v>
      </c>
      <c r="AI26" s="97">
        <f ca="1">SUMIF(Формы!A:A,D26,Формы!B:B)</f>
        <v>1</v>
      </c>
      <c r="AJ26" s="97">
        <f ca="1">SUMIF(Материал!A:A,K26,Материал!B:B)</f>
        <v>1</v>
      </c>
      <c r="AK26" s="97">
        <f ca="1">SUMIF(Размеры!A:A,R26,Размеры!E:E)</f>
        <v>1</v>
      </c>
      <c r="AL26" s="97">
        <f ca="1">SUMIF(Сезон!A:A,F26,Сезон!B:B)</f>
        <v>1</v>
      </c>
      <c r="AM26" s="97">
        <f ca="1">SUMIF(Состав!A:A,J26,Состав!B:B)</f>
        <v>1</v>
      </c>
      <c r="AN26" s="97">
        <f ca="1">VLOOKUP(I26,ЦветПолный!A:C,3,0)</f>
        <v>1</v>
      </c>
      <c r="AO26" s="97">
        <f ca="1">SUMIF(Цвет!A:A,Y26,Цвет!B:B)</f>
        <v>1</v>
      </c>
      <c r="AP26" s="97">
        <f ca="1">_xlfn.XLOOKUP(L26,Пол!A:A,Пол!B:B,0,0)</f>
        <v>1</v>
      </c>
      <c r="AQ26" s="97">
        <f ca="1">SUMIF(Марка!A:A,G26,Марка!B:B)</f>
        <v>1</v>
      </c>
      <c r="AR26" s="97">
        <f ca="1">SUMIF(Страна!A:A,M26,Страна!B:B)</f>
        <v>1</v>
      </c>
      <c r="AS26" s="64" t="e">
        <f ca="1">IF(VLOOKUP(V26,Товары!A:B,2,FALSE)=A26,"Есть в 1С","ERR")</f>
        <v>#N/A</v>
      </c>
      <c r="AT26" s="65" t="e">
        <f ca="1">IF(VLOOKUP(A26,Товары!B:B,1,FALSE)=A26,"Есть в 1С","ERR")</f>
        <v>#N/A</v>
      </c>
      <c r="AU26" s="96" t="e">
        <f ca="1">VLOOKUP(V26,Товары!A:B,2,FALSE)</f>
        <v>#N/A</v>
      </c>
      <c r="AV26" s="94" t="e">
        <f ca="1">VLOOKUP(V26,Товары!A:B,1,FALSE)</f>
        <v>#N/A</v>
      </c>
    </row>
    <row r="27" spans="1:48" x14ac:dyDescent="0.25">
      <c r="A27" s="110" t="str">
        <f t="shared" ca="1" si="4"/>
        <v>31-083-75</v>
      </c>
      <c r="B27" s="107" t="str">
        <f ca="1">_xlfn.LET(_xlpm.CAPS,0,_xlpm.Style,_xlfn.XLOOKUP($A27,Строчный!$A:$A,Строчный!B:B,"ERR",0),IF(_xlpm.CAPS=0,_xlpm.Style,LOWER(_xlpm.Style)))</f>
        <v>B166 CLASSIC ROLL UP</v>
      </c>
      <c r="C27" s="81" t="str">
        <f ca="1">PROPER(_xlfn.XLOOKUP($A27,Строчный!$A:$A,Строчный!C:C,"ERR",0))</f>
        <v>Шляпы</v>
      </c>
      <c r="D27" s="81" t="str">
        <f ca="1">_xlfn.LET(_xlpm.DATA,(_xlfn.XLOOKUP($A27,Строчный!$A:$A,Строчный!D:D,"ERR",0)),UPPER(MID(_xlpm.DATA,1,1))&amp;LOWER(MID(_xlpm.DATA,2,LEN(_xlpm.DATA)-1)))</f>
        <v>Шляпа с широкими полями</v>
      </c>
      <c r="E27" s="81" t="str">
        <f ca="1">PROPER(_xlfn.XLOOKUP($A27,Строчный!$A:$A,Строчный!E:E,"ERR",0))</f>
        <v>Betmar</v>
      </c>
      <c r="F27" s="81" t="str">
        <f ca="1">LOWER(_xlfn.XLOOKUP($A27,Строчный!$A:$A,Строчный!F:F,"ERR",0))</f>
        <v>летний</v>
      </c>
      <c r="G27" s="81" t="str">
        <f ca="1">UPPER(_xlfn.XLOOKUP($A27,Строчный!$A:$A,Строчный!G:G,"ERR",0))</f>
        <v>BETMAR</v>
      </c>
      <c r="H27" s="81" t="str">
        <f ca="1">LOWER(_xlfn.XLOOKUP($A27,Строчный!$A:$A,Строчный!H:H,"ERR",0))</f>
        <v>desert/natural</v>
      </c>
      <c r="I27" s="81" t="str">
        <f ca="1">LOWER(_xlfn.XLOOKUP($A27,Строчный!$A:$A,Строчный!I:I,"ERR",0))</f>
        <v>светло-бежевый</v>
      </c>
      <c r="J27" s="81" t="str">
        <f ca="1">SUBSTITUTE(LOWER(_xlfn.XLOOKUP($A27,Строчный!$A:$A,Строчный!J:J,"ERR",0)),"подклад","Подклад")</f>
        <v>45% бумага - 35% полипропилен - 20% полиэстер</v>
      </c>
      <c r="K27" s="81" t="str">
        <f ca="1">LOWER(_xlfn.XLOOKUP($A27,Строчный!$A:$A,Строчный!K:K,"ERR",0))</f>
        <v>бумажные</v>
      </c>
      <c r="L27" s="81" t="str">
        <f ca="1">PROPER(_xlfn.XLOOKUP($A27,Строчный!$A:$A,Строчный!L:L,"ERR",0))</f>
        <v>Женский</v>
      </c>
      <c r="M27" s="113" t="str">
        <f ca="1">PROPER(_xlfn.XLOOKUP($A27,Строчный!$A:$A,Строчный!M:M,"ERR",0))</f>
        <v>Китай</v>
      </c>
      <c r="N27" s="81" t="str">
        <f ca="1">UPPER(_xlfn.XLOOKUP($A27,Строчный!$A:$A,Строчный!O:O,"ERR",0))</f>
        <v/>
      </c>
      <c r="O27" s="107" t="str">
        <f ca="1">PROPER(_xlfn.XLOOKUP($A27,Строчный!$A:$A,Строчный!P:P,"ERR",0))</f>
        <v/>
      </c>
      <c r="P27" s="90">
        <f ca="1">VALUE(_xlfn.XLOOKUP($A27,Строчный!$A:$A,Строчный!N:N,"ERR",0))</f>
        <v>576.80999999999995</v>
      </c>
      <c r="Q27" s="89" t="str">
        <f ca="1">_xlfn.XLOOKUP($G27,Фабрика!A:A,Фабрика!B:B,"ERR",0)</f>
        <v>Bollman Headwear Europe Ltd; 2 Merchants drive, Caelisle, Cumbria CA3 0JW, United Kingdom</v>
      </c>
      <c r="R27" s="80" t="str">
        <f ca="1">_xlfn.XLOOKUP(RIGHT(Z27,2),Размеры!D:D,Размеры!A:A,"ERR",0)</f>
        <v>ONE</v>
      </c>
      <c r="S27" s="80">
        <f ca="1">VALUE(_xlfn.XLOOKUP($Z27,Строчный!$R:$R,Строчный!T:T,"ERR",0))</f>
        <v>14</v>
      </c>
      <c r="T27" s="14" t="s">
        <v>265</v>
      </c>
      <c r="U27" s="101" t="str">
        <f t="shared" ca="1" si="0"/>
        <v>Шляпа BETMAR арт. B166 CLASSIC ROLL UP (светло-бежевый)</v>
      </c>
      <c r="V27" s="100" t="str">
        <f t="shared" ca="1" si="1"/>
        <v>Шляпа BETMAR арт. B166 CLASSIC ROLL UP (светло-бежевый) {desert/natural}</v>
      </c>
      <c r="W27" s="18" t="str">
        <f t="shared" ca="1" si="2"/>
        <v>бежевый</v>
      </c>
      <c r="X27" s="18" t="str">
        <f t="shared" ca="1" si="3"/>
        <v>бежевый</v>
      </c>
      <c r="Y27" s="117" t="str">
        <f ca="1">_xlfn.LET(_xlpm.FormColors,_xlfn.XLOOKUP(A27,Строчный!A:A,Строчный!Q:Q,"",0),IF(_xlpm.FormColors=0,IFERROR(MID(I27,FIND("-",I27)+1,LEN(I27)),IFERROR(MID(I27,1,FIND("/",I27)-2),I27)),_xlpm.FormColors))</f>
        <v>бежевый</v>
      </c>
      <c r="Z27" s="73" t="str">
        <f ca="1"/>
        <v>31-083-75-00</v>
      </c>
      <c r="AA27" s="75" t="str">
        <f ca="1">VLOOKUP(C27,Группа!A:B,2,FALSE)</f>
        <v>Шляпа</v>
      </c>
      <c r="AB27" s="97" t="str">
        <f ca="1">IFERROR(VLOOKUP(R27,Размеры!A:C,3,FALSE),"")</f>
        <v>ONE</v>
      </c>
      <c r="AC27" s="97" t="str">
        <f ca="1">VLOOKUP(I27,ЦветПолный!A:B,2,FALSE)</f>
        <v>83</v>
      </c>
      <c r="AD27" s="97" t="str">
        <f ca="1">IFERROR(VLOOKUP(R27,Размеры!A:D,4,FALSE),"")</f>
        <v>00</v>
      </c>
      <c r="AE27" s="97">
        <f ca="1">IF(LEFT(IFERROR(VLOOKUP(LOOKUP(2,1/SEARCH(B27,Товары!A:A),Товары!A:A),Товары!A:B,2,0),""),6)=MID(Z27,1,6),1,0)</f>
        <v>1</v>
      </c>
      <c r="AG27" s="97">
        <f ca="1">SUMIF(Группа!A:A,C27,Группа!C:C)</f>
        <v>1</v>
      </c>
      <c r="AH27" s="97">
        <f ca="1">SUMIF(Группа!B:B,AA27,Группа!C:C)</f>
        <v>1</v>
      </c>
      <c r="AI27" s="97">
        <f ca="1">SUMIF(Формы!A:A,D27,Формы!B:B)</f>
        <v>1</v>
      </c>
      <c r="AJ27" s="97">
        <f ca="1">SUMIF(Материал!A:A,K27,Материал!B:B)</f>
        <v>1</v>
      </c>
      <c r="AK27" s="97">
        <f ca="1">SUMIF(Размеры!A:A,R27,Размеры!E:E)</f>
        <v>1</v>
      </c>
      <c r="AL27" s="97">
        <f ca="1">SUMIF(Сезон!A:A,F27,Сезон!B:B)</f>
        <v>1</v>
      </c>
      <c r="AM27" s="97">
        <f ca="1">SUMIF(Состав!A:A,J27,Состав!B:B)</f>
        <v>1</v>
      </c>
      <c r="AN27" s="97">
        <f ca="1">VLOOKUP(I27,ЦветПолный!A:C,3,0)</f>
        <v>1</v>
      </c>
      <c r="AO27" s="97">
        <f ca="1">SUMIF(Цвет!A:A,Y27,Цвет!B:B)</f>
        <v>1</v>
      </c>
      <c r="AP27" s="97">
        <f ca="1">_xlfn.XLOOKUP(L27,Пол!A:A,Пол!B:B,0,0)</f>
        <v>1</v>
      </c>
      <c r="AQ27" s="97">
        <f ca="1">SUMIF(Марка!A:A,G27,Марка!B:B)</f>
        <v>1</v>
      </c>
      <c r="AR27" s="97">
        <f ca="1">SUMIF(Страна!A:A,M27,Страна!B:B)</f>
        <v>1</v>
      </c>
      <c r="AS27" s="64" t="str">
        <f ca="1">IF(VLOOKUP(V27,Товары!A:B,2,FALSE)=A27,"Есть в 1С","ERR")</f>
        <v>Есть в 1С</v>
      </c>
      <c r="AT27" s="65" t="str">
        <f ca="1">IF(VLOOKUP(A27,Товары!B:B,1,FALSE)=A27,"Есть в 1С","ERR")</f>
        <v>Есть в 1С</v>
      </c>
      <c r="AU27" s="96" t="str">
        <f ca="1">VLOOKUP(V27,Товары!A:B,2,FALSE)</f>
        <v>31-083-75</v>
      </c>
      <c r="AV27" s="94" t="str">
        <f ca="1">VLOOKUP(V27,Товары!A:B,1,FALSE)</f>
        <v>Шляпа BETMAR арт. B166 CLASSIC ROLL UP (светло-бежевый) {desert/natural}</v>
      </c>
    </row>
    <row r="28" spans="1:48" x14ac:dyDescent="0.25">
      <c r="A28" s="110" t="str">
        <f t="shared" ca="1" si="4"/>
        <v>31-083-17</v>
      </c>
      <c r="B28" s="107" t="str">
        <f ca="1">_xlfn.LET(_xlpm.CAPS,0,_xlpm.Style,_xlfn.XLOOKUP($A28,Строчный!$A:$A,Строчный!B:B,"ERR",0),IF(_xlpm.CAPS=0,_xlpm.Style,LOWER(_xlpm.Style)))</f>
        <v>B166 CLASSIC ROLL UP</v>
      </c>
      <c r="C28" s="81" t="str">
        <f ca="1">PROPER(_xlfn.XLOOKUP($A28,Строчный!$A:$A,Строчный!C:C,"ERR",0))</f>
        <v>Шляпы</v>
      </c>
      <c r="D28" s="81" t="str">
        <f ca="1">_xlfn.LET(_xlpm.DATA,(_xlfn.XLOOKUP($A28,Строчный!$A:$A,Строчный!D:D,"ERR",0)),UPPER(MID(_xlpm.DATA,1,1))&amp;LOWER(MID(_xlpm.DATA,2,LEN(_xlpm.DATA)-1)))</f>
        <v>Шляпа с широкими полями</v>
      </c>
      <c r="E28" s="81" t="str">
        <f ca="1">PROPER(_xlfn.XLOOKUP($A28,Строчный!$A:$A,Строчный!E:E,"ERR",0))</f>
        <v>Betmar</v>
      </c>
      <c r="F28" s="81" t="str">
        <f ca="1">LOWER(_xlfn.XLOOKUP($A28,Строчный!$A:$A,Строчный!F:F,"ERR",0))</f>
        <v>летний</v>
      </c>
      <c r="G28" s="81" t="str">
        <f ca="1">UPPER(_xlfn.XLOOKUP($A28,Строчный!$A:$A,Строчный!G:G,"ERR",0))</f>
        <v>BETMAR</v>
      </c>
      <c r="H28" s="81" t="str">
        <f ca="1">LOWER(_xlfn.XLOOKUP($A28,Строчный!$A:$A,Строчный!H:H,"ERR",0))</f>
        <v>white</v>
      </c>
      <c r="I28" s="81" t="str">
        <f ca="1">LOWER(_xlfn.XLOOKUP($A28,Строчный!$A:$A,Строчный!I:I,"ERR",0))</f>
        <v>белый</v>
      </c>
      <c r="J28" s="81" t="str">
        <f ca="1">SUBSTITUTE(LOWER(_xlfn.XLOOKUP($A28,Строчный!$A:$A,Строчный!J:J,"ERR",0)),"подклад","Подклад")</f>
        <v>50% бумага - 33% полипропилен - 17% полиэстер</v>
      </c>
      <c r="K28" s="81" t="str">
        <f ca="1">LOWER(_xlfn.XLOOKUP($A28,Строчный!$A:$A,Строчный!K:K,"ERR",0))</f>
        <v>бумажные</v>
      </c>
      <c r="L28" s="81" t="str">
        <f ca="1">PROPER(_xlfn.XLOOKUP($A28,Строчный!$A:$A,Строчный!L:L,"ERR",0))</f>
        <v>Женский</v>
      </c>
      <c r="M28" s="113" t="str">
        <f ca="1">PROPER(_xlfn.XLOOKUP($A28,Строчный!$A:$A,Строчный!M:M,"ERR",0))</f>
        <v>Китай</v>
      </c>
      <c r="N28" s="81" t="str">
        <f ca="1">UPPER(_xlfn.XLOOKUP($A28,Строчный!$A:$A,Строчный!O:O,"ERR",0))</f>
        <v/>
      </c>
      <c r="O28" s="107" t="str">
        <f ca="1">PROPER(_xlfn.XLOOKUP($A28,Строчный!$A:$A,Строчный!P:P,"ERR",0))</f>
        <v/>
      </c>
      <c r="P28" s="90">
        <f ca="1">VALUE(_xlfn.XLOOKUP($A28,Строчный!$A:$A,Строчный!N:N,"ERR",0))</f>
        <v>576.80999999999995</v>
      </c>
      <c r="Q28" s="89" t="str">
        <f ca="1">_xlfn.XLOOKUP($G28,Фабрика!A:A,Фабрика!B:B,"ERR",0)</f>
        <v>Bollman Headwear Europe Ltd; 2 Merchants drive, Caelisle, Cumbria CA3 0JW, United Kingdom</v>
      </c>
      <c r="R28" s="80" t="str">
        <f ca="1">_xlfn.XLOOKUP(RIGHT(Z28,2),Размеры!D:D,Размеры!A:A,"ERR",0)</f>
        <v>ONE</v>
      </c>
      <c r="S28" s="80">
        <f ca="1">VALUE(_xlfn.XLOOKUP($Z28,Строчный!$R:$R,Строчный!T:T,"ERR",0))</f>
        <v>14</v>
      </c>
      <c r="T28" s="14" t="s">
        <v>265</v>
      </c>
      <c r="U28" s="101" t="str">
        <f t="shared" ca="1" si="0"/>
        <v>Шляпа BETMAR арт. B166 CLASSIC ROLL UP (белый)</v>
      </c>
      <c r="V28" s="100" t="str">
        <f t="shared" ca="1" si="1"/>
        <v>Шляпа BETMAR арт. B166 CLASSIC ROLL UP (белый) {white}</v>
      </c>
      <c r="W28" s="18" t="str">
        <f t="shared" ca="1" si="2"/>
        <v>белый</v>
      </c>
      <c r="X28" s="18" t="str">
        <f t="shared" ca="1" si="3"/>
        <v>белый</v>
      </c>
      <c r="Y28" s="117" t="str">
        <f ca="1">_xlfn.LET(_xlpm.FormColors,_xlfn.XLOOKUP(A28,Строчный!A:A,Строчный!Q:Q,"",0),IF(_xlpm.FormColors=0,IFERROR(MID(I28,FIND("-",I28)+1,LEN(I28)),IFERROR(MID(I28,1,FIND("/",I28)-2),I28)),_xlpm.FormColors))</f>
        <v>белый</v>
      </c>
      <c r="Z28" s="73" t="str">
        <f ca="1"/>
        <v>31-083-17-00</v>
      </c>
      <c r="AA28" s="75" t="str">
        <f ca="1">VLOOKUP(C28,Группа!A:B,2,FALSE)</f>
        <v>Шляпа</v>
      </c>
      <c r="AB28" s="97" t="str">
        <f ca="1">IFERROR(VLOOKUP(R28,Размеры!A:C,3,FALSE),"")</f>
        <v>ONE</v>
      </c>
      <c r="AC28" s="97" t="str">
        <f ca="1">VLOOKUP(I28,ЦветПолный!A:B,2,FALSE)</f>
        <v>17</v>
      </c>
      <c r="AD28" s="97" t="str">
        <f ca="1">IFERROR(VLOOKUP(R28,Размеры!A:D,4,FALSE),"")</f>
        <v>00</v>
      </c>
      <c r="AE28" s="97">
        <f ca="1">IF(LEFT(IFERROR(VLOOKUP(LOOKUP(2,1/SEARCH(B28,Товары!A:A),Товары!A:A),Товары!A:B,2,0),""),6)=MID(Z28,1,6),1,0)</f>
        <v>1</v>
      </c>
      <c r="AG28" s="97">
        <f ca="1">SUMIF(Группа!A:A,C28,Группа!C:C)</f>
        <v>1</v>
      </c>
      <c r="AH28" s="97">
        <f ca="1">SUMIF(Группа!B:B,AA28,Группа!C:C)</f>
        <v>1</v>
      </c>
      <c r="AI28" s="97">
        <f ca="1">SUMIF(Формы!A:A,D28,Формы!B:B)</f>
        <v>1</v>
      </c>
      <c r="AJ28" s="97">
        <f ca="1">SUMIF(Материал!A:A,K28,Материал!B:B)</f>
        <v>1</v>
      </c>
      <c r="AK28" s="97">
        <f ca="1">SUMIF(Размеры!A:A,R28,Размеры!E:E)</f>
        <v>1</v>
      </c>
      <c r="AL28" s="97">
        <f ca="1">SUMIF(Сезон!A:A,F28,Сезон!B:B)</f>
        <v>1</v>
      </c>
      <c r="AM28" s="97">
        <f ca="1">SUMIF(Состав!A:A,J28,Состав!B:B)</f>
        <v>1</v>
      </c>
      <c r="AN28" s="97">
        <f ca="1">VLOOKUP(I28,ЦветПолный!A:C,3,0)</f>
        <v>1</v>
      </c>
      <c r="AO28" s="97">
        <f ca="1">SUMIF(Цвет!A:A,Y28,Цвет!B:B)</f>
        <v>1</v>
      </c>
      <c r="AP28" s="97">
        <f ca="1">_xlfn.XLOOKUP(L28,Пол!A:A,Пол!B:B,0,0)</f>
        <v>1</v>
      </c>
      <c r="AQ28" s="97">
        <f ca="1">SUMIF(Марка!A:A,G28,Марка!B:B)</f>
        <v>1</v>
      </c>
      <c r="AR28" s="97">
        <f ca="1">SUMIF(Страна!A:A,M28,Страна!B:B)</f>
        <v>1</v>
      </c>
      <c r="AS28" s="64" t="str">
        <f ca="1">IF(VLOOKUP(V28,Товары!A:B,2,FALSE)=A28,"Есть в 1С","ERR")</f>
        <v>Есть в 1С</v>
      </c>
      <c r="AT28" s="65" t="str">
        <f ca="1">IF(VLOOKUP(A28,Товары!B:B,1,FALSE)=A28,"Есть в 1С","ERR")</f>
        <v>Есть в 1С</v>
      </c>
      <c r="AU28" s="96" t="str">
        <f ca="1">VLOOKUP(V28,Товары!A:B,2,FALSE)</f>
        <v>31-083-17</v>
      </c>
      <c r="AV28" s="94" t="str">
        <f ca="1">VLOOKUP(V28,Товары!A:B,1,FALSE)</f>
        <v>Шляпа BETMAR арт. B166 CLASSIC ROLL UP (белый) {white}</v>
      </c>
    </row>
    <row r="29" spans="1:48" x14ac:dyDescent="0.25">
      <c r="A29" s="110" t="str">
        <f t="shared" ca="1" si="4"/>
        <v>31-078-49</v>
      </c>
      <c r="B29" s="107" t="str">
        <f ca="1">_xlfn.LET(_xlpm.CAPS,0,_xlpm.Style,_xlfn.XLOOKUP($A29,Строчный!$A:$A,Строчный!B:B,"ERR",0),IF(_xlpm.CAPS=0,_xlpm.Style,LOWER(_xlpm.Style)))</f>
        <v>B1431H DEMETRIA</v>
      </c>
      <c r="C29" s="81" t="str">
        <f ca="1">PROPER(_xlfn.XLOOKUP($A29,Строчный!$A:$A,Строчный!C:C,"ERR",0))</f>
        <v>Шляпы</v>
      </c>
      <c r="D29" s="81" t="str">
        <f ca="1">_xlfn.LET(_xlpm.DATA,(_xlfn.XLOOKUP($A29,Строчный!$A:$A,Строчный!D:D,"ERR",0)),UPPER(MID(_xlpm.DATA,1,1))&amp;LOWER(MID(_xlpm.DATA,2,LEN(_xlpm.DATA)-1)))</f>
        <v>Шляпа с широкими полями</v>
      </c>
      <c r="E29" s="81" t="str">
        <f ca="1">PROPER(_xlfn.XLOOKUP($A29,Строчный!$A:$A,Строчный!E:E,"ERR",0))</f>
        <v>Betmar</v>
      </c>
      <c r="F29" s="81" t="str">
        <f ca="1">LOWER(_xlfn.XLOOKUP($A29,Строчный!$A:$A,Строчный!F:F,"ERR",0))</f>
        <v>летний</v>
      </c>
      <c r="G29" s="81" t="str">
        <f ca="1">UPPER(_xlfn.XLOOKUP($A29,Строчный!$A:$A,Строчный!G:G,"ERR",0))</f>
        <v>BETMAR</v>
      </c>
      <c r="H29" s="81" t="str">
        <f ca="1">LOWER(_xlfn.XLOOKUP($A29,Строчный!$A:$A,Строчный!H:H,"ERR",0))</f>
        <v>natural</v>
      </c>
      <c r="I29" s="81" t="str">
        <f ca="1">LOWER(_xlfn.XLOOKUP($A29,Строчный!$A:$A,Строчный!I:I,"ERR",0))</f>
        <v>белый / бежевый</v>
      </c>
      <c r="J29" s="81" t="str">
        <f ca="1">SUBSTITUTE(LOWER(_xlfn.XLOOKUP($A29,Строчный!$A:$A,Строчный!J:J,"ERR",0)),"подклад","Подклад")</f>
        <v>88% бумага - 12% полиэстер</v>
      </c>
      <c r="K29" s="81" t="str">
        <f ca="1">LOWER(_xlfn.XLOOKUP($A29,Строчный!$A:$A,Строчный!K:K,"ERR",0))</f>
        <v>бумажные</v>
      </c>
      <c r="L29" s="81" t="str">
        <f ca="1">PROPER(_xlfn.XLOOKUP($A29,Строчный!$A:$A,Строчный!L:L,"ERR",0))</f>
        <v>Женский</v>
      </c>
      <c r="M29" s="113" t="str">
        <f ca="1">PROPER(_xlfn.XLOOKUP($A29,Строчный!$A:$A,Строчный!M:M,"ERR",0))</f>
        <v>Китай</v>
      </c>
      <c r="N29" s="81" t="str">
        <f ca="1">UPPER(_xlfn.XLOOKUP($A29,Строчный!$A:$A,Строчный!O:O,"ERR",0))</f>
        <v/>
      </c>
      <c r="O29" s="107" t="str">
        <f ca="1">PROPER(_xlfn.XLOOKUP($A29,Строчный!$A:$A,Строчный!P:P,"ERR",0))</f>
        <v/>
      </c>
      <c r="P29" s="90">
        <f ca="1">VALUE(_xlfn.XLOOKUP($A29,Строчный!$A:$A,Строчный!N:N,"ERR",0))</f>
        <v>581.49</v>
      </c>
      <c r="Q29" s="89" t="str">
        <f ca="1">_xlfn.XLOOKUP($G29,Фабрика!A:A,Фабрика!B:B,"ERR",0)</f>
        <v>Bollman Headwear Europe Ltd; 2 Merchants drive, Caelisle, Cumbria CA3 0JW, United Kingdom</v>
      </c>
      <c r="R29" s="80" t="str">
        <f ca="1">_xlfn.XLOOKUP(RIGHT(Z29,2),Размеры!D:D,Размеры!A:A,"ERR",0)</f>
        <v>ONE</v>
      </c>
      <c r="S29" s="80">
        <f ca="1">VALUE(_xlfn.XLOOKUP($Z29,Строчный!$R:$R,Строчный!T:T,"ERR",0))</f>
        <v>10</v>
      </c>
      <c r="T29" s="14" t="s">
        <v>265</v>
      </c>
      <c r="U29" s="101" t="str">
        <f t="shared" ca="1" si="0"/>
        <v>Шляпа BETMAR арт. B1431H DEMETRIA (белый / бежевый)</v>
      </c>
      <c r="V29" s="100" t="str">
        <f t="shared" ca="1" si="1"/>
        <v>Шляпа BETMAR арт. B1431H DEMETRIA (белый / бежевый) {natural}</v>
      </c>
      <c r="W29" s="18" t="str">
        <f t="shared" ca="1" si="2"/>
        <v>белый</v>
      </c>
      <c r="X29" s="18" t="str">
        <f t="shared" ca="1" si="3"/>
        <v>бежевый</v>
      </c>
      <c r="Y29" s="117" t="str">
        <f ca="1">_xlfn.LET(_xlpm.FormColors,_xlfn.XLOOKUP(A29,Строчный!A:A,Строчный!Q:Q,"",0),IF(_xlpm.FormColors=0,IFERROR(MID(I29,FIND("-",I29)+1,LEN(I29)),IFERROR(MID(I29,1,FIND("/",I29)-2),I29)),_xlpm.FormColors))</f>
        <v>белый</v>
      </c>
      <c r="Z29" s="73" t="str">
        <f ca="1"/>
        <v>31-078-49-00</v>
      </c>
      <c r="AA29" s="75" t="str">
        <f ca="1">VLOOKUP(C29,Группа!A:B,2,FALSE)</f>
        <v>Шляпа</v>
      </c>
      <c r="AB29" s="97" t="str">
        <f ca="1">IFERROR(VLOOKUP(R29,Размеры!A:C,3,FALSE),"")</f>
        <v>ONE</v>
      </c>
      <c r="AC29" s="97" t="str">
        <f ca="1">VLOOKUP(I29,ЦветПолный!A:B,2,FALSE)</f>
        <v>00</v>
      </c>
      <c r="AD29" s="97" t="str">
        <f ca="1">IFERROR(VLOOKUP(R29,Размеры!A:D,4,FALSE),"")</f>
        <v>00</v>
      </c>
      <c r="AE29" s="97">
        <f ca="1">IF(LEFT(IFERROR(VLOOKUP(LOOKUP(2,1/SEARCH(B29,Товары!A:A),Товары!A:A),Товары!A:B,2,0),""),6)=MID(Z29,1,6),1,0)</f>
        <v>1</v>
      </c>
      <c r="AG29" s="97">
        <f ca="1">SUMIF(Группа!A:A,C29,Группа!C:C)</f>
        <v>1</v>
      </c>
      <c r="AH29" s="97">
        <f ca="1">SUMIF(Группа!B:B,AA29,Группа!C:C)</f>
        <v>1</v>
      </c>
      <c r="AI29" s="97">
        <f ca="1">SUMIF(Формы!A:A,D29,Формы!B:B)</f>
        <v>1</v>
      </c>
      <c r="AJ29" s="97">
        <f ca="1">SUMIF(Материал!A:A,K29,Материал!B:B)</f>
        <v>1</v>
      </c>
      <c r="AK29" s="97">
        <f ca="1">SUMIF(Размеры!A:A,R29,Размеры!E:E)</f>
        <v>1</v>
      </c>
      <c r="AL29" s="97">
        <f ca="1">SUMIF(Сезон!A:A,F29,Сезон!B:B)</f>
        <v>1</v>
      </c>
      <c r="AM29" s="97">
        <f ca="1">SUMIF(Состав!A:A,J29,Состав!B:B)</f>
        <v>1</v>
      </c>
      <c r="AN29" s="97">
        <f ca="1">VLOOKUP(I29,ЦветПолный!A:C,3,0)</f>
        <v>1</v>
      </c>
      <c r="AO29" s="97">
        <f ca="1">SUMIF(Цвет!A:A,Y29,Цвет!B:B)</f>
        <v>1</v>
      </c>
      <c r="AP29" s="97">
        <f ca="1">_xlfn.XLOOKUP(L29,Пол!A:A,Пол!B:B,0,0)</f>
        <v>1</v>
      </c>
      <c r="AQ29" s="97">
        <f ca="1">SUMIF(Марка!A:A,G29,Марка!B:B)</f>
        <v>1</v>
      </c>
      <c r="AR29" s="97">
        <f ca="1">SUMIF(Страна!A:A,M29,Страна!B:B)</f>
        <v>1</v>
      </c>
      <c r="AS29" s="64" t="str">
        <f ca="1">IF(VLOOKUP(V29,Товары!A:B,2,FALSE)=A29,"Есть в 1С","ERR")</f>
        <v>Есть в 1С</v>
      </c>
      <c r="AT29" s="65" t="str">
        <f ca="1">IF(VLOOKUP(A29,Товары!B:B,1,FALSE)=A29,"Есть в 1С","ERR")</f>
        <v>Есть в 1С</v>
      </c>
      <c r="AU29" s="96" t="str">
        <f ca="1">VLOOKUP(V29,Товары!A:B,2,FALSE)</f>
        <v>31-078-49</v>
      </c>
      <c r="AV29" s="94" t="str">
        <f ca="1">VLOOKUP(V29,Товары!A:B,1,FALSE)</f>
        <v>Шляпа BETMAR арт. B1431H DEMETRIA (белый / бежевый) {natural}</v>
      </c>
    </row>
    <row r="30" spans="1:48" x14ac:dyDescent="0.25">
      <c r="A30" s="110" t="str">
        <f t="shared" ca="1" si="4"/>
        <v>31-078-17</v>
      </c>
      <c r="B30" s="107" t="str">
        <f ca="1">_xlfn.LET(_xlpm.CAPS,0,_xlpm.Style,_xlfn.XLOOKUP($A30,Строчный!$A:$A,Строчный!B:B,"ERR",0),IF(_xlpm.CAPS=0,_xlpm.Style,LOWER(_xlpm.Style)))</f>
        <v>B1431H DEMETRIA</v>
      </c>
      <c r="C30" s="81" t="str">
        <f ca="1">PROPER(_xlfn.XLOOKUP($A30,Строчный!$A:$A,Строчный!C:C,"ERR",0))</f>
        <v>Шляпы</v>
      </c>
      <c r="D30" s="81" t="str">
        <f ca="1">_xlfn.LET(_xlpm.DATA,(_xlfn.XLOOKUP($A30,Строчный!$A:$A,Строчный!D:D,"ERR",0)),UPPER(MID(_xlpm.DATA,1,1))&amp;LOWER(MID(_xlpm.DATA,2,LEN(_xlpm.DATA)-1)))</f>
        <v>Шляпа с широкими полями</v>
      </c>
      <c r="E30" s="81" t="str">
        <f ca="1">PROPER(_xlfn.XLOOKUP($A30,Строчный!$A:$A,Строчный!E:E,"ERR",0))</f>
        <v>Betmar</v>
      </c>
      <c r="F30" s="81" t="str">
        <f ca="1">LOWER(_xlfn.XLOOKUP($A30,Строчный!$A:$A,Строчный!F:F,"ERR",0))</f>
        <v>летний</v>
      </c>
      <c r="G30" s="81" t="str">
        <f ca="1">UPPER(_xlfn.XLOOKUP($A30,Строчный!$A:$A,Строчный!G:G,"ERR",0))</f>
        <v>BETMAR</v>
      </c>
      <c r="H30" s="81" t="str">
        <f ca="1">LOWER(_xlfn.XLOOKUP($A30,Строчный!$A:$A,Строчный!H:H,"ERR",0))</f>
        <v>white.navy</v>
      </c>
      <c r="I30" s="81" t="str">
        <f ca="1">LOWER(_xlfn.XLOOKUP($A30,Строчный!$A:$A,Строчный!I:I,"ERR",0))</f>
        <v>белый / синий</v>
      </c>
      <c r="J30" s="81" t="str">
        <f ca="1">SUBSTITUTE(LOWER(_xlfn.XLOOKUP($A30,Строчный!$A:$A,Строчный!J:J,"ERR",0)),"подклад","Подклад")</f>
        <v>88% бумага - 12% полиэстер</v>
      </c>
      <c r="K30" s="81" t="str">
        <f ca="1">LOWER(_xlfn.XLOOKUP($A30,Строчный!$A:$A,Строчный!K:K,"ERR",0))</f>
        <v>бумажные</v>
      </c>
      <c r="L30" s="81" t="str">
        <f ca="1">PROPER(_xlfn.XLOOKUP($A30,Строчный!$A:$A,Строчный!L:L,"ERR",0))</f>
        <v>Женский</v>
      </c>
      <c r="M30" s="113" t="str">
        <f ca="1">PROPER(_xlfn.XLOOKUP($A30,Строчный!$A:$A,Строчный!M:M,"ERR",0))</f>
        <v>Китай</v>
      </c>
      <c r="N30" s="81" t="str">
        <f ca="1">UPPER(_xlfn.XLOOKUP($A30,Строчный!$A:$A,Строчный!O:O,"ERR",0))</f>
        <v/>
      </c>
      <c r="O30" s="107" t="str">
        <f ca="1">PROPER(_xlfn.XLOOKUP($A30,Строчный!$A:$A,Строчный!P:P,"ERR",0))</f>
        <v/>
      </c>
      <c r="P30" s="90">
        <f ca="1">VALUE(_xlfn.XLOOKUP($A30,Строчный!$A:$A,Строчный!N:N,"ERR",0))</f>
        <v>581.49</v>
      </c>
      <c r="Q30" s="89" t="str">
        <f ca="1">_xlfn.XLOOKUP($G30,Фабрика!A:A,Фабрика!B:B,"ERR",0)</f>
        <v>Bollman Headwear Europe Ltd; 2 Merchants drive, Caelisle, Cumbria CA3 0JW, United Kingdom</v>
      </c>
      <c r="R30" s="80" t="str">
        <f ca="1">_xlfn.XLOOKUP(RIGHT(Z30,2),Размеры!D:D,Размеры!A:A,"ERR",0)</f>
        <v>ONE</v>
      </c>
      <c r="S30" s="80">
        <f ca="1">VALUE(_xlfn.XLOOKUP($Z30,Строчный!$R:$R,Строчный!T:T,"ERR",0))</f>
        <v>8</v>
      </c>
      <c r="T30" s="14" t="s">
        <v>265</v>
      </c>
      <c r="U30" s="101" t="str">
        <f t="shared" ca="1" si="0"/>
        <v>Шляпа BETMAR арт. B1431H DEMETRIA (белый / синий)</v>
      </c>
      <c r="V30" s="100" t="str">
        <f t="shared" ca="1" si="1"/>
        <v>Шляпа BETMAR арт. B1431H DEMETRIA (белый / синий) {white.navy}</v>
      </c>
      <c r="W30" s="18" t="str">
        <f t="shared" ca="1" si="2"/>
        <v>белый</v>
      </c>
      <c r="X30" s="18" t="str">
        <f t="shared" ca="1" si="3"/>
        <v>синий</v>
      </c>
      <c r="Y30" s="117" t="str">
        <f ca="1">_xlfn.LET(_xlpm.FormColors,_xlfn.XLOOKUP(A30,Строчный!A:A,Строчный!Q:Q,"",0),IF(_xlpm.FormColors=0,IFERROR(MID(I30,FIND("-",I30)+1,LEN(I30)),IFERROR(MID(I30,1,FIND("/",I30)-2),I30)),_xlpm.FormColors))</f>
        <v>белый</v>
      </c>
      <c r="Z30" s="73" t="str">
        <f ca="1"/>
        <v>31-078-17-00</v>
      </c>
      <c r="AA30" s="75" t="str">
        <f ca="1">VLOOKUP(C30,Группа!A:B,2,FALSE)</f>
        <v>Шляпа</v>
      </c>
      <c r="AB30" s="97" t="str">
        <f ca="1">IFERROR(VLOOKUP(R30,Размеры!A:C,3,FALSE),"")</f>
        <v>ONE</v>
      </c>
      <c r="AC30" s="97" t="str">
        <f ca="1">VLOOKUP(I30,ЦветПолный!A:B,2,FALSE)</f>
        <v>38</v>
      </c>
      <c r="AD30" s="97" t="str">
        <f ca="1">IFERROR(VLOOKUP(R30,Размеры!A:D,4,FALSE),"")</f>
        <v>00</v>
      </c>
      <c r="AE30" s="97">
        <f ca="1">IF(LEFT(IFERROR(VLOOKUP(LOOKUP(2,1/SEARCH(B30,Товары!A:A),Товары!A:A),Товары!A:B,2,0),""),6)=MID(Z30,1,6),1,0)</f>
        <v>1</v>
      </c>
      <c r="AG30" s="97">
        <f ca="1">SUMIF(Группа!A:A,C30,Группа!C:C)</f>
        <v>1</v>
      </c>
      <c r="AH30" s="97">
        <f ca="1">SUMIF(Группа!B:B,AA30,Группа!C:C)</f>
        <v>1</v>
      </c>
      <c r="AI30" s="97">
        <f ca="1">SUMIF(Формы!A:A,D30,Формы!B:B)</f>
        <v>1</v>
      </c>
      <c r="AJ30" s="97">
        <f ca="1">SUMIF(Материал!A:A,K30,Материал!B:B)</f>
        <v>1</v>
      </c>
      <c r="AK30" s="97">
        <f ca="1">SUMIF(Размеры!A:A,R30,Размеры!E:E)</f>
        <v>1</v>
      </c>
      <c r="AL30" s="97">
        <f ca="1">SUMIF(Сезон!A:A,F30,Сезон!B:B)</f>
        <v>1</v>
      </c>
      <c r="AM30" s="97">
        <f ca="1">SUMIF(Состав!A:A,J30,Состав!B:B)</f>
        <v>1</v>
      </c>
      <c r="AN30" s="97">
        <f ca="1">VLOOKUP(I30,ЦветПолный!A:C,3,0)</f>
        <v>1</v>
      </c>
      <c r="AO30" s="97">
        <f ca="1">SUMIF(Цвет!A:A,Y30,Цвет!B:B)</f>
        <v>1</v>
      </c>
      <c r="AP30" s="97">
        <f ca="1">_xlfn.XLOOKUP(L30,Пол!A:A,Пол!B:B,0,0)</f>
        <v>1</v>
      </c>
      <c r="AQ30" s="97">
        <f ca="1">SUMIF(Марка!A:A,G30,Марка!B:B)</f>
        <v>1</v>
      </c>
      <c r="AR30" s="97">
        <f ca="1">SUMIF(Страна!A:A,M30,Страна!B:B)</f>
        <v>1</v>
      </c>
      <c r="AS30" s="64" t="str">
        <f ca="1">IF(VLOOKUP(V30,Товары!A:B,2,FALSE)=A30,"Есть в 1С","ERR")</f>
        <v>Есть в 1С</v>
      </c>
      <c r="AT30" s="65" t="str">
        <f ca="1">IF(VLOOKUP(A30,Товары!B:B,1,FALSE)=A30,"Есть в 1С","ERR")</f>
        <v>Есть в 1С</v>
      </c>
      <c r="AU30" s="96" t="str">
        <f ca="1">VLOOKUP(V30,Товары!A:B,2,FALSE)</f>
        <v>31-078-17</v>
      </c>
      <c r="AV30" s="94" t="str">
        <f ca="1">VLOOKUP(V30,Товары!A:B,1,FALSE)</f>
        <v>Шляпа BETMAR арт. B1431H DEMETRIA (белый / синий) {white.navy}</v>
      </c>
    </row>
    <row r="31" spans="1:48" x14ac:dyDescent="0.25">
      <c r="A31" s="110" t="str">
        <f t="shared" ca="1" si="4"/>
        <v>31-078-09</v>
      </c>
      <c r="B31" s="107" t="str">
        <f ca="1">_xlfn.LET(_xlpm.CAPS,0,_xlpm.Style,_xlfn.XLOOKUP($A31,Строчный!$A:$A,Строчный!B:B,"ERR",0),IF(_xlpm.CAPS=0,_xlpm.Style,LOWER(_xlpm.Style)))</f>
        <v>B1431H DEMETRIA</v>
      </c>
      <c r="C31" s="81" t="str">
        <f ca="1">PROPER(_xlfn.XLOOKUP($A31,Строчный!$A:$A,Строчный!C:C,"ERR",0))</f>
        <v>Шляпы</v>
      </c>
      <c r="D31" s="81" t="str">
        <f ca="1">_xlfn.LET(_xlpm.DATA,(_xlfn.XLOOKUP($A31,Строчный!$A:$A,Строчный!D:D,"ERR",0)),UPPER(MID(_xlpm.DATA,1,1))&amp;LOWER(MID(_xlpm.DATA,2,LEN(_xlpm.DATA)-1)))</f>
        <v>Шляпа с широкими полями</v>
      </c>
      <c r="E31" s="81" t="str">
        <f ca="1">PROPER(_xlfn.XLOOKUP($A31,Строчный!$A:$A,Строчный!E:E,"ERR",0))</f>
        <v>Betmar</v>
      </c>
      <c r="F31" s="81" t="str">
        <f ca="1">LOWER(_xlfn.XLOOKUP($A31,Строчный!$A:$A,Строчный!F:F,"ERR",0))</f>
        <v>летний</v>
      </c>
      <c r="G31" s="81" t="str">
        <f ca="1">UPPER(_xlfn.XLOOKUP($A31,Строчный!$A:$A,Строчный!G:G,"ERR",0))</f>
        <v>BETMAR</v>
      </c>
      <c r="H31" s="81" t="str">
        <f ca="1">LOWER(_xlfn.XLOOKUP($A31,Строчный!$A:$A,Строчный!H:H,"ERR",0))</f>
        <v>white.black</v>
      </c>
      <c r="I31" s="81" t="str">
        <f ca="1">LOWER(_xlfn.XLOOKUP($A31,Строчный!$A:$A,Строчный!I:I,"ERR",0))</f>
        <v>белый / черный</v>
      </c>
      <c r="J31" s="81" t="str">
        <f ca="1">SUBSTITUTE(LOWER(_xlfn.XLOOKUP($A31,Строчный!$A:$A,Строчный!J:J,"ERR",0)),"подклад","Подклад")</f>
        <v>88% бумага - 12% полиэстер</v>
      </c>
      <c r="K31" s="81" t="str">
        <f ca="1">LOWER(_xlfn.XLOOKUP($A31,Строчный!$A:$A,Строчный!K:K,"ERR",0))</f>
        <v>бумажные</v>
      </c>
      <c r="L31" s="81" t="str">
        <f ca="1">PROPER(_xlfn.XLOOKUP($A31,Строчный!$A:$A,Строчный!L:L,"ERR",0))</f>
        <v>Женский</v>
      </c>
      <c r="M31" s="113" t="str">
        <f ca="1">PROPER(_xlfn.XLOOKUP($A31,Строчный!$A:$A,Строчный!M:M,"ERR",0))</f>
        <v>Китай</v>
      </c>
      <c r="N31" s="81" t="str">
        <f ca="1">UPPER(_xlfn.XLOOKUP($A31,Строчный!$A:$A,Строчный!O:O,"ERR",0))</f>
        <v/>
      </c>
      <c r="O31" s="107" t="str">
        <f ca="1">PROPER(_xlfn.XLOOKUP($A31,Строчный!$A:$A,Строчный!P:P,"ERR",0))</f>
        <v/>
      </c>
      <c r="P31" s="90">
        <f ca="1">VALUE(_xlfn.XLOOKUP($A31,Строчный!$A:$A,Строчный!N:N,"ERR",0))</f>
        <v>581.49</v>
      </c>
      <c r="Q31" s="89" t="str">
        <f ca="1">_xlfn.XLOOKUP($G31,Фабрика!A:A,Фабрика!B:B,"ERR",0)</f>
        <v>Bollman Headwear Europe Ltd; 2 Merchants drive, Caelisle, Cumbria CA3 0JW, United Kingdom</v>
      </c>
      <c r="R31" s="80" t="str">
        <f ca="1">_xlfn.XLOOKUP(RIGHT(Z31,2),Размеры!D:D,Размеры!A:A,"ERR",0)</f>
        <v>ONE</v>
      </c>
      <c r="S31" s="80">
        <f ca="1">VALUE(_xlfn.XLOOKUP($Z31,Строчный!$R:$R,Строчный!T:T,"ERR",0))</f>
        <v>8</v>
      </c>
      <c r="T31" s="14" t="s">
        <v>265</v>
      </c>
      <c r="U31" s="101" t="str">
        <f t="shared" ca="1" si="0"/>
        <v>Шляпа BETMAR арт. B1431H DEMETRIA (белый / черный)</v>
      </c>
      <c r="V31" s="100" t="str">
        <f t="shared" ca="1" si="1"/>
        <v>Шляпа BETMAR арт. B1431H DEMETRIA (белый / черный) {white.black}</v>
      </c>
      <c r="W31" s="18" t="str">
        <f t="shared" ca="1" si="2"/>
        <v>белый</v>
      </c>
      <c r="X31" s="18" t="str">
        <f t="shared" ca="1" si="3"/>
        <v>черный</v>
      </c>
      <c r="Y31" s="117" t="str">
        <f ca="1">_xlfn.LET(_xlpm.FormColors,_xlfn.XLOOKUP(A31,Строчный!A:A,Строчный!Q:Q,"",0),IF(_xlpm.FormColors=0,IFERROR(MID(I31,FIND("-",I31)+1,LEN(I31)),IFERROR(MID(I31,1,FIND("/",I31)-2),I31)),_xlpm.FormColors))</f>
        <v>белый</v>
      </c>
      <c r="Z31" s="73" t="str">
        <f ca="1"/>
        <v>31-078-09-00</v>
      </c>
      <c r="AA31" s="75" t="str">
        <f ca="1">VLOOKUP(C31,Группа!A:B,2,FALSE)</f>
        <v>Шляпа</v>
      </c>
      <c r="AB31" s="97" t="str">
        <f ca="1">IFERROR(VLOOKUP(R31,Размеры!A:C,3,FALSE),"")</f>
        <v>ONE</v>
      </c>
      <c r="AC31" s="97" t="str">
        <f ca="1">VLOOKUP(I31,ЦветПолный!A:B,2,FALSE)</f>
        <v>48</v>
      </c>
      <c r="AD31" s="97" t="str">
        <f ca="1">IFERROR(VLOOKUP(R31,Размеры!A:D,4,FALSE),"")</f>
        <v>00</v>
      </c>
      <c r="AE31" s="97">
        <f ca="1">IF(LEFT(IFERROR(VLOOKUP(LOOKUP(2,1/SEARCH(B31,Товары!A:A),Товары!A:A),Товары!A:B,2,0),""),6)=MID(Z31,1,6),1,0)</f>
        <v>1</v>
      </c>
      <c r="AG31" s="97">
        <f ca="1">SUMIF(Группа!A:A,C31,Группа!C:C)</f>
        <v>1</v>
      </c>
      <c r="AH31" s="97">
        <f ca="1">SUMIF(Группа!B:B,AA31,Группа!C:C)</f>
        <v>1</v>
      </c>
      <c r="AI31" s="97">
        <f ca="1">SUMIF(Формы!A:A,D31,Формы!B:B)</f>
        <v>1</v>
      </c>
      <c r="AJ31" s="97">
        <f ca="1">SUMIF(Материал!A:A,K31,Материал!B:B)</f>
        <v>1</v>
      </c>
      <c r="AK31" s="97">
        <f ca="1">SUMIF(Размеры!A:A,R31,Размеры!E:E)</f>
        <v>1</v>
      </c>
      <c r="AL31" s="97">
        <f ca="1">SUMIF(Сезон!A:A,F31,Сезон!B:B)</f>
        <v>1</v>
      </c>
      <c r="AM31" s="97">
        <f ca="1">SUMIF(Состав!A:A,J31,Состав!B:B)</f>
        <v>1</v>
      </c>
      <c r="AN31" s="97">
        <f ca="1">VLOOKUP(I31,ЦветПолный!A:C,3,0)</f>
        <v>1</v>
      </c>
      <c r="AO31" s="97">
        <f ca="1">SUMIF(Цвет!A:A,Y31,Цвет!B:B)</f>
        <v>1</v>
      </c>
      <c r="AP31" s="97">
        <f ca="1">_xlfn.XLOOKUP(L31,Пол!A:A,Пол!B:B,0,0)</f>
        <v>1</v>
      </c>
      <c r="AQ31" s="97">
        <f ca="1">SUMIF(Марка!A:A,G31,Марка!B:B)</f>
        <v>1</v>
      </c>
      <c r="AR31" s="97">
        <f ca="1">SUMIF(Страна!A:A,M31,Страна!B:B)</f>
        <v>1</v>
      </c>
      <c r="AS31" s="64" t="str">
        <f ca="1">IF(VLOOKUP(V31,Товары!A:B,2,FALSE)=A31,"Есть в 1С","ERR")</f>
        <v>Есть в 1С</v>
      </c>
      <c r="AT31" s="65" t="str">
        <f ca="1">IF(VLOOKUP(A31,Товары!B:B,1,FALSE)=A31,"Есть в 1С","ERR")</f>
        <v>Есть в 1С</v>
      </c>
      <c r="AU31" s="96" t="str">
        <f ca="1">VLOOKUP(V31,Товары!A:B,2,FALSE)</f>
        <v>31-078-09</v>
      </c>
      <c r="AV31" s="94" t="str">
        <f ca="1">VLOOKUP(V31,Товары!A:B,1,FALSE)</f>
        <v>Шляпа BETMAR арт. B1431H DEMETRIA (белый / черный) {white.black}</v>
      </c>
    </row>
    <row r="32" spans="1:48" x14ac:dyDescent="0.25">
      <c r="A32" s="110" t="str">
        <f t="shared" ca="1" si="4"/>
        <v>31-064-42</v>
      </c>
      <c r="B32" s="107" t="str">
        <f ca="1">_xlfn.LET(_xlpm.CAPS,0,_xlpm.Style,_xlfn.XLOOKUP($A32,Строчный!$A:$A,Строчный!B:B,"ERR",0),IF(_xlpm.CAPS=0,_xlpm.Style,LOWER(_xlpm.Style)))</f>
        <v>B1134H RAMONA</v>
      </c>
      <c r="C32" s="81" t="str">
        <f ca="1">PROPER(_xlfn.XLOOKUP($A32,Строчный!$A:$A,Строчный!C:C,"ERR",0))</f>
        <v>Шляпы</v>
      </c>
      <c r="D32" s="81" t="str">
        <f ca="1">_xlfn.LET(_xlpm.DATA,(_xlfn.XLOOKUP($A32,Строчный!$A:$A,Строчный!D:D,"ERR",0)),UPPER(MID(_xlpm.DATA,1,1))&amp;LOWER(MID(_xlpm.DATA,2,LEN(_xlpm.DATA)-1)))</f>
        <v>Шляпа с широкими полями</v>
      </c>
      <c r="E32" s="81" t="str">
        <f ca="1">PROPER(_xlfn.XLOOKUP($A32,Строчный!$A:$A,Строчный!E:E,"ERR",0))</f>
        <v>Betmar</v>
      </c>
      <c r="F32" s="81" t="str">
        <f ca="1">LOWER(_xlfn.XLOOKUP($A32,Строчный!$A:$A,Строчный!F:F,"ERR",0))</f>
        <v>летний</v>
      </c>
      <c r="G32" s="81" t="str">
        <f ca="1">UPPER(_xlfn.XLOOKUP($A32,Строчный!$A:$A,Строчный!G:G,"ERR",0))</f>
        <v>BETMAR</v>
      </c>
      <c r="H32" s="81" t="str">
        <f ca="1">LOWER(_xlfn.XLOOKUP($A32,Строчный!$A:$A,Строчный!H:H,"ERR",0))</f>
        <v>natural multi</v>
      </c>
      <c r="I32" s="81" t="str">
        <f ca="1">LOWER(_xlfn.XLOOKUP($A32,Строчный!$A:$A,Строчный!I:I,"ERR",0))</f>
        <v>светло-бежевый</v>
      </c>
      <c r="J32" s="81" t="str">
        <f ca="1">SUBSTITUTE(LOWER(_xlfn.XLOOKUP($A32,Строчный!$A:$A,Строчный!J:J,"ERR",0)),"подклад","Подклад")</f>
        <v>88% бумага - 12% полиэстер</v>
      </c>
      <c r="K32" s="81" t="str">
        <f ca="1">LOWER(_xlfn.XLOOKUP($A32,Строчный!$A:$A,Строчный!K:K,"ERR",0))</f>
        <v>бумажные</v>
      </c>
      <c r="L32" s="81" t="str">
        <f ca="1">PROPER(_xlfn.XLOOKUP($A32,Строчный!$A:$A,Строчный!L:L,"ERR",0))</f>
        <v>Женский</v>
      </c>
      <c r="M32" s="113" t="str">
        <f ca="1">PROPER(_xlfn.XLOOKUP($A32,Строчный!$A:$A,Строчный!M:M,"ERR",0))</f>
        <v>Китай</v>
      </c>
      <c r="N32" s="81" t="str">
        <f ca="1">UPPER(_xlfn.XLOOKUP($A32,Строчный!$A:$A,Строчный!O:O,"ERR",0))</f>
        <v/>
      </c>
      <c r="O32" s="107" t="str">
        <f ca="1">PROPER(_xlfn.XLOOKUP($A32,Строчный!$A:$A,Строчный!P:P,"ERR",0))</f>
        <v/>
      </c>
      <c r="P32" s="90">
        <f ca="1">VALUE(_xlfn.XLOOKUP($A32,Строчный!$A:$A,Строчный!N:N,"ERR",0))</f>
        <v>537.03</v>
      </c>
      <c r="Q32" s="89" t="str">
        <f ca="1">_xlfn.XLOOKUP($G32,Фабрика!A:A,Фабрика!B:B,"ERR",0)</f>
        <v>Bollman Headwear Europe Ltd; 2 Merchants drive, Caelisle, Cumbria CA3 0JW, United Kingdom</v>
      </c>
      <c r="R32" s="80" t="str">
        <f ca="1">_xlfn.XLOOKUP(RIGHT(Z32,2),Размеры!D:D,Размеры!A:A,"ERR",0)</f>
        <v>ONE</v>
      </c>
      <c r="S32" s="80">
        <f ca="1">VALUE(_xlfn.XLOOKUP($Z32,Строчный!$R:$R,Строчный!T:T,"ERR",0))</f>
        <v>6</v>
      </c>
      <c r="T32" s="14" t="s">
        <v>265</v>
      </c>
      <c r="U32" s="101" t="str">
        <f t="shared" ca="1" si="0"/>
        <v>Шляпа BETMAR арт. B1134H RAMONA (светло-бежевый)</v>
      </c>
      <c r="V32" s="100" t="str">
        <f t="shared" ca="1" si="1"/>
        <v>Шляпа BETMAR арт. B1134H RAMONA (светло-бежевый) {natural multi}</v>
      </c>
      <c r="W32" s="18" t="str">
        <f t="shared" ca="1" si="2"/>
        <v>бежевый</v>
      </c>
      <c r="X32" s="18" t="str">
        <f t="shared" ca="1" si="3"/>
        <v>бежевый</v>
      </c>
      <c r="Y32" s="117" t="str">
        <f ca="1">_xlfn.LET(_xlpm.FormColors,_xlfn.XLOOKUP(A32,Строчный!A:A,Строчный!Q:Q,"",0),IF(_xlpm.FormColors=0,IFERROR(MID(I32,FIND("-",I32)+1,LEN(I32)),IFERROR(MID(I32,1,FIND("/",I32)-2),I32)),_xlpm.FormColors))</f>
        <v>бежевый</v>
      </c>
      <c r="Z32" s="73" t="str">
        <f ca="1"/>
        <v>31-064-42-00</v>
      </c>
      <c r="AA32" s="75" t="str">
        <f ca="1">VLOOKUP(C32,Группа!A:B,2,FALSE)</f>
        <v>Шляпа</v>
      </c>
      <c r="AB32" s="97" t="str">
        <f ca="1">IFERROR(VLOOKUP(R32,Размеры!A:C,3,FALSE),"")</f>
        <v>ONE</v>
      </c>
      <c r="AC32" s="97" t="str">
        <f ca="1">VLOOKUP(I32,ЦветПолный!A:B,2,FALSE)</f>
        <v>83</v>
      </c>
      <c r="AD32" s="97" t="str">
        <f ca="1">IFERROR(VLOOKUP(R32,Размеры!A:D,4,FALSE),"")</f>
        <v>00</v>
      </c>
      <c r="AE32" s="97">
        <f ca="1">IF(LEFT(IFERROR(VLOOKUP(LOOKUP(2,1/SEARCH(B32,Товары!A:A),Товары!A:A),Товары!A:B,2,0),""),6)=MID(Z32,1,6),1,0)</f>
        <v>1</v>
      </c>
      <c r="AG32" s="97">
        <f ca="1">SUMIF(Группа!A:A,C32,Группа!C:C)</f>
        <v>1</v>
      </c>
      <c r="AH32" s="97">
        <f ca="1">SUMIF(Группа!B:B,AA32,Группа!C:C)</f>
        <v>1</v>
      </c>
      <c r="AI32" s="97">
        <f ca="1">SUMIF(Формы!A:A,D32,Формы!B:B)</f>
        <v>1</v>
      </c>
      <c r="AJ32" s="97">
        <f ca="1">SUMIF(Материал!A:A,K32,Материал!B:B)</f>
        <v>1</v>
      </c>
      <c r="AK32" s="97">
        <f ca="1">SUMIF(Размеры!A:A,R32,Размеры!E:E)</f>
        <v>1</v>
      </c>
      <c r="AL32" s="97">
        <f ca="1">SUMIF(Сезон!A:A,F32,Сезон!B:B)</f>
        <v>1</v>
      </c>
      <c r="AM32" s="97">
        <f ca="1">SUMIF(Состав!A:A,J32,Состав!B:B)</f>
        <v>1</v>
      </c>
      <c r="AN32" s="97">
        <f ca="1">VLOOKUP(I32,ЦветПолный!A:C,3,0)</f>
        <v>1</v>
      </c>
      <c r="AO32" s="97">
        <f ca="1">SUMIF(Цвет!A:A,Y32,Цвет!B:B)</f>
        <v>1</v>
      </c>
      <c r="AP32" s="97">
        <f ca="1">_xlfn.XLOOKUP(L32,Пол!A:A,Пол!B:B,0,0)</f>
        <v>1</v>
      </c>
      <c r="AQ32" s="97">
        <f ca="1">SUMIF(Марка!A:A,G32,Марка!B:B)</f>
        <v>1</v>
      </c>
      <c r="AR32" s="97">
        <f ca="1">SUMIF(Страна!A:A,M32,Страна!B:B)</f>
        <v>1</v>
      </c>
      <c r="AS32" s="64" t="str">
        <f ca="1">IF(VLOOKUP(V32,Товары!A:B,2,FALSE)=A32,"Есть в 1С","ERR")</f>
        <v>Есть в 1С</v>
      </c>
      <c r="AT32" s="65" t="str">
        <f ca="1">IF(VLOOKUP(A32,Товары!B:B,1,FALSE)=A32,"Есть в 1С","ERR")</f>
        <v>Есть в 1С</v>
      </c>
      <c r="AU32" s="96" t="str">
        <f ca="1">VLOOKUP(V32,Товары!A:B,2,FALSE)</f>
        <v>31-064-42</v>
      </c>
      <c r="AV32" s="94" t="str">
        <f ca="1">VLOOKUP(V32,Товары!A:B,1,FALSE)</f>
        <v>Шляпа BETMAR арт. B1134H RAMONA (светло-бежевый) {natural multi}</v>
      </c>
    </row>
    <row r="33" spans="1:48" x14ac:dyDescent="0.25">
      <c r="A33" s="110" t="str">
        <f t="shared" ca="1" si="4"/>
        <v>31-064-13</v>
      </c>
      <c r="B33" s="107" t="str">
        <f ca="1">_xlfn.LET(_xlpm.CAPS,0,_xlpm.Style,_xlfn.XLOOKUP($A33,Строчный!$A:$A,Строчный!B:B,"ERR",0),IF(_xlpm.CAPS=0,_xlpm.Style,LOWER(_xlpm.Style)))</f>
        <v>B1134H RAMONA</v>
      </c>
      <c r="C33" s="81" t="str">
        <f ca="1">PROPER(_xlfn.XLOOKUP($A33,Строчный!$A:$A,Строчный!C:C,"ERR",0))</f>
        <v>Шляпы</v>
      </c>
      <c r="D33" s="81" t="str">
        <f ca="1">_xlfn.LET(_xlpm.DATA,(_xlfn.XLOOKUP($A33,Строчный!$A:$A,Строчный!D:D,"ERR",0)),UPPER(MID(_xlpm.DATA,1,1))&amp;LOWER(MID(_xlpm.DATA,2,LEN(_xlpm.DATA)-1)))</f>
        <v>Шляпа с широкими полями</v>
      </c>
      <c r="E33" s="81" t="str">
        <f ca="1">PROPER(_xlfn.XLOOKUP($A33,Строчный!$A:$A,Строчный!E:E,"ERR",0))</f>
        <v>Betmar</v>
      </c>
      <c r="F33" s="81" t="str">
        <f ca="1">LOWER(_xlfn.XLOOKUP($A33,Строчный!$A:$A,Строчный!F:F,"ERR",0))</f>
        <v>летний</v>
      </c>
      <c r="G33" s="81" t="str">
        <f ca="1">UPPER(_xlfn.XLOOKUP($A33,Строчный!$A:$A,Строчный!G:G,"ERR",0))</f>
        <v>BETMAR</v>
      </c>
      <c r="H33" s="81" t="str">
        <f ca="1">LOWER(_xlfn.XLOOKUP($A33,Строчный!$A:$A,Строчный!H:H,"ERR",0))</f>
        <v>tangerine</v>
      </c>
      <c r="I33" s="81" t="str">
        <f ca="1">LOWER(_xlfn.XLOOKUP($A33,Строчный!$A:$A,Строчный!I:I,"ERR",0))</f>
        <v>оранжевый</v>
      </c>
      <c r="J33" s="81" t="str">
        <f ca="1">SUBSTITUTE(LOWER(_xlfn.XLOOKUP($A33,Строчный!$A:$A,Строчный!J:J,"ERR",0)),"подклад","Подклад")</f>
        <v>88% бумага - 12% полиэстер</v>
      </c>
      <c r="K33" s="81" t="str">
        <f ca="1">LOWER(_xlfn.XLOOKUP($A33,Строчный!$A:$A,Строчный!K:K,"ERR",0))</f>
        <v>бумажные</v>
      </c>
      <c r="L33" s="81" t="str">
        <f ca="1">PROPER(_xlfn.XLOOKUP($A33,Строчный!$A:$A,Строчный!L:L,"ERR",0))</f>
        <v>Женский</v>
      </c>
      <c r="M33" s="113" t="str">
        <f ca="1">PROPER(_xlfn.XLOOKUP($A33,Строчный!$A:$A,Строчный!M:M,"ERR",0))</f>
        <v>Китай</v>
      </c>
      <c r="N33" s="81" t="str">
        <f ca="1">UPPER(_xlfn.XLOOKUP($A33,Строчный!$A:$A,Строчный!O:O,"ERR",0))</f>
        <v/>
      </c>
      <c r="O33" s="107" t="str">
        <f ca="1">PROPER(_xlfn.XLOOKUP($A33,Строчный!$A:$A,Строчный!P:P,"ERR",0))</f>
        <v/>
      </c>
      <c r="P33" s="90">
        <f ca="1">VALUE(_xlfn.XLOOKUP($A33,Строчный!$A:$A,Строчный!N:N,"ERR",0))</f>
        <v>537.03</v>
      </c>
      <c r="Q33" s="89" t="str">
        <f ca="1">_xlfn.XLOOKUP($G33,Фабрика!A:A,Фабрика!B:B,"ERR",0)</f>
        <v>Bollman Headwear Europe Ltd; 2 Merchants drive, Caelisle, Cumbria CA3 0JW, United Kingdom</v>
      </c>
      <c r="R33" s="80" t="str">
        <f ca="1">_xlfn.XLOOKUP(RIGHT(Z33,2),Размеры!D:D,Размеры!A:A,"ERR",0)</f>
        <v>ONE</v>
      </c>
      <c r="S33" s="80">
        <f ca="1">VALUE(_xlfn.XLOOKUP($Z33,Строчный!$R:$R,Строчный!T:T,"ERR",0))</f>
        <v>4</v>
      </c>
      <c r="T33" s="14" t="s">
        <v>265</v>
      </c>
      <c r="U33" s="101" t="str">
        <f t="shared" ca="1" si="0"/>
        <v>Шляпа BETMAR арт. B1134H RAMONA (оранжевый)</v>
      </c>
      <c r="V33" s="100" t="str">
        <f t="shared" ca="1" si="1"/>
        <v>Шляпа BETMAR арт. B1134H RAMONA (оранжевый) {tangerine}</v>
      </c>
      <c r="W33" s="18" t="str">
        <f t="shared" ca="1" si="2"/>
        <v>оранжевый</v>
      </c>
      <c r="X33" s="18" t="str">
        <f t="shared" ca="1" si="3"/>
        <v>оранжевый</v>
      </c>
      <c r="Y33" s="117" t="str">
        <f ca="1">_xlfn.LET(_xlpm.FormColors,_xlfn.XLOOKUP(A33,Строчный!A:A,Строчный!Q:Q,"",0),IF(_xlpm.FormColors=0,IFERROR(MID(I33,FIND("-",I33)+1,LEN(I33)),IFERROR(MID(I33,1,FIND("/",I33)-2),I33)),_xlpm.FormColors))</f>
        <v>оранжевый</v>
      </c>
      <c r="Z33" s="73" t="str">
        <f ca="1"/>
        <v>31-064-13-00</v>
      </c>
      <c r="AA33" s="75" t="str">
        <f ca="1">VLOOKUP(C33,Группа!A:B,2,FALSE)</f>
        <v>Шляпа</v>
      </c>
      <c r="AB33" s="97" t="str">
        <f ca="1">IFERROR(VLOOKUP(R33,Размеры!A:C,3,FALSE),"")</f>
        <v>ONE</v>
      </c>
      <c r="AC33" s="97" t="str">
        <f ca="1">VLOOKUP(I33,ЦветПолный!A:B,2,FALSE)</f>
        <v>13</v>
      </c>
      <c r="AD33" s="97" t="str">
        <f ca="1">IFERROR(VLOOKUP(R33,Размеры!A:D,4,FALSE),"")</f>
        <v>00</v>
      </c>
      <c r="AE33" s="97">
        <f ca="1">IF(LEFT(IFERROR(VLOOKUP(LOOKUP(2,1/SEARCH(B33,Товары!A:A),Товары!A:A),Товары!A:B,2,0),""),6)=MID(Z33,1,6),1,0)</f>
        <v>1</v>
      </c>
      <c r="AG33" s="97">
        <f ca="1">SUMIF(Группа!A:A,C33,Группа!C:C)</f>
        <v>1</v>
      </c>
      <c r="AH33" s="97">
        <f ca="1">SUMIF(Группа!B:B,AA33,Группа!C:C)</f>
        <v>1</v>
      </c>
      <c r="AI33" s="97">
        <f ca="1">SUMIF(Формы!A:A,D33,Формы!B:B)</f>
        <v>1</v>
      </c>
      <c r="AJ33" s="97">
        <f ca="1">SUMIF(Материал!A:A,K33,Материал!B:B)</f>
        <v>1</v>
      </c>
      <c r="AK33" s="97">
        <f ca="1">SUMIF(Размеры!A:A,R33,Размеры!E:E)</f>
        <v>1</v>
      </c>
      <c r="AL33" s="97">
        <f ca="1">SUMIF(Сезон!A:A,F33,Сезон!B:B)</f>
        <v>1</v>
      </c>
      <c r="AM33" s="97">
        <f ca="1">SUMIF(Состав!A:A,J33,Состав!B:B)</f>
        <v>1</v>
      </c>
      <c r="AN33" s="97">
        <f ca="1">VLOOKUP(I33,ЦветПолный!A:C,3,0)</f>
        <v>1</v>
      </c>
      <c r="AO33" s="97">
        <f ca="1">SUMIF(Цвет!A:A,Y33,Цвет!B:B)</f>
        <v>1</v>
      </c>
      <c r="AP33" s="97">
        <f ca="1">_xlfn.XLOOKUP(L33,Пол!A:A,Пол!B:B,0,0)</f>
        <v>1</v>
      </c>
      <c r="AQ33" s="97">
        <f ca="1">SUMIF(Марка!A:A,G33,Марка!B:B)</f>
        <v>1</v>
      </c>
      <c r="AR33" s="97">
        <f ca="1">SUMIF(Страна!A:A,M33,Страна!B:B)</f>
        <v>1</v>
      </c>
      <c r="AS33" s="64" t="str">
        <f ca="1">IF(VLOOKUP(V33,Товары!A:B,2,FALSE)=A33,"Есть в 1С","ERR")</f>
        <v>Есть в 1С</v>
      </c>
      <c r="AT33" s="65" t="str">
        <f ca="1">IF(VLOOKUP(A33,Товары!B:B,1,FALSE)=A33,"Есть в 1С","ERR")</f>
        <v>Есть в 1С</v>
      </c>
      <c r="AU33" s="96" t="str">
        <f ca="1">VLOOKUP(V33,Товары!A:B,2,FALSE)</f>
        <v>31-064-13</v>
      </c>
      <c r="AV33" s="94" t="str">
        <f ca="1">VLOOKUP(V33,Товары!A:B,1,FALSE)</f>
        <v>Шляпа BETMAR арт. B1134H RAMONA (оранжевый) {tangerine}</v>
      </c>
    </row>
    <row r="34" spans="1:48" x14ac:dyDescent="0.25">
      <c r="A34" s="110" t="str">
        <f t="shared" ca="1" si="4"/>
        <v>31-064-06</v>
      </c>
      <c r="B34" s="107" t="str">
        <f ca="1">_xlfn.LET(_xlpm.CAPS,0,_xlpm.Style,_xlfn.XLOOKUP($A34,Строчный!$A:$A,Строчный!B:B,"ERR",0),IF(_xlpm.CAPS=0,_xlpm.Style,LOWER(_xlpm.Style)))</f>
        <v>B1134H RAMONA</v>
      </c>
      <c r="C34" s="81" t="str">
        <f ca="1">PROPER(_xlfn.XLOOKUP($A34,Строчный!$A:$A,Строчный!C:C,"ERR",0))</f>
        <v>Шляпы</v>
      </c>
      <c r="D34" s="81" t="str">
        <f ca="1">_xlfn.LET(_xlpm.DATA,(_xlfn.XLOOKUP($A34,Строчный!$A:$A,Строчный!D:D,"ERR",0)),UPPER(MID(_xlpm.DATA,1,1))&amp;LOWER(MID(_xlpm.DATA,2,LEN(_xlpm.DATA)-1)))</f>
        <v>Шляпа с широкими полями</v>
      </c>
      <c r="E34" s="81" t="str">
        <f ca="1">PROPER(_xlfn.XLOOKUP($A34,Строчный!$A:$A,Строчный!E:E,"ERR",0))</f>
        <v>Betmar</v>
      </c>
      <c r="F34" s="81" t="str">
        <f ca="1">LOWER(_xlfn.XLOOKUP($A34,Строчный!$A:$A,Строчный!F:F,"ERR",0))</f>
        <v>летний</v>
      </c>
      <c r="G34" s="81" t="str">
        <f ca="1">UPPER(_xlfn.XLOOKUP($A34,Строчный!$A:$A,Строчный!G:G,"ERR",0))</f>
        <v>BETMAR</v>
      </c>
      <c r="H34" s="81" t="str">
        <f ca="1">LOWER(_xlfn.XLOOKUP($A34,Строчный!$A:$A,Строчный!H:H,"ERR",0))</f>
        <v>navy</v>
      </c>
      <c r="I34" s="81" t="str">
        <f ca="1">LOWER(_xlfn.XLOOKUP($A34,Строчный!$A:$A,Строчный!I:I,"ERR",0))</f>
        <v>синий</v>
      </c>
      <c r="J34" s="81" t="str">
        <f ca="1">SUBSTITUTE(LOWER(_xlfn.XLOOKUP($A34,Строчный!$A:$A,Строчный!J:J,"ERR",0)),"подклад","Подклад")</f>
        <v>88% бумага - 12% полиэстер</v>
      </c>
      <c r="K34" s="81" t="str">
        <f ca="1">LOWER(_xlfn.XLOOKUP($A34,Строчный!$A:$A,Строчный!K:K,"ERR",0))</f>
        <v>бумажные</v>
      </c>
      <c r="L34" s="81" t="str">
        <f ca="1">PROPER(_xlfn.XLOOKUP($A34,Строчный!$A:$A,Строчный!L:L,"ERR",0))</f>
        <v>Женский</v>
      </c>
      <c r="M34" s="113" t="str">
        <f ca="1">PROPER(_xlfn.XLOOKUP($A34,Строчный!$A:$A,Строчный!M:M,"ERR",0))</f>
        <v>Китай</v>
      </c>
      <c r="N34" s="81" t="str">
        <f ca="1">UPPER(_xlfn.XLOOKUP($A34,Строчный!$A:$A,Строчный!O:O,"ERR",0))</f>
        <v/>
      </c>
      <c r="O34" s="107" t="str">
        <f ca="1">PROPER(_xlfn.XLOOKUP($A34,Строчный!$A:$A,Строчный!P:P,"ERR",0))</f>
        <v/>
      </c>
      <c r="P34" s="90">
        <f ca="1">VALUE(_xlfn.XLOOKUP($A34,Строчный!$A:$A,Строчный!N:N,"ERR",0))</f>
        <v>537.03</v>
      </c>
      <c r="Q34" s="89" t="str">
        <f ca="1">_xlfn.XLOOKUP($G34,Фабрика!A:A,Фабрика!B:B,"ERR",0)</f>
        <v>Bollman Headwear Europe Ltd; 2 Merchants drive, Caelisle, Cumbria CA3 0JW, United Kingdom</v>
      </c>
      <c r="R34" s="80" t="str">
        <f ca="1">_xlfn.XLOOKUP(RIGHT(Z34,2),Размеры!D:D,Размеры!A:A,"ERR",0)</f>
        <v>ONE</v>
      </c>
      <c r="S34" s="80">
        <f ca="1">VALUE(_xlfn.XLOOKUP($Z34,Строчный!$R:$R,Строчный!T:T,"ERR",0))</f>
        <v>6</v>
      </c>
      <c r="T34" s="14" t="s">
        <v>265</v>
      </c>
      <c r="U34" s="101" t="str">
        <f t="shared" ref="U34:U51" ca="1" si="5">CONCATENATE(AA34," ",G34," арт. ",B34," (",I34,")")</f>
        <v>Шляпа BETMAR арт. B1134H RAMONA (синий)</v>
      </c>
      <c r="V34" s="100" t="str">
        <f t="shared" ref="V34:V51" ca="1" si="6">CONCATENATE(AA34," ",G34," арт. ",B34," (",I34,") {",H34,"}")</f>
        <v>Шляпа BETMAR арт. B1134H RAMONA (синий) {navy}</v>
      </c>
      <c r="W34" s="18" t="str">
        <f t="shared" ref="W34:W51" ca="1" si="7">IFERROR(MID(I34,FIND("-",I34)+1,LEN(I34)),IFERROR(MID(I34,1,FIND("/",I34)-2),I34))</f>
        <v>синий</v>
      </c>
      <c r="X34" s="18" t="str">
        <f t="shared" ref="X34:X51" ca="1" si="8">IFERROR(MID(I34,FIND("-",I34)+1,LEN(I34)),IFERROR(MID(I34,FIND("/",I34)+2,LEN(I34)),I34))</f>
        <v>синий</v>
      </c>
      <c r="Y34" s="117" t="str">
        <f ca="1">_xlfn.LET(_xlpm.FormColors,_xlfn.XLOOKUP(A34,Строчный!A:A,Строчный!Q:Q,"",0),IF(_xlpm.FormColors=0,IFERROR(MID(I34,FIND("-",I34)+1,LEN(I34)),IFERROR(MID(I34,1,FIND("/",I34)-2),I34)),_xlpm.FormColors))</f>
        <v>синий</v>
      </c>
      <c r="Z34" s="73" t="str">
        <f ca="1"/>
        <v>31-064-06-00</v>
      </c>
      <c r="AA34" s="75" t="str">
        <f ca="1">VLOOKUP(C34,Группа!A:B,2,FALSE)</f>
        <v>Шляпа</v>
      </c>
      <c r="AB34" s="97" t="str">
        <f ca="1">IFERROR(VLOOKUP(R34,Размеры!A:C,3,FALSE),"")</f>
        <v>ONE</v>
      </c>
      <c r="AC34" s="97" t="str">
        <f ca="1">VLOOKUP(I34,ЦветПолный!A:B,2,FALSE)</f>
        <v>06</v>
      </c>
      <c r="AD34" s="97" t="str">
        <f ca="1">IFERROR(VLOOKUP(R34,Размеры!A:D,4,FALSE),"")</f>
        <v>00</v>
      </c>
      <c r="AE34" s="97">
        <f ca="1">IF(LEFT(IFERROR(VLOOKUP(LOOKUP(2,1/SEARCH(B34,Товары!A:A),Товары!A:A),Товары!A:B,2,0),""),6)=MID(Z34,1,6),1,0)</f>
        <v>1</v>
      </c>
      <c r="AG34" s="97">
        <f ca="1">SUMIF(Группа!A:A,C34,Группа!C:C)</f>
        <v>1</v>
      </c>
      <c r="AH34" s="97">
        <f ca="1">SUMIF(Группа!B:B,AA34,Группа!C:C)</f>
        <v>1</v>
      </c>
      <c r="AI34" s="97">
        <f ca="1">SUMIF(Формы!A:A,D34,Формы!B:B)</f>
        <v>1</v>
      </c>
      <c r="AJ34" s="97">
        <f ca="1">SUMIF(Материал!A:A,K34,Материал!B:B)</f>
        <v>1</v>
      </c>
      <c r="AK34" s="97">
        <f ca="1">SUMIF(Размеры!A:A,R34,Размеры!E:E)</f>
        <v>1</v>
      </c>
      <c r="AL34" s="97">
        <f ca="1">SUMIF(Сезон!A:A,F34,Сезон!B:B)</f>
        <v>1</v>
      </c>
      <c r="AM34" s="97">
        <f ca="1">SUMIF(Состав!A:A,J34,Состав!B:B)</f>
        <v>1</v>
      </c>
      <c r="AN34" s="97">
        <f ca="1">VLOOKUP(I34,ЦветПолный!A:C,3,0)</f>
        <v>1</v>
      </c>
      <c r="AO34" s="97">
        <f ca="1">SUMIF(Цвет!A:A,Y34,Цвет!B:B)</f>
        <v>1</v>
      </c>
      <c r="AP34" s="97">
        <f ca="1">_xlfn.XLOOKUP(L34,Пол!A:A,Пол!B:B,0,0)</f>
        <v>1</v>
      </c>
      <c r="AQ34" s="97">
        <f ca="1">SUMIF(Марка!A:A,G34,Марка!B:B)</f>
        <v>1</v>
      </c>
      <c r="AR34" s="97">
        <f ca="1">SUMIF(Страна!A:A,M34,Страна!B:B)</f>
        <v>1</v>
      </c>
      <c r="AS34" s="64" t="str">
        <f ca="1">IF(VLOOKUP(V34,Товары!A:B,2,FALSE)=A34,"Есть в 1С","ERR")</f>
        <v>Есть в 1С</v>
      </c>
      <c r="AT34" s="65" t="str">
        <f ca="1">IF(VLOOKUP(A34,Товары!B:B,1,FALSE)=A34,"Есть в 1С","ERR")</f>
        <v>Есть в 1С</v>
      </c>
      <c r="AU34" s="96" t="str">
        <f ca="1">VLOOKUP(V34,Товары!A:B,2,FALSE)</f>
        <v>31-064-06</v>
      </c>
      <c r="AV34" s="94" t="str">
        <f ca="1">VLOOKUP(V34,Товары!A:B,1,FALSE)</f>
        <v>Шляпа BETMAR арт. B1134H RAMONA (синий) {navy}</v>
      </c>
    </row>
    <row r="35" spans="1:48" x14ac:dyDescent="0.25">
      <c r="A35" s="110" t="str">
        <f t="shared" ca="1" si="4"/>
        <v>31-064-01</v>
      </c>
      <c r="B35" s="107" t="str">
        <f ca="1">_xlfn.LET(_xlpm.CAPS,0,_xlpm.Style,_xlfn.XLOOKUP($A35,Строчный!$A:$A,Строчный!B:B,"ERR",0),IF(_xlpm.CAPS=0,_xlpm.Style,LOWER(_xlpm.Style)))</f>
        <v>B1134H RAMONA</v>
      </c>
      <c r="C35" s="81" t="str">
        <f ca="1">PROPER(_xlfn.XLOOKUP($A35,Строчный!$A:$A,Строчный!C:C,"ERR",0))</f>
        <v>Шляпы</v>
      </c>
      <c r="D35" s="81" t="str">
        <f ca="1">_xlfn.LET(_xlpm.DATA,(_xlfn.XLOOKUP($A35,Строчный!$A:$A,Строчный!D:D,"ERR",0)),UPPER(MID(_xlpm.DATA,1,1))&amp;LOWER(MID(_xlpm.DATA,2,LEN(_xlpm.DATA)-1)))</f>
        <v>Шляпа с широкими полями</v>
      </c>
      <c r="E35" s="81" t="str">
        <f ca="1">PROPER(_xlfn.XLOOKUP($A35,Строчный!$A:$A,Строчный!E:E,"ERR",0))</f>
        <v>Betmar</v>
      </c>
      <c r="F35" s="81" t="str">
        <f ca="1">LOWER(_xlfn.XLOOKUP($A35,Строчный!$A:$A,Строчный!F:F,"ERR",0))</f>
        <v>летний</v>
      </c>
      <c r="G35" s="81" t="str">
        <f ca="1">UPPER(_xlfn.XLOOKUP($A35,Строчный!$A:$A,Строчный!G:G,"ERR",0))</f>
        <v>BETMAR</v>
      </c>
      <c r="H35" s="81" t="str">
        <f ca="1">LOWER(_xlfn.XLOOKUP($A35,Строчный!$A:$A,Строчный!H:H,"ERR",0))</f>
        <v>light grey multi</v>
      </c>
      <c r="I35" s="81" t="str">
        <f ca="1">LOWER(_xlfn.XLOOKUP($A35,Строчный!$A:$A,Строчный!I:I,"ERR",0))</f>
        <v>светло-серый</v>
      </c>
      <c r="J35" s="81" t="str">
        <f ca="1">SUBSTITUTE(LOWER(_xlfn.XLOOKUP($A35,Строчный!$A:$A,Строчный!J:J,"ERR",0)),"подклад","Подклад")</f>
        <v>88% бумага - 12% полиэстер</v>
      </c>
      <c r="K35" s="81" t="str">
        <f ca="1">LOWER(_xlfn.XLOOKUP($A35,Строчный!$A:$A,Строчный!K:K,"ERR",0))</f>
        <v>бумажные</v>
      </c>
      <c r="L35" s="81" t="str">
        <f ca="1">PROPER(_xlfn.XLOOKUP($A35,Строчный!$A:$A,Строчный!L:L,"ERR",0))</f>
        <v>Женский</v>
      </c>
      <c r="M35" s="113" t="str">
        <f ca="1">PROPER(_xlfn.XLOOKUP($A35,Строчный!$A:$A,Строчный!M:M,"ERR",0))</f>
        <v>Китай</v>
      </c>
      <c r="N35" s="81" t="str">
        <f ca="1">UPPER(_xlfn.XLOOKUP($A35,Строчный!$A:$A,Строчный!O:O,"ERR",0))</f>
        <v/>
      </c>
      <c r="O35" s="107" t="str">
        <f ca="1">PROPER(_xlfn.XLOOKUP($A35,Строчный!$A:$A,Строчный!P:P,"ERR",0))</f>
        <v/>
      </c>
      <c r="P35" s="90">
        <f ca="1">VALUE(_xlfn.XLOOKUP($A35,Строчный!$A:$A,Строчный!N:N,"ERR",0))</f>
        <v>537.03</v>
      </c>
      <c r="Q35" s="89" t="str">
        <f ca="1">_xlfn.XLOOKUP($G35,Фабрика!A:A,Фабрика!B:B,"ERR",0)</f>
        <v>Bollman Headwear Europe Ltd; 2 Merchants drive, Caelisle, Cumbria CA3 0JW, United Kingdom</v>
      </c>
      <c r="R35" s="80" t="str">
        <f ca="1">_xlfn.XLOOKUP(RIGHT(Z35,2),Размеры!D:D,Размеры!A:A,"ERR",0)</f>
        <v>ONE</v>
      </c>
      <c r="S35" s="80">
        <f ca="1">VALUE(_xlfn.XLOOKUP($Z35,Строчный!$R:$R,Строчный!T:T,"ERR",0))</f>
        <v>6</v>
      </c>
      <c r="T35" s="14" t="s">
        <v>265</v>
      </c>
      <c r="U35" s="101" t="str">
        <f t="shared" ca="1" si="5"/>
        <v>Шляпа BETMAR арт. B1134H RAMONA (светло-серый)</v>
      </c>
      <c r="V35" s="100" t="str">
        <f t="shared" ca="1" si="6"/>
        <v>Шляпа BETMAR арт. B1134H RAMONA (светло-серый) {light grey multi}</v>
      </c>
      <c r="W35" s="18" t="str">
        <f t="shared" ca="1" si="7"/>
        <v>серый</v>
      </c>
      <c r="X35" s="18" t="str">
        <f t="shared" ca="1" si="8"/>
        <v>серый</v>
      </c>
      <c r="Y35" s="117" t="str">
        <f ca="1">_xlfn.LET(_xlpm.FormColors,_xlfn.XLOOKUP(A35,Строчный!A:A,Строчный!Q:Q,"",0),IF(_xlpm.FormColors=0,IFERROR(MID(I35,FIND("-",I35)+1,LEN(I35)),IFERROR(MID(I35,1,FIND("/",I35)-2),I35)),_xlpm.FormColors))</f>
        <v>серый</v>
      </c>
      <c r="Z35" s="73" t="str">
        <f ca="1"/>
        <v>31-064-01-00</v>
      </c>
      <c r="AA35" s="75" t="str">
        <f ca="1">VLOOKUP(C35,Группа!A:B,2,FALSE)</f>
        <v>Шляпа</v>
      </c>
      <c r="AB35" s="97" t="str">
        <f ca="1">IFERROR(VLOOKUP(R35,Размеры!A:C,3,FALSE),"")</f>
        <v>ONE</v>
      </c>
      <c r="AC35" s="97" t="str">
        <f ca="1">VLOOKUP(I35,ЦветПолный!A:B,2,FALSE)</f>
        <v>01</v>
      </c>
      <c r="AD35" s="97" t="str">
        <f ca="1">IFERROR(VLOOKUP(R35,Размеры!A:D,4,FALSE),"")</f>
        <v>00</v>
      </c>
      <c r="AE35" s="97">
        <f ca="1">IF(LEFT(IFERROR(VLOOKUP(LOOKUP(2,1/SEARCH(B35,Товары!A:A),Товары!A:A),Товары!A:B,2,0),""),6)=MID(Z35,1,6),1,0)</f>
        <v>1</v>
      </c>
      <c r="AG35" s="97">
        <f ca="1">SUMIF(Группа!A:A,C35,Группа!C:C)</f>
        <v>1</v>
      </c>
      <c r="AH35" s="97">
        <f ca="1">SUMIF(Группа!B:B,AA35,Группа!C:C)</f>
        <v>1</v>
      </c>
      <c r="AI35" s="97">
        <f ca="1">SUMIF(Формы!A:A,D35,Формы!B:B)</f>
        <v>1</v>
      </c>
      <c r="AJ35" s="97">
        <f ca="1">SUMIF(Материал!A:A,K35,Материал!B:B)</f>
        <v>1</v>
      </c>
      <c r="AK35" s="97">
        <f ca="1">SUMIF(Размеры!A:A,R35,Размеры!E:E)</f>
        <v>1</v>
      </c>
      <c r="AL35" s="97">
        <f ca="1">SUMIF(Сезон!A:A,F35,Сезон!B:B)</f>
        <v>1</v>
      </c>
      <c r="AM35" s="97">
        <f ca="1">SUMIF(Состав!A:A,J35,Состав!B:B)</f>
        <v>1</v>
      </c>
      <c r="AN35" s="97">
        <f ca="1">VLOOKUP(I35,ЦветПолный!A:C,3,0)</f>
        <v>1</v>
      </c>
      <c r="AO35" s="97">
        <f ca="1">SUMIF(Цвет!A:A,Y35,Цвет!B:B)</f>
        <v>1</v>
      </c>
      <c r="AP35" s="97">
        <f ca="1">_xlfn.XLOOKUP(L35,Пол!A:A,Пол!B:B,0,0)</f>
        <v>1</v>
      </c>
      <c r="AQ35" s="97">
        <f ca="1">SUMIF(Марка!A:A,G35,Марка!B:B)</f>
        <v>1</v>
      </c>
      <c r="AR35" s="97">
        <f ca="1">SUMIF(Страна!A:A,M35,Страна!B:B)</f>
        <v>1</v>
      </c>
      <c r="AS35" s="64" t="str">
        <f ca="1">IF(VLOOKUP(V35,Товары!A:B,2,FALSE)=A35,"Есть в 1С","ERR")</f>
        <v>Есть в 1С</v>
      </c>
      <c r="AT35" s="65" t="str">
        <f ca="1">IF(VLOOKUP(A35,Товары!B:B,1,FALSE)=A35,"Есть в 1С","ERR")</f>
        <v>Есть в 1С</v>
      </c>
      <c r="AU35" s="96" t="str">
        <f ca="1">VLOOKUP(V35,Товары!A:B,2,FALSE)</f>
        <v>31-064-01</v>
      </c>
      <c r="AV35" s="94" t="str">
        <f ca="1">VLOOKUP(V35,Товары!A:B,1,FALSE)</f>
        <v>Шляпа BETMAR арт. B1134H RAMONA (светло-серый) {light grey multi}</v>
      </c>
    </row>
    <row r="36" spans="1:48" x14ac:dyDescent="0.25">
      <c r="A36" s="110" t="str">
        <f t="shared" ca="1" si="4"/>
        <v>31-056-17</v>
      </c>
      <c r="B36" s="107" t="str">
        <f ca="1">_xlfn.LET(_xlpm.CAPS,0,_xlpm.Style,_xlfn.XLOOKUP($A36,Строчный!$A:$A,Строчный!B:B,"ERR",0),IF(_xlpm.CAPS=0,_xlpm.Style,LOWER(_xlpm.Style)))</f>
        <v>B124 Dunewood Visor</v>
      </c>
      <c r="C36" s="81" t="str">
        <f ca="1">PROPER(_xlfn.XLOOKUP($A36,Строчный!$A:$A,Строчный!C:C,"ERR",0))</f>
        <v>Козыреки</v>
      </c>
      <c r="D36" s="81" t="str">
        <f ca="1">_xlfn.LET(_xlpm.DATA,(_xlfn.XLOOKUP($A36,Строчный!$A:$A,Строчный!D:D,"ERR",0)),UPPER(MID(_xlpm.DATA,1,1))&amp;LOWER(MID(_xlpm.DATA,2,LEN(_xlpm.DATA)-1)))</f>
        <v>Козырек</v>
      </c>
      <c r="E36" s="81" t="str">
        <f ca="1">PROPER(_xlfn.XLOOKUP($A36,Строчный!$A:$A,Строчный!E:E,"ERR",0))</f>
        <v>Betmar</v>
      </c>
      <c r="F36" s="81" t="str">
        <f ca="1">LOWER(_xlfn.XLOOKUP($A36,Строчный!$A:$A,Строчный!F:F,"ERR",0))</f>
        <v>летний</v>
      </c>
      <c r="G36" s="81" t="str">
        <f ca="1">UPPER(_xlfn.XLOOKUP($A36,Строчный!$A:$A,Строчный!G:G,"ERR",0))</f>
        <v>BETMAR</v>
      </c>
      <c r="H36" s="81" t="str">
        <f ca="1">LOWER(_xlfn.XLOOKUP($A36,Строчный!$A:$A,Строчный!H:H,"ERR",0))</f>
        <v>natural.white</v>
      </c>
      <c r="I36" s="81" t="str">
        <f ca="1">LOWER(_xlfn.XLOOKUP($A36,Строчный!$A:$A,Строчный!I:I,"ERR",0))</f>
        <v>бежевый / белый</v>
      </c>
      <c r="J36" s="81" t="str">
        <f ca="1">SUBSTITUTE(LOWER(_xlfn.XLOOKUP($A36,Строчный!$A:$A,Строчный!J:J,"ERR",0)),"подклад","Подклад")</f>
        <v>100% солома</v>
      </c>
      <c r="K36" s="81" t="str">
        <f ca="1">LOWER(_xlfn.XLOOKUP($A36,Строчный!$A:$A,Строчный!K:K,"ERR",0))</f>
        <v>соломенные</v>
      </c>
      <c r="L36" s="81" t="str">
        <f ca="1">PROPER(_xlfn.XLOOKUP($A36,Строчный!$A:$A,Строчный!L:L,"ERR",0))</f>
        <v>Женский</v>
      </c>
      <c r="M36" s="113" t="str">
        <f ca="1">PROPER(_xlfn.XLOOKUP($A36,Строчный!$A:$A,Строчный!M:M,"ERR",0))</f>
        <v>Китай</v>
      </c>
      <c r="N36" s="81" t="str">
        <f ca="1">UPPER(_xlfn.XLOOKUP($A36,Строчный!$A:$A,Строчный!O:O,"ERR",0))</f>
        <v/>
      </c>
      <c r="O36" s="107" t="str">
        <f ca="1">PROPER(_xlfn.XLOOKUP($A36,Строчный!$A:$A,Строчный!P:P,"ERR",0))</f>
        <v/>
      </c>
      <c r="P36" s="90">
        <f ca="1">VALUE(_xlfn.XLOOKUP($A36,Строчный!$A:$A,Строчный!N:N,"ERR",0))</f>
        <v>676.26</v>
      </c>
      <c r="Q36" s="89" t="str">
        <f ca="1">_xlfn.XLOOKUP($G36,Фабрика!A:A,Фабрика!B:B,"ERR",0)</f>
        <v>Bollman Headwear Europe Ltd; 2 Merchants drive, Caelisle, Cumbria CA3 0JW, United Kingdom</v>
      </c>
      <c r="R36" s="80" t="str">
        <f ca="1">_xlfn.XLOOKUP(RIGHT(Z36,2),Размеры!D:D,Размеры!A:A,"ERR",0)</f>
        <v>ONE</v>
      </c>
      <c r="S36" s="80">
        <f ca="1">VALUE(_xlfn.XLOOKUP($Z36,Строчный!$R:$R,Строчный!T:T,"ERR",0))</f>
        <v>3</v>
      </c>
      <c r="T36" s="14" t="s">
        <v>265</v>
      </c>
      <c r="U36" s="101" t="str">
        <f t="shared" ca="1" si="5"/>
        <v>Козырек BETMAR арт. B124 Dunewood Visor (бежевый / белый)</v>
      </c>
      <c r="V36" s="100" t="str">
        <f t="shared" ca="1" si="6"/>
        <v>Козырек BETMAR арт. B124 Dunewood Visor (бежевый / белый) {natural.white}</v>
      </c>
      <c r="W36" s="18" t="str">
        <f t="shared" ca="1" si="7"/>
        <v>бежевый</v>
      </c>
      <c r="X36" s="18" t="str">
        <f t="shared" ca="1" si="8"/>
        <v>белый</v>
      </c>
      <c r="Y36" s="117" t="str">
        <f ca="1">_xlfn.LET(_xlpm.FormColors,_xlfn.XLOOKUP(A36,Строчный!A:A,Строчный!Q:Q,"",0),IF(_xlpm.FormColors=0,IFERROR(MID(I36,FIND("-",I36)+1,LEN(I36)),IFERROR(MID(I36,1,FIND("/",I36)-2),I36)),_xlpm.FormColors))</f>
        <v>бежевый</v>
      </c>
      <c r="Z36" s="73" t="str">
        <f ca="1"/>
        <v>31-056-17-00</v>
      </c>
      <c r="AA36" s="75" t="str">
        <f ca="1">VLOOKUP(C36,Группа!A:B,2,FALSE)</f>
        <v>Козырек</v>
      </c>
      <c r="AB36" s="97" t="str">
        <f ca="1">IFERROR(VLOOKUP(R36,Размеры!A:C,3,FALSE),"")</f>
        <v>ONE</v>
      </c>
      <c r="AC36" s="97" t="str">
        <f ca="1">VLOOKUP(I36,ЦветПолный!A:B,2,FALSE)</f>
        <v>17</v>
      </c>
      <c r="AD36" s="97" t="str">
        <f ca="1">IFERROR(VLOOKUP(R36,Размеры!A:D,4,FALSE),"")</f>
        <v>00</v>
      </c>
      <c r="AE36" s="97">
        <f ca="1">IF(LEFT(IFERROR(VLOOKUP(LOOKUP(2,1/SEARCH(B36,Товары!A:A),Товары!A:A),Товары!A:B,2,0),""),6)=MID(Z36,1,6),1,0)</f>
        <v>1</v>
      </c>
      <c r="AG36" s="97">
        <f ca="1">SUMIF(Группа!A:A,C36,Группа!C:C)</f>
        <v>1</v>
      </c>
      <c r="AH36" s="97">
        <f ca="1">SUMIF(Группа!B:B,AA36,Группа!C:C)</f>
        <v>1</v>
      </c>
      <c r="AI36" s="97">
        <f ca="1">SUMIF(Формы!A:A,D36,Формы!B:B)</f>
        <v>1</v>
      </c>
      <c r="AJ36" s="97">
        <f ca="1">SUMIF(Материал!A:A,K36,Материал!B:B)</f>
        <v>1</v>
      </c>
      <c r="AK36" s="97">
        <f ca="1">SUMIF(Размеры!A:A,R36,Размеры!E:E)</f>
        <v>1</v>
      </c>
      <c r="AL36" s="97">
        <f ca="1">SUMIF(Сезон!A:A,F36,Сезон!B:B)</f>
        <v>1</v>
      </c>
      <c r="AM36" s="97">
        <f ca="1">SUMIF(Состав!A:A,J36,Состав!B:B)</f>
        <v>1</v>
      </c>
      <c r="AN36" s="97">
        <f ca="1">VLOOKUP(I36,ЦветПолный!A:C,3,0)</f>
        <v>1</v>
      </c>
      <c r="AO36" s="97">
        <f ca="1">SUMIF(Цвет!A:A,Y36,Цвет!B:B)</f>
        <v>1</v>
      </c>
      <c r="AP36" s="97">
        <f ca="1">_xlfn.XLOOKUP(L36,Пол!A:A,Пол!B:B,0,0)</f>
        <v>1</v>
      </c>
      <c r="AQ36" s="97">
        <f ca="1">SUMIF(Марка!A:A,G36,Марка!B:B)</f>
        <v>1</v>
      </c>
      <c r="AR36" s="97">
        <f ca="1">SUMIF(Страна!A:A,M36,Страна!B:B)</f>
        <v>1</v>
      </c>
      <c r="AS36" s="64" t="str">
        <f ca="1">IF(VLOOKUP(V36,Товары!A:B,2,FALSE)=A36,"Есть в 1С","ERR")</f>
        <v>Есть в 1С</v>
      </c>
      <c r="AT36" s="65" t="str">
        <f ca="1">IF(VLOOKUP(A36,Товары!B:B,1,FALSE)=A36,"Есть в 1С","ERR")</f>
        <v>Есть в 1С</v>
      </c>
      <c r="AU36" s="96" t="str">
        <f ca="1">VLOOKUP(V36,Товары!A:B,2,FALSE)</f>
        <v>31-056-17</v>
      </c>
      <c r="AV36" s="94" t="str">
        <f ca="1">VLOOKUP(V36,Товары!A:B,1,FALSE)</f>
        <v>Козырек BETMAR арт. B124 Dunewood Visor (бежевый / белый) {natural.white}</v>
      </c>
    </row>
    <row r="37" spans="1:48" x14ac:dyDescent="0.25">
      <c r="A37" s="110" t="str">
        <f t="shared" ca="1" si="4"/>
        <v>31-053-48</v>
      </c>
      <c r="B37" s="107" t="str">
        <f ca="1">_xlfn.LET(_xlpm.CAPS,0,_xlpm.Style,_xlfn.XLOOKUP($A37,Строчный!$A:$A,Строчный!B:B,"ERR",0),IF(_xlpm.CAPS=0,_xlpm.Style,LOWER(_xlpm.Style)))</f>
        <v>B964 FACE FRAMER</v>
      </c>
      <c r="C37" s="81" t="str">
        <f ca="1">PROPER(_xlfn.XLOOKUP($A37,Строчный!$A:$A,Строчный!C:C,"ERR",0))</f>
        <v>Кепки</v>
      </c>
      <c r="D37" s="81" t="str">
        <f ca="1">_xlfn.LET(_xlpm.DATA,(_xlfn.XLOOKUP($A37,Строчный!$A:$A,Строчный!D:D,"ERR",0)),UPPER(MID(_xlpm.DATA,1,1))&amp;LOWER(MID(_xlpm.DATA,2,LEN(_xlpm.DATA)-1)))</f>
        <v>Кепка клош</v>
      </c>
      <c r="E37" s="81" t="str">
        <f ca="1">PROPER(_xlfn.XLOOKUP($A37,Строчный!$A:$A,Строчный!E:E,"ERR",0))</f>
        <v>Betmar</v>
      </c>
      <c r="F37" s="81" t="str">
        <f ca="1">LOWER(_xlfn.XLOOKUP($A37,Строчный!$A:$A,Строчный!F:F,"ERR",0))</f>
        <v>летний</v>
      </c>
      <c r="G37" s="81" t="str">
        <f ca="1">UPPER(_xlfn.XLOOKUP($A37,Строчный!$A:$A,Строчный!G:G,"ERR",0))</f>
        <v>BETMAR</v>
      </c>
      <c r="H37" s="81" t="str">
        <f ca="1">LOWER(_xlfn.XLOOKUP($A37,Строчный!$A:$A,Строчный!H:H,"ERR",0))</f>
        <v>black.white</v>
      </c>
      <c r="I37" s="81" t="str">
        <f ca="1">LOWER(_xlfn.XLOOKUP($A37,Строчный!$A:$A,Строчный!I:I,"ERR",0))</f>
        <v>черный / белый</v>
      </c>
      <c r="J37" s="81" t="str">
        <f ca="1">SUBSTITUTE(LOWER(_xlfn.XLOOKUP($A37,Строчный!$A:$A,Строчный!J:J,"ERR",0)),"подклад","Подклад")</f>
        <v>100% хлопок</v>
      </c>
      <c r="K37" s="81" t="str">
        <f ca="1">LOWER(_xlfn.XLOOKUP($A37,Строчный!$A:$A,Строчный!K:K,"ERR",0))</f>
        <v>хлопковые</v>
      </c>
      <c r="L37" s="81" t="str">
        <f ca="1">PROPER(_xlfn.XLOOKUP($A37,Строчный!$A:$A,Строчный!L:L,"ERR",0))</f>
        <v>Женский</v>
      </c>
      <c r="M37" s="113" t="str">
        <f ca="1">PROPER(_xlfn.XLOOKUP($A37,Строчный!$A:$A,Строчный!M:M,"ERR",0))</f>
        <v>Китай</v>
      </c>
      <c r="N37" s="81" t="str">
        <f ca="1">UPPER(_xlfn.XLOOKUP($A37,Строчный!$A:$A,Строчный!O:O,"ERR",0))</f>
        <v/>
      </c>
      <c r="O37" s="107" t="str">
        <f ca="1">PROPER(_xlfn.XLOOKUP($A37,Строчный!$A:$A,Строчный!P:P,"ERR",0))</f>
        <v/>
      </c>
      <c r="P37" s="90">
        <f ca="1">VALUE(_xlfn.XLOOKUP($A37,Строчный!$A:$A,Строчный!N:N,"ERR",0))</f>
        <v>594.36</v>
      </c>
      <c r="Q37" s="89" t="str">
        <f ca="1">_xlfn.XLOOKUP($G37,Фабрика!A:A,Фабрика!B:B,"ERR",0)</f>
        <v>Bollman Headwear Europe Ltd; 2 Merchants drive, Caelisle, Cumbria CA3 0JW, United Kingdom</v>
      </c>
      <c r="R37" s="80" t="str">
        <f ca="1">_xlfn.XLOOKUP(RIGHT(Z37,2),Размеры!D:D,Размеры!A:A,"ERR",0)</f>
        <v>ONE</v>
      </c>
      <c r="S37" s="80">
        <f ca="1">VALUE(_xlfn.XLOOKUP($Z37,Строчный!$R:$R,Строчный!T:T,"ERR",0))</f>
        <v>10</v>
      </c>
      <c r="T37" s="14" t="s">
        <v>265</v>
      </c>
      <c r="U37" s="101" t="str">
        <f t="shared" ca="1" si="5"/>
        <v>Кепка BETMAR арт. B964 FACE FRAMER (черный / белый)</v>
      </c>
      <c r="V37" s="100" t="str">
        <f t="shared" ca="1" si="6"/>
        <v>Кепка BETMAR арт. B964 FACE FRAMER (черный / белый) {black.white}</v>
      </c>
      <c r="W37" s="18" t="str">
        <f t="shared" ca="1" si="7"/>
        <v>черный</v>
      </c>
      <c r="X37" s="18" t="str">
        <f t="shared" ca="1" si="8"/>
        <v>белый</v>
      </c>
      <c r="Y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Z37" s="73" t="str">
        <f ca="1"/>
        <v>31-053-48-00</v>
      </c>
      <c r="AA37" s="75" t="str">
        <f ca="1">VLOOKUP(C37,Группа!A:B,2,FALSE)</f>
        <v>Кепка</v>
      </c>
      <c r="AB37" s="97" t="str">
        <f ca="1">IFERROR(VLOOKUP(R37,Размеры!A:C,3,FALSE),"")</f>
        <v>ONE</v>
      </c>
      <c r="AC37" s="97" t="str">
        <f ca="1">VLOOKUP(I37,ЦветПолный!A:B,2,FALSE)</f>
        <v>72</v>
      </c>
      <c r="AD37" s="97" t="str">
        <f ca="1">IFERROR(VLOOKUP(R37,Размеры!A:D,4,FALSE),"")</f>
        <v>00</v>
      </c>
      <c r="AE37" s="97">
        <f ca="1">IF(LEFT(IFERROR(VLOOKUP(LOOKUP(2,1/SEARCH(B37,Товары!A:A),Товары!A:A),Товары!A:B,2,0),""),6)=MID(Z37,1,6),1,0)</f>
        <v>1</v>
      </c>
      <c r="AG37" s="97">
        <f ca="1">SUMIF(Группа!A:A,C37,Группа!C:C)</f>
        <v>1</v>
      </c>
      <c r="AH37" s="97">
        <f ca="1">SUMIF(Группа!B:B,AA37,Группа!C:C)</f>
        <v>1</v>
      </c>
      <c r="AI37" s="97">
        <f ca="1">SUMIF(Формы!A:A,D37,Формы!B:B)</f>
        <v>1</v>
      </c>
      <c r="AJ37" s="97">
        <f ca="1">SUMIF(Материал!A:A,K37,Материал!B:B)</f>
        <v>1</v>
      </c>
      <c r="AK37" s="97">
        <f ca="1">SUMIF(Размеры!A:A,R37,Размеры!E:E)</f>
        <v>1</v>
      </c>
      <c r="AL37" s="97">
        <f ca="1">SUMIF(Сезон!A:A,F37,Сезон!B:B)</f>
        <v>1</v>
      </c>
      <c r="AM37" s="97">
        <f ca="1">SUMIF(Состав!A:A,J37,Состав!B:B)</f>
        <v>1</v>
      </c>
      <c r="AN37" s="97">
        <f ca="1">VLOOKUP(I37,ЦветПолный!A:C,3,0)</f>
        <v>1</v>
      </c>
      <c r="AO37" s="97">
        <f ca="1">SUMIF(Цвет!A:A,Y37,Цвет!B:B)</f>
        <v>1</v>
      </c>
      <c r="AP37" s="97">
        <f ca="1">_xlfn.XLOOKUP(L37,Пол!A:A,Пол!B:B,0,0)</f>
        <v>1</v>
      </c>
      <c r="AQ37" s="97">
        <f ca="1">SUMIF(Марка!A:A,G37,Марка!B:B)</f>
        <v>1</v>
      </c>
      <c r="AR37" s="97">
        <f ca="1">SUMIF(Страна!A:A,M37,Страна!B:B)</f>
        <v>1</v>
      </c>
      <c r="AS37" s="64" t="str">
        <f ca="1">IF(VLOOKUP(V37,Товары!A:B,2,FALSE)=A37,"Есть в 1С","ERR")</f>
        <v>Есть в 1С</v>
      </c>
      <c r="AT37" s="65" t="str">
        <f ca="1">IF(VLOOKUP(A37,Товары!B:B,1,FALSE)=A37,"Есть в 1С","ERR")</f>
        <v>Есть в 1С</v>
      </c>
      <c r="AU37" s="96" t="str">
        <f ca="1">VLOOKUP(V37,Товары!A:B,2,FALSE)</f>
        <v>31-053-48</v>
      </c>
      <c r="AV37" s="94" t="str">
        <f ca="1">VLOOKUP(V37,Товары!A:B,1,FALSE)</f>
        <v>Кепка BETMAR арт. B964 FACE FRAMER (черный / белый) {black.white}</v>
      </c>
    </row>
    <row r="38" spans="1:48" x14ac:dyDescent="0.25">
      <c r="A38" s="110" t="str">
        <f t="shared" ca="1" si="4"/>
        <v>31-053-09</v>
      </c>
      <c r="B38" s="107" t="str">
        <f ca="1">_xlfn.LET(_xlpm.CAPS,0,_xlpm.Style,_xlfn.XLOOKUP($A38,Строчный!$A:$A,Строчный!B:B,"ERR",0),IF(_xlpm.CAPS=0,_xlpm.Style,LOWER(_xlpm.Style)))</f>
        <v>B964 FACE FRAMER</v>
      </c>
      <c r="C38" s="81" t="str">
        <f ca="1">PROPER(_xlfn.XLOOKUP($A38,Строчный!$A:$A,Строчный!C:C,"ERR",0))</f>
        <v>Кепки</v>
      </c>
      <c r="D38" s="81" t="str">
        <f ca="1">_xlfn.LET(_xlpm.DATA,(_xlfn.XLOOKUP($A38,Строчный!$A:$A,Строчный!D:D,"ERR",0)),UPPER(MID(_xlpm.DATA,1,1))&amp;LOWER(MID(_xlpm.DATA,2,LEN(_xlpm.DATA)-1)))</f>
        <v>Кепка клош</v>
      </c>
      <c r="E38" s="81" t="str">
        <f ca="1">PROPER(_xlfn.XLOOKUP($A38,Строчный!$A:$A,Строчный!E:E,"ERR",0))</f>
        <v>Betmar</v>
      </c>
      <c r="F38" s="81" t="str">
        <f ca="1">LOWER(_xlfn.XLOOKUP($A38,Строчный!$A:$A,Строчный!F:F,"ERR",0))</f>
        <v>всесезон</v>
      </c>
      <c r="G38" s="81" t="str">
        <f ca="1">UPPER(_xlfn.XLOOKUP($A38,Строчный!$A:$A,Строчный!G:G,"ERR",0))</f>
        <v>BETMAR</v>
      </c>
      <c r="H38" s="81" t="str">
        <f ca="1">LOWER(_xlfn.XLOOKUP($A38,Строчный!$A:$A,Строчный!H:H,"ERR",0))</f>
        <v>black</v>
      </c>
      <c r="I38" s="81" t="str">
        <f ca="1">LOWER(_xlfn.XLOOKUP($A38,Строчный!$A:$A,Строчный!I:I,"ERR",0))</f>
        <v>черный</v>
      </c>
      <c r="J38" s="81" t="str">
        <f ca="1">SUBSTITUTE(LOWER(_xlfn.XLOOKUP($A38,Строчный!$A:$A,Строчный!J:J,"ERR",0)),"подклад","Подклад")</f>
        <v>100% хлопок</v>
      </c>
      <c r="K38" s="81" t="str">
        <f ca="1">LOWER(_xlfn.XLOOKUP($A38,Строчный!$A:$A,Строчный!K:K,"ERR",0))</f>
        <v>хлопковые</v>
      </c>
      <c r="L38" s="81" t="str">
        <f ca="1">PROPER(_xlfn.XLOOKUP($A38,Строчный!$A:$A,Строчный!L:L,"ERR",0))</f>
        <v>Женский</v>
      </c>
      <c r="M38" s="113" t="str">
        <f ca="1">PROPER(_xlfn.XLOOKUP($A38,Строчный!$A:$A,Строчный!M:M,"ERR",0))</f>
        <v>Китай</v>
      </c>
      <c r="N38" s="81" t="str">
        <f ca="1">UPPER(_xlfn.XLOOKUP($A38,Строчный!$A:$A,Строчный!O:O,"ERR",0))</f>
        <v/>
      </c>
      <c r="O38" s="107" t="str">
        <f ca="1">PROPER(_xlfn.XLOOKUP($A38,Строчный!$A:$A,Строчный!P:P,"ERR",0))</f>
        <v/>
      </c>
      <c r="P38" s="90">
        <f ca="1">VALUE(_xlfn.XLOOKUP($A38,Строчный!$A:$A,Строчный!N:N,"ERR",0))</f>
        <v>594.36</v>
      </c>
      <c r="Q38" s="89" t="str">
        <f ca="1">_xlfn.XLOOKUP($G38,Фабрика!A:A,Фабрика!B:B,"ERR",0)</f>
        <v>Bollman Headwear Europe Ltd; 2 Merchants drive, Caelisle, Cumbria CA3 0JW, United Kingdom</v>
      </c>
      <c r="R38" s="80" t="str">
        <f ca="1">_xlfn.XLOOKUP(RIGHT(Z38,2),Размеры!D:D,Размеры!A:A,"ERR",0)</f>
        <v>ONE</v>
      </c>
      <c r="S38" s="80">
        <f ca="1">VALUE(_xlfn.XLOOKUP($Z38,Строчный!$R:$R,Строчный!T:T,"ERR",0))</f>
        <v>10</v>
      </c>
      <c r="T38" s="14" t="s">
        <v>265</v>
      </c>
      <c r="U38" s="101" t="str">
        <f t="shared" ca="1" si="5"/>
        <v>Кепка BETMAR арт. B964 FACE FRAMER (черный)</v>
      </c>
      <c r="V38" s="100" t="str">
        <f t="shared" ca="1" si="6"/>
        <v>Кепка BETMAR арт. B964 FACE FRAMER (черный) {black}</v>
      </c>
      <c r="W38" s="18" t="str">
        <f t="shared" ca="1" si="7"/>
        <v>черный</v>
      </c>
      <c r="X38" s="18" t="str">
        <f t="shared" ca="1" si="8"/>
        <v>черный</v>
      </c>
      <c r="Y38" s="117" t="str">
        <f ca="1">_xlfn.LET(_xlpm.FormColors,_xlfn.XLOOKUP(A38,Строчный!A:A,Строчный!Q:Q,"",0),IF(_xlpm.FormColors=0,IFERROR(MID(I38,FIND("-",I38)+1,LEN(I38)),IFERROR(MID(I38,1,FIND("/",I38)-2),I38)),_xlpm.FormColors))</f>
        <v>черный</v>
      </c>
      <c r="Z38" s="73" t="str">
        <f ca="1"/>
        <v>31-053-09-00</v>
      </c>
      <c r="AA38" s="75" t="str">
        <f ca="1">VLOOKUP(C38,Группа!A:B,2,FALSE)</f>
        <v>Кепка</v>
      </c>
      <c r="AB38" s="97" t="str">
        <f ca="1">IFERROR(VLOOKUP(R38,Размеры!A:C,3,FALSE),"")</f>
        <v>ONE</v>
      </c>
      <c r="AC38" s="97" t="str">
        <f ca="1">VLOOKUP(I38,ЦветПолный!A:B,2,FALSE)</f>
        <v>09</v>
      </c>
      <c r="AD38" s="97" t="str">
        <f ca="1">IFERROR(VLOOKUP(R38,Размеры!A:D,4,FALSE),"")</f>
        <v>00</v>
      </c>
      <c r="AE38" s="97">
        <f ca="1">IF(LEFT(IFERROR(VLOOKUP(LOOKUP(2,1/SEARCH(B38,Товары!A:A),Товары!A:A),Товары!A:B,2,0),""),6)=MID(Z38,1,6),1,0)</f>
        <v>1</v>
      </c>
      <c r="AG38" s="97">
        <f ca="1">SUMIF(Группа!A:A,C38,Группа!C:C)</f>
        <v>1</v>
      </c>
      <c r="AH38" s="97">
        <f ca="1">SUMIF(Группа!B:B,AA38,Группа!C:C)</f>
        <v>1</v>
      </c>
      <c r="AI38" s="97">
        <f ca="1">SUMIF(Формы!A:A,D38,Формы!B:B)</f>
        <v>1</v>
      </c>
      <c r="AJ38" s="97">
        <f ca="1">SUMIF(Материал!A:A,K38,Материал!B:B)</f>
        <v>1</v>
      </c>
      <c r="AK38" s="97">
        <f ca="1">SUMIF(Размеры!A:A,R38,Размеры!E:E)</f>
        <v>1</v>
      </c>
      <c r="AL38" s="97">
        <f ca="1">SUMIF(Сезон!A:A,F38,Сезон!B:B)</f>
        <v>1</v>
      </c>
      <c r="AM38" s="97">
        <f ca="1">SUMIF(Состав!A:A,J38,Состав!B:B)</f>
        <v>1</v>
      </c>
      <c r="AN38" s="97">
        <f ca="1">VLOOKUP(I38,ЦветПолный!A:C,3,0)</f>
        <v>1</v>
      </c>
      <c r="AO38" s="97">
        <f ca="1">SUMIF(Цвет!A:A,Y38,Цвет!B:B)</f>
        <v>1</v>
      </c>
      <c r="AP38" s="97">
        <f ca="1">_xlfn.XLOOKUP(L38,Пол!A:A,Пол!B:B,0,0)</f>
        <v>1</v>
      </c>
      <c r="AQ38" s="97">
        <f ca="1">SUMIF(Марка!A:A,G38,Марка!B:B)</f>
        <v>1</v>
      </c>
      <c r="AR38" s="97">
        <f ca="1">SUMIF(Страна!A:A,M38,Страна!B:B)</f>
        <v>1</v>
      </c>
      <c r="AS38" s="64" t="str">
        <f ca="1">IF(VLOOKUP(V38,Товары!A:B,2,FALSE)=A38,"Есть в 1С","ERR")</f>
        <v>Есть в 1С</v>
      </c>
      <c r="AT38" s="65" t="str">
        <f ca="1">IF(VLOOKUP(A38,Товары!B:B,1,FALSE)=A38,"Есть в 1С","ERR")</f>
        <v>Есть в 1С</v>
      </c>
      <c r="AU38" s="96" t="str">
        <f ca="1">VLOOKUP(V38,Товары!A:B,2,FALSE)</f>
        <v>31-053-09</v>
      </c>
      <c r="AV38" s="94" t="str">
        <f ca="1">VLOOKUP(V38,Товары!A:B,1,FALSE)</f>
        <v>Кепка BETMAR арт. B964 FACE FRAMER (черный) {black}</v>
      </c>
    </row>
    <row r="39" spans="1:48" x14ac:dyDescent="0.25">
      <c r="A39" s="110" t="str">
        <f t="shared" ca="1" si="4"/>
        <v>21-806-09</v>
      </c>
      <c r="B39" s="107" t="str">
        <f ca="1">_xlfn.LET(_xlpm.CAPS,0,_xlpm.Style,_xlfn.XLOOKUP($A39,Строчный!$A:$A,Строчный!B:B,"ERR",0),IF(_xlpm.CAPS=0,_xlpm.Style,LOWER(_xlpm.Style)))</f>
        <v>70660BH ERLER</v>
      </c>
      <c r="C39" s="81" t="str">
        <f ca="1">PROPER(_xlfn.XLOOKUP($A39,Строчный!$A:$A,Строчный!C:C,"ERR",0))</f>
        <v>Шляпы</v>
      </c>
      <c r="D39" s="81" t="str">
        <f ca="1">_xlfn.LET(_xlpm.DATA,(_xlfn.XLOOKUP($A39,Строчный!$A:$A,Строчный!D:D,"ERR",0)),UPPER(MID(_xlpm.DATA,1,1))&amp;LOWER(MID(_xlpm.DATA,2,LEN(_xlpm.DATA)-1)))</f>
        <v>Шляпа федора</v>
      </c>
      <c r="E39" s="81" t="str">
        <f ca="1">PROPER(_xlfn.XLOOKUP($A39,Строчный!$A:$A,Строчный!E:E,"ERR",0))</f>
        <v>The Hollywood</v>
      </c>
      <c r="F39" s="81" t="str">
        <f ca="1">LOWER(_xlfn.XLOOKUP($A39,Строчный!$A:$A,Строчный!F:F,"ERR",0))</f>
        <v>всесезон</v>
      </c>
      <c r="G39" s="81" t="str">
        <f ca="1">UPPER(_xlfn.XLOOKUP($A39,Строчный!$A:$A,Строчный!G:G,"ERR",0))</f>
        <v>BAILEY</v>
      </c>
      <c r="H39" s="81" t="str">
        <f ca="1">LOWER(_xlfn.XLOOKUP($A39,Строчный!$A:$A,Строчный!H:H,"ERR",0))</f>
        <v>black</v>
      </c>
      <c r="I39" s="81" t="str">
        <f ca="1">LOWER(_xlfn.XLOOKUP($A39,Строчный!$A:$A,Строчный!I:I,"ERR",0))</f>
        <v>черный</v>
      </c>
      <c r="J39" s="81" t="str">
        <f ca="1">SUBSTITUTE(LOWER(_xlfn.XLOOKUP($A39,Строчный!$A:$A,Строчный!J:J,"ERR",0)),"подклад","Подклад")</f>
        <v>100% шерсть</v>
      </c>
      <c r="K39" s="81" t="str">
        <f ca="1">LOWER(_xlfn.XLOOKUP($A39,Строчный!$A:$A,Строчный!K:K,"ERR",0))</f>
        <v>фетровые</v>
      </c>
      <c r="L39" s="81" t="str">
        <f ca="1">PROPER(_xlfn.XLOOKUP($A39,Строчный!$A:$A,Строчный!L:L,"ERR",0))</f>
        <v>Унисекс</v>
      </c>
      <c r="M39" s="113" t="str">
        <f ca="1">PROPER(_xlfn.XLOOKUP($A39,Строчный!$A:$A,Строчный!M:M,"ERR",0))</f>
        <v>Соединенные Штаты</v>
      </c>
      <c r="N39" s="81" t="str">
        <f ca="1">UPPER(_xlfn.XLOOKUP($A39,Строчный!$A:$A,Строчный!O:O,"ERR",0))</f>
        <v/>
      </c>
      <c r="O39" s="107" t="str">
        <f ca="1">PROPER(_xlfn.XLOOKUP($A39,Строчный!$A:$A,Строчный!P:P,"ERR",0))</f>
        <v/>
      </c>
      <c r="P39" s="90">
        <f ca="1">VALUE(_xlfn.XLOOKUP($A39,Строчный!$A:$A,Строчный!N:N,"ERR",0))</f>
        <v>702.00000000000011</v>
      </c>
      <c r="Q39" s="89" t="str">
        <f ca="1">_xlfn.XLOOKUP($G39,Фабрика!A:A,Фабрика!B:B,"ERR",0)</f>
        <v>Bollman Headwear Europe Ltd; 2 Merchants drive, Caelisle, Cumbria CA3 0JW, United Kingdom</v>
      </c>
      <c r="R39" s="80" t="str">
        <f ca="1">_xlfn.XLOOKUP(RIGHT(Z39,2),Размеры!D:D,Размеры!A:A,"ERR",0)</f>
        <v>59</v>
      </c>
      <c r="S39" s="80">
        <f ca="1">VALUE(_xlfn.XLOOKUP($Z39,Строчный!$R:$R,Строчный!T:T,"ERR",0))</f>
        <v>1</v>
      </c>
      <c r="T39" s="14" t="s">
        <v>265</v>
      </c>
      <c r="U39" s="101" t="str">
        <f t="shared" ca="1" si="5"/>
        <v>Шляпа BAILEY арт. 70660BH ERLER (черный)</v>
      </c>
      <c r="V39" s="100" t="str">
        <f t="shared" ca="1" si="6"/>
        <v>Шляпа BAILEY арт. 70660BH ERLER (черный) {black}</v>
      </c>
      <c r="W39" s="18" t="str">
        <f t="shared" ca="1" si="7"/>
        <v>черный</v>
      </c>
      <c r="X39" s="18" t="str">
        <f t="shared" ca="1" si="8"/>
        <v>черный</v>
      </c>
      <c r="Y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Z39" s="73" t="str">
        <f ca="1"/>
        <v>21-806-09-59</v>
      </c>
      <c r="AA39" s="75" t="str">
        <f ca="1">VLOOKUP(C39,Группа!A:B,2,FALSE)</f>
        <v>Шляпа</v>
      </c>
      <c r="AB39" s="97" t="str">
        <f ca="1">IFERROR(VLOOKUP(R39,Размеры!A:C,3,FALSE),"")</f>
        <v>59 L</v>
      </c>
      <c r="AC39" s="97" t="str">
        <f ca="1">VLOOKUP(I39,ЦветПолный!A:B,2,FALSE)</f>
        <v>09</v>
      </c>
      <c r="AD39" s="97" t="str">
        <f ca="1">IFERROR(VLOOKUP(R39,Размеры!A:D,4,FALSE),"")</f>
        <v>59</v>
      </c>
      <c r="AE39" s="97">
        <f ca="1">IF(LEFT(IFERROR(VLOOKUP(LOOKUP(2,1/SEARCH(B39,Товары!A:A),Товары!A:A),Товары!A:B,2,0),""),6)=MID(Z39,1,6),1,0)</f>
        <v>0</v>
      </c>
      <c r="AG39" s="97">
        <f ca="1">SUMIF(Группа!A:A,C39,Группа!C:C)</f>
        <v>1</v>
      </c>
      <c r="AH39" s="97">
        <f ca="1">SUMIF(Группа!B:B,AA39,Группа!C:C)</f>
        <v>1</v>
      </c>
      <c r="AI39" s="97">
        <f ca="1">SUMIF(Формы!A:A,D39,Формы!B:B)</f>
        <v>1</v>
      </c>
      <c r="AJ39" s="97">
        <f ca="1">SUMIF(Материал!A:A,K39,Материал!B:B)</f>
        <v>1</v>
      </c>
      <c r="AK39" s="97">
        <f ca="1">SUMIF(Размеры!A:A,R39,Размеры!E:E)</f>
        <v>1</v>
      </c>
      <c r="AL39" s="97">
        <f ca="1">SUMIF(Сезон!A:A,F39,Сезон!B:B)</f>
        <v>1</v>
      </c>
      <c r="AM39" s="97">
        <f ca="1">SUMIF(Состав!A:A,J39,Состав!B:B)</f>
        <v>1</v>
      </c>
      <c r="AN39" s="97">
        <f ca="1">VLOOKUP(I39,ЦветПолный!A:C,3,0)</f>
        <v>1</v>
      </c>
      <c r="AO39" s="97">
        <f ca="1">SUMIF(Цвет!A:A,Y39,Цвет!B:B)</f>
        <v>1</v>
      </c>
      <c r="AP39" s="97">
        <f ca="1">_xlfn.XLOOKUP(L39,Пол!A:A,Пол!B:B,0,0)</f>
        <v>1</v>
      </c>
      <c r="AQ39" s="97">
        <f ca="1">SUMIF(Марка!A:A,G39,Марка!B:B)</f>
        <v>1</v>
      </c>
      <c r="AR39" s="97">
        <f ca="1">SUMIF(Страна!A:A,M39,Страна!B:B)</f>
        <v>1</v>
      </c>
      <c r="AS39" s="64" t="e">
        <f ca="1">IF(VLOOKUP(V39,Товары!A:B,2,FALSE)=A39,"Есть в 1С","ERR")</f>
        <v>#N/A</v>
      </c>
      <c r="AT39" s="65" t="e">
        <f ca="1">IF(VLOOKUP(A39,Товары!B:B,1,FALSE)=A39,"Есть в 1С","ERR")</f>
        <v>#N/A</v>
      </c>
      <c r="AU39" s="96" t="e">
        <f ca="1">VLOOKUP(V39,Товары!A:B,2,FALSE)</f>
        <v>#N/A</v>
      </c>
      <c r="AV39" s="94" t="e">
        <f ca="1">VLOOKUP(V39,Товары!A:B,1,FALSE)</f>
        <v>#N/A</v>
      </c>
    </row>
    <row r="40" spans="1:48" x14ac:dyDescent="0.25">
      <c r="A40" s="110" t="str">
        <f t="shared" ca="1" si="4"/>
        <v>21-805-11</v>
      </c>
      <c r="B40" s="107" t="str">
        <f ca="1">_xlfn.LET(_xlpm.CAPS,0,_xlpm.Style,_xlfn.XLOOKUP($A40,Строчный!$A:$A,Строчный!B:B,"ERR",0),IF(_xlpm.CAPS=0,_xlpm.Style,LOWER(_xlpm.Style)))</f>
        <v>70659BH COLVIN</v>
      </c>
      <c r="C40" s="81" t="str">
        <f ca="1">PROPER(_xlfn.XLOOKUP($A40,Строчный!$A:$A,Строчный!C:C,"ERR",0))</f>
        <v>Шляпы</v>
      </c>
      <c r="D40" s="81" t="str">
        <f ca="1">_xlfn.LET(_xlpm.DATA,(_xlfn.XLOOKUP($A40,Строчный!$A:$A,Строчный!D:D,"ERR",0)),UPPER(MID(_xlpm.DATA,1,1))&amp;LOWER(MID(_xlpm.DATA,2,LEN(_xlpm.DATA)-1)))</f>
        <v>Шляпа федора</v>
      </c>
      <c r="E40" s="81" t="str">
        <f ca="1">PROPER(_xlfn.XLOOKUP($A40,Строчный!$A:$A,Строчный!E:E,"ERR",0))</f>
        <v>The Hollywood</v>
      </c>
      <c r="F40" s="81" t="str">
        <f ca="1">LOWER(_xlfn.XLOOKUP($A40,Строчный!$A:$A,Строчный!F:F,"ERR",0))</f>
        <v>всесезон</v>
      </c>
      <c r="G40" s="81" t="str">
        <f ca="1">UPPER(_xlfn.XLOOKUP($A40,Строчный!$A:$A,Строчный!G:G,"ERR",0))</f>
        <v>BAILEY</v>
      </c>
      <c r="H40" s="81" t="str">
        <f ca="1">LOWER(_xlfn.XLOOKUP($A40,Строчный!$A:$A,Строчный!H:H,"ERR",0))</f>
        <v>uniform green</v>
      </c>
      <c r="I40" s="81" t="str">
        <f ca="1">LOWER(_xlfn.XLOOKUP($A40,Строчный!$A:$A,Строчный!I:I,"ERR",0))</f>
        <v>зеленый</v>
      </c>
      <c r="J40" s="81" t="str">
        <f ca="1">SUBSTITUTE(LOWER(_xlfn.XLOOKUP($A40,Строчный!$A:$A,Строчный!J:J,"ERR",0)),"подклад","Подклад")</f>
        <v>100% шерсть</v>
      </c>
      <c r="K40" s="81" t="str">
        <f ca="1">LOWER(_xlfn.XLOOKUP($A40,Строчный!$A:$A,Строчный!K:K,"ERR",0))</f>
        <v>фетровые</v>
      </c>
      <c r="L40" s="81" t="str">
        <f ca="1">PROPER(_xlfn.XLOOKUP($A40,Строчный!$A:$A,Строчный!L:L,"ERR",0))</f>
        <v>Унисекс</v>
      </c>
      <c r="M40" s="113" t="str">
        <f ca="1">PROPER(_xlfn.XLOOKUP($A40,Строчный!$A:$A,Строчный!M:M,"ERR",0))</f>
        <v>Соединенные Штаты</v>
      </c>
      <c r="N40" s="81" t="str">
        <f ca="1">UPPER(_xlfn.XLOOKUP($A40,Строчный!$A:$A,Строчный!O:O,"ERR",0))</f>
        <v/>
      </c>
      <c r="O40" s="107" t="str">
        <f ca="1">PROPER(_xlfn.XLOOKUP($A40,Строчный!$A:$A,Строчный!P:P,"ERR",0))</f>
        <v/>
      </c>
      <c r="P40" s="90">
        <f ca="1">VALUE(_xlfn.XLOOKUP($A40,Строчный!$A:$A,Строчный!N:N,"ERR",0))</f>
        <v>702.00000000000011</v>
      </c>
      <c r="Q40" s="89" t="str">
        <f ca="1">_xlfn.XLOOKUP($G40,Фабрика!A:A,Фабрика!B:B,"ERR",0)</f>
        <v>Bollman Headwear Europe Ltd; 2 Merchants drive, Caelisle, Cumbria CA3 0JW, United Kingdom</v>
      </c>
      <c r="R40" s="80" t="str">
        <f ca="1">_xlfn.XLOOKUP(RIGHT(Z40,2),Размеры!D:D,Размеры!A:A,"ERR",0)</f>
        <v>59</v>
      </c>
      <c r="S40" s="80">
        <f ca="1">VALUE(_xlfn.XLOOKUP($Z40,Строчный!$R:$R,Строчный!T:T,"ERR",0))</f>
        <v>1</v>
      </c>
      <c r="T40" s="14" t="s">
        <v>265</v>
      </c>
      <c r="U40" s="101" t="str">
        <f t="shared" ca="1" si="5"/>
        <v>Шляпа BAILEY арт. 70659BH COLVIN (зеленый)</v>
      </c>
      <c r="V40" s="100" t="str">
        <f t="shared" ca="1" si="6"/>
        <v>Шляпа BAILEY арт. 70659BH COLVIN (зеленый) {uniform green}</v>
      </c>
      <c r="W40" s="18" t="str">
        <f t="shared" ca="1" si="7"/>
        <v>зеленый</v>
      </c>
      <c r="X40" s="18" t="str">
        <f t="shared" ca="1" si="8"/>
        <v>зеленый</v>
      </c>
      <c r="Y40" s="117" t="str">
        <f ca="1">_xlfn.LET(_xlpm.FormColors,_xlfn.XLOOKUP(A40,Строчный!A:A,Строчный!Q:Q,"",0),IF(_xlpm.FormColors=0,IFERROR(MID(I40,FIND("-",I40)+1,LEN(I40)),IFERROR(MID(I40,1,FIND("/",I40)-2),I40)),_xlpm.FormColors))</f>
        <v>зеленый</v>
      </c>
      <c r="Z40" s="73" t="str">
        <f ca="1"/>
        <v>21-805-11-59</v>
      </c>
      <c r="AA40" s="75" t="str">
        <f ca="1">VLOOKUP(C40,Группа!A:B,2,FALSE)</f>
        <v>Шляпа</v>
      </c>
      <c r="AB40" s="97" t="str">
        <f ca="1">IFERROR(VLOOKUP(R40,Размеры!A:C,3,FALSE),"")</f>
        <v>59 L</v>
      </c>
      <c r="AC40" s="97" t="str">
        <f ca="1">VLOOKUP(I40,ЦветПолный!A:B,2,FALSE)</f>
        <v>11</v>
      </c>
      <c r="AD40" s="97" t="str">
        <f ca="1">IFERROR(VLOOKUP(R40,Размеры!A:D,4,FALSE),"")</f>
        <v>59</v>
      </c>
      <c r="AE40" s="97">
        <f ca="1">IF(LEFT(IFERROR(VLOOKUP(LOOKUP(2,1/SEARCH(B40,Товары!A:A),Товары!A:A),Товары!A:B,2,0),""),6)=MID(Z40,1,6),1,0)</f>
        <v>0</v>
      </c>
      <c r="AG40" s="97">
        <f ca="1">SUMIF(Группа!A:A,C40,Группа!C:C)</f>
        <v>1</v>
      </c>
      <c r="AH40" s="97">
        <f ca="1">SUMIF(Группа!B:B,AA40,Группа!C:C)</f>
        <v>1</v>
      </c>
      <c r="AI40" s="97">
        <f ca="1">SUMIF(Формы!A:A,D40,Формы!B:B)</f>
        <v>1</v>
      </c>
      <c r="AJ40" s="97">
        <f ca="1">SUMIF(Материал!A:A,K40,Материал!B:B)</f>
        <v>1</v>
      </c>
      <c r="AK40" s="97">
        <f ca="1">SUMIF(Размеры!A:A,R40,Размеры!E:E)</f>
        <v>1</v>
      </c>
      <c r="AL40" s="97">
        <f ca="1">SUMIF(Сезон!A:A,F40,Сезон!B:B)</f>
        <v>1</v>
      </c>
      <c r="AM40" s="97">
        <f ca="1">SUMIF(Состав!A:A,J40,Состав!B:B)</f>
        <v>1</v>
      </c>
      <c r="AN40" s="97">
        <f ca="1">VLOOKUP(I40,ЦветПолный!A:C,3,0)</f>
        <v>1</v>
      </c>
      <c r="AO40" s="97">
        <f ca="1">SUMIF(Цвет!A:A,Y40,Цвет!B:B)</f>
        <v>1</v>
      </c>
      <c r="AP40" s="97">
        <f ca="1">_xlfn.XLOOKUP(L40,Пол!A:A,Пол!B:B,0,0)</f>
        <v>1</v>
      </c>
      <c r="AQ40" s="97">
        <f ca="1">SUMIF(Марка!A:A,G40,Марка!B:B)</f>
        <v>1</v>
      </c>
      <c r="AR40" s="97">
        <f ca="1">SUMIF(Страна!A:A,M40,Страна!B:B)</f>
        <v>1</v>
      </c>
      <c r="AS40" s="64" t="e">
        <f ca="1">IF(VLOOKUP(V40,Товары!A:B,2,FALSE)=A40,"Есть в 1С","ERR")</f>
        <v>#N/A</v>
      </c>
      <c r="AT40" s="65" t="e">
        <f ca="1">IF(VLOOKUP(A40,Товары!B:B,1,FALSE)=A40,"Есть в 1С","ERR")</f>
        <v>#N/A</v>
      </c>
      <c r="AU40" s="96" t="e">
        <f ca="1">VLOOKUP(V40,Товары!A:B,2,FALSE)</f>
        <v>#N/A</v>
      </c>
      <c r="AV40" s="94" t="e">
        <f ca="1">VLOOKUP(V40,Товары!A:B,1,FALSE)</f>
        <v>#N/A</v>
      </c>
    </row>
    <row r="41" spans="1:48" x14ac:dyDescent="0.25">
      <c r="A41" s="110" t="str">
        <f t="shared" ca="1" si="4"/>
        <v>21-804-14</v>
      </c>
      <c r="B41" s="107" t="str">
        <f ca="1">_xlfn.LET(_xlpm.CAPS,0,_xlpm.Style,_xlfn.XLOOKUP($A41,Строчный!$A:$A,Строчный!B:B,"ERR",0),IF(_xlpm.CAPS=0,_xlpm.Style,LOWER(_xlpm.Style)))</f>
        <v>70658BH MOLIN</v>
      </c>
      <c r="C41" s="81" t="str">
        <f ca="1">PROPER(_xlfn.XLOOKUP($A41,Строчный!$A:$A,Строчный!C:C,"ERR",0))</f>
        <v>Шляпы</v>
      </c>
      <c r="D41" s="81" t="str">
        <f ca="1">_xlfn.LET(_xlpm.DATA,(_xlfn.XLOOKUP($A41,Строчный!$A:$A,Строчный!D:D,"ERR",0)),UPPER(MID(_xlpm.DATA,1,1))&amp;LOWER(MID(_xlpm.DATA,2,LEN(_xlpm.DATA)-1)))</f>
        <v>Шляпа федора</v>
      </c>
      <c r="E41" s="81" t="str">
        <f ca="1">PROPER(_xlfn.XLOOKUP($A41,Строчный!$A:$A,Строчный!E:E,"ERR",0))</f>
        <v>The Hollywood</v>
      </c>
      <c r="F41" s="81" t="str">
        <f ca="1">LOWER(_xlfn.XLOOKUP($A41,Строчный!$A:$A,Строчный!F:F,"ERR",0))</f>
        <v>всесезон</v>
      </c>
      <c r="G41" s="81" t="str">
        <f ca="1">UPPER(_xlfn.XLOOKUP($A41,Строчный!$A:$A,Строчный!G:G,"ERR",0))</f>
        <v>BAILEY</v>
      </c>
      <c r="H41" s="81" t="str">
        <f ca="1">LOWER(_xlfn.XLOOKUP($A41,Строчный!$A:$A,Строчный!H:H,"ERR",0))</f>
        <v>oak</v>
      </c>
      <c r="I41" s="81" t="str">
        <f ca="1">LOWER(_xlfn.XLOOKUP($A41,Строчный!$A:$A,Строчный!I:I,"ERR",0))</f>
        <v>коричневый</v>
      </c>
      <c r="J41" s="81" t="str">
        <f ca="1">SUBSTITUTE(LOWER(_xlfn.XLOOKUP($A41,Строчный!$A:$A,Строчный!J:J,"ERR",0)),"подклад","Подклад")</f>
        <v>100% шерсть</v>
      </c>
      <c r="K41" s="81" t="str">
        <f ca="1">LOWER(_xlfn.XLOOKUP($A41,Строчный!$A:$A,Строчный!K:K,"ERR",0))</f>
        <v>фетровые</v>
      </c>
      <c r="L41" s="81" t="str">
        <f ca="1">PROPER(_xlfn.XLOOKUP($A41,Строчный!$A:$A,Строчный!L:L,"ERR",0))</f>
        <v>Унисекс</v>
      </c>
      <c r="M41" s="113" t="str">
        <f ca="1">PROPER(_xlfn.XLOOKUP($A41,Строчный!$A:$A,Строчный!M:M,"ERR",0))</f>
        <v>Соединенные Штаты</v>
      </c>
      <c r="N41" s="81" t="str">
        <f ca="1">UPPER(_xlfn.XLOOKUP($A41,Строчный!$A:$A,Строчный!O:O,"ERR",0))</f>
        <v/>
      </c>
      <c r="O41" s="107" t="str">
        <f ca="1">PROPER(_xlfn.XLOOKUP($A41,Строчный!$A:$A,Строчный!P:P,"ERR",0))</f>
        <v/>
      </c>
      <c r="P41" s="90">
        <f ca="1">VALUE(_xlfn.XLOOKUP($A41,Строчный!$A:$A,Строчный!N:N,"ERR",0))</f>
        <v>702.00000000000011</v>
      </c>
      <c r="Q41" s="89" t="str">
        <f ca="1">_xlfn.XLOOKUP($G41,Фабрика!A:A,Фабрика!B:B,"ERR",0)</f>
        <v>Bollman Headwear Europe Ltd; 2 Merchants drive, Caelisle, Cumbria CA3 0JW, United Kingdom</v>
      </c>
      <c r="R41" s="80" t="str">
        <f ca="1">_xlfn.XLOOKUP(RIGHT(Z41,2),Размеры!D:D,Размеры!A:A,"ERR",0)</f>
        <v>59</v>
      </c>
      <c r="S41" s="80">
        <f ca="1">VALUE(_xlfn.XLOOKUP($Z41,Строчный!$R:$R,Строчный!T:T,"ERR",0))</f>
        <v>1</v>
      </c>
      <c r="T41" s="14" t="s">
        <v>265</v>
      </c>
      <c r="U41" s="101" t="str">
        <f t="shared" ca="1" si="5"/>
        <v>Шляпа BAILEY арт. 70658BH MOLIN (коричневый)</v>
      </c>
      <c r="V41" s="100" t="str">
        <f t="shared" ca="1" si="6"/>
        <v>Шляпа BAILEY арт. 70658BH MOLIN (коричневый) {oak}</v>
      </c>
      <c r="W41" s="18" t="str">
        <f t="shared" ca="1" si="7"/>
        <v>коричневый</v>
      </c>
      <c r="X41" s="18" t="str">
        <f t="shared" ca="1" si="8"/>
        <v>коричневый</v>
      </c>
      <c r="Y41" s="117" t="str">
        <f ca="1">_xlfn.LET(_xlpm.FormColors,_xlfn.XLOOKUP(A41,Строчный!A:A,Строчный!Q:Q,"",0),IF(_xlpm.FormColors=0,IFERROR(MID(I41,FIND("-",I41)+1,LEN(I41)),IFERROR(MID(I41,1,FIND("/",I41)-2),I41)),_xlpm.FormColors))</f>
        <v>коричневый</v>
      </c>
      <c r="Z41" s="73" t="str">
        <f ca="1"/>
        <v>21-804-14-59</v>
      </c>
      <c r="AA41" s="75" t="str">
        <f ca="1">VLOOKUP(C41,Группа!A:B,2,FALSE)</f>
        <v>Шляпа</v>
      </c>
      <c r="AB41" s="97" t="str">
        <f ca="1">IFERROR(VLOOKUP(R41,Размеры!A:C,3,FALSE),"")</f>
        <v>59 L</v>
      </c>
      <c r="AC41" s="97" t="str">
        <f ca="1">VLOOKUP(I41,ЦветПолный!A:B,2,FALSE)</f>
        <v>14</v>
      </c>
      <c r="AD41" s="97" t="str">
        <f ca="1">IFERROR(VLOOKUP(R41,Размеры!A:D,4,FALSE),"")</f>
        <v>59</v>
      </c>
      <c r="AE41" s="97">
        <f ca="1">IF(LEFT(IFERROR(VLOOKUP(LOOKUP(2,1/SEARCH(B41,Товары!A:A),Товары!A:A),Товары!A:B,2,0),""),6)=MID(Z41,1,6),1,0)</f>
        <v>0</v>
      </c>
      <c r="AG41" s="97">
        <f ca="1">SUMIF(Группа!A:A,C41,Группа!C:C)</f>
        <v>1</v>
      </c>
      <c r="AH41" s="97">
        <f ca="1">SUMIF(Группа!B:B,AA41,Группа!C:C)</f>
        <v>1</v>
      </c>
      <c r="AI41" s="97">
        <f ca="1">SUMIF(Формы!A:A,D41,Формы!B:B)</f>
        <v>1</v>
      </c>
      <c r="AJ41" s="97">
        <f ca="1">SUMIF(Материал!A:A,K41,Материал!B:B)</f>
        <v>1</v>
      </c>
      <c r="AK41" s="97">
        <f ca="1">SUMIF(Размеры!A:A,R41,Размеры!E:E)</f>
        <v>1</v>
      </c>
      <c r="AL41" s="97">
        <f ca="1">SUMIF(Сезон!A:A,F41,Сезон!B:B)</f>
        <v>1</v>
      </c>
      <c r="AM41" s="97">
        <f ca="1">SUMIF(Состав!A:A,J41,Состав!B:B)</f>
        <v>1</v>
      </c>
      <c r="AN41" s="97">
        <f ca="1">VLOOKUP(I41,ЦветПолный!A:C,3,0)</f>
        <v>1</v>
      </c>
      <c r="AO41" s="97">
        <f ca="1">SUMIF(Цвет!A:A,Y41,Цвет!B:B)</f>
        <v>1</v>
      </c>
      <c r="AP41" s="97">
        <f ca="1">_xlfn.XLOOKUP(L41,Пол!A:A,Пол!B:B,0,0)</f>
        <v>1</v>
      </c>
      <c r="AQ41" s="97">
        <f ca="1">SUMIF(Марка!A:A,G41,Марка!B:B)</f>
        <v>1</v>
      </c>
      <c r="AR41" s="97">
        <f ca="1">SUMIF(Страна!A:A,M41,Страна!B:B)</f>
        <v>1</v>
      </c>
      <c r="AS41" s="64" t="e">
        <f ca="1">IF(VLOOKUP(V41,Товары!A:B,2,FALSE)=A41,"Есть в 1С","ERR")</f>
        <v>#N/A</v>
      </c>
      <c r="AT41" s="65" t="e">
        <f ca="1">IF(VLOOKUP(A41,Товары!B:B,1,FALSE)=A41,"Есть в 1С","ERR")</f>
        <v>#N/A</v>
      </c>
      <c r="AU41" s="96" t="e">
        <f ca="1">VLOOKUP(V41,Товары!A:B,2,FALSE)</f>
        <v>#N/A</v>
      </c>
      <c r="AV41" s="94" t="e">
        <f ca="1">VLOOKUP(V41,Товары!A:B,1,FALSE)</f>
        <v>#N/A</v>
      </c>
    </row>
    <row r="42" spans="1:48" x14ac:dyDescent="0.25">
      <c r="A42" s="110" t="str">
        <f t="shared" ca="1" si="4"/>
        <v>21-803-08</v>
      </c>
      <c r="B42" s="107" t="str">
        <f ca="1">_xlfn.LET(_xlpm.CAPS,0,_xlpm.Style,_xlfn.XLOOKUP($A42,Строчный!$A:$A,Строчный!B:B,"ERR",0),IF(_xlpm.CAPS=0,_xlpm.Style,LOWER(_xlpm.Style)))</f>
        <v>70657BH FALCON</v>
      </c>
      <c r="C42" s="81" t="str">
        <f ca="1">PROPER(_xlfn.XLOOKUP($A42,Строчный!$A:$A,Строчный!C:C,"ERR",0))</f>
        <v>Шляпы</v>
      </c>
      <c r="D42" s="81" t="str">
        <f ca="1">_xlfn.LET(_xlpm.DATA,(_xlfn.XLOOKUP($A42,Строчный!$A:$A,Строчный!D:D,"ERR",0)),UPPER(MID(_xlpm.DATA,1,1))&amp;LOWER(MID(_xlpm.DATA,2,LEN(_xlpm.DATA)-1)))</f>
        <v>Шляпа федора</v>
      </c>
      <c r="E42" s="81" t="str">
        <f ca="1">PROPER(_xlfn.XLOOKUP($A42,Строчный!$A:$A,Строчный!E:E,"ERR",0))</f>
        <v>The Hollywood</v>
      </c>
      <c r="F42" s="81" t="str">
        <f ca="1">LOWER(_xlfn.XLOOKUP($A42,Строчный!$A:$A,Строчный!F:F,"ERR",0))</f>
        <v>всесезон</v>
      </c>
      <c r="G42" s="81" t="str">
        <f ca="1">UPPER(_xlfn.XLOOKUP($A42,Строчный!$A:$A,Строчный!G:G,"ERR",0))</f>
        <v>BAILEY</v>
      </c>
      <c r="H42" s="81" t="str">
        <f ca="1">LOWER(_xlfn.XLOOKUP($A42,Строчный!$A:$A,Строчный!H:H,"ERR",0))</f>
        <v>avion</v>
      </c>
      <c r="I42" s="81" t="str">
        <f ca="1">LOWER(_xlfn.XLOOKUP($A42,Строчный!$A:$A,Строчный!I:I,"ERR",0))</f>
        <v>серый</v>
      </c>
      <c r="J42" s="81" t="str">
        <f ca="1">SUBSTITUTE(LOWER(_xlfn.XLOOKUP($A42,Строчный!$A:$A,Строчный!J:J,"ERR",0)),"подклад","Подклад")</f>
        <v>100% шерсть</v>
      </c>
      <c r="K42" s="81" t="str">
        <f ca="1">LOWER(_xlfn.XLOOKUP($A42,Строчный!$A:$A,Строчный!K:K,"ERR",0))</f>
        <v>фетровые</v>
      </c>
      <c r="L42" s="81" t="str">
        <f ca="1">PROPER(_xlfn.XLOOKUP($A42,Строчный!$A:$A,Строчный!L:L,"ERR",0))</f>
        <v>Унисекс</v>
      </c>
      <c r="M42" s="113" t="str">
        <f ca="1">PROPER(_xlfn.XLOOKUP($A42,Строчный!$A:$A,Строчный!M:M,"ERR",0))</f>
        <v>Соединенные Штаты</v>
      </c>
      <c r="N42" s="81" t="str">
        <f ca="1">UPPER(_xlfn.XLOOKUP($A42,Строчный!$A:$A,Строчный!O:O,"ERR",0))</f>
        <v/>
      </c>
      <c r="O42" s="107" t="str">
        <f ca="1">PROPER(_xlfn.XLOOKUP($A42,Строчный!$A:$A,Строчный!P:P,"ERR",0))</f>
        <v/>
      </c>
      <c r="P42" s="90">
        <f ca="1">VALUE(_xlfn.XLOOKUP($A42,Строчный!$A:$A,Строчный!N:N,"ERR",0))</f>
        <v>702.00000000000011</v>
      </c>
      <c r="Q42" s="89" t="str">
        <f ca="1">_xlfn.XLOOKUP($G42,Фабрика!A:A,Фабрика!B:B,"ERR",0)</f>
        <v>Bollman Headwear Europe Ltd; 2 Merchants drive, Caelisle, Cumbria CA3 0JW, United Kingdom</v>
      </c>
      <c r="R42" s="80" t="str">
        <f ca="1">_xlfn.XLOOKUP(RIGHT(Z42,2),Размеры!D:D,Размеры!A:A,"ERR",0)</f>
        <v>57</v>
      </c>
      <c r="S42" s="80">
        <f ca="1">VALUE(_xlfn.XLOOKUP($Z42,Строчный!$R:$R,Строчный!T:T,"ERR",0))</f>
        <v>1</v>
      </c>
      <c r="T42" s="14" t="s">
        <v>265</v>
      </c>
      <c r="U42" s="101" t="str">
        <f t="shared" ca="1" si="5"/>
        <v>Шляпа BAILEY арт. 70657BH FALCON (серый)</v>
      </c>
      <c r="V42" s="100" t="str">
        <f t="shared" ca="1" si="6"/>
        <v>Шляпа BAILEY арт. 70657BH FALCON (серый) {avion}</v>
      </c>
      <c r="W42" s="18" t="str">
        <f t="shared" ca="1" si="7"/>
        <v>серый</v>
      </c>
      <c r="X42" s="18" t="str">
        <f t="shared" ca="1" si="8"/>
        <v>серый</v>
      </c>
      <c r="Y42" s="117" t="str">
        <f ca="1">_xlfn.LET(_xlpm.FormColors,_xlfn.XLOOKUP(A42,Строчный!A:A,Строчный!Q:Q,"",0),IF(_xlpm.FormColors=0,IFERROR(MID(I42,FIND("-",I42)+1,LEN(I42)),IFERROR(MID(I42,1,FIND("/",I42)-2),I42)),_xlpm.FormColors))</f>
        <v>серый</v>
      </c>
      <c r="Z42" s="73" t="str">
        <f ca="1"/>
        <v>21-803-08-57</v>
      </c>
      <c r="AA42" s="75" t="str">
        <f ca="1">VLOOKUP(C42,Группа!A:B,2,FALSE)</f>
        <v>Шляпа</v>
      </c>
      <c r="AB42" s="97" t="str">
        <f ca="1">IFERROR(VLOOKUP(R42,Размеры!A:C,3,FALSE),"")</f>
        <v>57 M</v>
      </c>
      <c r="AC42" s="97" t="str">
        <f ca="1">VLOOKUP(I42,ЦветПолный!A:B,2,FALSE)</f>
        <v>08</v>
      </c>
      <c r="AD42" s="97" t="str">
        <f ca="1">IFERROR(VLOOKUP(R42,Размеры!A:D,4,FALSE),"")</f>
        <v>57</v>
      </c>
      <c r="AE42" s="97">
        <f ca="1">IF(LEFT(IFERROR(VLOOKUP(LOOKUP(2,1/SEARCH(B42,Товары!A:A),Товары!A:A),Товары!A:B,2,0),""),6)=MID(Z42,1,6),1,0)</f>
        <v>0</v>
      </c>
      <c r="AG42" s="97">
        <f ca="1">SUMIF(Группа!A:A,C42,Группа!C:C)</f>
        <v>1</v>
      </c>
      <c r="AH42" s="97">
        <f ca="1">SUMIF(Группа!B:B,AA42,Группа!C:C)</f>
        <v>1</v>
      </c>
      <c r="AI42" s="97">
        <f ca="1">SUMIF(Формы!A:A,D42,Формы!B:B)</f>
        <v>1</v>
      </c>
      <c r="AJ42" s="97">
        <f ca="1">SUMIF(Материал!A:A,K42,Материал!B:B)</f>
        <v>1</v>
      </c>
      <c r="AK42" s="97">
        <f ca="1">SUMIF(Размеры!A:A,R42,Размеры!E:E)</f>
        <v>1</v>
      </c>
      <c r="AL42" s="97">
        <f ca="1">SUMIF(Сезон!A:A,F42,Сезон!B:B)</f>
        <v>1</v>
      </c>
      <c r="AM42" s="97">
        <f ca="1">SUMIF(Состав!A:A,J42,Состав!B:B)</f>
        <v>1</v>
      </c>
      <c r="AN42" s="97">
        <f ca="1">VLOOKUP(I42,ЦветПолный!A:C,3,0)</f>
        <v>1</v>
      </c>
      <c r="AO42" s="97">
        <f ca="1">SUMIF(Цвет!A:A,Y42,Цвет!B:B)</f>
        <v>1</v>
      </c>
      <c r="AP42" s="97">
        <f ca="1">_xlfn.XLOOKUP(L42,Пол!A:A,Пол!B:B,0,0)</f>
        <v>1</v>
      </c>
      <c r="AQ42" s="97">
        <f ca="1">SUMIF(Марка!A:A,G42,Марка!B:B)</f>
        <v>1</v>
      </c>
      <c r="AR42" s="97">
        <f ca="1">SUMIF(Страна!A:A,M42,Страна!B:B)</f>
        <v>1</v>
      </c>
      <c r="AS42" s="64" t="e">
        <f ca="1">IF(VLOOKUP(V42,Товары!A:B,2,FALSE)=A42,"Есть в 1С","ERR")</f>
        <v>#N/A</v>
      </c>
      <c r="AT42" s="65" t="e">
        <f ca="1">IF(VLOOKUP(A42,Товары!B:B,1,FALSE)=A42,"Есть в 1С","ERR")</f>
        <v>#N/A</v>
      </c>
      <c r="AU42" s="96" t="e">
        <f ca="1">VLOOKUP(V42,Товары!A:B,2,FALSE)</f>
        <v>#N/A</v>
      </c>
      <c r="AV42" s="94" t="e">
        <f ca="1">VLOOKUP(V42,Товары!A:B,1,FALSE)</f>
        <v>#N/A</v>
      </c>
    </row>
    <row r="43" spans="1:48" x14ac:dyDescent="0.25">
      <c r="A43" s="110" t="str">
        <f t="shared" ca="1" si="4"/>
        <v>21-802-11</v>
      </c>
      <c r="B43" s="107" t="str">
        <f ca="1">_xlfn.LET(_xlpm.CAPS,0,_xlpm.Style,_xlfn.XLOOKUP($A43,Строчный!$A:$A,Строчный!B:B,"ERR",0),IF(_xlpm.CAPS=0,_xlpm.Style,LOWER(_xlpm.Style)))</f>
        <v>61442BH NILSON</v>
      </c>
      <c r="C43" s="81" t="str">
        <f ca="1">PROPER(_xlfn.XLOOKUP($A43,Строчный!$A:$A,Строчный!C:C,"ERR",0))</f>
        <v>Шляпы</v>
      </c>
      <c r="D43" s="81" t="str">
        <f ca="1">_xlfn.LET(_xlpm.DATA,(_xlfn.XLOOKUP($A43,Строчный!$A:$A,Строчный!D:D,"ERR",0)),UPPER(MID(_xlpm.DATA,1,1))&amp;LOWER(MID(_xlpm.DATA,2,LEN(_xlpm.DATA)-1)))</f>
        <v>Шляпа федора</v>
      </c>
      <c r="E43" s="81" t="str">
        <f ca="1">PROPER(_xlfn.XLOOKUP($A43,Строчный!$A:$A,Строчный!E:E,"ERR",0))</f>
        <v>The Hollywood</v>
      </c>
      <c r="F43" s="81" t="str">
        <f ca="1">LOWER(_xlfn.XLOOKUP($A43,Строчный!$A:$A,Строчный!F:F,"ERR",0))</f>
        <v>всесезон</v>
      </c>
      <c r="G43" s="81" t="str">
        <f ca="1">UPPER(_xlfn.XLOOKUP($A43,Строчный!$A:$A,Строчный!G:G,"ERR",0))</f>
        <v>BAILEY</v>
      </c>
      <c r="H43" s="81" t="str">
        <f ca="1">LOWER(_xlfn.XLOOKUP($A43,Строчный!$A:$A,Строчный!H:H,"ERR",0))</f>
        <v>uniform green</v>
      </c>
      <c r="I43" s="81" t="str">
        <f ca="1">LOWER(_xlfn.XLOOKUP($A43,Строчный!$A:$A,Строчный!I:I,"ERR",0))</f>
        <v>зеленый</v>
      </c>
      <c r="J43" s="81" t="str">
        <f ca="1">SUBSTITUTE(LOWER(_xlfn.XLOOKUP($A43,Строчный!$A:$A,Строчный!J:J,"ERR",0)),"подклад","Подклад")</f>
        <v>60% пух кролика - 40% пух бобра</v>
      </c>
      <c r="K43" s="81" t="str">
        <f ca="1">LOWER(_xlfn.XLOOKUP($A43,Строчный!$A:$A,Строчный!K:K,"ERR",0))</f>
        <v>велюровые</v>
      </c>
      <c r="L43" s="81" t="str">
        <f ca="1">PROPER(_xlfn.XLOOKUP($A43,Строчный!$A:$A,Строчный!L:L,"ERR",0))</f>
        <v>Унисекс</v>
      </c>
      <c r="M43" s="113" t="str">
        <f ca="1">PROPER(_xlfn.XLOOKUP($A43,Строчный!$A:$A,Строчный!M:M,"ERR",0))</f>
        <v>Соединенные Штаты</v>
      </c>
      <c r="N43" s="81" t="str">
        <f ca="1">UPPER(_xlfn.XLOOKUP($A43,Строчный!$A:$A,Строчный!O:O,"ERR",0))</f>
        <v/>
      </c>
      <c r="O43" s="107" t="str">
        <f ca="1">PROPER(_xlfn.XLOOKUP($A43,Строчный!$A:$A,Строчный!P:P,"ERR",0))</f>
        <v/>
      </c>
      <c r="P43" s="90">
        <f ca="1">VALUE(_xlfn.XLOOKUP($A43,Строчный!$A:$A,Строчный!N:N,"ERR",0))</f>
        <v>702.00000000000011</v>
      </c>
      <c r="Q43" s="89" t="str">
        <f ca="1">_xlfn.XLOOKUP($G43,Фабрика!A:A,Фабрика!B:B,"ERR",0)</f>
        <v>Bollman Headwear Europe Ltd; 2 Merchants drive, Caelisle, Cumbria CA3 0JW, United Kingdom</v>
      </c>
      <c r="R43" s="80" t="str">
        <f ca="1">_xlfn.XLOOKUP(RIGHT(Z43,2),Размеры!D:D,Размеры!A:A,"ERR",0)</f>
        <v>59</v>
      </c>
      <c r="S43" s="80">
        <f ca="1">VALUE(_xlfn.XLOOKUP($Z43,Строчный!$R:$R,Строчный!T:T,"ERR",0))</f>
        <v>1</v>
      </c>
      <c r="T43" s="14" t="s">
        <v>265</v>
      </c>
      <c r="U43" s="101" t="str">
        <f t="shared" ca="1" si="5"/>
        <v>Шляпа BAILEY арт. 61442BH NILSON (зеленый)</v>
      </c>
      <c r="V43" s="100" t="str">
        <f t="shared" ca="1" si="6"/>
        <v>Шляпа BAILEY арт. 61442BH NILSON (зеленый) {uniform green}</v>
      </c>
      <c r="W43" s="18" t="str">
        <f t="shared" ca="1" si="7"/>
        <v>зеленый</v>
      </c>
      <c r="X43" s="18" t="str">
        <f t="shared" ca="1" si="8"/>
        <v>зеленый</v>
      </c>
      <c r="Y43" s="117" t="str">
        <f ca="1">_xlfn.LET(_xlpm.FormColors,_xlfn.XLOOKUP(A43,Строчный!A:A,Строчный!Q:Q,"",0),IF(_xlpm.FormColors=0,IFERROR(MID(I43,FIND("-",I43)+1,LEN(I43)),IFERROR(MID(I43,1,FIND("/",I43)-2),I43)),_xlpm.FormColors))</f>
        <v>зеленый</v>
      </c>
      <c r="Z43" s="73" t="str">
        <f ca="1"/>
        <v>21-802-11-59</v>
      </c>
      <c r="AA43" s="75" t="str">
        <f ca="1">VLOOKUP(C43,Группа!A:B,2,FALSE)</f>
        <v>Шляпа</v>
      </c>
      <c r="AB43" s="97" t="str">
        <f ca="1">IFERROR(VLOOKUP(R43,Размеры!A:C,3,FALSE),"")</f>
        <v>59 L</v>
      </c>
      <c r="AC43" s="97" t="str">
        <f ca="1">VLOOKUP(I43,ЦветПолный!A:B,2,FALSE)</f>
        <v>11</v>
      </c>
      <c r="AD43" s="97" t="str">
        <f ca="1">IFERROR(VLOOKUP(R43,Размеры!A:D,4,FALSE),"")</f>
        <v>59</v>
      </c>
      <c r="AE43" s="97">
        <f ca="1">IF(LEFT(IFERROR(VLOOKUP(LOOKUP(2,1/SEARCH(B43,Товары!A:A),Товары!A:A),Товары!A:B,2,0),""),6)=MID(Z43,1,6),1,0)</f>
        <v>0</v>
      </c>
      <c r="AG43" s="97">
        <f ca="1">SUMIF(Группа!A:A,C43,Группа!C:C)</f>
        <v>1</v>
      </c>
      <c r="AH43" s="97">
        <f ca="1">SUMIF(Группа!B:B,AA43,Группа!C:C)</f>
        <v>1</v>
      </c>
      <c r="AI43" s="97">
        <f ca="1">SUMIF(Формы!A:A,D43,Формы!B:B)</f>
        <v>1</v>
      </c>
      <c r="AJ43" s="97">
        <f ca="1">SUMIF(Материал!A:A,K43,Материал!B:B)</f>
        <v>1</v>
      </c>
      <c r="AK43" s="97">
        <f ca="1">SUMIF(Размеры!A:A,R43,Размеры!E:E)</f>
        <v>1</v>
      </c>
      <c r="AL43" s="97">
        <f ca="1">SUMIF(Сезон!A:A,F43,Сезон!B:B)</f>
        <v>1</v>
      </c>
      <c r="AM43" s="97">
        <f ca="1">SUMIF(Состав!A:A,J43,Состав!B:B)</f>
        <v>1</v>
      </c>
      <c r="AN43" s="97">
        <f ca="1">VLOOKUP(I43,ЦветПолный!A:C,3,0)</f>
        <v>1</v>
      </c>
      <c r="AO43" s="97">
        <f ca="1">SUMIF(Цвет!A:A,Y43,Цвет!B:B)</f>
        <v>1</v>
      </c>
      <c r="AP43" s="97">
        <f ca="1">_xlfn.XLOOKUP(L43,Пол!A:A,Пол!B:B,0,0)</f>
        <v>1</v>
      </c>
      <c r="AQ43" s="97">
        <f ca="1">SUMIF(Марка!A:A,G43,Марка!B:B)</f>
        <v>1</v>
      </c>
      <c r="AR43" s="97">
        <f ca="1">SUMIF(Страна!A:A,M43,Страна!B:B)</f>
        <v>1</v>
      </c>
      <c r="AS43" s="64" t="e">
        <f ca="1">IF(VLOOKUP(V43,Товары!A:B,2,FALSE)=A43,"Есть в 1С","ERR")</f>
        <v>#N/A</v>
      </c>
      <c r="AT43" s="65" t="e">
        <f ca="1">IF(VLOOKUP(A43,Товары!B:B,1,FALSE)=A43,"Есть в 1С","ERR")</f>
        <v>#N/A</v>
      </c>
      <c r="AU43" s="96" t="e">
        <f ca="1">VLOOKUP(V43,Товары!A:B,2,FALSE)</f>
        <v>#N/A</v>
      </c>
      <c r="AV43" s="94" t="e">
        <f ca="1">VLOOKUP(V43,Товары!A:B,1,FALSE)</f>
        <v>#N/A</v>
      </c>
    </row>
    <row r="44" spans="1:48" x14ac:dyDescent="0.25">
      <c r="A44" s="110" t="str">
        <f t="shared" ca="1" si="4"/>
        <v>21-801-90</v>
      </c>
      <c r="B44" s="107" t="str">
        <f ca="1">_xlfn.LET(_xlpm.CAPS,0,_xlpm.Style,_xlfn.XLOOKUP($A44,Строчный!$A:$A,Строчный!B:B,"ERR",0),IF(_xlpm.CAPS=0,_xlpm.Style,LOWER(_xlpm.Style)))</f>
        <v>38368BH CYD</v>
      </c>
      <c r="C44" s="81" t="str">
        <f ca="1">PROPER(_xlfn.XLOOKUP($A44,Строчный!$A:$A,Строчный!C:C,"ERR",0))</f>
        <v>Шляпы</v>
      </c>
      <c r="D44" s="81" t="str">
        <f ca="1">_xlfn.LET(_xlpm.DATA,(_xlfn.XLOOKUP($A44,Строчный!$A:$A,Строчный!D:D,"ERR",0)),UPPER(MID(_xlpm.DATA,1,1))&amp;LOWER(MID(_xlpm.DATA,2,LEN(_xlpm.DATA)-1)))</f>
        <v>Шляпа федора</v>
      </c>
      <c r="E44" s="81" t="str">
        <f ca="1">PROPER(_xlfn.XLOOKUP($A44,Строчный!$A:$A,Строчный!E:E,"ERR",0))</f>
        <v>The Hollywood</v>
      </c>
      <c r="F44" s="81" t="str">
        <f ca="1">LOWER(_xlfn.XLOOKUP($A44,Строчный!$A:$A,Строчный!F:F,"ERR",0))</f>
        <v>всесезон</v>
      </c>
      <c r="G44" s="81" t="str">
        <f ca="1">UPPER(_xlfn.XLOOKUP($A44,Строчный!$A:$A,Строчный!G:G,"ERR",0))</f>
        <v>BAILEY</v>
      </c>
      <c r="H44" s="81" t="str">
        <f ca="1">LOWER(_xlfn.XLOOKUP($A44,Строчный!$A:$A,Строчный!H:H,"ERR",0))</f>
        <v>whiskey</v>
      </c>
      <c r="I44" s="81" t="str">
        <f ca="1">LOWER(_xlfn.XLOOKUP($A44,Строчный!$A:$A,Строчный!I:I,"ERR",0))</f>
        <v>коньячный</v>
      </c>
      <c r="J44" s="81" t="str">
        <f ca="1">SUBSTITUTE(LOWER(_xlfn.XLOOKUP($A44,Строчный!$A:$A,Строчный!J:J,"ERR",0)),"подклад","Подклад")</f>
        <v>100% шерсть</v>
      </c>
      <c r="K44" s="81" t="str">
        <f ca="1">LOWER(_xlfn.XLOOKUP($A44,Строчный!$A:$A,Строчный!K:K,"ERR",0))</f>
        <v>фетровые</v>
      </c>
      <c r="L44" s="81" t="str">
        <f ca="1">PROPER(_xlfn.XLOOKUP($A44,Строчный!$A:$A,Строчный!L:L,"ERR",0))</f>
        <v>Унисекс</v>
      </c>
      <c r="M44" s="113" t="str">
        <f ca="1">PROPER(_xlfn.XLOOKUP($A44,Строчный!$A:$A,Строчный!M:M,"ERR",0))</f>
        <v>Соединенные Штаты</v>
      </c>
      <c r="N44" s="81" t="str">
        <f ca="1">UPPER(_xlfn.XLOOKUP($A44,Строчный!$A:$A,Строчный!O:O,"ERR",0))</f>
        <v/>
      </c>
      <c r="O44" s="107" t="str">
        <f ca="1">PROPER(_xlfn.XLOOKUP($A44,Строчный!$A:$A,Строчный!P:P,"ERR",0))</f>
        <v/>
      </c>
      <c r="P44" s="90">
        <f ca="1">VALUE(_xlfn.XLOOKUP($A44,Строчный!$A:$A,Строчный!N:N,"ERR",0))</f>
        <v>702.00000000000011</v>
      </c>
      <c r="Q44" s="89" t="str">
        <f ca="1">_xlfn.XLOOKUP($G44,Фабрика!A:A,Фабрика!B:B,"ERR",0)</f>
        <v>Bollman Headwear Europe Ltd; 2 Merchants drive, Caelisle, Cumbria CA3 0JW, United Kingdom</v>
      </c>
      <c r="R44" s="80" t="str">
        <f ca="1">_xlfn.XLOOKUP(RIGHT(Z44,2),Размеры!D:D,Размеры!A:A,"ERR",0)</f>
        <v>57</v>
      </c>
      <c r="S44" s="80">
        <f ca="1">VALUE(_xlfn.XLOOKUP($Z44,Строчный!$R:$R,Строчный!T:T,"ERR",0))</f>
        <v>1</v>
      </c>
      <c r="T44" s="14" t="s">
        <v>265</v>
      </c>
      <c r="U44" s="101" t="str">
        <f t="shared" ca="1" si="5"/>
        <v>Шляпа BAILEY арт. 38368BH CYD (коньячный)</v>
      </c>
      <c r="V44" s="100" t="str">
        <f t="shared" ca="1" si="6"/>
        <v>Шляпа BAILEY арт. 38368BH CYD (коньячный) {whiskey}</v>
      </c>
      <c r="W44" s="18" t="str">
        <f t="shared" ca="1" si="7"/>
        <v>коньячный</v>
      </c>
      <c r="X44" s="18" t="str">
        <f t="shared" ca="1" si="8"/>
        <v>коньячный</v>
      </c>
      <c r="Y44" s="117" t="str">
        <f ca="1">_xlfn.LET(_xlpm.FormColors,_xlfn.XLOOKUP(A44,Строчный!A:A,Строчный!Q:Q,"",0),IF(_xlpm.FormColors=0,IFERROR(MID(I44,FIND("-",I44)+1,LEN(I44)),IFERROR(MID(I44,1,FIND("/",I44)-2),I44)),_xlpm.FormColors))</f>
        <v>коньячный</v>
      </c>
      <c r="Z44" s="73" t="str">
        <f ca="1"/>
        <v>21-801-90-57</v>
      </c>
      <c r="AA44" s="75" t="str">
        <f ca="1">VLOOKUP(C44,Группа!A:B,2,FALSE)</f>
        <v>Шляпа</v>
      </c>
      <c r="AB44" s="97" t="str">
        <f ca="1">IFERROR(VLOOKUP(R44,Размеры!A:C,3,FALSE),"")</f>
        <v>57 M</v>
      </c>
      <c r="AC44" s="97" t="str">
        <f ca="1">VLOOKUP(I44,ЦветПолный!A:B,2,FALSE)</f>
        <v>90</v>
      </c>
      <c r="AD44" s="97" t="str">
        <f ca="1">IFERROR(VLOOKUP(R44,Размеры!A:D,4,FALSE),"")</f>
        <v>57</v>
      </c>
      <c r="AE44" s="97">
        <f ca="1">IF(LEFT(IFERROR(VLOOKUP(LOOKUP(2,1/SEARCH(B44,Товары!A:A),Товары!A:A),Товары!A:B,2,0),""),6)=MID(Z44,1,6),1,0)</f>
        <v>0</v>
      </c>
      <c r="AG44" s="97">
        <f ca="1">SUMIF(Группа!A:A,C44,Группа!C:C)</f>
        <v>1</v>
      </c>
      <c r="AH44" s="97">
        <f ca="1">SUMIF(Группа!B:B,AA44,Группа!C:C)</f>
        <v>1</v>
      </c>
      <c r="AI44" s="97">
        <f ca="1">SUMIF(Формы!A:A,D44,Формы!B:B)</f>
        <v>1</v>
      </c>
      <c r="AJ44" s="97">
        <f ca="1">SUMIF(Материал!A:A,K44,Материал!B:B)</f>
        <v>1</v>
      </c>
      <c r="AK44" s="97">
        <f ca="1">SUMIF(Размеры!A:A,R44,Размеры!E:E)</f>
        <v>1</v>
      </c>
      <c r="AL44" s="97">
        <f ca="1">SUMIF(Сезон!A:A,F44,Сезон!B:B)</f>
        <v>1</v>
      </c>
      <c r="AM44" s="97">
        <f ca="1">SUMIF(Состав!A:A,J44,Состав!B:B)</f>
        <v>1</v>
      </c>
      <c r="AN44" s="97">
        <f ca="1">VLOOKUP(I44,ЦветПолный!A:C,3,0)</f>
        <v>1</v>
      </c>
      <c r="AO44" s="97">
        <f ca="1">SUMIF(Цвет!A:A,Y44,Цвет!B:B)</f>
        <v>0</v>
      </c>
      <c r="AP44" s="97">
        <f ca="1">_xlfn.XLOOKUP(L44,Пол!A:A,Пол!B:B,0,0)</f>
        <v>1</v>
      </c>
      <c r="AQ44" s="97">
        <f ca="1">SUMIF(Марка!A:A,G44,Марка!B:B)</f>
        <v>1</v>
      </c>
      <c r="AR44" s="97">
        <f ca="1">SUMIF(Страна!A:A,M44,Страна!B:B)</f>
        <v>1</v>
      </c>
      <c r="AS44" s="64" t="e">
        <f ca="1">IF(VLOOKUP(V44,Товары!A:B,2,FALSE)=A44,"Есть в 1С","ERR")</f>
        <v>#N/A</v>
      </c>
      <c r="AT44" s="65" t="e">
        <f ca="1">IF(VLOOKUP(A44,Товары!B:B,1,FALSE)=A44,"Есть в 1С","ERR")</f>
        <v>#N/A</v>
      </c>
      <c r="AU44" s="96" t="e">
        <f ca="1">VLOOKUP(V44,Товары!A:B,2,FALSE)</f>
        <v>#N/A</v>
      </c>
      <c r="AV44" s="94" t="e">
        <f ca="1">VLOOKUP(V44,Товары!A:B,1,FALSE)</f>
        <v>#N/A</v>
      </c>
    </row>
    <row r="45" spans="1:48" x14ac:dyDescent="0.25">
      <c r="A45" s="110" t="str">
        <f t="shared" ca="1" si="4"/>
        <v>21-800-02</v>
      </c>
      <c r="B45" s="107" t="str">
        <f ca="1">_xlfn.LET(_xlpm.CAPS,0,_xlpm.Style,_xlfn.XLOOKUP($A45,Строчный!$A:$A,Строчный!B:B,"ERR",0),IF(_xlpm.CAPS=0,_xlpm.Style,LOWER(_xlpm.Style)))</f>
        <v>38367BH NIALL</v>
      </c>
      <c r="C45" s="81" t="str">
        <f ca="1">PROPER(_xlfn.XLOOKUP($A45,Строчный!$A:$A,Строчный!C:C,"ERR",0))</f>
        <v>Шляпы</v>
      </c>
      <c r="D45" s="81" t="str">
        <f ca="1">_xlfn.LET(_xlpm.DATA,(_xlfn.XLOOKUP($A45,Строчный!$A:$A,Строчный!D:D,"ERR",0)),UPPER(MID(_xlpm.DATA,1,1))&amp;LOWER(MID(_xlpm.DATA,2,LEN(_xlpm.DATA)-1)))</f>
        <v>Шляпа федора</v>
      </c>
      <c r="E45" s="81" t="str">
        <f ca="1">PROPER(_xlfn.XLOOKUP($A45,Строчный!$A:$A,Строчный!E:E,"ERR",0))</f>
        <v>The Hollywood</v>
      </c>
      <c r="F45" s="81" t="str">
        <f ca="1">LOWER(_xlfn.XLOOKUP($A45,Строчный!$A:$A,Строчный!F:F,"ERR",0))</f>
        <v>всесезон</v>
      </c>
      <c r="G45" s="81" t="str">
        <f ca="1">UPPER(_xlfn.XLOOKUP($A45,Строчный!$A:$A,Строчный!G:G,"ERR",0))</f>
        <v>BAILEY</v>
      </c>
      <c r="H45" s="81" t="str">
        <f ca="1">LOWER(_xlfn.XLOOKUP($A45,Строчный!$A:$A,Строчный!H:H,"ERR",0))</f>
        <v>fawn</v>
      </c>
      <c r="I45" s="81" t="str">
        <f ca="1">LOWER(_xlfn.XLOOKUP($A45,Строчный!$A:$A,Строчный!I:I,"ERR",0))</f>
        <v>бежевый</v>
      </c>
      <c r="J45" s="81" t="str">
        <f ca="1">SUBSTITUTE(LOWER(_xlfn.XLOOKUP($A45,Строчный!$A:$A,Строчный!J:J,"ERR",0)),"подклад","Подклад")</f>
        <v>100% шерсть</v>
      </c>
      <c r="K45" s="81" t="str">
        <f ca="1">LOWER(_xlfn.XLOOKUP($A45,Строчный!$A:$A,Строчный!K:K,"ERR",0))</f>
        <v>фетровые</v>
      </c>
      <c r="L45" s="81" t="str">
        <f ca="1">PROPER(_xlfn.XLOOKUP($A45,Строчный!$A:$A,Строчный!L:L,"ERR",0))</f>
        <v>Унисекс</v>
      </c>
      <c r="M45" s="113" t="str">
        <f ca="1">PROPER(_xlfn.XLOOKUP($A45,Строчный!$A:$A,Строчный!M:M,"ERR",0))</f>
        <v>Соединенные Штаты</v>
      </c>
      <c r="N45" s="81" t="str">
        <f ca="1">UPPER(_xlfn.XLOOKUP($A45,Строчный!$A:$A,Строчный!O:O,"ERR",0))</f>
        <v/>
      </c>
      <c r="O45" s="107" t="str">
        <f ca="1">PROPER(_xlfn.XLOOKUP($A45,Строчный!$A:$A,Строчный!P:P,"ERR",0))</f>
        <v/>
      </c>
      <c r="P45" s="90">
        <f ca="1">VALUE(_xlfn.XLOOKUP($A45,Строчный!$A:$A,Строчный!N:N,"ERR",0))</f>
        <v>702.00000000000011</v>
      </c>
      <c r="Q45" s="89" t="str">
        <f ca="1">_xlfn.XLOOKUP($G45,Фабрика!A:A,Фабрика!B:B,"ERR",0)</f>
        <v>Bollman Headwear Europe Ltd; 2 Merchants drive, Caelisle, Cumbria CA3 0JW, United Kingdom</v>
      </c>
      <c r="R45" s="80" t="str">
        <f ca="1">_xlfn.XLOOKUP(RIGHT(Z45,2),Размеры!D:D,Размеры!A:A,"ERR",0)</f>
        <v>59</v>
      </c>
      <c r="S45" s="80">
        <f ca="1">VALUE(_xlfn.XLOOKUP($Z45,Строчный!$R:$R,Строчный!T:T,"ERR",0))</f>
        <v>1</v>
      </c>
      <c r="T45" s="14" t="s">
        <v>265</v>
      </c>
      <c r="U45" s="101" t="str">
        <f t="shared" ca="1" si="5"/>
        <v>Шляпа BAILEY арт. 38367BH NIALL (бежевый)</v>
      </c>
      <c r="V45" s="100" t="str">
        <f t="shared" ca="1" si="6"/>
        <v>Шляпа BAILEY арт. 38367BH NIALL (бежевый) {fawn}</v>
      </c>
      <c r="W45" s="18" t="str">
        <f t="shared" ca="1" si="7"/>
        <v>бежевый</v>
      </c>
      <c r="X45" s="18" t="str">
        <f t="shared" ca="1" si="8"/>
        <v>бежевый</v>
      </c>
      <c r="Y45" s="117" t="str">
        <f ca="1">_xlfn.LET(_xlpm.FormColors,_xlfn.XLOOKUP(A45,Строчный!A:A,Строчный!Q:Q,"",0),IF(_xlpm.FormColors=0,IFERROR(MID(I45,FIND("-",I45)+1,LEN(I45)),IFERROR(MID(I45,1,FIND("/",I45)-2),I45)),_xlpm.FormColors))</f>
        <v>бежевый</v>
      </c>
      <c r="Z45" s="73" t="str">
        <f ca="1"/>
        <v>21-800-02-59</v>
      </c>
      <c r="AA45" s="75" t="str">
        <f ca="1">VLOOKUP(C45,Группа!A:B,2,FALSE)</f>
        <v>Шляпа</v>
      </c>
      <c r="AB45" s="97" t="str">
        <f ca="1">IFERROR(VLOOKUP(R45,Размеры!A:C,3,FALSE),"")</f>
        <v>59 L</v>
      </c>
      <c r="AC45" s="97" t="str">
        <f ca="1">VLOOKUP(I45,ЦветПолный!A:B,2,FALSE)</f>
        <v>02</v>
      </c>
      <c r="AD45" s="97" t="str">
        <f ca="1">IFERROR(VLOOKUP(R45,Размеры!A:D,4,FALSE),"")</f>
        <v>59</v>
      </c>
      <c r="AE45" s="97">
        <f ca="1">IF(LEFT(IFERROR(VLOOKUP(LOOKUP(2,1/SEARCH(B45,Товары!A:A),Товары!A:A),Товары!A:B,2,0),""),6)=MID(Z45,1,6),1,0)</f>
        <v>0</v>
      </c>
      <c r="AG45" s="97">
        <f ca="1">SUMIF(Группа!A:A,C45,Группа!C:C)</f>
        <v>1</v>
      </c>
      <c r="AH45" s="97">
        <f ca="1">SUMIF(Группа!B:B,AA45,Группа!C:C)</f>
        <v>1</v>
      </c>
      <c r="AI45" s="97">
        <f ca="1">SUMIF(Формы!A:A,D45,Формы!B:B)</f>
        <v>1</v>
      </c>
      <c r="AJ45" s="97">
        <f ca="1">SUMIF(Материал!A:A,K45,Материал!B:B)</f>
        <v>1</v>
      </c>
      <c r="AK45" s="97">
        <f ca="1">SUMIF(Размеры!A:A,R45,Размеры!E:E)</f>
        <v>1</v>
      </c>
      <c r="AL45" s="97">
        <f ca="1">SUMIF(Сезон!A:A,F45,Сезон!B:B)</f>
        <v>1</v>
      </c>
      <c r="AM45" s="97">
        <f ca="1">SUMIF(Состав!A:A,J45,Состав!B:B)</f>
        <v>1</v>
      </c>
      <c r="AN45" s="97">
        <f ca="1">VLOOKUP(I45,ЦветПолный!A:C,3,0)</f>
        <v>1</v>
      </c>
      <c r="AO45" s="97">
        <f ca="1">SUMIF(Цвет!A:A,Y45,Цвет!B:B)</f>
        <v>1</v>
      </c>
      <c r="AP45" s="97">
        <f ca="1">_xlfn.XLOOKUP(L45,Пол!A:A,Пол!B:B,0,0)</f>
        <v>1</v>
      </c>
      <c r="AQ45" s="97">
        <f ca="1">SUMIF(Марка!A:A,G45,Марка!B:B)</f>
        <v>1</v>
      </c>
      <c r="AR45" s="97">
        <f ca="1">SUMIF(Страна!A:A,M45,Страна!B:B)</f>
        <v>1</v>
      </c>
      <c r="AS45" s="64" t="e">
        <f ca="1">IF(VLOOKUP(V45,Товары!A:B,2,FALSE)=A45,"Есть в 1С","ERR")</f>
        <v>#N/A</v>
      </c>
      <c r="AT45" s="65" t="e">
        <f ca="1">IF(VLOOKUP(A45,Товары!B:B,1,FALSE)=A45,"Есть в 1С","ERR")</f>
        <v>#N/A</v>
      </c>
      <c r="AU45" s="96" t="e">
        <f ca="1">VLOOKUP(V45,Товары!A:B,2,FALSE)</f>
        <v>#N/A</v>
      </c>
      <c r="AV45" s="94" t="e">
        <f ca="1">VLOOKUP(V45,Товары!A:B,1,FALSE)</f>
        <v>#N/A</v>
      </c>
    </row>
    <row r="46" spans="1:48" x14ac:dyDescent="0.25">
      <c r="A46" s="110" t="str">
        <f t="shared" ca="1" si="4"/>
        <v>21-799-11</v>
      </c>
      <c r="B46" s="107" t="str">
        <f ca="1">_xlfn.LET(_xlpm.CAPS,0,_xlpm.Style,_xlfn.XLOOKUP($A46,Строчный!$A:$A,Строчный!B:B,"ERR",0),IF(_xlpm.CAPS=0,_xlpm.Style,LOWER(_xlpm.Style)))</f>
        <v>38366BH THALER</v>
      </c>
      <c r="C46" s="81" t="str">
        <f ca="1">PROPER(_xlfn.XLOOKUP($A46,Строчный!$A:$A,Строчный!C:C,"ERR",0))</f>
        <v>Шляпы</v>
      </c>
      <c r="D46" s="81" t="str">
        <f ca="1">_xlfn.LET(_xlpm.DATA,(_xlfn.XLOOKUP($A46,Строчный!$A:$A,Строчный!D:D,"ERR",0)),UPPER(MID(_xlpm.DATA,1,1))&amp;LOWER(MID(_xlpm.DATA,2,LEN(_xlpm.DATA)-1)))</f>
        <v>Шляпа федора</v>
      </c>
      <c r="E46" s="81" t="str">
        <f ca="1">PROPER(_xlfn.XLOOKUP($A46,Строчный!$A:$A,Строчный!E:E,"ERR",0))</f>
        <v>The Hollywood</v>
      </c>
      <c r="F46" s="81" t="str">
        <f ca="1">LOWER(_xlfn.XLOOKUP($A46,Строчный!$A:$A,Строчный!F:F,"ERR",0))</f>
        <v>всесезон</v>
      </c>
      <c r="G46" s="81" t="str">
        <f ca="1">UPPER(_xlfn.XLOOKUP($A46,Строчный!$A:$A,Строчный!G:G,"ERR",0))</f>
        <v>BAILEY</v>
      </c>
      <c r="H46" s="81" t="str">
        <f ca="1">LOWER(_xlfn.XLOOKUP($A46,Строчный!$A:$A,Строчный!H:H,"ERR",0))</f>
        <v>uniform green</v>
      </c>
      <c r="I46" s="81" t="str">
        <f ca="1">LOWER(_xlfn.XLOOKUP($A46,Строчный!$A:$A,Строчный!I:I,"ERR",0))</f>
        <v>зеленый</v>
      </c>
      <c r="J46" s="81" t="str">
        <f ca="1">SUBSTITUTE(LOWER(_xlfn.XLOOKUP($A46,Строчный!$A:$A,Строчный!J:J,"ERR",0)),"подклад","Подклад")</f>
        <v>100% шерсть</v>
      </c>
      <c r="K46" s="81" t="str">
        <f ca="1">LOWER(_xlfn.XLOOKUP($A46,Строчный!$A:$A,Строчный!K:K,"ERR",0))</f>
        <v>фетровые</v>
      </c>
      <c r="L46" s="81" t="str">
        <f ca="1">PROPER(_xlfn.XLOOKUP($A46,Строчный!$A:$A,Строчный!L:L,"ERR",0))</f>
        <v>Унисекс</v>
      </c>
      <c r="M46" s="113" t="str">
        <f ca="1">PROPER(_xlfn.XLOOKUP($A46,Строчный!$A:$A,Строчный!M:M,"ERR",0))</f>
        <v>Китай</v>
      </c>
      <c r="N46" s="81" t="str">
        <f ca="1">UPPER(_xlfn.XLOOKUP($A46,Строчный!$A:$A,Строчный!O:O,"ERR",0))</f>
        <v/>
      </c>
      <c r="O46" s="107" t="str">
        <f ca="1">PROPER(_xlfn.XLOOKUP($A46,Строчный!$A:$A,Строчный!P:P,"ERR",0))</f>
        <v/>
      </c>
      <c r="P46" s="90">
        <f ca="1">VALUE(_xlfn.XLOOKUP($A46,Строчный!$A:$A,Строчный!N:N,"ERR",0))</f>
        <v>702.00000000000011</v>
      </c>
      <c r="Q46" s="89" t="str">
        <f ca="1">_xlfn.XLOOKUP($G46,Фабрика!A:A,Фабрика!B:B,"ERR",0)</f>
        <v>Bollman Headwear Europe Ltd; 2 Merchants drive, Caelisle, Cumbria CA3 0JW, United Kingdom</v>
      </c>
      <c r="R46" s="80" t="str">
        <f ca="1">_xlfn.XLOOKUP(RIGHT(Z46,2),Размеры!D:D,Размеры!A:A,"ERR",0)</f>
        <v>59</v>
      </c>
      <c r="S46" s="80">
        <f ca="1">VALUE(_xlfn.XLOOKUP($Z46,Строчный!$R:$R,Строчный!T:T,"ERR",0))</f>
        <v>1</v>
      </c>
      <c r="T46" s="14" t="s">
        <v>265</v>
      </c>
      <c r="U46" s="101" t="str">
        <f t="shared" ca="1" si="5"/>
        <v>Шляпа BAILEY арт. 38366BH THALER (зеленый)</v>
      </c>
      <c r="V46" s="100" t="str">
        <f t="shared" ca="1" si="6"/>
        <v>Шляпа BAILEY арт. 38366BH THALER (зеленый) {uniform green}</v>
      </c>
      <c r="W46" s="18" t="str">
        <f t="shared" ca="1" si="7"/>
        <v>зеленый</v>
      </c>
      <c r="X46" s="18" t="str">
        <f t="shared" ca="1" si="8"/>
        <v>зеленый</v>
      </c>
      <c r="Y46" s="117" t="str">
        <f ca="1">_xlfn.LET(_xlpm.FormColors,_xlfn.XLOOKUP(A46,Строчный!A:A,Строчный!Q:Q,"",0),IF(_xlpm.FormColors=0,IFERROR(MID(I46,FIND("-",I46)+1,LEN(I46)),IFERROR(MID(I46,1,FIND("/",I46)-2),I46)),_xlpm.FormColors))</f>
        <v>зеленый</v>
      </c>
      <c r="Z46" s="73" t="str">
        <f ca="1"/>
        <v>21-799-11-59</v>
      </c>
      <c r="AA46" s="75" t="str">
        <f ca="1">VLOOKUP(C46,Группа!A:B,2,FALSE)</f>
        <v>Шляпа</v>
      </c>
      <c r="AB46" s="97" t="str">
        <f ca="1">IFERROR(VLOOKUP(R46,Размеры!A:C,3,FALSE),"")</f>
        <v>59 L</v>
      </c>
      <c r="AC46" s="97" t="str">
        <f ca="1">VLOOKUP(I46,ЦветПолный!A:B,2,FALSE)</f>
        <v>11</v>
      </c>
      <c r="AD46" s="97" t="str">
        <f ca="1">IFERROR(VLOOKUP(R46,Размеры!A:D,4,FALSE),"")</f>
        <v>59</v>
      </c>
      <c r="AE46" s="97">
        <f ca="1">IF(LEFT(IFERROR(VLOOKUP(LOOKUP(2,1/SEARCH(B46,Товары!A:A),Товары!A:A),Товары!A:B,2,0),""),6)=MID(Z46,1,6),1,0)</f>
        <v>0</v>
      </c>
      <c r="AG46" s="97">
        <f ca="1">SUMIF(Группа!A:A,C46,Группа!C:C)</f>
        <v>1</v>
      </c>
      <c r="AH46" s="97">
        <f ca="1">SUMIF(Группа!B:B,AA46,Группа!C:C)</f>
        <v>1</v>
      </c>
      <c r="AI46" s="97">
        <f ca="1">SUMIF(Формы!A:A,D46,Формы!B:B)</f>
        <v>1</v>
      </c>
      <c r="AJ46" s="97">
        <f ca="1">SUMIF(Материал!A:A,K46,Материал!B:B)</f>
        <v>1</v>
      </c>
      <c r="AK46" s="97">
        <f ca="1">SUMIF(Размеры!A:A,R46,Размеры!E:E)</f>
        <v>1</v>
      </c>
      <c r="AL46" s="97">
        <f ca="1">SUMIF(Сезон!A:A,F46,Сезон!B:B)</f>
        <v>1</v>
      </c>
      <c r="AM46" s="97">
        <f ca="1">SUMIF(Состав!A:A,J46,Состав!B:B)</f>
        <v>1</v>
      </c>
      <c r="AN46" s="97">
        <f ca="1">VLOOKUP(I46,ЦветПолный!A:C,3,0)</f>
        <v>1</v>
      </c>
      <c r="AO46" s="97">
        <f ca="1">SUMIF(Цвет!A:A,Y46,Цвет!B:B)</f>
        <v>1</v>
      </c>
      <c r="AP46" s="97">
        <f ca="1">_xlfn.XLOOKUP(L46,Пол!A:A,Пол!B:B,0,0)</f>
        <v>1</v>
      </c>
      <c r="AQ46" s="97">
        <f ca="1">SUMIF(Марка!A:A,G46,Марка!B:B)</f>
        <v>1</v>
      </c>
      <c r="AR46" s="97">
        <f ca="1">SUMIF(Страна!A:A,M46,Страна!B:B)</f>
        <v>1</v>
      </c>
      <c r="AS46" s="64" t="e">
        <f ca="1">IF(VLOOKUP(V46,Товары!A:B,2,FALSE)=A46,"Есть в 1С","ERR")</f>
        <v>#N/A</v>
      </c>
      <c r="AT46" s="65" t="e">
        <f ca="1">IF(VLOOKUP(A46,Товары!B:B,1,FALSE)=A46,"Есть в 1С","ERR")</f>
        <v>#N/A</v>
      </c>
      <c r="AU46" s="96" t="e">
        <f ca="1">VLOOKUP(V46,Товары!A:B,2,FALSE)</f>
        <v>#N/A</v>
      </c>
      <c r="AV46" s="94" t="e">
        <f ca="1">VLOOKUP(V46,Товары!A:B,1,FALSE)</f>
        <v>#N/A</v>
      </c>
    </row>
    <row r="47" spans="1:48" x14ac:dyDescent="0.25">
      <c r="A47" s="110" t="str">
        <f t="shared" ca="1" si="4"/>
        <v>21-798-09</v>
      </c>
      <c r="B47" s="107" t="str">
        <f ca="1">_xlfn.LET(_xlpm.CAPS,0,_xlpm.Style,_xlfn.XLOOKUP($A47,Строчный!$A:$A,Строчный!B:B,"ERR",0),IF(_xlpm.CAPS=0,_xlpm.Style,LOWER(_xlpm.Style)))</f>
        <v>38359BH TROPE</v>
      </c>
      <c r="C47" s="81" t="str">
        <f ca="1">PROPER(_xlfn.XLOOKUP($A47,Строчный!$A:$A,Строчный!C:C,"ERR",0))</f>
        <v>Шляпы</v>
      </c>
      <c r="D47" s="81" t="str">
        <f ca="1">_xlfn.LET(_xlpm.DATA,(_xlfn.XLOOKUP($A47,Строчный!$A:$A,Строчный!D:D,"ERR",0)),UPPER(MID(_xlpm.DATA,1,1))&amp;LOWER(MID(_xlpm.DATA,2,LEN(_xlpm.DATA)-1)))</f>
        <v>Шляпа федора</v>
      </c>
      <c r="E47" s="81" t="str">
        <f ca="1">PROPER(_xlfn.XLOOKUP($A47,Строчный!$A:$A,Строчный!E:E,"ERR",0))</f>
        <v>The Hollywood</v>
      </c>
      <c r="F47" s="81" t="str">
        <f ca="1">LOWER(_xlfn.XLOOKUP($A47,Строчный!$A:$A,Строчный!F:F,"ERR",0))</f>
        <v>всесезон</v>
      </c>
      <c r="G47" s="81" t="str">
        <f ca="1">UPPER(_xlfn.XLOOKUP($A47,Строчный!$A:$A,Строчный!G:G,"ERR",0))</f>
        <v>BAILEY</v>
      </c>
      <c r="H47" s="81" t="str">
        <f ca="1">LOWER(_xlfn.XLOOKUP($A47,Строчный!$A:$A,Строчный!H:H,"ERR",0))</f>
        <v>black</v>
      </c>
      <c r="I47" s="81" t="str">
        <f ca="1">LOWER(_xlfn.XLOOKUP($A47,Строчный!$A:$A,Строчный!I:I,"ERR",0))</f>
        <v>черный</v>
      </c>
      <c r="J47" s="81" t="str">
        <f ca="1">SUBSTITUTE(LOWER(_xlfn.XLOOKUP($A47,Строчный!$A:$A,Строчный!J:J,"ERR",0)),"подклад","Подклад")</f>
        <v>100% шерсть</v>
      </c>
      <c r="K47" s="81" t="str">
        <f ca="1">LOWER(_xlfn.XLOOKUP($A47,Строчный!$A:$A,Строчный!K:K,"ERR",0))</f>
        <v>фетровые</v>
      </c>
      <c r="L47" s="81" t="str">
        <f ca="1">PROPER(_xlfn.XLOOKUP($A47,Строчный!$A:$A,Строчный!L:L,"ERR",0))</f>
        <v>Унисекс</v>
      </c>
      <c r="M47" s="113" t="str">
        <f ca="1">PROPER(_xlfn.XLOOKUP($A47,Строчный!$A:$A,Строчный!M:M,"ERR",0))</f>
        <v>Китай</v>
      </c>
      <c r="N47" s="81" t="str">
        <f ca="1">UPPER(_xlfn.XLOOKUP($A47,Строчный!$A:$A,Строчный!O:O,"ERR",0))</f>
        <v/>
      </c>
      <c r="O47" s="107" t="str">
        <f ca="1">PROPER(_xlfn.XLOOKUP($A47,Строчный!$A:$A,Строчный!P:P,"ERR",0))</f>
        <v/>
      </c>
      <c r="P47" s="90">
        <f ca="1">VALUE(_xlfn.XLOOKUP($A47,Строчный!$A:$A,Строчный!N:N,"ERR",0))</f>
        <v>702.00000000000011</v>
      </c>
      <c r="Q47" s="89" t="str">
        <f ca="1">_xlfn.XLOOKUP($G47,Фабрика!A:A,Фабрика!B:B,"ERR",0)</f>
        <v>Bollman Headwear Europe Ltd; 2 Merchants drive, Caelisle, Cumbria CA3 0JW, United Kingdom</v>
      </c>
      <c r="R47" s="80" t="str">
        <f ca="1">_xlfn.XLOOKUP(RIGHT(Z47,2),Размеры!D:D,Размеры!A:A,"ERR",0)</f>
        <v>57</v>
      </c>
      <c r="S47" s="80">
        <f ca="1">VALUE(_xlfn.XLOOKUP($Z47,Строчный!$R:$R,Строчный!T:T,"ERR",0))</f>
        <v>1</v>
      </c>
      <c r="T47" s="14" t="s">
        <v>265</v>
      </c>
      <c r="U47" s="101" t="str">
        <f t="shared" ca="1" si="5"/>
        <v>Шляпа BAILEY арт. 38359BH TROPE (черный)</v>
      </c>
      <c r="V47" s="100" t="str">
        <f t="shared" ca="1" si="6"/>
        <v>Шляпа BAILEY арт. 38359BH TROPE (черный) {black}</v>
      </c>
      <c r="W47" s="18" t="str">
        <f t="shared" ca="1" si="7"/>
        <v>черный</v>
      </c>
      <c r="X47" s="18" t="str">
        <f t="shared" ca="1" si="8"/>
        <v>черный</v>
      </c>
      <c r="Y47" s="117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Z47" s="73" t="str">
        <f ca="1"/>
        <v>21-798-09-57</v>
      </c>
      <c r="AA47" s="75" t="str">
        <f ca="1">VLOOKUP(C47,Группа!A:B,2,FALSE)</f>
        <v>Шляпа</v>
      </c>
      <c r="AB47" s="97" t="str">
        <f ca="1">IFERROR(VLOOKUP(R47,Размеры!A:C,3,FALSE),"")</f>
        <v>57 M</v>
      </c>
      <c r="AC47" s="97" t="str">
        <f ca="1">VLOOKUP(I47,ЦветПолный!A:B,2,FALSE)</f>
        <v>09</v>
      </c>
      <c r="AD47" s="97" t="str">
        <f ca="1">IFERROR(VLOOKUP(R47,Размеры!A:D,4,FALSE),"")</f>
        <v>57</v>
      </c>
      <c r="AE47" s="97">
        <f ca="1">IF(LEFT(IFERROR(VLOOKUP(LOOKUP(2,1/SEARCH(B47,Товары!A:A),Товары!A:A),Товары!A:B,2,0),""),6)=MID(Z47,1,6),1,0)</f>
        <v>0</v>
      </c>
      <c r="AG47" s="97">
        <f ca="1">SUMIF(Группа!A:A,C47,Группа!C:C)</f>
        <v>1</v>
      </c>
      <c r="AH47" s="97">
        <f ca="1">SUMIF(Группа!B:B,AA47,Группа!C:C)</f>
        <v>1</v>
      </c>
      <c r="AI47" s="97">
        <f ca="1">SUMIF(Формы!A:A,D47,Формы!B:B)</f>
        <v>1</v>
      </c>
      <c r="AJ47" s="97">
        <f ca="1">SUMIF(Материал!A:A,K47,Материал!B:B)</f>
        <v>1</v>
      </c>
      <c r="AK47" s="97">
        <f ca="1">SUMIF(Размеры!A:A,R47,Размеры!E:E)</f>
        <v>1</v>
      </c>
      <c r="AL47" s="97">
        <f ca="1">SUMIF(Сезон!A:A,F47,Сезон!B:B)</f>
        <v>1</v>
      </c>
      <c r="AM47" s="97">
        <f ca="1">SUMIF(Состав!A:A,J47,Состав!B:B)</f>
        <v>1</v>
      </c>
      <c r="AN47" s="97">
        <f ca="1">VLOOKUP(I47,ЦветПолный!A:C,3,0)</f>
        <v>1</v>
      </c>
      <c r="AO47" s="97">
        <f ca="1">SUMIF(Цвет!A:A,Y47,Цвет!B:B)</f>
        <v>1</v>
      </c>
      <c r="AP47" s="97">
        <f ca="1">_xlfn.XLOOKUP(L47,Пол!A:A,Пол!B:B,0,0)</f>
        <v>1</v>
      </c>
      <c r="AQ47" s="97">
        <f ca="1">SUMIF(Марка!A:A,G47,Марка!B:B)</f>
        <v>1</v>
      </c>
      <c r="AR47" s="97">
        <f ca="1">SUMIF(Страна!A:A,M47,Страна!B:B)</f>
        <v>1</v>
      </c>
      <c r="AS47" s="64" t="e">
        <f ca="1">IF(VLOOKUP(V47,Товары!A:B,2,FALSE)=A47,"Есть в 1С","ERR")</f>
        <v>#N/A</v>
      </c>
      <c r="AT47" s="65" t="e">
        <f ca="1">IF(VLOOKUP(A47,Товары!B:B,1,FALSE)=A47,"Есть в 1С","ERR")</f>
        <v>#N/A</v>
      </c>
      <c r="AU47" s="96" t="e">
        <f ca="1">VLOOKUP(V47,Товары!A:B,2,FALSE)</f>
        <v>#N/A</v>
      </c>
      <c r="AV47" s="94" t="e">
        <f ca="1">VLOOKUP(V47,Товары!A:B,1,FALSE)</f>
        <v>#N/A</v>
      </c>
    </row>
    <row r="48" spans="1:48" x14ac:dyDescent="0.25">
      <c r="A48" s="110" t="str">
        <f t="shared" ca="1" si="4"/>
        <v>21-797-11</v>
      </c>
      <c r="B48" s="107" t="str">
        <f ca="1">_xlfn.LET(_xlpm.CAPS,0,_xlpm.Style,_xlfn.XLOOKUP($A48,Строчный!$A:$A,Строчный!B:B,"ERR",0),IF(_xlpm.CAPS=0,_xlpm.Style,LOWER(_xlpm.Style)))</f>
        <v>37193BH CONLON</v>
      </c>
      <c r="C48" s="81" t="str">
        <f ca="1">PROPER(_xlfn.XLOOKUP($A48,Строчный!$A:$A,Строчный!C:C,"ERR",0))</f>
        <v>Шляпы</v>
      </c>
      <c r="D48" s="81" t="str">
        <f ca="1">_xlfn.LET(_xlpm.DATA,(_xlfn.XLOOKUP($A48,Строчный!$A:$A,Строчный!D:D,"ERR",0)),UPPER(MID(_xlpm.DATA,1,1))&amp;LOWER(MID(_xlpm.DATA,2,LEN(_xlpm.DATA)-1)))</f>
        <v>Шляпа федора</v>
      </c>
      <c r="E48" s="81" t="str">
        <f ca="1">PROPER(_xlfn.XLOOKUP($A48,Строчный!$A:$A,Строчный!E:E,"ERR",0))</f>
        <v>The Hollywood</v>
      </c>
      <c r="F48" s="81" t="str">
        <f ca="1">LOWER(_xlfn.XLOOKUP($A48,Строчный!$A:$A,Строчный!F:F,"ERR",0))</f>
        <v>всесезон</v>
      </c>
      <c r="G48" s="81" t="str">
        <f ca="1">UPPER(_xlfn.XLOOKUP($A48,Строчный!$A:$A,Строчный!G:G,"ERR",0))</f>
        <v>BAILEY</v>
      </c>
      <c r="H48" s="81" t="str">
        <f ca="1">LOWER(_xlfn.XLOOKUP($A48,Строчный!$A:$A,Строчный!H:H,"ERR",0))</f>
        <v>uniform green</v>
      </c>
      <c r="I48" s="81" t="str">
        <f ca="1">LOWER(_xlfn.XLOOKUP($A48,Строчный!$A:$A,Строчный!I:I,"ERR",0))</f>
        <v>зеленый</v>
      </c>
      <c r="J48" s="81" t="str">
        <f ca="1">SUBSTITUTE(LOWER(_xlfn.XLOOKUP($A48,Строчный!$A:$A,Строчный!J:J,"ERR",0)),"подклад","Подклад")</f>
        <v>100% шерсть</v>
      </c>
      <c r="K48" s="81" t="str">
        <f ca="1">LOWER(_xlfn.XLOOKUP($A48,Строчный!$A:$A,Строчный!K:K,"ERR",0))</f>
        <v>фетровые</v>
      </c>
      <c r="L48" s="81" t="str">
        <f ca="1">PROPER(_xlfn.XLOOKUP($A48,Строчный!$A:$A,Строчный!L:L,"ERR",0))</f>
        <v>Унисекс</v>
      </c>
      <c r="M48" s="113" t="str">
        <f ca="1">PROPER(_xlfn.XLOOKUP($A48,Строчный!$A:$A,Строчный!M:M,"ERR",0))</f>
        <v>Соединенные Штаты</v>
      </c>
      <c r="N48" s="81" t="str">
        <f ca="1">UPPER(_xlfn.XLOOKUP($A48,Строчный!$A:$A,Строчный!O:O,"ERR",0))</f>
        <v/>
      </c>
      <c r="O48" s="107" t="str">
        <f ca="1">PROPER(_xlfn.XLOOKUP($A48,Строчный!$A:$A,Строчный!P:P,"ERR",0))</f>
        <v/>
      </c>
      <c r="P48" s="90">
        <f ca="1">VALUE(_xlfn.XLOOKUP($A48,Строчный!$A:$A,Строчный!N:N,"ERR",0))</f>
        <v>702.00000000000011</v>
      </c>
      <c r="Q48" s="89" t="str">
        <f ca="1">_xlfn.XLOOKUP($G48,Фабрика!A:A,Фабрика!B:B,"ERR",0)</f>
        <v>Bollman Headwear Europe Ltd; 2 Merchants drive, Caelisle, Cumbria CA3 0JW, United Kingdom</v>
      </c>
      <c r="R48" s="80" t="str">
        <f ca="1">_xlfn.XLOOKUP(RIGHT(Z48,2),Размеры!D:D,Размеры!A:A,"ERR",0)</f>
        <v>59</v>
      </c>
      <c r="S48" s="80">
        <f ca="1">VALUE(_xlfn.XLOOKUP($Z48,Строчный!$R:$R,Строчный!T:T,"ERR",0))</f>
        <v>1</v>
      </c>
      <c r="T48" s="14" t="s">
        <v>265</v>
      </c>
      <c r="U48" s="101" t="str">
        <f t="shared" ca="1" si="5"/>
        <v>Шляпа BAILEY арт. 37193BH CONLON (зеленый)</v>
      </c>
      <c r="V48" s="100" t="str">
        <f t="shared" ca="1" si="6"/>
        <v>Шляпа BAILEY арт. 37193BH CONLON (зеленый) {uniform green}</v>
      </c>
      <c r="W48" s="18" t="str">
        <f t="shared" ca="1" si="7"/>
        <v>зеленый</v>
      </c>
      <c r="X48" s="18" t="str">
        <f t="shared" ca="1" si="8"/>
        <v>зеленый</v>
      </c>
      <c r="Y48" s="117" t="str">
        <f ca="1">_xlfn.LET(_xlpm.FormColors,_xlfn.XLOOKUP(A48,Строчный!A:A,Строчный!Q:Q,"",0),IF(_xlpm.FormColors=0,IFERROR(MID(I48,FIND("-",I48)+1,LEN(I48)),IFERROR(MID(I48,1,FIND("/",I48)-2),I48)),_xlpm.FormColors))</f>
        <v>зеленый</v>
      </c>
      <c r="Z48" s="73" t="str">
        <f ca="1"/>
        <v>21-797-11-59</v>
      </c>
      <c r="AA48" s="75" t="str">
        <f ca="1">VLOOKUP(C48,Группа!A:B,2,FALSE)</f>
        <v>Шляпа</v>
      </c>
      <c r="AB48" s="97" t="str">
        <f ca="1">IFERROR(VLOOKUP(R48,Размеры!A:C,3,FALSE),"")</f>
        <v>59 L</v>
      </c>
      <c r="AC48" s="97" t="str">
        <f ca="1">VLOOKUP(I48,ЦветПолный!A:B,2,FALSE)</f>
        <v>11</v>
      </c>
      <c r="AD48" s="97" t="str">
        <f ca="1">IFERROR(VLOOKUP(R48,Размеры!A:D,4,FALSE),"")</f>
        <v>59</v>
      </c>
      <c r="AE48" s="97">
        <f ca="1">IF(LEFT(IFERROR(VLOOKUP(LOOKUP(2,1/SEARCH(B48,Товары!A:A),Товары!A:A),Товары!A:B,2,0),""),6)=MID(Z48,1,6),1,0)</f>
        <v>0</v>
      </c>
      <c r="AG48" s="97">
        <f ca="1">SUMIF(Группа!A:A,C48,Группа!C:C)</f>
        <v>1</v>
      </c>
      <c r="AH48" s="97">
        <f ca="1">SUMIF(Группа!B:B,AA48,Группа!C:C)</f>
        <v>1</v>
      </c>
      <c r="AI48" s="97">
        <f ca="1">SUMIF(Формы!A:A,D48,Формы!B:B)</f>
        <v>1</v>
      </c>
      <c r="AJ48" s="97">
        <f ca="1">SUMIF(Материал!A:A,K48,Материал!B:B)</f>
        <v>1</v>
      </c>
      <c r="AK48" s="97">
        <f ca="1">SUMIF(Размеры!A:A,R48,Размеры!E:E)</f>
        <v>1</v>
      </c>
      <c r="AL48" s="97">
        <f ca="1">SUMIF(Сезон!A:A,F48,Сезон!B:B)</f>
        <v>1</v>
      </c>
      <c r="AM48" s="97">
        <f ca="1">SUMIF(Состав!A:A,J48,Состав!B:B)</f>
        <v>1</v>
      </c>
      <c r="AN48" s="97">
        <f ca="1">VLOOKUP(I48,ЦветПолный!A:C,3,0)</f>
        <v>1</v>
      </c>
      <c r="AO48" s="97">
        <f ca="1">SUMIF(Цвет!A:A,Y48,Цвет!B:B)</f>
        <v>1</v>
      </c>
      <c r="AP48" s="97">
        <f ca="1">_xlfn.XLOOKUP(L48,Пол!A:A,Пол!B:B,0,0)</f>
        <v>1</v>
      </c>
      <c r="AQ48" s="97">
        <f ca="1">SUMIF(Марка!A:A,G48,Марка!B:B)</f>
        <v>1</v>
      </c>
      <c r="AR48" s="97">
        <f ca="1">SUMIF(Страна!A:A,M48,Страна!B:B)</f>
        <v>1</v>
      </c>
      <c r="AS48" s="64" t="e">
        <f ca="1">IF(VLOOKUP(V48,Товары!A:B,2,FALSE)=A48,"Есть в 1С","ERR")</f>
        <v>#N/A</v>
      </c>
      <c r="AT48" s="65" t="e">
        <f ca="1">IF(VLOOKUP(A48,Товары!B:B,1,FALSE)=A48,"Есть в 1С","ERR")</f>
        <v>#N/A</v>
      </c>
      <c r="AU48" s="96" t="e">
        <f ca="1">VLOOKUP(V48,Товары!A:B,2,FALSE)</f>
        <v>#N/A</v>
      </c>
      <c r="AV48" s="94" t="e">
        <f ca="1">VLOOKUP(V48,Товары!A:B,1,FALSE)</f>
        <v>#N/A</v>
      </c>
    </row>
    <row r="49" spans="1:48" x14ac:dyDescent="0.25">
      <c r="A49" s="110" t="str">
        <f t="shared" ca="1" si="4"/>
        <v>21-796-13</v>
      </c>
      <c r="B49" s="107" t="str">
        <f ca="1">_xlfn.LET(_xlpm.CAPS,0,_xlpm.Style,_xlfn.XLOOKUP($A49,Строчный!$A:$A,Строчный!B:B,"ERR",0),IF(_xlpm.CAPS=0,_xlpm.Style,LOWER(_xlpm.Style)))</f>
        <v>37192BH CROFT</v>
      </c>
      <c r="C49" s="81" t="str">
        <f ca="1">PROPER(_xlfn.XLOOKUP($A49,Строчный!$A:$A,Строчный!C:C,"ERR",0))</f>
        <v>Шляпы</v>
      </c>
      <c r="D49" s="81" t="str">
        <f ca="1">_xlfn.LET(_xlpm.DATA,(_xlfn.XLOOKUP($A49,Строчный!$A:$A,Строчный!D:D,"ERR",0)),UPPER(MID(_xlpm.DATA,1,1))&amp;LOWER(MID(_xlpm.DATA,2,LEN(_xlpm.DATA)-1)))</f>
        <v>Шляпа федора</v>
      </c>
      <c r="E49" s="81" t="str">
        <f ca="1">PROPER(_xlfn.XLOOKUP($A49,Строчный!$A:$A,Строчный!E:E,"ERR",0))</f>
        <v>The Hollywood</v>
      </c>
      <c r="F49" s="81" t="str">
        <f ca="1">LOWER(_xlfn.XLOOKUP($A49,Строчный!$A:$A,Строчный!F:F,"ERR",0))</f>
        <v>всесезон</v>
      </c>
      <c r="G49" s="81" t="str">
        <f ca="1">UPPER(_xlfn.XLOOKUP($A49,Строчный!$A:$A,Строчный!G:G,"ERR",0))</f>
        <v>BAILEY</v>
      </c>
      <c r="H49" s="81" t="str">
        <f ca="1">LOWER(_xlfn.XLOOKUP($A49,Строчный!$A:$A,Строчный!H:H,"ERR",0))</f>
        <v>copper</v>
      </c>
      <c r="I49" s="81" t="str">
        <f ca="1">LOWER(_xlfn.XLOOKUP($A49,Строчный!$A:$A,Строчный!I:I,"ERR",0))</f>
        <v>рыжий</v>
      </c>
      <c r="J49" s="81" t="str">
        <f ca="1">SUBSTITUTE(LOWER(_xlfn.XLOOKUP($A49,Строчный!$A:$A,Строчный!J:J,"ERR",0)),"подклад","Подклад")</f>
        <v>100% шерсть</v>
      </c>
      <c r="K49" s="81" t="str">
        <f ca="1">LOWER(_xlfn.XLOOKUP($A49,Строчный!$A:$A,Строчный!K:K,"ERR",0))</f>
        <v>фетровые</v>
      </c>
      <c r="L49" s="81" t="str">
        <f ca="1">PROPER(_xlfn.XLOOKUP($A49,Строчный!$A:$A,Строчный!L:L,"ERR",0))</f>
        <v>Унисекс</v>
      </c>
      <c r="M49" s="113" t="str">
        <f ca="1">PROPER(_xlfn.XLOOKUP($A49,Строчный!$A:$A,Строчный!M:M,"ERR",0))</f>
        <v>Соединенные Штаты</v>
      </c>
      <c r="N49" s="81" t="str">
        <f ca="1">UPPER(_xlfn.XLOOKUP($A49,Строчный!$A:$A,Строчный!O:O,"ERR",0))</f>
        <v/>
      </c>
      <c r="O49" s="107" t="str">
        <f ca="1">PROPER(_xlfn.XLOOKUP($A49,Строчный!$A:$A,Строчный!P:P,"ERR",0))</f>
        <v/>
      </c>
      <c r="P49" s="90">
        <f ca="1">VALUE(_xlfn.XLOOKUP($A49,Строчный!$A:$A,Строчный!N:N,"ERR",0))</f>
        <v>702.00000000000011</v>
      </c>
      <c r="Q49" s="89" t="str">
        <f ca="1">_xlfn.XLOOKUP($G49,Фабрика!A:A,Фабрика!B:B,"ERR",0)</f>
        <v>Bollman Headwear Europe Ltd; 2 Merchants drive, Caelisle, Cumbria CA3 0JW, United Kingdom</v>
      </c>
      <c r="R49" s="80" t="str">
        <f ca="1">_xlfn.XLOOKUP(RIGHT(Z49,2),Размеры!D:D,Размеры!A:A,"ERR",0)</f>
        <v>57</v>
      </c>
      <c r="S49" s="80">
        <f ca="1">VALUE(_xlfn.XLOOKUP($Z49,Строчный!$R:$R,Строчный!T:T,"ERR",0))</f>
        <v>1</v>
      </c>
      <c r="T49" s="14" t="s">
        <v>265</v>
      </c>
      <c r="U49" s="101" t="str">
        <f t="shared" ca="1" si="5"/>
        <v>Шляпа BAILEY арт. 37192BH CROFT (рыжий)</v>
      </c>
      <c r="V49" s="100" t="str">
        <f t="shared" ca="1" si="6"/>
        <v>Шляпа BAILEY арт. 37192BH CROFT (рыжий) {copper}</v>
      </c>
      <c r="W49" s="18" t="str">
        <f t="shared" ca="1" si="7"/>
        <v>рыжий</v>
      </c>
      <c r="X49" s="18" t="str">
        <f t="shared" ca="1" si="8"/>
        <v>рыжий</v>
      </c>
      <c r="Y49" s="117" t="str">
        <f ca="1">_xlfn.LET(_xlpm.FormColors,_xlfn.XLOOKUP(A49,Строчный!A:A,Строчный!Q:Q,"",0),IF(_xlpm.FormColors=0,IFERROR(MID(I49,FIND("-",I49)+1,LEN(I49)),IFERROR(MID(I49,1,FIND("/",I49)-2),I49)),_xlpm.FormColors))</f>
        <v>рыжий</v>
      </c>
      <c r="Z49" s="73" t="str">
        <f ca="1"/>
        <v>21-796-13-57</v>
      </c>
      <c r="AA49" s="75" t="str">
        <f ca="1">VLOOKUP(C49,Группа!A:B,2,FALSE)</f>
        <v>Шляпа</v>
      </c>
      <c r="AB49" s="97" t="str">
        <f ca="1">IFERROR(VLOOKUP(R49,Размеры!A:C,3,FALSE),"")</f>
        <v>57 M</v>
      </c>
      <c r="AC49" s="97" t="str">
        <f ca="1">VLOOKUP(I49,ЦветПолный!A:B,2,FALSE)</f>
        <v>13</v>
      </c>
      <c r="AD49" s="97" t="str">
        <f ca="1">IFERROR(VLOOKUP(R49,Размеры!A:D,4,FALSE),"")</f>
        <v>57</v>
      </c>
      <c r="AE49" s="97">
        <f ca="1">IF(LEFT(IFERROR(VLOOKUP(LOOKUP(2,1/SEARCH(B49,Товары!A:A),Товары!A:A),Товары!A:B,2,0),""),6)=MID(Z49,1,6),1,0)</f>
        <v>0</v>
      </c>
      <c r="AG49" s="97">
        <f ca="1">SUMIF(Группа!A:A,C49,Группа!C:C)</f>
        <v>1</v>
      </c>
      <c r="AH49" s="97">
        <f ca="1">SUMIF(Группа!B:B,AA49,Группа!C:C)</f>
        <v>1</v>
      </c>
      <c r="AI49" s="97">
        <f ca="1">SUMIF(Формы!A:A,D49,Формы!B:B)</f>
        <v>1</v>
      </c>
      <c r="AJ49" s="97">
        <f ca="1">SUMIF(Материал!A:A,K49,Материал!B:B)</f>
        <v>1</v>
      </c>
      <c r="AK49" s="97">
        <f ca="1">SUMIF(Размеры!A:A,R49,Размеры!E:E)</f>
        <v>1</v>
      </c>
      <c r="AL49" s="97">
        <f ca="1">SUMIF(Сезон!A:A,F49,Сезон!B:B)</f>
        <v>1</v>
      </c>
      <c r="AM49" s="97">
        <f ca="1">SUMIF(Состав!A:A,J49,Состав!B:B)</f>
        <v>1</v>
      </c>
      <c r="AN49" s="97">
        <f ca="1">VLOOKUP(I49,ЦветПолный!A:C,3,0)</f>
        <v>1</v>
      </c>
      <c r="AO49" s="97">
        <f ca="1">SUMIF(Цвет!A:A,Y49,Цвет!B:B)</f>
        <v>1</v>
      </c>
      <c r="AP49" s="97">
        <f ca="1">_xlfn.XLOOKUP(L49,Пол!A:A,Пол!B:B,0,0)</f>
        <v>1</v>
      </c>
      <c r="AQ49" s="97">
        <f ca="1">SUMIF(Марка!A:A,G49,Марка!B:B)</f>
        <v>1</v>
      </c>
      <c r="AR49" s="97">
        <f ca="1">SUMIF(Страна!A:A,M49,Страна!B:B)</f>
        <v>1</v>
      </c>
      <c r="AS49" s="64" t="e">
        <f ca="1">IF(VLOOKUP(V49,Товары!A:B,2,FALSE)=A49,"Есть в 1С","ERR")</f>
        <v>#N/A</v>
      </c>
      <c r="AT49" s="65" t="e">
        <f ca="1">IF(VLOOKUP(A49,Товары!B:B,1,FALSE)=A49,"Есть в 1С","ERR")</f>
        <v>#N/A</v>
      </c>
      <c r="AU49" s="96" t="e">
        <f ca="1">VLOOKUP(V49,Товары!A:B,2,FALSE)</f>
        <v>#N/A</v>
      </c>
      <c r="AV49" s="94" t="e">
        <f ca="1">VLOOKUP(V49,Товары!A:B,1,FALSE)</f>
        <v>#N/A</v>
      </c>
    </row>
    <row r="50" spans="1:48" x14ac:dyDescent="0.25">
      <c r="A50" s="110" t="str">
        <f t="shared" ca="1" si="4"/>
        <v>21-795-14</v>
      </c>
      <c r="B50" s="107" t="str">
        <f ca="1">_xlfn.LET(_xlpm.CAPS,0,_xlpm.Style,_xlfn.XLOOKUP($A50,Строчный!$A:$A,Строчный!B:B,"ERR",0),IF(_xlpm.CAPS=0,_xlpm.Style,LOWER(_xlpm.Style)))</f>
        <v>37191BH LEVON</v>
      </c>
      <c r="C50" s="81" t="str">
        <f ca="1">PROPER(_xlfn.XLOOKUP($A50,Строчный!$A:$A,Строчный!C:C,"ERR",0))</f>
        <v>Шляпы</v>
      </c>
      <c r="D50" s="81" t="str">
        <f ca="1">_xlfn.LET(_xlpm.DATA,(_xlfn.XLOOKUP($A50,Строчный!$A:$A,Строчный!D:D,"ERR",0)),UPPER(MID(_xlpm.DATA,1,1))&amp;LOWER(MID(_xlpm.DATA,2,LEN(_xlpm.DATA)-1)))</f>
        <v>Шляпа федора</v>
      </c>
      <c r="E50" s="81" t="str">
        <f ca="1">PROPER(_xlfn.XLOOKUP($A50,Строчный!$A:$A,Строчный!E:E,"ERR",0))</f>
        <v>The Hollywood</v>
      </c>
      <c r="F50" s="81" t="str">
        <f ca="1">LOWER(_xlfn.XLOOKUP($A50,Строчный!$A:$A,Строчный!F:F,"ERR",0))</f>
        <v>всесезон</v>
      </c>
      <c r="G50" s="81" t="str">
        <f ca="1">UPPER(_xlfn.XLOOKUP($A50,Строчный!$A:$A,Строчный!G:G,"ERR",0))</f>
        <v>BAILEY</v>
      </c>
      <c r="H50" s="81" t="str">
        <f ca="1">LOWER(_xlfn.XLOOKUP($A50,Строчный!$A:$A,Строчный!H:H,"ERR",0))</f>
        <v>oak</v>
      </c>
      <c r="I50" s="81" t="str">
        <f ca="1">LOWER(_xlfn.XLOOKUP($A50,Строчный!$A:$A,Строчный!I:I,"ERR",0))</f>
        <v>коричневый</v>
      </c>
      <c r="J50" s="81" t="str">
        <f ca="1">SUBSTITUTE(LOWER(_xlfn.XLOOKUP($A50,Строчный!$A:$A,Строчный!J:J,"ERR",0)),"подклад","Подклад")</f>
        <v>100% шерсть</v>
      </c>
      <c r="K50" s="81" t="str">
        <f ca="1">LOWER(_xlfn.XLOOKUP($A50,Строчный!$A:$A,Строчный!K:K,"ERR",0))</f>
        <v>фетровые</v>
      </c>
      <c r="L50" s="81" t="str">
        <f ca="1">PROPER(_xlfn.XLOOKUP($A50,Строчный!$A:$A,Строчный!L:L,"ERR",0))</f>
        <v>Унисекс</v>
      </c>
      <c r="M50" s="113" t="str">
        <f ca="1">PROPER(_xlfn.XLOOKUP($A50,Строчный!$A:$A,Строчный!M:M,"ERR",0))</f>
        <v>Соединенные Штаты</v>
      </c>
      <c r="N50" s="81" t="str">
        <f ca="1">UPPER(_xlfn.XLOOKUP($A50,Строчный!$A:$A,Строчный!O:O,"ERR",0))</f>
        <v/>
      </c>
      <c r="O50" s="107" t="str">
        <f ca="1">PROPER(_xlfn.XLOOKUP($A50,Строчный!$A:$A,Строчный!P:P,"ERR",0))</f>
        <v/>
      </c>
      <c r="P50" s="90">
        <f ca="1">VALUE(_xlfn.XLOOKUP($A50,Строчный!$A:$A,Строчный!N:N,"ERR",0))</f>
        <v>702.00000000000011</v>
      </c>
      <c r="Q50" s="89" t="str">
        <f ca="1">_xlfn.XLOOKUP($G50,Фабрика!A:A,Фабрика!B:B,"ERR",0)</f>
        <v>Bollman Headwear Europe Ltd; 2 Merchants drive, Caelisle, Cumbria CA3 0JW, United Kingdom</v>
      </c>
      <c r="R50" s="80" t="str">
        <f ca="1">_xlfn.XLOOKUP(RIGHT(Z50,2),Размеры!D:D,Размеры!A:A,"ERR",0)</f>
        <v>59</v>
      </c>
      <c r="S50" s="80">
        <f ca="1">VALUE(_xlfn.XLOOKUP($Z50,Строчный!$R:$R,Строчный!T:T,"ERR",0))</f>
        <v>1</v>
      </c>
      <c r="T50" s="14" t="s">
        <v>265</v>
      </c>
      <c r="U50" s="101" t="str">
        <f t="shared" ca="1" si="5"/>
        <v>Шляпа BAILEY арт. 37191BH LEVON (коричневый)</v>
      </c>
      <c r="V50" s="100" t="str">
        <f t="shared" ca="1" si="6"/>
        <v>Шляпа BAILEY арт. 37191BH LEVON (коричневый) {oak}</v>
      </c>
      <c r="W50" s="18" t="str">
        <f t="shared" ca="1" si="7"/>
        <v>коричневый</v>
      </c>
      <c r="X50" s="18" t="str">
        <f t="shared" ca="1" si="8"/>
        <v>коричневый</v>
      </c>
      <c r="Y50" s="117" t="str">
        <f ca="1">_xlfn.LET(_xlpm.FormColors,_xlfn.XLOOKUP(A50,Строчный!A:A,Строчный!Q:Q,"",0),IF(_xlpm.FormColors=0,IFERROR(MID(I50,FIND("-",I50)+1,LEN(I50)),IFERROR(MID(I50,1,FIND("/",I50)-2),I50)),_xlpm.FormColors))</f>
        <v>коричневый</v>
      </c>
      <c r="Z50" s="73" t="str">
        <f ca="1"/>
        <v>21-795-14-59</v>
      </c>
      <c r="AA50" s="75" t="str">
        <f ca="1">VLOOKUP(C50,Группа!A:B,2,FALSE)</f>
        <v>Шляпа</v>
      </c>
      <c r="AB50" s="97" t="str">
        <f ca="1">IFERROR(VLOOKUP(R50,Размеры!A:C,3,FALSE),"")</f>
        <v>59 L</v>
      </c>
      <c r="AC50" s="97" t="str">
        <f ca="1">VLOOKUP(I50,ЦветПолный!A:B,2,FALSE)</f>
        <v>14</v>
      </c>
      <c r="AD50" s="97" t="str">
        <f ca="1">IFERROR(VLOOKUP(R50,Размеры!A:D,4,FALSE),"")</f>
        <v>59</v>
      </c>
      <c r="AE50" s="97">
        <f ca="1">IF(LEFT(IFERROR(VLOOKUP(LOOKUP(2,1/SEARCH(B50,Товары!A:A),Товары!A:A),Товары!A:B,2,0),""),6)=MID(Z50,1,6),1,0)</f>
        <v>0</v>
      </c>
      <c r="AG50" s="97">
        <f ca="1">SUMIF(Группа!A:A,C50,Группа!C:C)</f>
        <v>1</v>
      </c>
      <c r="AH50" s="97">
        <f ca="1">SUMIF(Группа!B:B,AA50,Группа!C:C)</f>
        <v>1</v>
      </c>
      <c r="AI50" s="97">
        <f ca="1">SUMIF(Формы!A:A,D50,Формы!B:B)</f>
        <v>1</v>
      </c>
      <c r="AJ50" s="97">
        <f ca="1">SUMIF(Материал!A:A,K50,Материал!B:B)</f>
        <v>1</v>
      </c>
      <c r="AK50" s="97">
        <f ca="1">SUMIF(Размеры!A:A,R50,Размеры!E:E)</f>
        <v>1</v>
      </c>
      <c r="AL50" s="97">
        <f ca="1">SUMIF(Сезон!A:A,F50,Сезон!B:B)</f>
        <v>1</v>
      </c>
      <c r="AM50" s="97">
        <f ca="1">SUMIF(Состав!A:A,J50,Состав!B:B)</f>
        <v>1</v>
      </c>
      <c r="AN50" s="97">
        <f ca="1">VLOOKUP(I50,ЦветПолный!A:C,3,0)</f>
        <v>1</v>
      </c>
      <c r="AO50" s="97">
        <f ca="1">SUMIF(Цвет!A:A,Y50,Цвет!B:B)</f>
        <v>1</v>
      </c>
      <c r="AP50" s="97">
        <f ca="1">_xlfn.XLOOKUP(L50,Пол!A:A,Пол!B:B,0,0)</f>
        <v>1</v>
      </c>
      <c r="AQ50" s="97">
        <f ca="1">SUMIF(Марка!A:A,G50,Марка!B:B)</f>
        <v>1</v>
      </c>
      <c r="AR50" s="97">
        <f ca="1">SUMIF(Страна!A:A,M50,Страна!B:B)</f>
        <v>1</v>
      </c>
      <c r="AS50" s="64" t="e">
        <f ca="1">IF(VLOOKUP(V50,Товары!A:B,2,FALSE)=A50,"Есть в 1С","ERR")</f>
        <v>#N/A</v>
      </c>
      <c r="AT50" s="65" t="e">
        <f ca="1">IF(VLOOKUP(A50,Товары!B:B,1,FALSE)=A50,"Есть в 1С","ERR")</f>
        <v>#N/A</v>
      </c>
      <c r="AU50" s="96" t="e">
        <f ca="1">VLOOKUP(V50,Товары!A:B,2,FALSE)</f>
        <v>#N/A</v>
      </c>
      <c r="AV50" s="94" t="e">
        <f ca="1">VLOOKUP(V50,Товары!A:B,1,FALSE)</f>
        <v>#N/A</v>
      </c>
    </row>
    <row r="51" spans="1:48" x14ac:dyDescent="0.25">
      <c r="A51" s="110" t="str">
        <f t="shared" ca="1" si="4"/>
        <v>21-794-17</v>
      </c>
      <c r="B51" s="107" t="str">
        <f ca="1">_xlfn.LET(_xlpm.CAPS,0,_xlpm.Style,_xlfn.XLOOKUP($A51,Строчный!$A:$A,Строчный!B:B,"ERR",0),IF(_xlpm.CAPS=0,_xlpm.Style,LOWER(_xlpm.Style)))</f>
        <v>37190BH TREVEL</v>
      </c>
      <c r="C51" s="81" t="str">
        <f ca="1">PROPER(_xlfn.XLOOKUP($A51,Строчный!$A:$A,Строчный!C:C,"ERR",0))</f>
        <v>Шляпы</v>
      </c>
      <c r="D51" s="81" t="str">
        <f ca="1">_xlfn.LET(_xlpm.DATA,(_xlfn.XLOOKUP($A51,Строчный!$A:$A,Строчный!D:D,"ERR",0)),UPPER(MID(_xlpm.DATA,1,1))&amp;LOWER(MID(_xlpm.DATA,2,LEN(_xlpm.DATA)-1)))</f>
        <v>Шляпа федора</v>
      </c>
      <c r="E51" s="81" t="str">
        <f ca="1">PROPER(_xlfn.XLOOKUP($A51,Строчный!$A:$A,Строчный!E:E,"ERR",0))</f>
        <v>The Hollywood</v>
      </c>
      <c r="F51" s="81" t="str">
        <f ca="1">LOWER(_xlfn.XLOOKUP($A51,Строчный!$A:$A,Строчный!F:F,"ERR",0))</f>
        <v>всесезон</v>
      </c>
      <c r="G51" s="81" t="str">
        <f ca="1">UPPER(_xlfn.XLOOKUP($A51,Строчный!$A:$A,Строчный!G:G,"ERR",0))</f>
        <v>BAILEY</v>
      </c>
      <c r="H51" s="81" t="str">
        <f ca="1">LOWER(_xlfn.XLOOKUP($A51,Строчный!$A:$A,Строчный!H:H,"ERR",0))</f>
        <v>nickel</v>
      </c>
      <c r="I51" s="81" t="str">
        <f ca="1">LOWER(_xlfn.XLOOKUP($A51,Строчный!$A:$A,Строчный!I:I,"ERR",0))</f>
        <v>белый</v>
      </c>
      <c r="J51" s="81" t="str">
        <f ca="1">SUBSTITUTE(LOWER(_xlfn.XLOOKUP($A51,Строчный!$A:$A,Строчный!J:J,"ERR",0)),"подклад","Подклад")</f>
        <v>100% шерсть</v>
      </c>
      <c r="K51" s="81" t="str">
        <f ca="1">LOWER(_xlfn.XLOOKUP($A51,Строчный!$A:$A,Строчный!K:K,"ERR",0))</f>
        <v>фетровые</v>
      </c>
      <c r="L51" s="81" t="str">
        <f ca="1">PROPER(_xlfn.XLOOKUP($A51,Строчный!$A:$A,Строчный!L:L,"ERR",0))</f>
        <v>Унисекс</v>
      </c>
      <c r="M51" s="113" t="str">
        <f ca="1">PROPER(_xlfn.XLOOKUP($A51,Строчный!$A:$A,Строчный!M:M,"ERR",0))</f>
        <v>Соединенные Штаты</v>
      </c>
      <c r="N51" s="81" t="str">
        <f ca="1">UPPER(_xlfn.XLOOKUP($A51,Строчный!$A:$A,Строчный!O:O,"ERR",0))</f>
        <v/>
      </c>
      <c r="O51" s="107" t="str">
        <f ca="1">PROPER(_xlfn.XLOOKUP($A51,Строчный!$A:$A,Строчный!P:P,"ERR",0))</f>
        <v/>
      </c>
      <c r="P51" s="90">
        <f ca="1">VALUE(_xlfn.XLOOKUP($A51,Строчный!$A:$A,Строчный!N:N,"ERR",0))</f>
        <v>702.00000000000011</v>
      </c>
      <c r="Q51" s="89" t="str">
        <f ca="1">_xlfn.XLOOKUP($G51,Фабрика!A:A,Фабрика!B:B,"ERR",0)</f>
        <v>Bollman Headwear Europe Ltd; 2 Merchants drive, Caelisle, Cumbria CA3 0JW, United Kingdom</v>
      </c>
      <c r="R51" s="80" t="str">
        <f ca="1">_xlfn.XLOOKUP(RIGHT(Z51,2),Размеры!D:D,Размеры!A:A,"ERR",0)</f>
        <v>57</v>
      </c>
      <c r="S51" s="80">
        <f ca="1">VALUE(_xlfn.XLOOKUP($Z51,Строчный!$R:$R,Строчный!T:T,"ERR",0))</f>
        <v>1</v>
      </c>
      <c r="T51" s="14" t="s">
        <v>265</v>
      </c>
      <c r="U51" s="101" t="str">
        <f t="shared" ca="1" si="5"/>
        <v>Шляпа BAILEY арт. 37190BH TREVEL (белый)</v>
      </c>
      <c r="V51" s="100" t="str">
        <f t="shared" ca="1" si="6"/>
        <v>Шляпа BAILEY арт. 37190BH TREVEL (белый) {nickel}</v>
      </c>
      <c r="W51" s="18" t="str">
        <f t="shared" ca="1" si="7"/>
        <v>белый</v>
      </c>
      <c r="X51" s="18" t="str">
        <f t="shared" ca="1" si="8"/>
        <v>белый</v>
      </c>
      <c r="Y51" s="117" t="str">
        <f ca="1">_xlfn.LET(_xlpm.FormColors,_xlfn.XLOOKUP(A51,Строчный!A:A,Строчный!Q:Q,"",0),IF(_xlpm.FormColors=0,IFERROR(MID(I51,FIND("-",I51)+1,LEN(I51)),IFERROR(MID(I51,1,FIND("/",I51)-2),I51)),_xlpm.FormColors))</f>
        <v>белый</v>
      </c>
      <c r="Z51" s="73" t="str">
        <f ca="1"/>
        <v>21-794-17-57</v>
      </c>
      <c r="AA51" s="75" t="str">
        <f ca="1">VLOOKUP(C51,Группа!A:B,2,FALSE)</f>
        <v>Шляпа</v>
      </c>
      <c r="AB51" s="97" t="str">
        <f ca="1">IFERROR(VLOOKUP(R51,Размеры!A:C,3,FALSE),"")</f>
        <v>57 M</v>
      </c>
      <c r="AC51" s="97" t="str">
        <f ca="1">VLOOKUP(I51,ЦветПолный!A:B,2,FALSE)</f>
        <v>17</v>
      </c>
      <c r="AD51" s="97" t="str">
        <f ca="1">IFERROR(VLOOKUP(R51,Размеры!A:D,4,FALSE),"")</f>
        <v>57</v>
      </c>
      <c r="AE51" s="97">
        <f ca="1">IF(LEFT(IFERROR(VLOOKUP(LOOKUP(2,1/SEARCH(B51,Товары!A:A),Товары!A:A),Товары!A:B,2,0),""),6)=MID(Z51,1,6),1,0)</f>
        <v>0</v>
      </c>
      <c r="AG51" s="97">
        <f ca="1">SUMIF(Группа!A:A,C51,Группа!C:C)</f>
        <v>1</v>
      </c>
      <c r="AH51" s="97">
        <f ca="1">SUMIF(Группа!B:B,AA51,Группа!C:C)</f>
        <v>1</v>
      </c>
      <c r="AI51" s="97">
        <f ca="1">SUMIF(Формы!A:A,D51,Формы!B:B)</f>
        <v>1</v>
      </c>
      <c r="AJ51" s="97">
        <f ca="1">SUMIF(Материал!A:A,K51,Материал!B:B)</f>
        <v>1</v>
      </c>
      <c r="AK51" s="97">
        <f ca="1">SUMIF(Размеры!A:A,R51,Размеры!E:E)</f>
        <v>1</v>
      </c>
      <c r="AL51" s="97">
        <f ca="1">SUMIF(Сезон!A:A,F51,Сезон!B:B)</f>
        <v>1</v>
      </c>
      <c r="AM51" s="97">
        <f ca="1">SUMIF(Состав!A:A,J51,Состав!B:B)</f>
        <v>1</v>
      </c>
      <c r="AN51" s="97">
        <f ca="1">VLOOKUP(I51,ЦветПолный!A:C,3,0)</f>
        <v>1</v>
      </c>
      <c r="AO51" s="97">
        <f ca="1">SUMIF(Цвет!A:A,Y51,Цвет!B:B)</f>
        <v>1</v>
      </c>
      <c r="AP51" s="97">
        <f ca="1">_xlfn.XLOOKUP(L51,Пол!A:A,Пол!B:B,0,0)</f>
        <v>1</v>
      </c>
      <c r="AQ51" s="97">
        <f ca="1">SUMIF(Марка!A:A,G51,Марка!B:B)</f>
        <v>1</v>
      </c>
      <c r="AR51" s="97">
        <f ca="1">SUMIF(Страна!A:A,M51,Страна!B:B)</f>
        <v>1</v>
      </c>
      <c r="AS51" s="64" t="e">
        <f ca="1">IF(VLOOKUP(V51,Товары!A:B,2,FALSE)=A51,"Есть в 1С","ERR")</f>
        <v>#N/A</v>
      </c>
      <c r="AT51" s="65" t="e">
        <f ca="1">IF(VLOOKUP(A51,Товары!B:B,1,FALSE)=A51,"Есть в 1С","ERR")</f>
        <v>#N/A</v>
      </c>
      <c r="AU51" s="96" t="e">
        <f ca="1">VLOOKUP(V51,Товары!A:B,2,FALSE)</f>
        <v>#N/A</v>
      </c>
      <c r="AV51" s="94" t="e">
        <f ca="1">VLOOKUP(V51,Товары!A:B,1,FALSE)</f>
        <v>#N/A</v>
      </c>
    </row>
    <row r="52" spans="1:48" x14ac:dyDescent="0.25">
      <c r="A52" s="110" t="str">
        <f t="shared" ca="1" si="4"/>
        <v>21-793-09</v>
      </c>
      <c r="B52" s="107" t="str">
        <f ca="1">_xlfn.LET(_xlpm.CAPS,0,_xlpm.Style,_xlfn.XLOOKUP($A52,Строчный!$A:$A,Строчный!B:B,"ERR",0),IF(_xlpm.CAPS=0,_xlpm.Style,LOWER(_xlpm.Style)))</f>
        <v>30003BH LANG</v>
      </c>
      <c r="C52" s="81" t="str">
        <f ca="1">PROPER(_xlfn.XLOOKUP($A52,Строчный!$A:$A,Строчный!C:C,"ERR",0))</f>
        <v>Шляпы</v>
      </c>
      <c r="D52" s="81" t="str">
        <f ca="1">_xlfn.LET(_xlpm.DATA,(_xlfn.XLOOKUP($A52,Строчный!$A:$A,Строчный!D:D,"ERR",0)),UPPER(MID(_xlpm.DATA,1,1))&amp;LOWER(MID(_xlpm.DATA,2,LEN(_xlpm.DATA)-1)))</f>
        <v>Шляпа федора</v>
      </c>
      <c r="E52" s="81" t="str">
        <f ca="1">PROPER(_xlfn.XLOOKUP($A52,Строчный!$A:$A,Строчный!E:E,"ERR",0))</f>
        <v>The Hollywood</v>
      </c>
      <c r="F52" s="81" t="str">
        <f ca="1">LOWER(_xlfn.XLOOKUP($A52,Строчный!$A:$A,Строчный!F:F,"ERR",0))</f>
        <v>всесезон</v>
      </c>
      <c r="G52" s="81" t="str">
        <f ca="1">UPPER(_xlfn.XLOOKUP($A52,Строчный!$A:$A,Строчный!G:G,"ERR",0))</f>
        <v>BAILEY</v>
      </c>
      <c r="H52" s="81" t="str">
        <f ca="1">LOWER(_xlfn.XLOOKUP($A52,Строчный!$A:$A,Строчный!H:H,"ERR",0))</f>
        <v>black</v>
      </c>
      <c r="I52" s="81" t="str">
        <f ca="1">LOWER(_xlfn.XLOOKUP($A52,Строчный!$A:$A,Строчный!I:I,"ERR",0))</f>
        <v>черный</v>
      </c>
      <c r="J52" s="81" t="str">
        <f ca="1">SUBSTITUTE(LOWER(_xlfn.XLOOKUP($A52,Строчный!$A:$A,Строчный!J:J,"ERR",0)),"подклад","Подклад")</f>
        <v>100% шерсть</v>
      </c>
      <c r="K52" s="81" t="str">
        <f ca="1">LOWER(_xlfn.XLOOKUP($A52,Строчный!$A:$A,Строчный!K:K,"ERR",0))</f>
        <v>фетровые</v>
      </c>
      <c r="L52" s="81" t="str">
        <f ca="1">PROPER(_xlfn.XLOOKUP($A52,Строчный!$A:$A,Строчный!L:L,"ERR",0))</f>
        <v>Унисекс</v>
      </c>
      <c r="M52" s="113" t="str">
        <f ca="1">PROPER(_xlfn.XLOOKUP($A52,Строчный!$A:$A,Строчный!M:M,"ERR",0))</f>
        <v>Соединенные Штаты</v>
      </c>
      <c r="N52" s="81" t="str">
        <f ca="1">UPPER(_xlfn.XLOOKUP($A52,Строчный!$A:$A,Строчный!O:O,"ERR",0))</f>
        <v/>
      </c>
      <c r="O52" s="107" t="str">
        <f ca="1">PROPER(_xlfn.XLOOKUP($A52,Строчный!$A:$A,Строчный!P:P,"ERR",0))</f>
        <v/>
      </c>
      <c r="P52" s="90">
        <f ca="1">VALUE(_xlfn.XLOOKUP($A52,Строчный!$A:$A,Строчный!N:N,"ERR",0))</f>
        <v>702.00000000000011</v>
      </c>
      <c r="Q52" s="89" t="str">
        <f ca="1">_xlfn.XLOOKUP($G52,Фабрика!A:A,Фабрика!B:B,"ERR",0)</f>
        <v>Bollman Headwear Europe Ltd; 2 Merchants drive, Caelisle, Cumbria CA3 0JW, United Kingdom</v>
      </c>
      <c r="R52" s="80" t="str">
        <f ca="1">_xlfn.XLOOKUP(RIGHT(Z52,2),Размеры!D:D,Размеры!A:A,"ERR",0)</f>
        <v>59</v>
      </c>
      <c r="S52" s="80">
        <f ca="1">VALUE(_xlfn.XLOOKUP($Z52,Строчный!$R:$R,Строчный!T:T,"ERR",0))</f>
        <v>1</v>
      </c>
      <c r="T52" s="14" t="s">
        <v>265</v>
      </c>
      <c r="U52" s="101" t="str">
        <f t="shared" ref="U52:U53" ca="1" si="9">CONCATENATE(AA52," ",G52," арт. ",B52," (",I52,")")</f>
        <v>Шляпа BAILEY арт. 30003BH LANG (черный)</v>
      </c>
      <c r="V52" s="100" t="str">
        <f t="shared" ref="V52:V53" ca="1" si="10">CONCATENATE(AA52," ",G52," арт. ",B52," (",I52,") {",H52,"}")</f>
        <v>Шляпа BAILEY арт. 30003BH LANG (черный) {black}</v>
      </c>
      <c r="W52" s="18" t="str">
        <f t="shared" ref="W52:W53" ca="1" si="11">IFERROR(MID(I52,FIND("-",I52)+1,LEN(I52)),IFERROR(MID(I52,1,FIND("/",I52)-2),I52))</f>
        <v>черный</v>
      </c>
      <c r="X52" s="18" t="str">
        <f t="shared" ref="X52:X53" ca="1" si="12">IFERROR(MID(I52,FIND("-",I52)+1,LEN(I52)),IFERROR(MID(I52,FIND("/",I52)+2,LEN(I52)),I52))</f>
        <v>черный</v>
      </c>
      <c r="Y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Z52" s="73" t="str">
        <f ca="1"/>
        <v>21-793-09-59</v>
      </c>
      <c r="AA52" s="75" t="str">
        <f ca="1">VLOOKUP(C52,Группа!A:B,2,FALSE)</f>
        <v>Шляпа</v>
      </c>
      <c r="AB52" s="97" t="str">
        <f ca="1">IFERROR(VLOOKUP(R52,Размеры!A:C,3,FALSE),"")</f>
        <v>59 L</v>
      </c>
      <c r="AC52" s="97" t="str">
        <f ca="1">VLOOKUP(I52,ЦветПолный!A:B,2,FALSE)</f>
        <v>09</v>
      </c>
      <c r="AD52" s="97" t="str">
        <f ca="1">IFERROR(VLOOKUP(R52,Размеры!A:D,4,FALSE),"")</f>
        <v>59</v>
      </c>
      <c r="AE52" s="97">
        <f ca="1">IF(LEFT(IFERROR(VLOOKUP(LOOKUP(2,1/SEARCH(B52,Товары!A:A),Товары!A:A),Товары!A:B,2,0),""),6)=MID(Z52,1,6),1,0)</f>
        <v>0</v>
      </c>
      <c r="AG52" s="97">
        <f ca="1">SUMIF(Группа!A:A,C52,Группа!C:C)</f>
        <v>1</v>
      </c>
      <c r="AH52" s="97">
        <f ca="1">SUMIF(Группа!B:B,AA52,Группа!C:C)</f>
        <v>1</v>
      </c>
      <c r="AI52" s="97">
        <f ca="1">SUMIF(Формы!A:A,D52,Формы!B:B)</f>
        <v>1</v>
      </c>
      <c r="AJ52" s="97">
        <f ca="1">SUMIF(Материал!A:A,K52,Материал!B:B)</f>
        <v>1</v>
      </c>
      <c r="AK52" s="97">
        <f ca="1">SUMIF(Размеры!A:A,R52,Размеры!E:E)</f>
        <v>1</v>
      </c>
      <c r="AL52" s="97">
        <f ca="1">SUMIF(Сезон!A:A,F52,Сезон!B:B)</f>
        <v>1</v>
      </c>
      <c r="AM52" s="97">
        <f ca="1">SUMIF(Состав!A:A,J52,Состав!B:B)</f>
        <v>1</v>
      </c>
      <c r="AN52" s="97">
        <f ca="1">VLOOKUP(I52,ЦветПолный!A:C,3,0)</f>
        <v>1</v>
      </c>
      <c r="AO52" s="97">
        <f ca="1">SUMIF(Цвет!A:A,Y52,Цвет!B:B)</f>
        <v>1</v>
      </c>
      <c r="AP52" s="97">
        <f ca="1">_xlfn.XLOOKUP(L52,Пол!A:A,Пол!B:B,0,0)</f>
        <v>1</v>
      </c>
      <c r="AQ52" s="97">
        <f ca="1">SUMIF(Марка!A:A,G52,Марка!B:B)</f>
        <v>1</v>
      </c>
      <c r="AR52" s="97">
        <f ca="1">SUMIF(Страна!A:A,M52,Страна!B:B)</f>
        <v>1</v>
      </c>
      <c r="AS52" s="64" t="e">
        <f ca="1">IF(VLOOKUP(V52,Товары!A:B,2,FALSE)=A52,"Есть в 1С","ERR")</f>
        <v>#N/A</v>
      </c>
      <c r="AT52" s="65" t="e">
        <f ca="1">IF(VLOOKUP(A52,Товары!B:B,1,FALSE)=A52,"Есть в 1С","ERR")</f>
        <v>#N/A</v>
      </c>
      <c r="AU52" s="96" t="e">
        <f ca="1">VLOOKUP(V52,Товары!A:B,2,FALSE)</f>
        <v>#N/A</v>
      </c>
      <c r="AV52" s="94" t="e">
        <f ca="1">VLOOKUP(V52,Товары!A:B,1,FALSE)</f>
        <v>#N/A</v>
      </c>
    </row>
    <row r="53" spans="1:48" x14ac:dyDescent="0.25">
      <c r="A53" s="110" t="str">
        <f t="shared" ca="1" si="4"/>
        <v>21-792-72</v>
      </c>
      <c r="B53" s="107" t="str">
        <f ca="1">_xlfn.LET(_xlpm.CAPS,0,_xlpm.Style,_xlfn.XLOOKUP($A53,Строчный!$A:$A,Строчный!B:B,"ERR",0),IF(_xlpm.CAPS=0,_xlpm.Style,LOWER(_xlpm.Style)))</f>
        <v>25558BH FURMAN</v>
      </c>
      <c r="C53" s="81" t="str">
        <f ca="1">PROPER(_xlfn.XLOOKUP($A53,Строчный!$A:$A,Строчный!C:C,"ERR",0))</f>
        <v>Кепки</v>
      </c>
      <c r="D53" s="81" t="str">
        <f ca="1">_xlfn.LET(_xlpm.DATA,(_xlfn.XLOOKUP($A53,Строчный!$A:$A,Строчный!D:D,"ERR",0)),UPPER(MID(_xlpm.DATA,1,1))&amp;LOWER(MID(_xlpm.DATA,2,LEN(_xlpm.DATA)-1)))</f>
        <v>Кепка шестиклинка</v>
      </c>
      <c r="E53" s="81" t="str">
        <f ca="1">PROPER(_xlfn.XLOOKUP($A53,Строчный!$A:$A,Строчный!E:E,"ERR",0))</f>
        <v>The Hollywood</v>
      </c>
      <c r="F53" s="81" t="str">
        <f ca="1">LOWER(_xlfn.XLOOKUP($A53,Строчный!$A:$A,Строчный!F:F,"ERR",0))</f>
        <v>всесезон</v>
      </c>
      <c r="G53" s="81" t="str">
        <f ca="1">UPPER(_xlfn.XLOOKUP($A53,Строчный!$A:$A,Строчный!G:G,"ERR",0))</f>
        <v>BAILEY</v>
      </c>
      <c r="H53" s="81" t="str">
        <f ca="1">LOWER(_xlfn.XLOOKUP($A53,Строчный!$A:$A,Строчный!H:H,"ERR",0))</f>
        <v>copper plaid</v>
      </c>
      <c r="I53" s="81" t="str">
        <f ca="1">LOWER(_xlfn.XLOOKUP($A53,Строчный!$A:$A,Строчный!I:I,"ERR",0))</f>
        <v>красный / черный</v>
      </c>
      <c r="J53" s="81" t="str">
        <f ca="1">SUBSTITUTE(LOWER(_xlfn.XLOOKUP($A53,Строчный!$A:$A,Строчный!J:J,"ERR",0)),"подклад","Подклад")</f>
        <v>100% шерсть / Подклад: 100% полиэстер</v>
      </c>
      <c r="K53" s="81" t="str">
        <f ca="1">LOWER(_xlfn.XLOOKUP($A53,Строчный!$A:$A,Строчный!K:K,"ERR",0))</f>
        <v>шерстяные</v>
      </c>
      <c r="L53" s="81" t="str">
        <f ca="1">PROPER(_xlfn.XLOOKUP($A53,Строчный!$A:$A,Строчный!L:L,"ERR",0))</f>
        <v>Унисекс</v>
      </c>
      <c r="M53" s="113" t="str">
        <f ca="1">PROPER(_xlfn.XLOOKUP($A53,Строчный!$A:$A,Строчный!M:M,"ERR",0))</f>
        <v>Китай</v>
      </c>
      <c r="N53" s="81" t="str">
        <f ca="1">UPPER(_xlfn.XLOOKUP($A53,Строчный!$A:$A,Строчный!O:O,"ERR",0))</f>
        <v/>
      </c>
      <c r="O53" s="107" t="str">
        <f ca="1">PROPER(_xlfn.XLOOKUP($A53,Строчный!$A:$A,Строчный!P:P,"ERR",0))</f>
        <v/>
      </c>
      <c r="P53" s="90">
        <f ca="1">VALUE(_xlfn.XLOOKUP($A53,Строчный!$A:$A,Строчный!N:N,"ERR",0))</f>
        <v>702.00000000000011</v>
      </c>
      <c r="Q53" s="89" t="str">
        <f ca="1">_xlfn.XLOOKUP($G53,Фабрика!A:A,Фабрика!B:B,"ERR",0)</f>
        <v>Bollman Headwear Europe Ltd; 2 Merchants drive, Caelisle, Cumbria CA3 0JW, United Kingdom</v>
      </c>
      <c r="R53" s="80" t="str">
        <f ca="1">_xlfn.XLOOKUP(RIGHT(Z53,2),Размеры!D:D,Размеры!A:A,"ERR",0)</f>
        <v>59</v>
      </c>
      <c r="S53" s="80">
        <f ca="1">VALUE(_xlfn.XLOOKUP($Z53,Строчный!$R:$R,Строчный!T:T,"ERR",0))</f>
        <v>1</v>
      </c>
      <c r="T53" s="14" t="s">
        <v>265</v>
      </c>
      <c r="U53" s="101" t="str">
        <f t="shared" ca="1" si="9"/>
        <v>Кепка BAILEY арт. 25558BH FURMAN (красный / черный)</v>
      </c>
      <c r="V53" s="100" t="str">
        <f t="shared" ca="1" si="10"/>
        <v>Кепка BAILEY арт. 25558BH FURMAN (красный / черный) {copper plaid}</v>
      </c>
      <c r="W53" s="18" t="str">
        <f t="shared" ca="1" si="11"/>
        <v>красный</v>
      </c>
      <c r="X53" s="18" t="str">
        <f t="shared" ca="1" si="12"/>
        <v>черный</v>
      </c>
      <c r="Y53" s="117" t="str">
        <f ca="1">_xlfn.LET(_xlpm.FormColors,_xlfn.XLOOKUP(A53,Строчный!A:A,Строчный!Q:Q,"",0),IF(_xlpm.FormColors=0,IFERROR(MID(I53,FIND("-",I53)+1,LEN(I53)),IFERROR(MID(I53,1,FIND("/",I53)-2),I53)),_xlpm.FormColors))</f>
        <v>красный</v>
      </c>
      <c r="Z53" s="73" t="str">
        <f ca="1"/>
        <v>21-792-72-59</v>
      </c>
      <c r="AA53" s="75" t="str">
        <f ca="1">VLOOKUP(C53,Группа!A:B,2,FALSE)</f>
        <v>Кепка</v>
      </c>
      <c r="AB53" s="97" t="str">
        <f ca="1">IFERROR(VLOOKUP(R53,Размеры!A:C,3,FALSE),"")</f>
        <v>59 L</v>
      </c>
      <c r="AC53" s="97" t="str">
        <f ca="1">VLOOKUP(I53,ЦветПолный!A:B,2,FALSE)</f>
        <v>72</v>
      </c>
      <c r="AD53" s="97" t="str">
        <f ca="1">IFERROR(VLOOKUP(R53,Размеры!A:D,4,FALSE),"")</f>
        <v>59</v>
      </c>
      <c r="AE53" s="97">
        <f ca="1">IF(LEFT(IFERROR(VLOOKUP(LOOKUP(2,1/SEARCH(B53,Товары!A:A),Товары!A:A),Товары!A:B,2,0),""),6)=MID(Z53,1,6),1,0)</f>
        <v>0</v>
      </c>
      <c r="AG53" s="97">
        <f ca="1">SUMIF(Группа!A:A,C53,Группа!C:C)</f>
        <v>1</v>
      </c>
      <c r="AH53" s="97">
        <f ca="1">SUMIF(Группа!B:B,AA53,Группа!C:C)</f>
        <v>1</v>
      </c>
      <c r="AI53" s="97">
        <f ca="1">SUMIF(Формы!A:A,D53,Формы!B:B)</f>
        <v>1</v>
      </c>
      <c r="AJ53" s="97">
        <f ca="1">SUMIF(Материал!A:A,K53,Материал!B:B)</f>
        <v>1</v>
      </c>
      <c r="AK53" s="97">
        <f ca="1">SUMIF(Размеры!A:A,R53,Размеры!E:E)</f>
        <v>1</v>
      </c>
      <c r="AL53" s="97">
        <f ca="1">SUMIF(Сезон!A:A,F53,Сезон!B:B)</f>
        <v>1</v>
      </c>
      <c r="AM53" s="97">
        <f ca="1">SUMIF(Состав!A:A,J53,Состав!B:B)</f>
        <v>0</v>
      </c>
      <c r="AN53" s="97">
        <f ca="1">VLOOKUP(I53,ЦветПолный!A:C,3,0)</f>
        <v>1</v>
      </c>
      <c r="AO53" s="97">
        <f ca="1">SUMIF(Цвет!A:A,Y53,Цвет!B:B)</f>
        <v>1</v>
      </c>
      <c r="AP53" s="97">
        <f ca="1">_xlfn.XLOOKUP(L53,Пол!A:A,Пол!B:B,0,0)</f>
        <v>1</v>
      </c>
      <c r="AQ53" s="97">
        <f ca="1">SUMIF(Марка!A:A,G53,Марка!B:B)</f>
        <v>1</v>
      </c>
      <c r="AR53" s="97">
        <f ca="1">SUMIF(Страна!A:A,M53,Страна!B:B)</f>
        <v>1</v>
      </c>
      <c r="AS53" s="64" t="e">
        <f ca="1">IF(VLOOKUP(V53,Товары!A:B,2,FALSE)=A53,"Есть в 1С","ERR")</f>
        <v>#N/A</v>
      </c>
      <c r="AT53" s="65" t="e">
        <f ca="1">IF(VLOOKUP(A53,Товары!B:B,1,FALSE)=A53,"Есть в 1С","ERR")</f>
        <v>#N/A</v>
      </c>
      <c r="AU53" s="96" t="e">
        <f ca="1">VLOOKUP(V53,Товары!A:B,2,FALSE)</f>
        <v>#N/A</v>
      </c>
      <c r="AV53" s="94" t="e">
        <f ca="1">VLOOKUP(V53,Товары!A:B,1,FALSE)</f>
        <v>#N/A</v>
      </c>
    </row>
    <row r="54" spans="1:48" x14ac:dyDescent="0.25">
      <c r="A54" s="110" t="str">
        <f t="shared" ca="1" si="4"/>
        <v>21-791-94</v>
      </c>
      <c r="B54" s="107" t="str">
        <f ca="1">_xlfn.LET(_xlpm.CAPS,0,_xlpm.Style,_xlfn.XLOOKUP($A54,Строчный!$A:$A,Строчный!B:B,"ERR",0),IF(_xlpm.CAPS=0,_xlpm.Style,LOWER(_xlpm.Style)))</f>
        <v>W22RDC EMBER</v>
      </c>
      <c r="C54" s="81" t="str">
        <f ca="1">PROPER(_xlfn.XLOOKUP($A54,Строчный!$A:$A,Строчный!C:C,"ERR",0))</f>
        <v>Шляпы</v>
      </c>
      <c r="D54" s="81" t="str">
        <f ca="1">_xlfn.LET(_xlpm.DATA,(_xlfn.XLOOKUP($A54,Строчный!$A:$A,Строчный!D:D,"ERR",0)),UPPER(MID(_xlpm.DATA,1,1))&amp;LOWER(MID(_xlpm.DATA,2,LEN(_xlpm.DATA)-1)))</f>
        <v>Шляпа ковбойская</v>
      </c>
      <c r="E54" s="81" t="str">
        <f ca="1">PROPER(_xlfn.XLOOKUP($A54,Строчный!$A:$A,Строчный!E:E,"ERR",0))</f>
        <v>The Hollywood</v>
      </c>
      <c r="F54" s="81" t="str">
        <f ca="1">LOWER(_xlfn.XLOOKUP($A54,Строчный!$A:$A,Строчный!F:F,"ERR",0))</f>
        <v>всесезон</v>
      </c>
      <c r="G54" s="81" t="str">
        <f ca="1">UPPER(_xlfn.XLOOKUP($A54,Строчный!$A:$A,Строчный!G:G,"ERR",0))</f>
        <v>BAILEY</v>
      </c>
      <c r="H54" s="81" t="str">
        <f ca="1">LOWER(_xlfn.XLOOKUP($A54,Строчный!$A:$A,Строчный!H:H,"ERR",0))</f>
        <v>peach</v>
      </c>
      <c r="I54" s="81" t="str">
        <f ca="1">LOWER(_xlfn.XLOOKUP($A54,Строчный!$A:$A,Строчный!I:I,"ERR",0))</f>
        <v>персиковый</v>
      </c>
      <c r="J54" s="81" t="str">
        <f ca="1">SUBSTITUTE(LOWER(_xlfn.XLOOKUP($A54,Строчный!$A:$A,Строчный!J:J,"ERR",0)),"подклад","Подклад")</f>
        <v>100% шерсть / Подклад: 100% полиэстер</v>
      </c>
      <c r="K54" s="81" t="str">
        <f ca="1">LOWER(_xlfn.XLOOKUP($A54,Строчный!$A:$A,Строчный!K:K,"ERR",0))</f>
        <v>шерстяные</v>
      </c>
      <c r="L54" s="81" t="str">
        <f ca="1">PROPER(_xlfn.XLOOKUP($A54,Строчный!$A:$A,Строчный!L:L,"ERR",0))</f>
        <v>Женский</v>
      </c>
      <c r="M54" s="113" t="str">
        <f ca="1">PROPER(_xlfn.XLOOKUP($A54,Строчный!$A:$A,Строчный!M:M,"ERR",0))</f>
        <v>Соединенные Штаты</v>
      </c>
      <c r="N54" s="81" t="str">
        <f ca="1">UPPER(_xlfn.XLOOKUP($A54,Строчный!$A:$A,Строчный!O:O,"ERR",0))</f>
        <v/>
      </c>
      <c r="O54" s="107" t="str">
        <f ca="1">PROPER(_xlfn.XLOOKUP($A54,Строчный!$A:$A,Строчный!P:P,"ERR",0))</f>
        <v/>
      </c>
      <c r="P54" s="90">
        <f ca="1">VALUE(_xlfn.XLOOKUP($A54,Строчный!$A:$A,Строчный!N:N,"ERR",0))</f>
        <v>702.00000000000011</v>
      </c>
      <c r="Q54" s="89" t="str">
        <f ca="1">_xlfn.XLOOKUP($G54,Фабрика!A:A,Фабрика!B:B,"ERR",0)</f>
        <v>Bollman Headwear Europe Ltd; 2 Merchants drive, Caelisle, Cumbria CA3 0JW, United Kingdom</v>
      </c>
      <c r="R54" s="80" t="str">
        <f ca="1">_xlfn.XLOOKUP(RIGHT(Z54,2),Размеры!D:D,Размеры!A:A,"ERR",0)</f>
        <v>57</v>
      </c>
      <c r="S54" s="80">
        <f ca="1">VALUE(_xlfn.XLOOKUP($Z54,Строчный!$R:$R,Строчный!T:T,"ERR",0))</f>
        <v>1</v>
      </c>
      <c r="T54" s="14" t="s">
        <v>265</v>
      </c>
      <c r="U54" s="101" t="str">
        <f t="shared" ref="U54:U117" ca="1" si="13">CONCATENATE(AA54," ",G54," арт. ",B54," (",I54,")")</f>
        <v>Шляпа BAILEY арт. W22RDC EMBER (персиковый)</v>
      </c>
      <c r="V54" s="100" t="str">
        <f t="shared" ref="V54:V117" ca="1" si="14">CONCATENATE(AA54," ",G54," арт. ",B54," (",I54,") {",H54,"}")</f>
        <v>Шляпа BAILEY арт. W22RDC EMBER (персиковый) {peach}</v>
      </c>
      <c r="W54" s="18" t="str">
        <f t="shared" ref="W54:W117" ca="1" si="15">IFERROR(MID(I54,FIND("-",I54)+1,LEN(I54)),IFERROR(MID(I54,1,FIND("/",I54)-2),I54))</f>
        <v>персиковый</v>
      </c>
      <c r="X54" s="18" t="str">
        <f t="shared" ref="X54:X117" ca="1" si="16">IFERROR(MID(I54,FIND("-",I54)+1,LEN(I54)),IFERROR(MID(I54,FIND("/",I54)+2,LEN(I54)),I54))</f>
        <v>персиковый</v>
      </c>
      <c r="Y54" s="117" t="str">
        <f ca="1">_xlfn.LET(_xlpm.FormColors,_xlfn.XLOOKUP(A54,Строчный!A:A,Строчный!Q:Q,"",0),IF(_xlpm.FormColors=0,IFERROR(MID(I54,FIND("-",I54)+1,LEN(I54)),IFERROR(MID(I54,1,FIND("/",I54)-2),I54)),_xlpm.FormColors))</f>
        <v>персиковый</v>
      </c>
      <c r="Z54" s="73" t="str">
        <f ca="1"/>
        <v>21-791-94-57</v>
      </c>
      <c r="AA54" s="75" t="str">
        <f ca="1">VLOOKUP(C54,Группа!A:B,2,FALSE)</f>
        <v>Шляпа</v>
      </c>
      <c r="AB54" s="97" t="str">
        <f ca="1">IFERROR(VLOOKUP(R54,Размеры!A:C,3,FALSE),"")</f>
        <v>57 M</v>
      </c>
      <c r="AC54" s="97" t="str">
        <f ca="1">VLOOKUP(I54,ЦветПолный!A:B,2,FALSE)</f>
        <v>94</v>
      </c>
      <c r="AD54" s="97" t="str">
        <f ca="1">IFERROR(VLOOKUP(R54,Размеры!A:D,4,FALSE),"")</f>
        <v>57</v>
      </c>
      <c r="AE54" s="97">
        <f ca="1">IF(LEFT(IFERROR(VLOOKUP(LOOKUP(2,1/SEARCH(B54,Товары!A:A),Товары!A:A),Товары!A:B,2,0),""),6)=MID(Z54,1,6),1,0)</f>
        <v>0</v>
      </c>
      <c r="AG54" s="97">
        <f ca="1">SUMIF(Группа!A:A,C54,Группа!C:C)</f>
        <v>1</v>
      </c>
      <c r="AH54" s="97">
        <f ca="1">SUMIF(Группа!B:B,AA54,Группа!C:C)</f>
        <v>1</v>
      </c>
      <c r="AI54" s="97">
        <f ca="1">SUMIF(Формы!A:A,D54,Формы!B:B)</f>
        <v>1</v>
      </c>
      <c r="AJ54" s="97">
        <f ca="1">SUMIF(Материал!A:A,K54,Материал!B:B)</f>
        <v>1</v>
      </c>
      <c r="AK54" s="97">
        <f ca="1">SUMIF(Размеры!A:A,R54,Размеры!E:E)</f>
        <v>1</v>
      </c>
      <c r="AL54" s="97">
        <f ca="1">SUMIF(Сезон!A:A,F54,Сезон!B:B)</f>
        <v>1</v>
      </c>
      <c r="AM54" s="97">
        <f ca="1">SUMIF(Состав!A:A,J54,Состав!B:B)</f>
        <v>0</v>
      </c>
      <c r="AN54" s="97">
        <f ca="1">VLOOKUP(I54,ЦветПолный!A:C,3,0)</f>
        <v>1</v>
      </c>
      <c r="AO54" s="97">
        <f ca="1">SUMIF(Цвет!A:A,Y54,Цвет!B:B)</f>
        <v>0</v>
      </c>
      <c r="AP54" s="97">
        <f ca="1">_xlfn.XLOOKUP(L54,Пол!A:A,Пол!B:B,0,0)</f>
        <v>1</v>
      </c>
      <c r="AQ54" s="97">
        <f ca="1">SUMIF(Марка!A:A,G54,Марка!B:B)</f>
        <v>1</v>
      </c>
      <c r="AR54" s="97">
        <f ca="1">SUMIF(Страна!A:A,M54,Страна!B:B)</f>
        <v>1</v>
      </c>
      <c r="AS54" s="64" t="e">
        <f ca="1">IF(VLOOKUP(V54,Товары!A:B,2,FALSE)=A54,"Есть в 1С","ERR")</f>
        <v>#N/A</v>
      </c>
      <c r="AT54" s="65" t="e">
        <f ca="1">IF(VLOOKUP(A54,Товары!B:B,1,FALSE)=A54,"Есть в 1С","ERR")</f>
        <v>#N/A</v>
      </c>
      <c r="AU54" s="96" t="e">
        <f ca="1">VLOOKUP(V54,Товары!A:B,2,FALSE)</f>
        <v>#N/A</v>
      </c>
      <c r="AV54" s="94" t="e">
        <f ca="1">VLOOKUP(V54,Товары!A:B,1,FALSE)</f>
        <v>#N/A</v>
      </c>
    </row>
    <row r="55" spans="1:48" x14ac:dyDescent="0.25">
      <c r="A55" s="110" t="str">
        <f t="shared" ca="1" si="4"/>
        <v>21-791-08</v>
      </c>
      <c r="B55" s="107" t="str">
        <f ca="1">_xlfn.LET(_xlpm.CAPS,0,_xlpm.Style,_xlfn.XLOOKUP($A55,Строчный!$A:$A,Строчный!B:B,"ERR",0),IF(_xlpm.CAPS=0,_xlpm.Style,LOWER(_xlpm.Style)))</f>
        <v>25557BH BRUNE</v>
      </c>
      <c r="C55" s="81" t="str">
        <f ca="1">PROPER(_xlfn.XLOOKUP($A55,Строчный!$A:$A,Строчный!C:C,"ERR",0))</f>
        <v>Кепки</v>
      </c>
      <c r="D55" s="81" t="str">
        <f ca="1">_xlfn.LET(_xlpm.DATA,(_xlfn.XLOOKUP($A55,Строчный!$A:$A,Строчный!D:D,"ERR",0)),UPPER(MID(_xlpm.DATA,1,1))&amp;LOWER(MID(_xlpm.DATA,2,LEN(_xlpm.DATA)-1)))</f>
        <v>Кепка шестиклинка</v>
      </c>
      <c r="E55" s="81" t="str">
        <f ca="1">PROPER(_xlfn.XLOOKUP($A55,Строчный!$A:$A,Строчный!E:E,"ERR",0))</f>
        <v>The Hollywood</v>
      </c>
      <c r="F55" s="81" t="str">
        <f ca="1">LOWER(_xlfn.XLOOKUP($A55,Строчный!$A:$A,Строчный!F:F,"ERR",0))</f>
        <v>всесезон</v>
      </c>
      <c r="G55" s="81" t="str">
        <f ca="1">UPPER(_xlfn.XLOOKUP($A55,Строчный!$A:$A,Строчный!G:G,"ERR",0))</f>
        <v>BAILEY</v>
      </c>
      <c r="H55" s="81" t="str">
        <f ca="1">LOWER(_xlfn.XLOOKUP($A55,Строчный!$A:$A,Строчный!H:H,"ERR",0))</f>
        <v>grey</v>
      </c>
      <c r="I55" s="81" t="str">
        <f ca="1">LOWER(_xlfn.XLOOKUP($A55,Строчный!$A:$A,Строчный!I:I,"ERR",0))</f>
        <v>серый</v>
      </c>
      <c r="J55" s="81" t="str">
        <f ca="1">SUBSTITUTE(LOWER(_xlfn.XLOOKUP($A55,Строчный!$A:$A,Строчный!J:J,"ERR",0)),"подклад","Подклад")</f>
        <v>60% шерсть - 40% полиэстер / Подклад: 100% полиэстер</v>
      </c>
      <c r="K55" s="81" t="str">
        <f ca="1">LOWER(_xlfn.XLOOKUP($A55,Строчный!$A:$A,Строчный!K:K,"ERR",0))</f>
        <v>шерстяные</v>
      </c>
      <c r="L55" s="81" t="str">
        <f ca="1">PROPER(_xlfn.XLOOKUP($A55,Строчный!$A:$A,Строчный!L:L,"ERR",0))</f>
        <v>Унисекс</v>
      </c>
      <c r="M55" s="113" t="str">
        <f ca="1">PROPER(_xlfn.XLOOKUP($A55,Строчный!$A:$A,Строчный!M:M,"ERR",0))</f>
        <v>Китай</v>
      </c>
      <c r="N55" s="81" t="str">
        <f ca="1">UPPER(_xlfn.XLOOKUP($A55,Строчный!$A:$A,Строчный!O:O,"ERR",0))</f>
        <v/>
      </c>
      <c r="O55" s="107" t="str">
        <f ca="1">PROPER(_xlfn.XLOOKUP($A55,Строчный!$A:$A,Строчный!P:P,"ERR",0))</f>
        <v/>
      </c>
      <c r="P55" s="90">
        <f ca="1">VALUE(_xlfn.XLOOKUP($A55,Строчный!$A:$A,Строчный!N:N,"ERR",0))</f>
        <v>702.00000000000011</v>
      </c>
      <c r="Q55" s="89" t="str">
        <f ca="1">_xlfn.XLOOKUP($G55,Фабрика!A:A,Фабрика!B:B,"ERR",0)</f>
        <v>Bollman Headwear Europe Ltd; 2 Merchants drive, Caelisle, Cumbria CA3 0JW, United Kingdom</v>
      </c>
      <c r="R55" s="80" t="str">
        <f ca="1">_xlfn.XLOOKUP(RIGHT(Z55,2),Размеры!D:D,Размеры!A:A,"ERR",0)</f>
        <v>59</v>
      </c>
      <c r="S55" s="80">
        <f ca="1">VALUE(_xlfn.XLOOKUP($Z55,Строчный!$R:$R,Строчный!T:T,"ERR",0))</f>
        <v>1</v>
      </c>
      <c r="T55" s="14" t="s">
        <v>265</v>
      </c>
      <c r="U55" s="101" t="str">
        <f t="shared" ca="1" si="13"/>
        <v>Кепка BAILEY арт. 25557BH BRUNE (серый)</v>
      </c>
      <c r="V55" s="100" t="str">
        <f t="shared" ca="1" si="14"/>
        <v>Кепка BAILEY арт. 25557BH BRUNE (серый) {grey}</v>
      </c>
      <c r="W55" s="18" t="str">
        <f t="shared" ca="1" si="15"/>
        <v>серый</v>
      </c>
      <c r="X55" s="18" t="str">
        <f t="shared" ca="1" si="16"/>
        <v>серый</v>
      </c>
      <c r="Y55" s="117" t="str">
        <f ca="1">_xlfn.LET(_xlpm.FormColors,_xlfn.XLOOKUP(A55,Строчный!A:A,Строчный!Q:Q,"",0),IF(_xlpm.FormColors=0,IFERROR(MID(I55,FIND("-",I55)+1,LEN(I55)),IFERROR(MID(I55,1,FIND("/",I55)-2),I55)),_xlpm.FormColors))</f>
        <v>серый</v>
      </c>
      <c r="Z55" s="73" t="str">
        <f ca="1"/>
        <v>21-791-08-59</v>
      </c>
      <c r="AA55" s="75" t="str">
        <f ca="1">VLOOKUP(C55,Группа!A:B,2,FALSE)</f>
        <v>Кепка</v>
      </c>
      <c r="AB55" s="97" t="str">
        <f ca="1">IFERROR(VLOOKUP(R55,Размеры!A:C,3,FALSE),"")</f>
        <v>59 L</v>
      </c>
      <c r="AC55" s="97" t="str">
        <f ca="1">VLOOKUP(I55,ЦветПолный!A:B,2,FALSE)</f>
        <v>08</v>
      </c>
      <c r="AD55" s="97" t="str">
        <f ca="1">IFERROR(VLOOKUP(R55,Размеры!A:D,4,FALSE),"")</f>
        <v>59</v>
      </c>
      <c r="AE55" s="97">
        <f ca="1">IF(LEFT(IFERROR(VLOOKUP(LOOKUP(2,1/SEARCH(B55,Товары!A:A),Товары!A:A),Товары!A:B,2,0),""),6)=MID(Z55,1,6),1,0)</f>
        <v>0</v>
      </c>
      <c r="AG55" s="97">
        <f ca="1">SUMIF(Группа!A:A,C55,Группа!C:C)</f>
        <v>1</v>
      </c>
      <c r="AH55" s="97">
        <f ca="1">SUMIF(Группа!B:B,AA55,Группа!C:C)</f>
        <v>1</v>
      </c>
      <c r="AI55" s="97">
        <f ca="1">SUMIF(Формы!A:A,D55,Формы!B:B)</f>
        <v>1</v>
      </c>
      <c r="AJ55" s="97">
        <f ca="1">SUMIF(Материал!A:A,K55,Материал!B:B)</f>
        <v>1</v>
      </c>
      <c r="AK55" s="97">
        <f ca="1">SUMIF(Размеры!A:A,R55,Размеры!E:E)</f>
        <v>1</v>
      </c>
      <c r="AL55" s="97">
        <f ca="1">SUMIF(Сезон!A:A,F55,Сезон!B:B)</f>
        <v>1</v>
      </c>
      <c r="AM55" s="97">
        <f ca="1">SUMIF(Состав!A:A,J55,Состав!B:B)</f>
        <v>0</v>
      </c>
      <c r="AN55" s="97">
        <f ca="1">VLOOKUP(I55,ЦветПолный!A:C,3,0)</f>
        <v>1</v>
      </c>
      <c r="AO55" s="97">
        <f ca="1">SUMIF(Цвет!A:A,Y55,Цвет!B:B)</f>
        <v>1</v>
      </c>
      <c r="AP55" s="97">
        <f ca="1">_xlfn.XLOOKUP(L55,Пол!A:A,Пол!B:B,0,0)</f>
        <v>1</v>
      </c>
      <c r="AQ55" s="97">
        <f ca="1">SUMIF(Марка!A:A,G55,Марка!B:B)</f>
        <v>1</v>
      </c>
      <c r="AR55" s="97">
        <f ca="1">SUMIF(Страна!A:A,M55,Страна!B:B)</f>
        <v>1</v>
      </c>
      <c r="AS55" s="64" t="e">
        <f ca="1">IF(VLOOKUP(V55,Товары!A:B,2,FALSE)=A55,"Есть в 1С","ERR")</f>
        <v>#N/A</v>
      </c>
      <c r="AT55" s="65" t="e">
        <f ca="1">IF(VLOOKUP(A55,Товары!B:B,1,FALSE)=A55,"Есть в 1С","ERR")</f>
        <v>#N/A</v>
      </c>
      <c r="AU55" s="96" t="e">
        <f ca="1">VLOOKUP(V55,Товары!A:B,2,FALSE)</f>
        <v>#N/A</v>
      </c>
      <c r="AV55" s="94" t="e">
        <f ca="1">VLOOKUP(V55,Товары!A:B,1,FALSE)</f>
        <v>#N/A</v>
      </c>
    </row>
    <row r="56" spans="1:48" x14ac:dyDescent="0.25">
      <c r="A56" s="110" t="str">
        <f t="shared" ca="1" si="4"/>
        <v>21-790-11</v>
      </c>
      <c r="B56" s="107" t="str">
        <f ca="1">_xlfn.LET(_xlpm.CAPS,0,_xlpm.Style,_xlfn.XLOOKUP($A56,Строчный!$A:$A,Строчный!B:B,"ERR",0),IF(_xlpm.CAPS=0,_xlpm.Style,LOWER(_xlpm.Style)))</f>
        <v>25556BH GRIFF</v>
      </c>
      <c r="C56" s="81" t="str">
        <f ca="1">PROPER(_xlfn.XLOOKUP($A56,Строчный!$A:$A,Строчный!C:C,"ERR",0))</f>
        <v>Кепки</v>
      </c>
      <c r="D56" s="81" t="str">
        <f ca="1">_xlfn.LET(_xlpm.DATA,(_xlfn.XLOOKUP($A56,Строчный!$A:$A,Строчный!D:D,"ERR",0)),UPPER(MID(_xlpm.DATA,1,1))&amp;LOWER(MID(_xlpm.DATA,2,LEN(_xlpm.DATA)-1)))</f>
        <v>Кепка уточка</v>
      </c>
      <c r="E56" s="81" t="str">
        <f ca="1">PROPER(_xlfn.XLOOKUP($A56,Строчный!$A:$A,Строчный!E:E,"ERR",0))</f>
        <v>The Hollywood</v>
      </c>
      <c r="F56" s="81" t="str">
        <f ca="1">LOWER(_xlfn.XLOOKUP($A56,Строчный!$A:$A,Строчный!F:F,"ERR",0))</f>
        <v>всесезон</v>
      </c>
      <c r="G56" s="81" t="str">
        <f ca="1">UPPER(_xlfn.XLOOKUP($A56,Строчный!$A:$A,Строчный!G:G,"ERR",0))</f>
        <v>BAILEY</v>
      </c>
      <c r="H56" s="81" t="str">
        <f ca="1">LOWER(_xlfn.XLOOKUP($A56,Строчный!$A:$A,Строчный!H:H,"ERR",0))</f>
        <v>uniform green plaid</v>
      </c>
      <c r="I56" s="81" t="str">
        <f ca="1">LOWER(_xlfn.XLOOKUP($A56,Строчный!$A:$A,Строчный!I:I,"ERR",0))</f>
        <v>зеленый</v>
      </c>
      <c r="J56" s="81" t="str">
        <f ca="1">SUBSTITUTE(LOWER(_xlfn.XLOOKUP($A56,Строчный!$A:$A,Строчный!J:J,"ERR",0)),"подклад","Подклад")</f>
        <v>100% шерсть / Подклад: 100% полиэстер</v>
      </c>
      <c r="K56" s="81" t="str">
        <f ca="1">LOWER(_xlfn.XLOOKUP($A56,Строчный!$A:$A,Строчный!K:K,"ERR",0))</f>
        <v>фетровые</v>
      </c>
      <c r="L56" s="81" t="str">
        <f ca="1">PROPER(_xlfn.XLOOKUP($A56,Строчный!$A:$A,Строчный!L:L,"ERR",0))</f>
        <v>Унисекс</v>
      </c>
      <c r="M56" s="113" t="str">
        <f ca="1">PROPER(_xlfn.XLOOKUP($A56,Строчный!$A:$A,Строчный!M:M,"ERR",0))</f>
        <v>Китай</v>
      </c>
      <c r="N56" s="81" t="str">
        <f ca="1">UPPER(_xlfn.XLOOKUP($A56,Строчный!$A:$A,Строчный!O:O,"ERR",0))</f>
        <v/>
      </c>
      <c r="O56" s="107" t="str">
        <f ca="1">PROPER(_xlfn.XLOOKUP($A56,Строчный!$A:$A,Строчный!P:P,"ERR",0))</f>
        <v/>
      </c>
      <c r="P56" s="90">
        <f ca="1">VALUE(_xlfn.XLOOKUP($A56,Строчный!$A:$A,Строчный!N:N,"ERR",0))</f>
        <v>702.00000000000011</v>
      </c>
      <c r="Q56" s="89" t="str">
        <f ca="1">_xlfn.XLOOKUP($G56,Фабрика!A:A,Фабрика!B:B,"ERR",0)</f>
        <v>Bollman Headwear Europe Ltd; 2 Merchants drive, Caelisle, Cumbria CA3 0JW, United Kingdom</v>
      </c>
      <c r="R56" s="80" t="str">
        <f ca="1">_xlfn.XLOOKUP(RIGHT(Z56,2),Размеры!D:D,Размеры!A:A,"ERR",0)</f>
        <v>59</v>
      </c>
      <c r="S56" s="80">
        <f ca="1">VALUE(_xlfn.XLOOKUP($Z56,Строчный!$R:$R,Строчный!T:T,"ERR",0))</f>
        <v>1</v>
      </c>
      <c r="T56" s="14" t="s">
        <v>265</v>
      </c>
      <c r="U56" s="101" t="str">
        <f t="shared" ca="1" si="13"/>
        <v>Кепка BAILEY арт. 25556BH GRIFF (зеленый)</v>
      </c>
      <c r="V56" s="100" t="str">
        <f t="shared" ca="1" si="14"/>
        <v>Кепка BAILEY арт. 25556BH GRIFF (зеленый) {uniform green plaid}</v>
      </c>
      <c r="W56" s="18" t="str">
        <f t="shared" ca="1" si="15"/>
        <v>зеленый</v>
      </c>
      <c r="X56" s="18" t="str">
        <f t="shared" ca="1" si="16"/>
        <v>зеленый</v>
      </c>
      <c r="Y56" s="117" t="str">
        <f ca="1">_xlfn.LET(_xlpm.FormColors,_xlfn.XLOOKUP(A56,Строчный!A:A,Строчный!Q:Q,"",0),IF(_xlpm.FormColors=0,IFERROR(MID(I56,FIND("-",I56)+1,LEN(I56)),IFERROR(MID(I56,1,FIND("/",I56)-2),I56)),_xlpm.FormColors))</f>
        <v>зеленый</v>
      </c>
      <c r="Z56" s="73" t="str">
        <f ca="1"/>
        <v>21-790-11-59</v>
      </c>
      <c r="AA56" s="75" t="str">
        <f ca="1">VLOOKUP(C56,Группа!A:B,2,FALSE)</f>
        <v>Кепка</v>
      </c>
      <c r="AB56" s="97" t="str">
        <f ca="1">IFERROR(VLOOKUP(R56,Размеры!A:C,3,FALSE),"")</f>
        <v>59 L</v>
      </c>
      <c r="AC56" s="97" t="str">
        <f ca="1">VLOOKUP(I56,ЦветПолный!A:B,2,FALSE)</f>
        <v>11</v>
      </c>
      <c r="AD56" s="97" t="str">
        <f ca="1">IFERROR(VLOOKUP(R56,Размеры!A:D,4,FALSE),"")</f>
        <v>59</v>
      </c>
      <c r="AE56" s="97">
        <f ca="1">IF(LEFT(IFERROR(VLOOKUP(LOOKUP(2,1/SEARCH(B56,Товары!A:A),Товары!A:A),Товары!A:B,2,0),""),6)=MID(Z56,1,6),1,0)</f>
        <v>0</v>
      </c>
      <c r="AG56" s="97">
        <f ca="1">SUMIF(Группа!A:A,C56,Группа!C:C)</f>
        <v>1</v>
      </c>
      <c r="AH56" s="97">
        <f ca="1">SUMIF(Группа!B:B,AA56,Группа!C:C)</f>
        <v>1</v>
      </c>
      <c r="AI56" s="97">
        <f ca="1">SUMIF(Формы!A:A,D56,Формы!B:B)</f>
        <v>1</v>
      </c>
      <c r="AJ56" s="97">
        <f ca="1">SUMIF(Материал!A:A,K56,Материал!B:B)</f>
        <v>1</v>
      </c>
      <c r="AK56" s="97">
        <f ca="1">SUMIF(Размеры!A:A,R56,Размеры!E:E)</f>
        <v>1</v>
      </c>
      <c r="AL56" s="97">
        <f ca="1">SUMIF(Сезон!A:A,F56,Сезон!B:B)</f>
        <v>1</v>
      </c>
      <c r="AM56" s="97">
        <f ca="1">SUMIF(Состав!A:A,J56,Состав!B:B)</f>
        <v>0</v>
      </c>
      <c r="AN56" s="97">
        <f ca="1">VLOOKUP(I56,ЦветПолный!A:C,3,0)</f>
        <v>1</v>
      </c>
      <c r="AO56" s="97">
        <f ca="1">SUMIF(Цвет!A:A,Y56,Цвет!B:B)</f>
        <v>1</v>
      </c>
      <c r="AP56" s="97">
        <f ca="1">_xlfn.XLOOKUP(L56,Пол!A:A,Пол!B:B,0,0)</f>
        <v>1</v>
      </c>
      <c r="AQ56" s="97">
        <f ca="1">SUMIF(Марка!A:A,G56,Марка!B:B)</f>
        <v>1</v>
      </c>
      <c r="AR56" s="97">
        <f ca="1">SUMIF(Страна!A:A,M56,Страна!B:B)</f>
        <v>1</v>
      </c>
      <c r="AS56" s="64" t="e">
        <f ca="1">IF(VLOOKUP(V56,Товары!A:B,2,FALSE)=A56,"Есть в 1С","ERR")</f>
        <v>#N/A</v>
      </c>
      <c r="AT56" s="65" t="e">
        <f ca="1">IF(VLOOKUP(A56,Товары!B:B,1,FALSE)=A56,"Есть в 1С","ERR")</f>
        <v>#N/A</v>
      </c>
      <c r="AU56" s="96" t="e">
        <f ca="1">VLOOKUP(V56,Товары!A:B,2,FALSE)</f>
        <v>#N/A</v>
      </c>
      <c r="AV56" s="94" t="e">
        <f ca="1">VLOOKUP(V56,Товары!A:B,1,FALSE)</f>
        <v>#N/A</v>
      </c>
    </row>
    <row r="57" spans="1:48" x14ac:dyDescent="0.25">
      <c r="A57" s="110" t="str">
        <f t="shared" ca="1" si="4"/>
        <v>21-790-08</v>
      </c>
      <c r="B57" s="107" t="str">
        <f ca="1">_xlfn.LET(_xlpm.CAPS,0,_xlpm.Style,_xlfn.XLOOKUP($A57,Строчный!$A:$A,Строчный!B:B,"ERR",0),IF(_xlpm.CAPS=0,_xlpm.Style,LOWER(_xlpm.Style)))</f>
        <v>W22RDA EDEN</v>
      </c>
      <c r="C57" s="81" t="str">
        <f ca="1">PROPER(_xlfn.XLOOKUP($A57,Строчный!$A:$A,Строчный!C:C,"ERR",0))</f>
        <v>Шляпы</v>
      </c>
      <c r="D57" s="81" t="str">
        <f ca="1">_xlfn.LET(_xlpm.DATA,(_xlfn.XLOOKUP($A57,Строчный!$A:$A,Строчный!D:D,"ERR",0)),UPPER(MID(_xlpm.DATA,1,1))&amp;LOWER(MID(_xlpm.DATA,2,LEN(_xlpm.DATA)-1)))</f>
        <v>Шляпа ковбойская</v>
      </c>
      <c r="E57" s="81" t="str">
        <f ca="1">PROPER(_xlfn.XLOOKUP($A57,Строчный!$A:$A,Строчный!E:E,"ERR",0))</f>
        <v>The Hollywood</v>
      </c>
      <c r="F57" s="81" t="str">
        <f ca="1">LOWER(_xlfn.XLOOKUP($A57,Строчный!$A:$A,Строчный!F:F,"ERR",0))</f>
        <v>всесезон</v>
      </c>
      <c r="G57" s="81" t="str">
        <f ca="1">UPPER(_xlfn.XLOOKUP($A57,Строчный!$A:$A,Строчный!G:G,"ERR",0))</f>
        <v>BAILEY</v>
      </c>
      <c r="H57" s="81" t="str">
        <f ca="1">LOWER(_xlfn.XLOOKUP($A57,Строчный!$A:$A,Строчный!H:H,"ERR",0))</f>
        <v>silver sand</v>
      </c>
      <c r="I57" s="81" t="str">
        <f ca="1">LOWER(_xlfn.XLOOKUP($A57,Строчный!$A:$A,Строчный!I:I,"ERR",0))</f>
        <v>серый</v>
      </c>
      <c r="J57" s="81" t="str">
        <f ca="1">SUBSTITUTE(LOWER(_xlfn.XLOOKUP($A57,Строчный!$A:$A,Строчный!J:J,"ERR",0)),"подклад","Подклад")</f>
        <v>100% шерсть / Подклад: 100% полиэстер</v>
      </c>
      <c r="K57" s="81" t="str">
        <f ca="1">LOWER(_xlfn.XLOOKUP($A57,Строчный!$A:$A,Строчный!K:K,"ERR",0))</f>
        <v>шерстяные</v>
      </c>
      <c r="L57" s="81" t="str">
        <f ca="1">PROPER(_xlfn.XLOOKUP($A57,Строчный!$A:$A,Строчный!L:L,"ERR",0))</f>
        <v>Женский</v>
      </c>
      <c r="M57" s="113" t="str">
        <f ca="1">PROPER(_xlfn.XLOOKUP($A57,Строчный!$A:$A,Строчный!M:M,"ERR",0))</f>
        <v>Соединенные Штаты</v>
      </c>
      <c r="N57" s="81" t="str">
        <f ca="1">UPPER(_xlfn.XLOOKUP($A57,Строчный!$A:$A,Строчный!O:O,"ERR",0))</f>
        <v/>
      </c>
      <c r="O57" s="107" t="str">
        <f ca="1">PROPER(_xlfn.XLOOKUP($A57,Строчный!$A:$A,Строчный!P:P,"ERR",0))</f>
        <v/>
      </c>
      <c r="P57" s="90">
        <f ca="1">VALUE(_xlfn.XLOOKUP($A57,Строчный!$A:$A,Строчный!N:N,"ERR",0))</f>
        <v>702.00000000000011</v>
      </c>
      <c r="Q57" s="89" t="str">
        <f ca="1">_xlfn.XLOOKUP($G57,Фабрика!A:A,Фабрика!B:B,"ERR",0)</f>
        <v>Bollman Headwear Europe Ltd; 2 Merchants drive, Caelisle, Cumbria CA3 0JW, United Kingdom</v>
      </c>
      <c r="R57" s="80" t="str">
        <f ca="1">_xlfn.XLOOKUP(RIGHT(Z57,2),Размеры!D:D,Размеры!A:A,"ERR",0)</f>
        <v>62</v>
      </c>
      <c r="S57" s="80">
        <f ca="1">VALUE(_xlfn.XLOOKUP($Z57,Строчный!$R:$R,Строчный!T:T,"ERR",0))</f>
        <v>1</v>
      </c>
      <c r="T57" s="14" t="s">
        <v>265</v>
      </c>
      <c r="U57" s="101" t="str">
        <f t="shared" ca="1" si="13"/>
        <v>Шляпа BAILEY арт. W22RDA EDEN (серый)</v>
      </c>
      <c r="V57" s="100" t="str">
        <f t="shared" ca="1" si="14"/>
        <v>Шляпа BAILEY арт. W22RDA EDEN (серый) {silver sand}</v>
      </c>
      <c r="W57" s="18" t="str">
        <f t="shared" ca="1" si="15"/>
        <v>серый</v>
      </c>
      <c r="X57" s="18" t="str">
        <f t="shared" ca="1" si="16"/>
        <v>серый</v>
      </c>
      <c r="Y57" s="117" t="str">
        <f ca="1">_xlfn.LET(_xlpm.FormColors,_xlfn.XLOOKUP(A57,Строчный!A:A,Строчный!Q:Q,"",0),IF(_xlpm.FormColors=0,IFERROR(MID(I57,FIND("-",I57)+1,LEN(I57)),IFERROR(MID(I57,1,FIND("/",I57)-2),I57)),_xlpm.FormColors))</f>
        <v>серый</v>
      </c>
      <c r="Z57" s="73" t="str">
        <f ca="1"/>
        <v>21-790-08-62</v>
      </c>
      <c r="AA57" s="75" t="str">
        <f ca="1">VLOOKUP(C57,Группа!A:B,2,FALSE)</f>
        <v>Шляпа</v>
      </c>
      <c r="AB57" s="97" t="str">
        <f ca="1">IFERROR(VLOOKUP(R57,Размеры!A:C,3,FALSE),"")</f>
        <v>62 XL/XXL</v>
      </c>
      <c r="AC57" s="97" t="str">
        <f ca="1">VLOOKUP(I57,ЦветПолный!A:B,2,FALSE)</f>
        <v>08</v>
      </c>
      <c r="AD57" s="97" t="str">
        <f ca="1">IFERROR(VLOOKUP(R57,Размеры!A:D,4,FALSE),"")</f>
        <v>62</v>
      </c>
      <c r="AE57" s="97">
        <f ca="1">IF(LEFT(IFERROR(VLOOKUP(LOOKUP(2,1/SEARCH(B57,Товары!A:A),Товары!A:A),Товары!A:B,2,0),""),6)=MID(Z57,1,6),1,0)</f>
        <v>0</v>
      </c>
      <c r="AG57" s="97">
        <f ca="1">SUMIF(Группа!A:A,C57,Группа!C:C)</f>
        <v>1</v>
      </c>
      <c r="AH57" s="97">
        <f ca="1">SUMIF(Группа!B:B,AA57,Группа!C:C)</f>
        <v>1</v>
      </c>
      <c r="AI57" s="97">
        <f ca="1">SUMIF(Формы!A:A,D57,Формы!B:B)</f>
        <v>1</v>
      </c>
      <c r="AJ57" s="97">
        <f ca="1">SUMIF(Материал!A:A,K57,Материал!B:B)</f>
        <v>1</v>
      </c>
      <c r="AK57" s="97">
        <f ca="1">SUMIF(Размеры!A:A,R57,Размеры!E:E)</f>
        <v>1</v>
      </c>
      <c r="AL57" s="97">
        <f ca="1">SUMIF(Сезон!A:A,F57,Сезон!B:B)</f>
        <v>1</v>
      </c>
      <c r="AM57" s="97">
        <f ca="1">SUMIF(Состав!A:A,J57,Состав!B:B)</f>
        <v>0</v>
      </c>
      <c r="AN57" s="97">
        <f ca="1">VLOOKUP(I57,ЦветПолный!A:C,3,0)</f>
        <v>1</v>
      </c>
      <c r="AO57" s="97">
        <f ca="1">SUMIF(Цвет!A:A,Y57,Цвет!B:B)</f>
        <v>1</v>
      </c>
      <c r="AP57" s="97">
        <f ca="1">_xlfn.XLOOKUP(L57,Пол!A:A,Пол!B:B,0,0)</f>
        <v>1</v>
      </c>
      <c r="AQ57" s="97">
        <f ca="1">SUMIF(Марка!A:A,G57,Марка!B:B)</f>
        <v>1</v>
      </c>
      <c r="AR57" s="97">
        <f ca="1">SUMIF(Страна!A:A,M57,Страна!B:B)</f>
        <v>1</v>
      </c>
      <c r="AS57" s="64" t="e">
        <f ca="1">IF(VLOOKUP(V57,Товары!A:B,2,FALSE)=A57,"Есть в 1С","ERR")</f>
        <v>#N/A</v>
      </c>
      <c r="AT57" s="65" t="e">
        <f ca="1">IF(VLOOKUP(A57,Товары!B:B,1,FALSE)=A57,"Есть в 1С","ERR")</f>
        <v>#N/A</v>
      </c>
      <c r="AU57" s="96" t="e">
        <f ca="1">VLOOKUP(V57,Товары!A:B,2,FALSE)</f>
        <v>#N/A</v>
      </c>
      <c r="AV57" s="94" t="e">
        <f ca="1">VLOOKUP(V57,Товары!A:B,1,FALSE)</f>
        <v>#N/A</v>
      </c>
    </row>
    <row r="58" spans="1:48" x14ac:dyDescent="0.25">
      <c r="A58" s="110" t="str">
        <f t="shared" ca="1" si="4"/>
        <v>21-789-16</v>
      </c>
      <c r="B58" s="107" t="str">
        <f ca="1">_xlfn.LET(_xlpm.CAPS,0,_xlpm.Style,_xlfn.XLOOKUP($A58,Строчный!$A:$A,Строчный!B:B,"ERR",0),IF(_xlpm.CAPS=0,_xlpm.Style,LOWER(_xlpm.Style)))</f>
        <v>25555BH APOSTO</v>
      </c>
      <c r="C58" s="81" t="str">
        <f ca="1">PROPER(_xlfn.XLOOKUP($A58,Строчный!$A:$A,Строчный!C:C,"ERR",0))</f>
        <v>Кепки</v>
      </c>
      <c r="D58" s="81" t="str">
        <f ca="1">_xlfn.LET(_xlpm.DATA,(_xlfn.XLOOKUP($A58,Строчный!$A:$A,Строчный!D:D,"ERR",0)),UPPER(MID(_xlpm.DATA,1,1))&amp;LOWER(MID(_xlpm.DATA,2,LEN(_xlpm.DATA)-1)))</f>
        <v>Кепка плоская</v>
      </c>
      <c r="E58" s="81" t="str">
        <f ca="1">PROPER(_xlfn.XLOOKUP($A58,Строчный!$A:$A,Строчный!E:E,"ERR",0))</f>
        <v>The Hollywood</v>
      </c>
      <c r="F58" s="81" t="str">
        <f ca="1">LOWER(_xlfn.XLOOKUP($A58,Строчный!$A:$A,Строчный!F:F,"ERR",0))</f>
        <v>всесезон</v>
      </c>
      <c r="G58" s="81" t="str">
        <f ca="1">UPPER(_xlfn.XLOOKUP($A58,Строчный!$A:$A,Строчный!G:G,"ERR",0))</f>
        <v>BAILEY</v>
      </c>
      <c r="H58" s="81" t="str">
        <f ca="1">LOWER(_xlfn.XLOOKUP($A58,Строчный!$A:$A,Строчный!H:H,"ERR",0))</f>
        <v>avion stripe</v>
      </c>
      <c r="I58" s="81" t="str">
        <f ca="1">LOWER(_xlfn.XLOOKUP($A58,Строчный!$A:$A,Строчный!I:I,"ERR",0))</f>
        <v>темно-синий</v>
      </c>
      <c r="J58" s="81" t="str">
        <f ca="1">SUBSTITUTE(LOWER(_xlfn.XLOOKUP($A58,Строчный!$A:$A,Строчный!J:J,"ERR",0)),"подклад","Подклад")</f>
        <v>55% полиэстер -  25% шерсть -  20% хлопок / Подклад: 100% полиэстер</v>
      </c>
      <c r="K58" s="81" t="str">
        <f ca="1">LOWER(_xlfn.XLOOKUP($A58,Строчный!$A:$A,Строчный!K:K,"ERR",0))</f>
        <v>шерстяные</v>
      </c>
      <c r="L58" s="81" t="str">
        <f ca="1">PROPER(_xlfn.XLOOKUP($A58,Строчный!$A:$A,Строчный!L:L,"ERR",0))</f>
        <v>Унисекс</v>
      </c>
      <c r="M58" s="113" t="str">
        <f ca="1">PROPER(_xlfn.XLOOKUP($A58,Строчный!$A:$A,Строчный!M:M,"ERR",0))</f>
        <v>Китай</v>
      </c>
      <c r="N58" s="81" t="str">
        <f ca="1">UPPER(_xlfn.XLOOKUP($A58,Строчный!$A:$A,Строчный!O:O,"ERR",0))</f>
        <v/>
      </c>
      <c r="O58" s="107" t="str">
        <f ca="1">PROPER(_xlfn.XLOOKUP($A58,Строчный!$A:$A,Строчный!P:P,"ERR",0))</f>
        <v/>
      </c>
      <c r="P58" s="90">
        <f ca="1">VALUE(_xlfn.XLOOKUP($A58,Строчный!$A:$A,Строчный!N:N,"ERR",0))</f>
        <v>702.00000000000011</v>
      </c>
      <c r="Q58" s="89" t="str">
        <f ca="1">_xlfn.XLOOKUP($G58,Фабрика!A:A,Фабрика!B:B,"ERR",0)</f>
        <v>Bollman Headwear Europe Ltd; 2 Merchants drive, Caelisle, Cumbria CA3 0JW, United Kingdom</v>
      </c>
      <c r="R58" s="80" t="str">
        <f ca="1">_xlfn.XLOOKUP(RIGHT(Z58,2),Размеры!D:D,Размеры!A:A,"ERR",0)</f>
        <v>59</v>
      </c>
      <c r="S58" s="80">
        <f ca="1">VALUE(_xlfn.XLOOKUP($Z58,Строчный!$R:$R,Строчный!T:T,"ERR",0))</f>
        <v>1</v>
      </c>
      <c r="T58" s="14" t="s">
        <v>265</v>
      </c>
      <c r="U58" s="101" t="str">
        <f t="shared" ca="1" si="13"/>
        <v>Кепка BAILEY арт. 25555BH APOSTO (темно-синий)</v>
      </c>
      <c r="V58" s="100" t="str">
        <f t="shared" ca="1" si="14"/>
        <v>Кепка BAILEY арт. 25555BH APOSTO (темно-синий) {avion stripe}</v>
      </c>
      <c r="W58" s="18" t="str">
        <f t="shared" ca="1" si="15"/>
        <v>синий</v>
      </c>
      <c r="X58" s="18" t="str">
        <f t="shared" ca="1" si="16"/>
        <v>синий</v>
      </c>
      <c r="Y58" s="117" t="str">
        <f ca="1">_xlfn.LET(_xlpm.FormColors,_xlfn.XLOOKUP(A58,Строчный!A:A,Строчный!Q:Q,"",0),IF(_xlpm.FormColors=0,IFERROR(MID(I58,FIND("-",I58)+1,LEN(I58)),IFERROR(MID(I58,1,FIND("/",I58)-2),I58)),_xlpm.FormColors))</f>
        <v>синий</v>
      </c>
      <c r="Z58" s="73" t="str">
        <f ca="1"/>
        <v>21-789-16-59</v>
      </c>
      <c r="AA58" s="75" t="str">
        <f ca="1">VLOOKUP(C58,Группа!A:B,2,FALSE)</f>
        <v>Кепка</v>
      </c>
      <c r="AB58" s="97" t="str">
        <f ca="1">IFERROR(VLOOKUP(R58,Размеры!A:C,3,FALSE),"")</f>
        <v>59 L</v>
      </c>
      <c r="AC58" s="97" t="str">
        <f ca="1">VLOOKUP(I58,ЦветПолный!A:B,2,FALSE)</f>
        <v>16</v>
      </c>
      <c r="AD58" s="97" t="str">
        <f ca="1">IFERROR(VLOOKUP(R58,Размеры!A:D,4,FALSE),"")</f>
        <v>59</v>
      </c>
      <c r="AE58" s="97">
        <f ca="1">IF(LEFT(IFERROR(VLOOKUP(LOOKUP(2,1/SEARCH(B58,Товары!A:A),Товары!A:A),Товары!A:B,2,0),""),6)=MID(Z58,1,6),1,0)</f>
        <v>0</v>
      </c>
      <c r="AG58" s="97">
        <f ca="1">SUMIF(Группа!A:A,C58,Группа!C:C)</f>
        <v>1</v>
      </c>
      <c r="AH58" s="97">
        <f ca="1">SUMIF(Группа!B:B,AA58,Группа!C:C)</f>
        <v>1</v>
      </c>
      <c r="AI58" s="97">
        <f ca="1">SUMIF(Формы!A:A,D58,Формы!B:B)</f>
        <v>1</v>
      </c>
      <c r="AJ58" s="97">
        <f ca="1">SUMIF(Материал!A:A,K58,Материал!B:B)</f>
        <v>1</v>
      </c>
      <c r="AK58" s="97">
        <f ca="1">SUMIF(Размеры!A:A,R58,Размеры!E:E)</f>
        <v>1</v>
      </c>
      <c r="AL58" s="97">
        <f ca="1">SUMIF(Сезон!A:A,F58,Сезон!B:B)</f>
        <v>1</v>
      </c>
      <c r="AM58" s="97">
        <f ca="1">SUMIF(Состав!A:A,J58,Состав!B:B)</f>
        <v>0</v>
      </c>
      <c r="AN58" s="97">
        <f ca="1">VLOOKUP(I58,ЦветПолный!A:C,3,0)</f>
        <v>1</v>
      </c>
      <c r="AO58" s="97">
        <f ca="1">SUMIF(Цвет!A:A,Y58,Цвет!B:B)</f>
        <v>1</v>
      </c>
      <c r="AP58" s="97">
        <f ca="1">_xlfn.XLOOKUP(L58,Пол!A:A,Пол!B:B,0,0)</f>
        <v>1</v>
      </c>
      <c r="AQ58" s="97">
        <f ca="1">SUMIF(Марка!A:A,G58,Марка!B:B)</f>
        <v>1</v>
      </c>
      <c r="AR58" s="97">
        <f ca="1">SUMIF(Страна!A:A,M58,Страна!B:B)</f>
        <v>1</v>
      </c>
      <c r="AS58" s="64" t="e">
        <f ca="1">IF(VLOOKUP(V58,Товары!A:B,2,FALSE)=A58,"Есть в 1С","ERR")</f>
        <v>#N/A</v>
      </c>
      <c r="AT58" s="65" t="e">
        <f ca="1">IF(VLOOKUP(A58,Товары!B:B,1,FALSE)=A58,"Есть в 1С","ERR")</f>
        <v>#N/A</v>
      </c>
      <c r="AU58" s="96" t="e">
        <f ca="1">VLOOKUP(V58,Товары!A:B,2,FALSE)</f>
        <v>#N/A</v>
      </c>
      <c r="AV58" s="94" t="e">
        <f ca="1">VLOOKUP(V58,Товары!A:B,1,FALSE)</f>
        <v>#N/A</v>
      </c>
    </row>
    <row r="59" spans="1:48" x14ac:dyDescent="0.25">
      <c r="A59" s="110" t="str">
        <f t="shared" ca="1" si="4"/>
        <v>21-789-09</v>
      </c>
      <c r="B59" s="107" t="str">
        <f ca="1">_xlfn.LET(_xlpm.CAPS,0,_xlpm.Style,_xlfn.XLOOKUP($A59,Строчный!$A:$A,Строчный!B:B,"ERR",0),IF(_xlpm.CAPS=0,_xlpm.Style,LOWER(_xlpm.Style)))</f>
        <v>W22EDB Hoolihan</v>
      </c>
      <c r="C59" s="81" t="str">
        <f ca="1">PROPER(_xlfn.XLOOKUP($A59,Строчный!$A:$A,Строчный!C:C,"ERR",0))</f>
        <v>Шляпы</v>
      </c>
      <c r="D59" s="81" t="str">
        <f ca="1">_xlfn.LET(_xlpm.DATA,(_xlfn.XLOOKUP($A59,Строчный!$A:$A,Строчный!D:D,"ERR",0)),UPPER(MID(_xlpm.DATA,1,1))&amp;LOWER(MID(_xlpm.DATA,2,LEN(_xlpm.DATA)-1)))</f>
        <v>Шляпа ковбойская</v>
      </c>
      <c r="E59" s="81" t="str">
        <f ca="1">PROPER(_xlfn.XLOOKUP($A59,Строчный!$A:$A,Строчный!E:E,"ERR",0))</f>
        <v>The Hollywood</v>
      </c>
      <c r="F59" s="81" t="str">
        <f ca="1">LOWER(_xlfn.XLOOKUP($A59,Строчный!$A:$A,Строчный!F:F,"ERR",0))</f>
        <v>всесезон</v>
      </c>
      <c r="G59" s="81" t="str">
        <f ca="1">UPPER(_xlfn.XLOOKUP($A59,Строчный!$A:$A,Строчный!G:G,"ERR",0))</f>
        <v>BAILEY</v>
      </c>
      <c r="H59" s="81" t="str">
        <f ca="1">LOWER(_xlfn.XLOOKUP($A59,Строчный!$A:$A,Строчный!H:H,"ERR",0))</f>
        <v>black</v>
      </c>
      <c r="I59" s="81" t="str">
        <f ca="1">LOWER(_xlfn.XLOOKUP($A59,Строчный!$A:$A,Строчный!I:I,"ERR",0))</f>
        <v>черный</v>
      </c>
      <c r="J59" s="81" t="str">
        <f ca="1">SUBSTITUTE(LOWER(_xlfn.XLOOKUP($A59,Строчный!$A:$A,Строчный!J:J,"ERR",0)),"подклад","Подклад")</f>
        <v>100% шерсть / Подклад: 100% полиэстер</v>
      </c>
      <c r="K59" s="81" t="str">
        <f ca="1">LOWER(_xlfn.XLOOKUP($A59,Строчный!$A:$A,Строчный!K:K,"ERR",0))</f>
        <v>шерстяные</v>
      </c>
      <c r="L59" s="81" t="str">
        <f ca="1">PROPER(_xlfn.XLOOKUP($A59,Строчный!$A:$A,Строчный!L:L,"ERR",0))</f>
        <v>Унисекс</v>
      </c>
      <c r="M59" s="113" t="str">
        <f ca="1">PROPER(_xlfn.XLOOKUP($A59,Строчный!$A:$A,Строчный!M:M,"ERR",0))</f>
        <v>Соединенные Штаты</v>
      </c>
      <c r="N59" s="81" t="str">
        <f ca="1">UPPER(_xlfn.XLOOKUP($A59,Строчный!$A:$A,Строчный!O:O,"ERR",0))</f>
        <v/>
      </c>
      <c r="O59" s="107" t="str">
        <f ca="1">PROPER(_xlfn.XLOOKUP($A59,Строчный!$A:$A,Строчный!P:P,"ERR",0))</f>
        <v/>
      </c>
      <c r="P59" s="90">
        <f ca="1">VALUE(_xlfn.XLOOKUP($A59,Строчный!$A:$A,Строчный!N:N,"ERR",0))</f>
        <v>702.00000000000011</v>
      </c>
      <c r="Q59" s="89" t="str">
        <f ca="1">_xlfn.XLOOKUP($G59,Фабрика!A:A,Фабрика!B:B,"ERR",0)</f>
        <v>Bollman Headwear Europe Ltd; 2 Merchants drive, Caelisle, Cumbria CA3 0JW, United Kingdom</v>
      </c>
      <c r="R59" s="80" t="str">
        <f ca="1">_xlfn.XLOOKUP(RIGHT(Z59,2),Размеры!D:D,Размеры!A:A,"ERR",0)</f>
        <v>59</v>
      </c>
      <c r="S59" s="80">
        <f ca="1">VALUE(_xlfn.XLOOKUP($Z59,Строчный!$R:$R,Строчный!T:T,"ERR",0))</f>
        <v>1</v>
      </c>
      <c r="T59" s="14" t="s">
        <v>265</v>
      </c>
      <c r="U59" s="101" t="str">
        <f t="shared" ca="1" si="13"/>
        <v>Шляпа BAILEY арт. W22EDB Hoolihan (черный)</v>
      </c>
      <c r="V59" s="100" t="str">
        <f t="shared" ca="1" si="14"/>
        <v>Шляпа BAILEY арт. W22EDB Hoolihan (черный) {black}</v>
      </c>
      <c r="W59" s="18" t="str">
        <f t="shared" ca="1" si="15"/>
        <v>черный</v>
      </c>
      <c r="X59" s="18" t="str">
        <f t="shared" ca="1" si="16"/>
        <v>черный</v>
      </c>
      <c r="Y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Z59" s="73" t="str">
        <f ca="1"/>
        <v>21-789-09-59</v>
      </c>
      <c r="AA59" s="75" t="str">
        <f ca="1">VLOOKUP(C59,Группа!A:B,2,FALSE)</f>
        <v>Шляпа</v>
      </c>
      <c r="AB59" s="97" t="str">
        <f ca="1">IFERROR(VLOOKUP(R59,Размеры!A:C,3,FALSE),"")</f>
        <v>59 L</v>
      </c>
      <c r="AC59" s="97" t="str">
        <f ca="1">VLOOKUP(I59,ЦветПолный!A:B,2,FALSE)</f>
        <v>09</v>
      </c>
      <c r="AD59" s="97" t="str">
        <f ca="1">IFERROR(VLOOKUP(R59,Размеры!A:D,4,FALSE),"")</f>
        <v>59</v>
      </c>
      <c r="AE59" s="97">
        <f ca="1">IF(LEFT(IFERROR(VLOOKUP(LOOKUP(2,1/SEARCH(B59,Товары!A:A),Товары!A:A),Товары!A:B,2,0),""),6)=MID(Z59,1,6),1,0)</f>
        <v>0</v>
      </c>
      <c r="AG59" s="97">
        <f ca="1">SUMIF(Группа!A:A,C59,Группа!C:C)</f>
        <v>1</v>
      </c>
      <c r="AH59" s="97">
        <f ca="1">SUMIF(Группа!B:B,AA59,Группа!C:C)</f>
        <v>1</v>
      </c>
      <c r="AI59" s="97">
        <f ca="1">SUMIF(Формы!A:A,D59,Формы!B:B)</f>
        <v>1</v>
      </c>
      <c r="AJ59" s="97">
        <f ca="1">SUMIF(Материал!A:A,K59,Материал!B:B)</f>
        <v>1</v>
      </c>
      <c r="AK59" s="97">
        <f ca="1">SUMIF(Размеры!A:A,R59,Размеры!E:E)</f>
        <v>1</v>
      </c>
      <c r="AL59" s="97">
        <f ca="1">SUMIF(Сезон!A:A,F59,Сезон!B:B)</f>
        <v>1</v>
      </c>
      <c r="AM59" s="97">
        <f ca="1">SUMIF(Состав!A:A,J59,Состав!B:B)</f>
        <v>0</v>
      </c>
      <c r="AN59" s="97">
        <f ca="1">VLOOKUP(I59,ЦветПолный!A:C,3,0)</f>
        <v>1</v>
      </c>
      <c r="AO59" s="97">
        <f ca="1">SUMIF(Цвет!A:A,Y59,Цвет!B:B)</f>
        <v>1</v>
      </c>
      <c r="AP59" s="97">
        <f ca="1">_xlfn.XLOOKUP(L59,Пол!A:A,Пол!B:B,0,0)</f>
        <v>1</v>
      </c>
      <c r="AQ59" s="97">
        <f ca="1">SUMIF(Марка!A:A,G59,Марка!B:B)</f>
        <v>1</v>
      </c>
      <c r="AR59" s="97">
        <f ca="1">SUMIF(Страна!A:A,M59,Страна!B:B)</f>
        <v>1</v>
      </c>
      <c r="AS59" s="64" t="e">
        <f ca="1">IF(VLOOKUP(V59,Товары!A:B,2,FALSE)=A59,"Есть в 1С","ERR")</f>
        <v>#N/A</v>
      </c>
      <c r="AT59" s="65" t="e">
        <f ca="1">IF(VLOOKUP(A59,Товары!B:B,1,FALSE)=A59,"Есть в 1С","ERR")</f>
        <v>#N/A</v>
      </c>
      <c r="AU59" s="96" t="e">
        <f ca="1">VLOOKUP(V59,Товары!A:B,2,FALSE)</f>
        <v>#N/A</v>
      </c>
      <c r="AV59" s="94" t="e">
        <f ca="1">VLOOKUP(V59,Товары!A:B,1,FALSE)</f>
        <v>#N/A</v>
      </c>
    </row>
    <row r="60" spans="1:48" x14ac:dyDescent="0.25">
      <c r="A60" s="110" t="str">
        <f t="shared" ca="1" si="4"/>
        <v>21-788-83</v>
      </c>
      <c r="B60" s="107" t="str">
        <f ca="1">_xlfn.LET(_xlpm.CAPS,0,_xlpm.Style,_xlfn.XLOOKUP($A60,Строчный!$A:$A,Строчный!B:B,"ERR",0),IF(_xlpm.CAPS=0,_xlpm.Style,LOWER(_xlpm.Style)))</f>
        <v>W22EDA Rumble</v>
      </c>
      <c r="C60" s="81" t="str">
        <f ca="1">PROPER(_xlfn.XLOOKUP($A60,Строчный!$A:$A,Строчный!C:C,"ERR",0))</f>
        <v>Шляпы</v>
      </c>
      <c r="D60" s="81" t="str">
        <f ca="1">_xlfn.LET(_xlpm.DATA,(_xlfn.XLOOKUP($A60,Строчный!$A:$A,Строчный!D:D,"ERR",0)),UPPER(MID(_xlpm.DATA,1,1))&amp;LOWER(MID(_xlpm.DATA,2,LEN(_xlpm.DATA)-1)))</f>
        <v>Шляпа ковбойская</v>
      </c>
      <c r="E60" s="81" t="str">
        <f ca="1">PROPER(_xlfn.XLOOKUP($A60,Строчный!$A:$A,Строчный!E:E,"ERR",0))</f>
        <v>The Hollywood</v>
      </c>
      <c r="F60" s="81" t="str">
        <f ca="1">LOWER(_xlfn.XLOOKUP($A60,Строчный!$A:$A,Строчный!F:F,"ERR",0))</f>
        <v>всесезон</v>
      </c>
      <c r="G60" s="81" t="str">
        <f ca="1">UPPER(_xlfn.XLOOKUP($A60,Строчный!$A:$A,Строчный!G:G,"ERR",0))</f>
        <v>BAILEY</v>
      </c>
      <c r="H60" s="81" t="str">
        <f ca="1">LOWER(_xlfn.XLOOKUP($A60,Строчный!$A:$A,Строчный!H:H,"ERR",0))</f>
        <v>palamino</v>
      </c>
      <c r="I60" s="81" t="str">
        <f ca="1">LOWER(_xlfn.XLOOKUP($A60,Строчный!$A:$A,Строчный!I:I,"ERR",0))</f>
        <v>светло-бежевый</v>
      </c>
      <c r="J60" s="81" t="str">
        <f ca="1">SUBSTITUTE(LOWER(_xlfn.XLOOKUP($A60,Строчный!$A:$A,Строчный!J:J,"ERR",0)),"подклад","Подклад")</f>
        <v>100% шерсть / Подклад: 100% полиэстер</v>
      </c>
      <c r="K60" s="81" t="str">
        <f ca="1">LOWER(_xlfn.XLOOKUP($A60,Строчный!$A:$A,Строчный!K:K,"ERR",0))</f>
        <v>шерстяные</v>
      </c>
      <c r="L60" s="81" t="str">
        <f ca="1">PROPER(_xlfn.XLOOKUP($A60,Строчный!$A:$A,Строчный!L:L,"ERR",0))</f>
        <v>Унисекс</v>
      </c>
      <c r="M60" s="113" t="str">
        <f ca="1">PROPER(_xlfn.XLOOKUP($A60,Строчный!$A:$A,Строчный!M:M,"ERR",0))</f>
        <v>Соединенные Штаты</v>
      </c>
      <c r="N60" s="81" t="str">
        <f ca="1">UPPER(_xlfn.XLOOKUP($A60,Строчный!$A:$A,Строчный!O:O,"ERR",0))</f>
        <v/>
      </c>
      <c r="O60" s="107" t="str">
        <f ca="1">PROPER(_xlfn.XLOOKUP($A60,Строчный!$A:$A,Строчный!P:P,"ERR",0))</f>
        <v/>
      </c>
      <c r="P60" s="90">
        <f ca="1">VALUE(_xlfn.XLOOKUP($A60,Строчный!$A:$A,Строчный!N:N,"ERR",0))</f>
        <v>702.00000000000011</v>
      </c>
      <c r="Q60" s="89" t="str">
        <f ca="1">_xlfn.XLOOKUP($G60,Фабрика!A:A,Фабрика!B:B,"ERR",0)</f>
        <v>Bollman Headwear Europe Ltd; 2 Merchants drive, Caelisle, Cumbria CA3 0JW, United Kingdom</v>
      </c>
      <c r="R60" s="80" t="str">
        <f ca="1">_xlfn.XLOOKUP(RIGHT(Z60,2),Размеры!D:D,Размеры!A:A,"ERR",0)</f>
        <v>62</v>
      </c>
      <c r="S60" s="80">
        <f ca="1">VALUE(_xlfn.XLOOKUP($Z60,Строчный!$R:$R,Строчный!T:T,"ERR",0))</f>
        <v>1</v>
      </c>
      <c r="T60" s="14" t="s">
        <v>265</v>
      </c>
      <c r="U60" s="101" t="str">
        <f t="shared" ca="1" si="13"/>
        <v>Шляпа BAILEY арт. W22EDA Rumble (светло-бежевый)</v>
      </c>
      <c r="V60" s="100" t="str">
        <f t="shared" ca="1" si="14"/>
        <v>Шляпа BAILEY арт. W22EDA Rumble (светло-бежевый) {palamino}</v>
      </c>
      <c r="W60" s="18" t="str">
        <f t="shared" ca="1" si="15"/>
        <v>бежевый</v>
      </c>
      <c r="X60" s="18" t="str">
        <f t="shared" ca="1" si="16"/>
        <v>бежевый</v>
      </c>
      <c r="Y60" s="117" t="str">
        <f ca="1">_xlfn.LET(_xlpm.FormColors,_xlfn.XLOOKUP(A60,Строчный!A:A,Строчный!Q:Q,"",0),IF(_xlpm.FormColors=0,IFERROR(MID(I60,FIND("-",I60)+1,LEN(I60)),IFERROR(MID(I60,1,FIND("/",I60)-2),I60)),_xlpm.FormColors))</f>
        <v>бежевый</v>
      </c>
      <c r="Z60" s="73" t="str">
        <f ca="1"/>
        <v>21-788-83-62</v>
      </c>
      <c r="AA60" s="75" t="str">
        <f ca="1">VLOOKUP(C60,Группа!A:B,2,FALSE)</f>
        <v>Шляпа</v>
      </c>
      <c r="AB60" s="97" t="str">
        <f ca="1">IFERROR(VLOOKUP(R60,Размеры!A:C,3,FALSE),"")</f>
        <v>62 XL/XXL</v>
      </c>
      <c r="AC60" s="97" t="str">
        <f ca="1">VLOOKUP(I60,ЦветПолный!A:B,2,FALSE)</f>
        <v>83</v>
      </c>
      <c r="AD60" s="97" t="str">
        <f ca="1">IFERROR(VLOOKUP(R60,Размеры!A:D,4,FALSE),"")</f>
        <v>62</v>
      </c>
      <c r="AE60" s="97">
        <f ca="1">IF(LEFT(IFERROR(VLOOKUP(LOOKUP(2,1/SEARCH(B60,Товары!A:A),Товары!A:A),Товары!A:B,2,0),""),6)=MID(Z60,1,6),1,0)</f>
        <v>0</v>
      </c>
      <c r="AG60" s="97">
        <f ca="1">SUMIF(Группа!A:A,C60,Группа!C:C)</f>
        <v>1</v>
      </c>
      <c r="AH60" s="97">
        <f ca="1">SUMIF(Группа!B:B,AA60,Группа!C:C)</f>
        <v>1</v>
      </c>
      <c r="AI60" s="97">
        <f ca="1">SUMIF(Формы!A:A,D60,Формы!B:B)</f>
        <v>1</v>
      </c>
      <c r="AJ60" s="97">
        <f ca="1">SUMIF(Материал!A:A,K60,Материал!B:B)</f>
        <v>1</v>
      </c>
      <c r="AK60" s="97">
        <f ca="1">SUMIF(Размеры!A:A,R60,Размеры!E:E)</f>
        <v>1</v>
      </c>
      <c r="AL60" s="97">
        <f ca="1">SUMIF(Сезон!A:A,F60,Сезон!B:B)</f>
        <v>1</v>
      </c>
      <c r="AM60" s="97">
        <f ca="1">SUMIF(Состав!A:A,J60,Состав!B:B)</f>
        <v>0</v>
      </c>
      <c r="AN60" s="97">
        <f ca="1">VLOOKUP(I60,ЦветПолный!A:C,3,0)</f>
        <v>1</v>
      </c>
      <c r="AO60" s="97">
        <f ca="1">SUMIF(Цвет!A:A,Y60,Цвет!B:B)</f>
        <v>1</v>
      </c>
      <c r="AP60" s="97">
        <f ca="1">_xlfn.XLOOKUP(L60,Пол!A:A,Пол!B:B,0,0)</f>
        <v>1</v>
      </c>
      <c r="AQ60" s="97">
        <f ca="1">SUMIF(Марка!A:A,G60,Марка!B:B)</f>
        <v>1</v>
      </c>
      <c r="AR60" s="97">
        <f ca="1">SUMIF(Страна!A:A,M60,Страна!B:B)</f>
        <v>1</v>
      </c>
      <c r="AS60" s="64" t="e">
        <f ca="1">IF(VLOOKUP(V60,Товары!A:B,2,FALSE)=A60,"Есть в 1С","ERR")</f>
        <v>#N/A</v>
      </c>
      <c r="AT60" s="65" t="e">
        <f ca="1">IF(VLOOKUP(A60,Товары!B:B,1,FALSE)=A60,"Есть в 1С","ERR")</f>
        <v>#N/A</v>
      </c>
      <c r="AU60" s="96" t="e">
        <f ca="1">VLOOKUP(V60,Товары!A:B,2,FALSE)</f>
        <v>#N/A</v>
      </c>
      <c r="AV60" s="94" t="e">
        <f ca="1">VLOOKUP(V60,Товары!A:B,1,FALSE)</f>
        <v>#N/A</v>
      </c>
    </row>
    <row r="61" spans="1:48" x14ac:dyDescent="0.25">
      <c r="A61" s="110" t="str">
        <f t="shared" ca="1" si="4"/>
        <v>21-788-08</v>
      </c>
      <c r="B61" s="107" t="str">
        <f ca="1">_xlfn.LET(_xlpm.CAPS,0,_xlpm.Style,_xlfn.XLOOKUP($A61,Строчный!$A:$A,Строчный!B:B,"ERR",0),IF(_xlpm.CAPS=0,_xlpm.Style,LOWER(_xlpm.Style)))</f>
        <v>25554BH LOU</v>
      </c>
      <c r="C61" s="81" t="str">
        <f ca="1">PROPER(_xlfn.XLOOKUP($A61,Строчный!$A:$A,Строчный!C:C,"ERR",0))</f>
        <v>Кепки</v>
      </c>
      <c r="D61" s="81" t="str">
        <f ca="1">_xlfn.LET(_xlpm.DATA,(_xlfn.XLOOKUP($A61,Строчный!$A:$A,Строчный!D:D,"ERR",0)),UPPER(MID(_xlpm.DATA,1,1))&amp;LOWER(MID(_xlpm.DATA,2,LEN(_xlpm.DATA)-1)))</f>
        <v>Кепка плоская</v>
      </c>
      <c r="E61" s="81" t="str">
        <f ca="1">PROPER(_xlfn.XLOOKUP($A61,Строчный!$A:$A,Строчный!E:E,"ERR",0))</f>
        <v>The Hollywood</v>
      </c>
      <c r="F61" s="81" t="str">
        <f ca="1">LOWER(_xlfn.XLOOKUP($A61,Строчный!$A:$A,Строчный!F:F,"ERR",0))</f>
        <v>всесезон</v>
      </c>
      <c r="G61" s="81" t="str">
        <f ca="1">UPPER(_xlfn.XLOOKUP($A61,Строчный!$A:$A,Строчный!G:G,"ERR",0))</f>
        <v>BAILEY</v>
      </c>
      <c r="H61" s="81" t="str">
        <f ca="1">LOWER(_xlfn.XLOOKUP($A61,Строчный!$A:$A,Строчный!H:H,"ERR",0))</f>
        <v>oak plaid</v>
      </c>
      <c r="I61" s="81" t="str">
        <f ca="1">LOWER(_xlfn.XLOOKUP($A61,Строчный!$A:$A,Строчный!I:I,"ERR",0))</f>
        <v>серый</v>
      </c>
      <c r="J61" s="81" t="str">
        <f ca="1">SUBSTITUTE(LOWER(_xlfn.XLOOKUP($A61,Строчный!$A:$A,Строчный!J:J,"ERR",0)),"подклад","Подклад")</f>
        <v>50% шерсть - 50% полиэстер / Подклад: 100% полиэстер</v>
      </c>
      <c r="K61" s="81" t="str">
        <f ca="1">LOWER(_xlfn.XLOOKUP($A61,Строчный!$A:$A,Строчный!K:K,"ERR",0))</f>
        <v>шерстяные</v>
      </c>
      <c r="L61" s="81" t="str">
        <f ca="1">PROPER(_xlfn.XLOOKUP($A61,Строчный!$A:$A,Строчный!L:L,"ERR",0))</f>
        <v>Унисекс</v>
      </c>
      <c r="M61" s="113" t="str">
        <f ca="1">PROPER(_xlfn.XLOOKUP($A61,Строчный!$A:$A,Строчный!M:M,"ERR",0))</f>
        <v>Китай</v>
      </c>
      <c r="N61" s="81" t="str">
        <f ca="1">UPPER(_xlfn.XLOOKUP($A61,Строчный!$A:$A,Строчный!O:O,"ERR",0))</f>
        <v/>
      </c>
      <c r="O61" s="107" t="str">
        <f ca="1">PROPER(_xlfn.XLOOKUP($A61,Строчный!$A:$A,Строчный!P:P,"ERR",0))</f>
        <v/>
      </c>
      <c r="P61" s="90">
        <f ca="1">VALUE(_xlfn.XLOOKUP($A61,Строчный!$A:$A,Строчный!N:N,"ERR",0))</f>
        <v>702.00000000000011</v>
      </c>
      <c r="Q61" s="89" t="str">
        <f ca="1">_xlfn.XLOOKUP($G61,Фабрика!A:A,Фабрика!B:B,"ERR",0)</f>
        <v>Bollman Headwear Europe Ltd; 2 Merchants drive, Caelisle, Cumbria CA3 0JW, United Kingdom</v>
      </c>
      <c r="R61" s="80" t="str">
        <f ca="1">_xlfn.XLOOKUP(RIGHT(Z61,2),Размеры!D:D,Размеры!A:A,"ERR",0)</f>
        <v>59</v>
      </c>
      <c r="S61" s="80">
        <f ca="1">VALUE(_xlfn.XLOOKUP($Z61,Строчный!$R:$R,Строчный!T:T,"ERR",0))</f>
        <v>1</v>
      </c>
      <c r="T61" s="14" t="s">
        <v>265</v>
      </c>
      <c r="U61" s="101" t="str">
        <f t="shared" ca="1" si="13"/>
        <v>Кепка BAILEY арт. 25554BH LOU (серый)</v>
      </c>
      <c r="V61" s="100" t="str">
        <f t="shared" ca="1" si="14"/>
        <v>Кепка BAILEY арт. 25554BH LOU (серый) {oak plaid}</v>
      </c>
      <c r="W61" s="18" t="str">
        <f t="shared" ca="1" si="15"/>
        <v>серый</v>
      </c>
      <c r="X61" s="18" t="str">
        <f t="shared" ca="1" si="16"/>
        <v>серый</v>
      </c>
      <c r="Y61" s="117" t="str">
        <f ca="1">_xlfn.LET(_xlpm.FormColors,_xlfn.XLOOKUP(A61,Строчный!A:A,Строчный!Q:Q,"",0),IF(_xlpm.FormColors=0,IFERROR(MID(I61,FIND("-",I61)+1,LEN(I61)),IFERROR(MID(I61,1,FIND("/",I61)-2),I61)),_xlpm.FormColors))</f>
        <v>серый</v>
      </c>
      <c r="Z61" s="73" t="str">
        <f ca="1"/>
        <v>21-788-08-59</v>
      </c>
      <c r="AA61" s="75" t="str">
        <f ca="1">VLOOKUP(C61,Группа!A:B,2,FALSE)</f>
        <v>Кепка</v>
      </c>
      <c r="AB61" s="97" t="str">
        <f ca="1">IFERROR(VLOOKUP(R61,Размеры!A:C,3,FALSE),"")</f>
        <v>59 L</v>
      </c>
      <c r="AC61" s="97" t="str">
        <f ca="1">VLOOKUP(I61,ЦветПолный!A:B,2,FALSE)</f>
        <v>08</v>
      </c>
      <c r="AD61" s="97" t="str">
        <f ca="1">IFERROR(VLOOKUP(R61,Размеры!A:D,4,FALSE),"")</f>
        <v>59</v>
      </c>
      <c r="AE61" s="97">
        <f ca="1">IF(LEFT(IFERROR(VLOOKUP(LOOKUP(2,1/SEARCH(B61,Товары!A:A),Товары!A:A),Товары!A:B,2,0),""),6)=MID(Z61,1,6),1,0)</f>
        <v>0</v>
      </c>
      <c r="AG61" s="97">
        <f ca="1">SUMIF(Группа!A:A,C61,Группа!C:C)</f>
        <v>1</v>
      </c>
      <c r="AH61" s="97">
        <f ca="1">SUMIF(Группа!B:B,AA61,Группа!C:C)</f>
        <v>1</v>
      </c>
      <c r="AI61" s="97">
        <f ca="1">SUMIF(Формы!A:A,D61,Формы!B:B)</f>
        <v>1</v>
      </c>
      <c r="AJ61" s="97">
        <f ca="1">SUMIF(Материал!A:A,K61,Материал!B:B)</f>
        <v>1</v>
      </c>
      <c r="AK61" s="97">
        <f ca="1">SUMIF(Размеры!A:A,R61,Размеры!E:E)</f>
        <v>1</v>
      </c>
      <c r="AL61" s="97">
        <f ca="1">SUMIF(Сезон!A:A,F61,Сезон!B:B)</f>
        <v>1</v>
      </c>
      <c r="AM61" s="97">
        <f ca="1">SUMIF(Состав!A:A,J61,Состав!B:B)</f>
        <v>0</v>
      </c>
      <c r="AN61" s="97">
        <f ca="1">VLOOKUP(I61,ЦветПолный!A:C,3,0)</f>
        <v>1</v>
      </c>
      <c r="AO61" s="97">
        <f ca="1">SUMIF(Цвет!A:A,Y61,Цвет!B:B)</f>
        <v>1</v>
      </c>
      <c r="AP61" s="97">
        <f ca="1">_xlfn.XLOOKUP(L61,Пол!A:A,Пол!B:B,0,0)</f>
        <v>1</v>
      </c>
      <c r="AQ61" s="97">
        <f ca="1">SUMIF(Марка!A:A,G61,Марка!B:B)</f>
        <v>1</v>
      </c>
      <c r="AR61" s="97">
        <f ca="1">SUMIF(Страна!A:A,M61,Страна!B:B)</f>
        <v>1</v>
      </c>
      <c r="AS61" s="64" t="e">
        <f ca="1">IF(VLOOKUP(V61,Товары!A:B,2,FALSE)=A61,"Есть в 1С","ERR")</f>
        <v>#N/A</v>
      </c>
      <c r="AT61" s="65" t="e">
        <f ca="1">IF(VLOOKUP(A61,Товары!B:B,1,FALSE)=A61,"Есть в 1С","ERR")</f>
        <v>#N/A</v>
      </c>
      <c r="AU61" s="96" t="e">
        <f ca="1">VLOOKUP(V61,Товары!A:B,2,FALSE)</f>
        <v>#N/A</v>
      </c>
      <c r="AV61" s="94" t="e">
        <f ca="1">VLOOKUP(V61,Товары!A:B,1,FALSE)</f>
        <v>#N/A</v>
      </c>
    </row>
    <row r="62" spans="1:48" x14ac:dyDescent="0.25">
      <c r="A62" s="110" t="str">
        <f t="shared" ca="1" si="4"/>
        <v>21-787-17</v>
      </c>
      <c r="B62" s="107" t="str">
        <f ca="1">_xlfn.LET(_xlpm.CAPS,0,_xlpm.Style,_xlfn.XLOOKUP($A62,Строчный!$A:$A,Строчный!B:B,"ERR",0),IF(_xlpm.CAPS=0,_xlpm.Style,LOWER(_xlpm.Style)))</f>
        <v>W2206F El Campo</v>
      </c>
      <c r="C62" s="81" t="str">
        <f ca="1">PROPER(_xlfn.XLOOKUP($A62,Строчный!$A:$A,Строчный!C:C,"ERR",0))</f>
        <v>Шляпы</v>
      </c>
      <c r="D62" s="81" t="str">
        <f ca="1">_xlfn.LET(_xlpm.DATA,(_xlfn.XLOOKUP($A62,Строчный!$A:$A,Строчный!D:D,"ERR",0)),UPPER(MID(_xlpm.DATA,1,1))&amp;LOWER(MID(_xlpm.DATA,2,LEN(_xlpm.DATA)-1)))</f>
        <v>Шляпа ковбойская</v>
      </c>
      <c r="E62" s="81" t="str">
        <f ca="1">PROPER(_xlfn.XLOOKUP($A62,Строчный!$A:$A,Строчный!E:E,"ERR",0))</f>
        <v>The Hollywood</v>
      </c>
      <c r="F62" s="81" t="str">
        <f ca="1">LOWER(_xlfn.XLOOKUP($A62,Строчный!$A:$A,Строчный!F:F,"ERR",0))</f>
        <v>всесезон</v>
      </c>
      <c r="G62" s="81" t="str">
        <f ca="1">UPPER(_xlfn.XLOOKUP($A62,Строчный!$A:$A,Строчный!G:G,"ERR",0))</f>
        <v>BAILEY</v>
      </c>
      <c r="H62" s="81" t="str">
        <f ca="1">LOWER(_xlfn.XLOOKUP($A62,Строчный!$A:$A,Строчный!H:H,"ERR",0))</f>
        <v>mist</v>
      </c>
      <c r="I62" s="81" t="str">
        <f ca="1">LOWER(_xlfn.XLOOKUP($A62,Строчный!$A:$A,Строчный!I:I,"ERR",0))</f>
        <v>белый</v>
      </c>
      <c r="J62" s="81" t="str">
        <f ca="1">SUBSTITUTE(LOWER(_xlfn.XLOOKUP($A62,Строчный!$A:$A,Строчный!J:J,"ERR",0)),"подклад","Подклад")</f>
        <v>100% шерсть / Подклад: 100% полиэстер</v>
      </c>
      <c r="K62" s="81" t="str">
        <f ca="1">LOWER(_xlfn.XLOOKUP($A62,Строчный!$A:$A,Строчный!K:K,"ERR",0))</f>
        <v>шерстяные</v>
      </c>
      <c r="L62" s="81" t="str">
        <f ca="1">PROPER(_xlfn.XLOOKUP($A62,Строчный!$A:$A,Строчный!L:L,"ERR",0))</f>
        <v>Унисекс</v>
      </c>
      <c r="M62" s="113" t="str">
        <f ca="1">PROPER(_xlfn.XLOOKUP($A62,Строчный!$A:$A,Строчный!M:M,"ERR",0))</f>
        <v>Соединенные Штаты</v>
      </c>
      <c r="N62" s="81" t="str">
        <f ca="1">UPPER(_xlfn.XLOOKUP($A62,Строчный!$A:$A,Строчный!O:O,"ERR",0))</f>
        <v/>
      </c>
      <c r="O62" s="107" t="str">
        <f ca="1">PROPER(_xlfn.XLOOKUP($A62,Строчный!$A:$A,Строчный!P:P,"ERR",0))</f>
        <v/>
      </c>
      <c r="P62" s="90">
        <f ca="1">VALUE(_xlfn.XLOOKUP($A62,Строчный!$A:$A,Строчный!N:N,"ERR",0))</f>
        <v>702.00000000000011</v>
      </c>
      <c r="Q62" s="89" t="str">
        <f ca="1">_xlfn.XLOOKUP($G62,Фабрика!A:A,Фабрика!B:B,"ERR",0)</f>
        <v>Bollman Headwear Europe Ltd; 2 Merchants drive, Caelisle, Cumbria CA3 0JW, United Kingdom</v>
      </c>
      <c r="R62" s="80" t="str">
        <f ca="1">_xlfn.XLOOKUP(RIGHT(Z62,2),Размеры!D:D,Размеры!A:A,"ERR",0)</f>
        <v>59</v>
      </c>
      <c r="S62" s="80">
        <f ca="1">VALUE(_xlfn.XLOOKUP($Z62,Строчный!$R:$R,Строчный!T:T,"ERR",0))</f>
        <v>1</v>
      </c>
      <c r="T62" s="14" t="s">
        <v>265</v>
      </c>
      <c r="U62" s="101" t="str">
        <f t="shared" ca="1" si="13"/>
        <v>Шляпа BAILEY арт. W2206F El Campo (белый)</v>
      </c>
      <c r="V62" s="100" t="str">
        <f t="shared" ca="1" si="14"/>
        <v>Шляпа BAILEY арт. W2206F El Campo (белый) {mist}</v>
      </c>
      <c r="W62" s="18" t="str">
        <f t="shared" ca="1" si="15"/>
        <v>белый</v>
      </c>
      <c r="X62" s="18" t="str">
        <f t="shared" ca="1" si="16"/>
        <v>белый</v>
      </c>
      <c r="Y62" s="117" t="str">
        <f ca="1">_xlfn.LET(_xlpm.FormColors,_xlfn.XLOOKUP(A62,Строчный!A:A,Строчный!Q:Q,"",0),IF(_xlpm.FormColors=0,IFERROR(MID(I62,FIND("-",I62)+1,LEN(I62)),IFERROR(MID(I62,1,FIND("/",I62)-2),I62)),_xlpm.FormColors))</f>
        <v>белый</v>
      </c>
      <c r="Z62" s="73" t="str">
        <f ca="1"/>
        <v>21-787-17-59</v>
      </c>
      <c r="AA62" s="75" t="str">
        <f ca="1">VLOOKUP(C62,Группа!A:B,2,FALSE)</f>
        <v>Шляпа</v>
      </c>
      <c r="AB62" s="97" t="str">
        <f ca="1">IFERROR(VLOOKUP(R62,Размеры!A:C,3,FALSE),"")</f>
        <v>59 L</v>
      </c>
      <c r="AC62" s="97" t="str">
        <f ca="1">VLOOKUP(I62,ЦветПолный!A:B,2,FALSE)</f>
        <v>17</v>
      </c>
      <c r="AD62" s="97" t="str">
        <f ca="1">IFERROR(VLOOKUP(R62,Размеры!A:D,4,FALSE),"")</f>
        <v>59</v>
      </c>
      <c r="AE62" s="97">
        <f ca="1">IF(LEFT(IFERROR(VLOOKUP(LOOKUP(2,1/SEARCH(B62,Товары!A:A),Товары!A:A),Товары!A:B,2,0),""),6)=MID(Z62,1,6),1,0)</f>
        <v>0</v>
      </c>
      <c r="AG62" s="97">
        <f ca="1">SUMIF(Группа!A:A,C62,Группа!C:C)</f>
        <v>1</v>
      </c>
      <c r="AH62" s="97">
        <f ca="1">SUMIF(Группа!B:B,AA62,Группа!C:C)</f>
        <v>1</v>
      </c>
      <c r="AI62" s="97">
        <f ca="1">SUMIF(Формы!A:A,D62,Формы!B:B)</f>
        <v>1</v>
      </c>
      <c r="AJ62" s="97">
        <f ca="1">SUMIF(Материал!A:A,K62,Материал!B:B)</f>
        <v>1</v>
      </c>
      <c r="AK62" s="97">
        <f ca="1">SUMIF(Размеры!A:A,R62,Размеры!E:E)</f>
        <v>1</v>
      </c>
      <c r="AL62" s="97">
        <f ca="1">SUMIF(Сезон!A:A,F62,Сезон!B:B)</f>
        <v>1</v>
      </c>
      <c r="AM62" s="97">
        <f ca="1">SUMIF(Состав!A:A,J62,Состав!B:B)</f>
        <v>0</v>
      </c>
      <c r="AN62" s="97">
        <f ca="1">VLOOKUP(I62,ЦветПолный!A:C,3,0)</f>
        <v>1</v>
      </c>
      <c r="AO62" s="97">
        <f ca="1">SUMIF(Цвет!A:A,Y62,Цвет!B:B)</f>
        <v>1</v>
      </c>
      <c r="AP62" s="97">
        <f ca="1">_xlfn.XLOOKUP(L62,Пол!A:A,Пол!B:B,0,0)</f>
        <v>1</v>
      </c>
      <c r="AQ62" s="97">
        <f ca="1">SUMIF(Марка!A:A,G62,Марка!B:B)</f>
        <v>1</v>
      </c>
      <c r="AR62" s="97">
        <f ca="1">SUMIF(Страна!A:A,M62,Страна!B:B)</f>
        <v>1</v>
      </c>
      <c r="AS62" s="64" t="e">
        <f ca="1">IF(VLOOKUP(V62,Товары!A:B,2,FALSE)=A62,"Есть в 1С","ERR")</f>
        <v>#N/A</v>
      </c>
      <c r="AT62" s="65" t="e">
        <f ca="1">IF(VLOOKUP(A62,Товары!B:B,1,FALSE)=A62,"Есть в 1С","ERR")</f>
        <v>#N/A</v>
      </c>
      <c r="AU62" s="96" t="e">
        <f ca="1">VLOOKUP(V62,Товары!A:B,2,FALSE)</f>
        <v>#N/A</v>
      </c>
      <c r="AV62" s="94" t="e">
        <f ca="1">VLOOKUP(V62,Товары!A:B,1,FALSE)</f>
        <v>#N/A</v>
      </c>
    </row>
    <row r="63" spans="1:48" x14ac:dyDescent="0.25">
      <c r="A63" s="110" t="str">
        <f t="shared" ca="1" si="4"/>
        <v>21-787-11</v>
      </c>
      <c r="B63" s="107" t="str">
        <f ca="1">_xlfn.LET(_xlpm.CAPS,0,_xlpm.Style,_xlfn.XLOOKUP($A63,Строчный!$A:$A,Строчный!B:B,"ERR",0),IF(_xlpm.CAPS=0,_xlpm.Style,LOWER(_xlpm.Style)))</f>
        <v>25553BH ABEL</v>
      </c>
      <c r="C63" s="81" t="str">
        <f ca="1">PROPER(_xlfn.XLOOKUP($A63,Строчный!$A:$A,Строчный!C:C,"ERR",0))</f>
        <v>Кепки</v>
      </c>
      <c r="D63" s="81" t="str">
        <f ca="1">_xlfn.LET(_xlpm.DATA,(_xlfn.XLOOKUP($A63,Строчный!$A:$A,Строчный!D:D,"ERR",0)),UPPER(MID(_xlpm.DATA,1,1))&amp;LOWER(MID(_xlpm.DATA,2,LEN(_xlpm.DATA)-1)))</f>
        <v>Кепка плоская</v>
      </c>
      <c r="E63" s="81" t="str">
        <f ca="1">PROPER(_xlfn.XLOOKUP($A63,Строчный!$A:$A,Строчный!E:E,"ERR",0))</f>
        <v>The Hollywood</v>
      </c>
      <c r="F63" s="81" t="str">
        <f ca="1">LOWER(_xlfn.XLOOKUP($A63,Строчный!$A:$A,Строчный!F:F,"ERR",0))</f>
        <v>всесезон</v>
      </c>
      <c r="G63" s="81" t="str">
        <f ca="1">UPPER(_xlfn.XLOOKUP($A63,Строчный!$A:$A,Строчный!G:G,"ERR",0))</f>
        <v>BAILEY</v>
      </c>
      <c r="H63" s="81" t="str">
        <f ca="1">LOWER(_xlfn.XLOOKUP($A63,Строчный!$A:$A,Строчный!H:H,"ERR",0))</f>
        <v>green</v>
      </c>
      <c r="I63" s="81" t="str">
        <f ca="1">LOWER(_xlfn.XLOOKUP($A63,Строчный!$A:$A,Строчный!I:I,"ERR",0))</f>
        <v>зеленый</v>
      </c>
      <c r="J63" s="81" t="str">
        <f ca="1">SUBSTITUTE(LOWER(_xlfn.XLOOKUP($A63,Строчный!$A:$A,Строчный!J:J,"ERR",0)),"подклад","Подклад")</f>
        <v>60% полиэстер - 40% шерсть / Подклад: 100% полиэстер</v>
      </c>
      <c r="K63" s="81" t="str">
        <f ca="1">LOWER(_xlfn.XLOOKUP($A63,Строчный!$A:$A,Строчный!K:K,"ERR",0))</f>
        <v>шерстяные</v>
      </c>
      <c r="L63" s="81" t="str">
        <f ca="1">PROPER(_xlfn.XLOOKUP($A63,Строчный!$A:$A,Строчный!L:L,"ERR",0))</f>
        <v>Унисекс</v>
      </c>
      <c r="M63" s="113" t="str">
        <f ca="1">PROPER(_xlfn.XLOOKUP($A63,Строчный!$A:$A,Строчный!M:M,"ERR",0))</f>
        <v>Китай</v>
      </c>
      <c r="N63" s="81" t="str">
        <f ca="1">UPPER(_xlfn.XLOOKUP($A63,Строчный!$A:$A,Строчный!O:O,"ERR",0))</f>
        <v/>
      </c>
      <c r="O63" s="107" t="str">
        <f ca="1">PROPER(_xlfn.XLOOKUP($A63,Строчный!$A:$A,Строчный!P:P,"ERR",0))</f>
        <v/>
      </c>
      <c r="P63" s="90">
        <f ca="1">VALUE(_xlfn.XLOOKUP($A63,Строчный!$A:$A,Строчный!N:N,"ERR",0))</f>
        <v>702.00000000000011</v>
      </c>
      <c r="Q63" s="89" t="str">
        <f ca="1">_xlfn.XLOOKUP($G63,Фабрика!A:A,Фабрика!B:B,"ERR",0)</f>
        <v>Bollman Headwear Europe Ltd; 2 Merchants drive, Caelisle, Cumbria CA3 0JW, United Kingdom</v>
      </c>
      <c r="R63" s="80" t="str">
        <f ca="1">_xlfn.XLOOKUP(RIGHT(Z63,2),Размеры!D:D,Размеры!A:A,"ERR",0)</f>
        <v>59</v>
      </c>
      <c r="S63" s="80">
        <f ca="1">VALUE(_xlfn.XLOOKUP($Z63,Строчный!$R:$R,Строчный!T:T,"ERR",0))</f>
        <v>1</v>
      </c>
      <c r="T63" s="14" t="s">
        <v>265</v>
      </c>
      <c r="U63" s="101" t="str">
        <f t="shared" ca="1" si="13"/>
        <v>Кепка BAILEY арт. 25553BH ABEL (зеленый)</v>
      </c>
      <c r="V63" s="100" t="str">
        <f t="shared" ca="1" si="14"/>
        <v>Кепка BAILEY арт. 25553BH ABEL (зеленый) {green}</v>
      </c>
      <c r="W63" s="18" t="str">
        <f t="shared" ca="1" si="15"/>
        <v>зеленый</v>
      </c>
      <c r="X63" s="18" t="str">
        <f t="shared" ca="1" si="16"/>
        <v>зеленый</v>
      </c>
      <c r="Y63" s="117" t="str">
        <f ca="1">_xlfn.LET(_xlpm.FormColors,_xlfn.XLOOKUP(A63,Строчный!A:A,Строчный!Q:Q,"",0),IF(_xlpm.FormColors=0,IFERROR(MID(I63,FIND("-",I63)+1,LEN(I63)),IFERROR(MID(I63,1,FIND("/",I63)-2),I63)),_xlpm.FormColors))</f>
        <v>зеленый</v>
      </c>
      <c r="Z63" s="73" t="str">
        <f ca="1"/>
        <v>21-787-11-59</v>
      </c>
      <c r="AA63" s="75" t="str">
        <f ca="1">VLOOKUP(C63,Группа!A:B,2,FALSE)</f>
        <v>Кепка</v>
      </c>
      <c r="AB63" s="97" t="str">
        <f ca="1">IFERROR(VLOOKUP(R63,Размеры!A:C,3,FALSE),"")</f>
        <v>59 L</v>
      </c>
      <c r="AC63" s="97" t="str">
        <f ca="1">VLOOKUP(I63,ЦветПолный!A:B,2,FALSE)</f>
        <v>11</v>
      </c>
      <c r="AD63" s="97" t="str">
        <f ca="1">IFERROR(VLOOKUP(R63,Размеры!A:D,4,FALSE),"")</f>
        <v>59</v>
      </c>
      <c r="AE63" s="97">
        <f ca="1">IF(LEFT(IFERROR(VLOOKUP(LOOKUP(2,1/SEARCH(B63,Товары!A:A),Товары!A:A),Товары!A:B,2,0),""),6)=MID(Z63,1,6),1,0)</f>
        <v>0</v>
      </c>
      <c r="AG63" s="97">
        <f ca="1">SUMIF(Группа!A:A,C63,Группа!C:C)</f>
        <v>1</v>
      </c>
      <c r="AH63" s="97">
        <f ca="1">SUMIF(Группа!B:B,AA63,Группа!C:C)</f>
        <v>1</v>
      </c>
      <c r="AI63" s="97">
        <f ca="1">SUMIF(Формы!A:A,D63,Формы!B:B)</f>
        <v>1</v>
      </c>
      <c r="AJ63" s="97">
        <f ca="1">SUMIF(Материал!A:A,K63,Материал!B:B)</f>
        <v>1</v>
      </c>
      <c r="AK63" s="97">
        <f ca="1">SUMIF(Размеры!A:A,R63,Размеры!E:E)</f>
        <v>1</v>
      </c>
      <c r="AL63" s="97">
        <f ca="1">SUMIF(Сезон!A:A,F63,Сезон!B:B)</f>
        <v>1</v>
      </c>
      <c r="AM63" s="97">
        <f ca="1">SUMIF(Состав!A:A,J63,Состав!B:B)</f>
        <v>0</v>
      </c>
      <c r="AN63" s="97">
        <f ca="1">VLOOKUP(I63,ЦветПолный!A:C,3,0)</f>
        <v>1</v>
      </c>
      <c r="AO63" s="97">
        <f ca="1">SUMIF(Цвет!A:A,Y63,Цвет!B:B)</f>
        <v>1</v>
      </c>
      <c r="AP63" s="97">
        <f ca="1">_xlfn.XLOOKUP(L63,Пол!A:A,Пол!B:B,0,0)</f>
        <v>1</v>
      </c>
      <c r="AQ63" s="97">
        <f ca="1">SUMIF(Марка!A:A,G63,Марка!B:B)</f>
        <v>1</v>
      </c>
      <c r="AR63" s="97">
        <f ca="1">SUMIF(Страна!A:A,M63,Страна!B:B)</f>
        <v>1</v>
      </c>
      <c r="AS63" s="64" t="e">
        <f ca="1">IF(VLOOKUP(V63,Товары!A:B,2,FALSE)=A63,"Есть в 1С","ERR")</f>
        <v>#N/A</v>
      </c>
      <c r="AT63" s="65" t="e">
        <f ca="1">IF(VLOOKUP(A63,Товары!B:B,1,FALSE)=A63,"Есть в 1С","ERR")</f>
        <v>#N/A</v>
      </c>
      <c r="AU63" s="96" t="e">
        <f ca="1">VLOOKUP(V63,Товары!A:B,2,FALSE)</f>
        <v>#N/A</v>
      </c>
      <c r="AV63" s="94" t="e">
        <f ca="1">VLOOKUP(V63,Товары!A:B,1,FALSE)</f>
        <v>#N/A</v>
      </c>
    </row>
    <row r="64" spans="1:48" x14ac:dyDescent="0.25">
      <c r="A64" s="110" t="str">
        <f t="shared" ca="1" si="4"/>
        <v>21-786-14</v>
      </c>
      <c r="B64" s="107" t="str">
        <f ca="1">_xlfn.LET(_xlpm.CAPS,0,_xlpm.Style,_xlfn.XLOOKUP($A64,Строчный!$A:$A,Строчный!B:B,"ERR",0),IF(_xlpm.CAPS=0,_xlpm.Style,LOWER(_xlpm.Style)))</f>
        <v>25552BH CLAUD</v>
      </c>
      <c r="C64" s="81" t="str">
        <f ca="1">PROPER(_xlfn.XLOOKUP($A64,Строчный!$A:$A,Строчный!C:C,"ERR",0))</f>
        <v>Кепки</v>
      </c>
      <c r="D64" s="81" t="str">
        <f ca="1">_xlfn.LET(_xlpm.DATA,(_xlfn.XLOOKUP($A64,Строчный!$A:$A,Строчный!D:D,"ERR",0)),UPPER(MID(_xlpm.DATA,1,1))&amp;LOWER(MID(_xlpm.DATA,2,LEN(_xlpm.DATA)-1)))</f>
        <v>Кепка восьмиклинка</v>
      </c>
      <c r="E64" s="81" t="str">
        <f ca="1">PROPER(_xlfn.XLOOKUP($A64,Строчный!$A:$A,Строчный!E:E,"ERR",0))</f>
        <v>The Hollywood</v>
      </c>
      <c r="F64" s="81" t="str">
        <f ca="1">LOWER(_xlfn.XLOOKUP($A64,Строчный!$A:$A,Строчный!F:F,"ERR",0))</f>
        <v>всесезон</v>
      </c>
      <c r="G64" s="81" t="str">
        <f ca="1">UPPER(_xlfn.XLOOKUP($A64,Строчный!$A:$A,Строчный!G:G,"ERR",0))</f>
        <v>BAILEY</v>
      </c>
      <c r="H64" s="81" t="str">
        <f ca="1">LOWER(_xlfn.XLOOKUP($A64,Строчный!$A:$A,Строчный!H:H,"ERR",0))</f>
        <v>bronze</v>
      </c>
      <c r="I64" s="81" t="str">
        <f ca="1">LOWER(_xlfn.XLOOKUP($A64,Строчный!$A:$A,Строчный!I:I,"ERR",0))</f>
        <v>бронзовый</v>
      </c>
      <c r="J64" s="81" t="str">
        <f ca="1">SUBSTITUTE(LOWER(_xlfn.XLOOKUP($A64,Строчный!$A:$A,Строчный!J:J,"ERR",0)),"подклад","Подклад")</f>
        <v>68% полиэстер - 32% вискоза / Подклад: 100% полиэстер</v>
      </c>
      <c r="K64" s="81" t="str">
        <f ca="1">LOWER(_xlfn.XLOOKUP($A64,Строчный!$A:$A,Строчный!K:K,"ERR",0))</f>
        <v/>
      </c>
      <c r="L64" s="81" t="str">
        <f ca="1">PROPER(_xlfn.XLOOKUP($A64,Строчный!$A:$A,Строчный!L:L,"ERR",0))</f>
        <v>Унисекс</v>
      </c>
      <c r="M64" s="113" t="str">
        <f ca="1">PROPER(_xlfn.XLOOKUP($A64,Строчный!$A:$A,Строчный!M:M,"ERR",0))</f>
        <v>Китай</v>
      </c>
      <c r="N64" s="81" t="str">
        <f ca="1">UPPER(_xlfn.XLOOKUP($A64,Строчный!$A:$A,Строчный!O:O,"ERR",0))</f>
        <v/>
      </c>
      <c r="O64" s="107" t="str">
        <f ca="1">PROPER(_xlfn.XLOOKUP($A64,Строчный!$A:$A,Строчный!P:P,"ERR",0))</f>
        <v/>
      </c>
      <c r="P64" s="90">
        <f ca="1">VALUE(_xlfn.XLOOKUP($A64,Строчный!$A:$A,Строчный!N:N,"ERR",0))</f>
        <v>702.00000000000011</v>
      </c>
      <c r="Q64" s="89" t="str">
        <f ca="1">_xlfn.XLOOKUP($G64,Фабрика!A:A,Фабрика!B:B,"ERR",0)</f>
        <v>Bollman Headwear Europe Ltd; 2 Merchants drive, Caelisle, Cumbria CA3 0JW, United Kingdom</v>
      </c>
      <c r="R64" s="80" t="str">
        <f ca="1">_xlfn.XLOOKUP(RIGHT(Z64,2),Размеры!D:D,Размеры!A:A,"ERR",0)</f>
        <v>59</v>
      </c>
      <c r="S64" s="80">
        <f ca="1">VALUE(_xlfn.XLOOKUP($Z64,Строчный!$R:$R,Строчный!T:T,"ERR",0))</f>
        <v>1</v>
      </c>
      <c r="T64" s="14" t="s">
        <v>265</v>
      </c>
      <c r="U64" s="101" t="str">
        <f t="shared" ca="1" si="13"/>
        <v>Кепка BAILEY арт. 25552BH CLAUD (бронзовый)</v>
      </c>
      <c r="V64" s="100" t="str">
        <f t="shared" ca="1" si="14"/>
        <v>Кепка BAILEY арт. 25552BH CLAUD (бронзовый) {bronze}</v>
      </c>
      <c r="W64" s="18" t="str">
        <f t="shared" ca="1" si="15"/>
        <v>бронзовый</v>
      </c>
      <c r="X64" s="18" t="str">
        <f t="shared" ca="1" si="16"/>
        <v>бронзовый</v>
      </c>
      <c r="Y64" s="117" t="str">
        <f ca="1">_xlfn.LET(_xlpm.FormColors,_xlfn.XLOOKUP(A64,Строчный!A:A,Строчный!Q:Q,"",0),IF(_xlpm.FormColors=0,IFERROR(MID(I64,FIND("-",I64)+1,LEN(I64)),IFERROR(MID(I64,1,FIND("/",I64)-2),I64)),_xlpm.FormColors))</f>
        <v>бронзовый</v>
      </c>
      <c r="Z64" s="73" t="str">
        <f ca="1"/>
        <v>21-786-14-59</v>
      </c>
      <c r="AA64" s="75" t="str">
        <f ca="1">VLOOKUP(C64,Группа!A:B,2,FALSE)</f>
        <v>Кепка</v>
      </c>
      <c r="AB64" s="97" t="str">
        <f ca="1">IFERROR(VLOOKUP(R64,Размеры!A:C,3,FALSE),"")</f>
        <v>59 L</v>
      </c>
      <c r="AC64" s="97" t="str">
        <f ca="1">VLOOKUP(I64,ЦветПолный!A:B,2,FALSE)</f>
        <v>14</v>
      </c>
      <c r="AD64" s="97" t="str">
        <f ca="1">IFERROR(VLOOKUP(R64,Размеры!A:D,4,FALSE),"")</f>
        <v>59</v>
      </c>
      <c r="AE64" s="97">
        <f ca="1">IF(LEFT(IFERROR(VLOOKUP(LOOKUP(2,1/SEARCH(B64,Товары!A:A),Товары!A:A),Товары!A:B,2,0),""),6)=MID(Z64,1,6),1,0)</f>
        <v>0</v>
      </c>
      <c r="AG64" s="97">
        <f ca="1">SUMIF(Группа!A:A,C64,Группа!C:C)</f>
        <v>1</v>
      </c>
      <c r="AH64" s="97">
        <f ca="1">SUMIF(Группа!B:B,AA64,Группа!C:C)</f>
        <v>1</v>
      </c>
      <c r="AI64" s="97">
        <f ca="1">SUMIF(Формы!A:A,D64,Формы!B:B)</f>
        <v>1</v>
      </c>
      <c r="AJ64" s="97">
        <f ca="1">SUMIF(Материал!A:A,K64,Материал!B:B)</f>
        <v>0</v>
      </c>
      <c r="AK64" s="97">
        <f ca="1">SUMIF(Размеры!A:A,R64,Размеры!E:E)</f>
        <v>1</v>
      </c>
      <c r="AL64" s="97">
        <f ca="1">SUMIF(Сезон!A:A,F64,Сезон!B:B)</f>
        <v>1</v>
      </c>
      <c r="AM64" s="97">
        <f ca="1">SUMIF(Состав!A:A,J64,Состав!B:B)</f>
        <v>0</v>
      </c>
      <c r="AN64" s="97">
        <f ca="1">VLOOKUP(I64,ЦветПолный!A:C,3,0)</f>
        <v>1</v>
      </c>
      <c r="AO64" s="97">
        <f ca="1">SUMIF(Цвет!A:A,Y64,Цвет!B:B)</f>
        <v>0</v>
      </c>
      <c r="AP64" s="97">
        <f ca="1">_xlfn.XLOOKUP(L64,Пол!A:A,Пол!B:B,0,0)</f>
        <v>1</v>
      </c>
      <c r="AQ64" s="97">
        <f ca="1">SUMIF(Марка!A:A,G64,Марка!B:B)</f>
        <v>1</v>
      </c>
      <c r="AR64" s="97">
        <f ca="1">SUMIF(Страна!A:A,M64,Страна!B:B)</f>
        <v>1</v>
      </c>
      <c r="AS64" s="64" t="e">
        <f ca="1">IF(VLOOKUP(V64,Товары!A:B,2,FALSE)=A64,"Есть в 1С","ERR")</f>
        <v>#N/A</v>
      </c>
      <c r="AT64" s="65" t="e">
        <f ca="1">IF(VLOOKUP(A64,Товары!B:B,1,FALSE)=A64,"Есть в 1С","ERR")</f>
        <v>#N/A</v>
      </c>
      <c r="AU64" s="96" t="e">
        <f ca="1">VLOOKUP(V64,Товары!A:B,2,FALSE)</f>
        <v>#N/A</v>
      </c>
      <c r="AV64" s="94" t="e">
        <f ca="1">VLOOKUP(V64,Товары!A:B,1,FALSE)</f>
        <v>#N/A</v>
      </c>
    </row>
    <row r="65" spans="1:48" x14ac:dyDescent="0.25">
      <c r="A65" s="110" t="str">
        <f t="shared" ca="1" si="4"/>
        <v>21-786-09</v>
      </c>
      <c r="B65" s="107" t="str">
        <f ca="1">_xlfn.LET(_xlpm.CAPS,0,_xlpm.Style,_xlfn.XLOOKUP($A65,Строчный!$A:$A,Строчный!B:B,"ERR",0),IF(_xlpm.CAPS=0,_xlpm.Style,LOWER(_xlpm.Style)))</f>
        <v>W2205E El Reno</v>
      </c>
      <c r="C65" s="81" t="str">
        <f ca="1">PROPER(_xlfn.XLOOKUP($A65,Строчный!$A:$A,Строчный!C:C,"ERR",0))</f>
        <v>Шляпы</v>
      </c>
      <c r="D65" s="81" t="str">
        <f ca="1">_xlfn.LET(_xlpm.DATA,(_xlfn.XLOOKUP($A65,Строчный!$A:$A,Строчный!D:D,"ERR",0)),UPPER(MID(_xlpm.DATA,1,1))&amp;LOWER(MID(_xlpm.DATA,2,LEN(_xlpm.DATA)-1)))</f>
        <v>Шляпа ковбойская</v>
      </c>
      <c r="E65" s="81" t="str">
        <f ca="1">PROPER(_xlfn.XLOOKUP($A65,Строчный!$A:$A,Строчный!E:E,"ERR",0))</f>
        <v>The Hollywood</v>
      </c>
      <c r="F65" s="81" t="str">
        <f ca="1">LOWER(_xlfn.XLOOKUP($A65,Строчный!$A:$A,Строчный!F:F,"ERR",0))</f>
        <v>всесезон</v>
      </c>
      <c r="G65" s="81" t="str">
        <f ca="1">UPPER(_xlfn.XLOOKUP($A65,Строчный!$A:$A,Строчный!G:G,"ERR",0))</f>
        <v>BAILEY</v>
      </c>
      <c r="H65" s="81" t="str">
        <f ca="1">LOWER(_xlfn.XLOOKUP($A65,Строчный!$A:$A,Строчный!H:H,"ERR",0))</f>
        <v>black</v>
      </c>
      <c r="I65" s="81" t="str">
        <f ca="1">LOWER(_xlfn.XLOOKUP($A65,Строчный!$A:$A,Строчный!I:I,"ERR",0))</f>
        <v>черный</v>
      </c>
      <c r="J65" s="81" t="str">
        <f ca="1">SUBSTITUTE(LOWER(_xlfn.XLOOKUP($A65,Строчный!$A:$A,Строчный!J:J,"ERR",0)),"подклад","Подклад")</f>
        <v>100% шерсть / Подклад: 100% полиэстер</v>
      </c>
      <c r="K65" s="81" t="str">
        <f ca="1">LOWER(_xlfn.XLOOKUP($A65,Строчный!$A:$A,Строчный!K:K,"ERR",0))</f>
        <v>шерстяные</v>
      </c>
      <c r="L65" s="81" t="str">
        <f ca="1">PROPER(_xlfn.XLOOKUP($A65,Строчный!$A:$A,Строчный!L:L,"ERR",0))</f>
        <v>Унисекс</v>
      </c>
      <c r="M65" s="113" t="str">
        <f ca="1">PROPER(_xlfn.XLOOKUP($A65,Строчный!$A:$A,Строчный!M:M,"ERR",0))</f>
        <v>Соединенные Штаты</v>
      </c>
      <c r="N65" s="81" t="str">
        <f ca="1">UPPER(_xlfn.XLOOKUP($A65,Строчный!$A:$A,Строчный!O:O,"ERR",0))</f>
        <v/>
      </c>
      <c r="O65" s="107" t="str">
        <f ca="1">PROPER(_xlfn.XLOOKUP($A65,Строчный!$A:$A,Строчный!P:P,"ERR",0))</f>
        <v/>
      </c>
      <c r="P65" s="90">
        <f ca="1">VALUE(_xlfn.XLOOKUP($A65,Строчный!$A:$A,Строчный!N:N,"ERR",0))</f>
        <v>702.00000000000011</v>
      </c>
      <c r="Q65" s="89" t="str">
        <f ca="1">_xlfn.XLOOKUP($G65,Фабрика!A:A,Фабрика!B:B,"ERR",0)</f>
        <v>Bollman Headwear Europe Ltd; 2 Merchants drive, Caelisle, Cumbria CA3 0JW, United Kingdom</v>
      </c>
      <c r="R65" s="80" t="str">
        <f ca="1">_xlfn.XLOOKUP(RIGHT(Z65,2),Размеры!D:D,Размеры!A:A,"ERR",0)</f>
        <v>57</v>
      </c>
      <c r="S65" s="80">
        <f ca="1">VALUE(_xlfn.XLOOKUP($Z65,Строчный!$R:$R,Строчный!T:T,"ERR",0))</f>
        <v>1</v>
      </c>
      <c r="T65" s="14" t="s">
        <v>265</v>
      </c>
      <c r="U65" s="101" t="str">
        <f t="shared" ca="1" si="13"/>
        <v>Шляпа BAILEY арт. W2205E El Reno (черный)</v>
      </c>
      <c r="V65" s="100" t="str">
        <f t="shared" ca="1" si="14"/>
        <v>Шляпа BAILEY арт. W2205E El Reno (черный) {black}</v>
      </c>
      <c r="W65" s="18" t="str">
        <f t="shared" ca="1" si="15"/>
        <v>черный</v>
      </c>
      <c r="X65" s="18" t="str">
        <f t="shared" ca="1" si="16"/>
        <v>черный</v>
      </c>
      <c r="Y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Z65" s="73" t="str">
        <f ca="1"/>
        <v>21-786-09-57</v>
      </c>
      <c r="AA65" s="75" t="str">
        <f ca="1">VLOOKUP(C65,Группа!A:B,2,FALSE)</f>
        <v>Шляпа</v>
      </c>
      <c r="AB65" s="97" t="str">
        <f ca="1">IFERROR(VLOOKUP(R65,Размеры!A:C,3,FALSE),"")</f>
        <v>57 M</v>
      </c>
      <c r="AC65" s="97" t="str">
        <f ca="1">VLOOKUP(I65,ЦветПолный!A:B,2,FALSE)</f>
        <v>09</v>
      </c>
      <c r="AD65" s="97" t="str">
        <f ca="1">IFERROR(VLOOKUP(R65,Размеры!A:D,4,FALSE),"")</f>
        <v>57</v>
      </c>
      <c r="AE65" s="97">
        <f ca="1">IF(LEFT(IFERROR(VLOOKUP(LOOKUP(2,1/SEARCH(B65,Товары!A:A),Товары!A:A),Товары!A:B,2,0),""),6)=MID(Z65,1,6),1,0)</f>
        <v>0</v>
      </c>
      <c r="AG65" s="97">
        <f ca="1">SUMIF(Группа!A:A,C65,Группа!C:C)</f>
        <v>1</v>
      </c>
      <c r="AH65" s="97">
        <f ca="1">SUMIF(Группа!B:B,AA65,Группа!C:C)</f>
        <v>1</v>
      </c>
      <c r="AI65" s="97">
        <f ca="1">SUMIF(Формы!A:A,D65,Формы!B:B)</f>
        <v>1</v>
      </c>
      <c r="AJ65" s="97">
        <f ca="1">SUMIF(Материал!A:A,K65,Материал!B:B)</f>
        <v>1</v>
      </c>
      <c r="AK65" s="97">
        <f ca="1">SUMIF(Размеры!A:A,R65,Размеры!E:E)</f>
        <v>1</v>
      </c>
      <c r="AL65" s="97">
        <f ca="1">SUMIF(Сезон!A:A,F65,Сезон!B:B)</f>
        <v>1</v>
      </c>
      <c r="AM65" s="97">
        <f ca="1">SUMIF(Состав!A:A,J65,Состав!B:B)</f>
        <v>0</v>
      </c>
      <c r="AN65" s="97">
        <f ca="1">VLOOKUP(I65,ЦветПолный!A:C,3,0)</f>
        <v>1</v>
      </c>
      <c r="AO65" s="97">
        <f ca="1">SUMIF(Цвет!A:A,Y65,Цвет!B:B)</f>
        <v>1</v>
      </c>
      <c r="AP65" s="97">
        <f ca="1">_xlfn.XLOOKUP(L65,Пол!A:A,Пол!B:B,0,0)</f>
        <v>1</v>
      </c>
      <c r="AQ65" s="97">
        <f ca="1">SUMIF(Марка!A:A,G65,Марка!B:B)</f>
        <v>1</v>
      </c>
      <c r="AR65" s="97">
        <f ca="1">SUMIF(Страна!A:A,M65,Страна!B:B)</f>
        <v>1</v>
      </c>
      <c r="AS65" s="64" t="e">
        <f ca="1">IF(VLOOKUP(V65,Товары!A:B,2,FALSE)=A65,"Есть в 1С","ERR")</f>
        <v>#N/A</v>
      </c>
      <c r="AT65" s="65" t="e">
        <f ca="1">IF(VLOOKUP(A65,Товары!B:B,1,FALSE)=A65,"Есть в 1С","ERR")</f>
        <v>#N/A</v>
      </c>
      <c r="AU65" s="96" t="e">
        <f ca="1">VLOOKUP(V65,Товары!A:B,2,FALSE)</f>
        <v>#N/A</v>
      </c>
      <c r="AV65" s="94" t="e">
        <f ca="1">VLOOKUP(V65,Товары!A:B,1,FALSE)</f>
        <v>#N/A</v>
      </c>
    </row>
    <row r="66" spans="1:48" x14ac:dyDescent="0.25">
      <c r="A66" s="110" t="str">
        <f t="shared" ca="1" si="4"/>
        <v>21-785-09</v>
      </c>
      <c r="B66" s="107" t="str">
        <f ca="1">_xlfn.LET(_xlpm.CAPS,0,_xlpm.Style,_xlfn.XLOOKUP($A66,Строчный!$A:$A,Строчный!B:B,"ERR",0),IF(_xlpm.CAPS=0,_xlpm.Style,LOWER(_xlpm.Style)))</f>
        <v>W2204D Elko</v>
      </c>
      <c r="C66" s="81" t="str">
        <f ca="1">PROPER(_xlfn.XLOOKUP($A66,Строчный!$A:$A,Строчный!C:C,"ERR",0))</f>
        <v>Шляпы</v>
      </c>
      <c r="D66" s="81" t="str">
        <f ca="1">_xlfn.LET(_xlpm.DATA,(_xlfn.XLOOKUP($A66,Строчный!$A:$A,Строчный!D:D,"ERR",0)),UPPER(MID(_xlpm.DATA,1,1))&amp;LOWER(MID(_xlpm.DATA,2,LEN(_xlpm.DATA)-1)))</f>
        <v>Шляпа ковбойская</v>
      </c>
      <c r="E66" s="81" t="str">
        <f ca="1">PROPER(_xlfn.XLOOKUP($A66,Строчный!$A:$A,Строчный!E:E,"ERR",0))</f>
        <v>The Hollywood</v>
      </c>
      <c r="F66" s="81" t="str">
        <f ca="1">LOWER(_xlfn.XLOOKUP($A66,Строчный!$A:$A,Строчный!F:F,"ERR",0))</f>
        <v>всесезон</v>
      </c>
      <c r="G66" s="81" t="str">
        <f ca="1">UPPER(_xlfn.XLOOKUP($A66,Строчный!$A:$A,Строчный!G:G,"ERR",0))</f>
        <v>BAILEY</v>
      </c>
      <c r="H66" s="81" t="str">
        <f ca="1">LOWER(_xlfn.XLOOKUP($A66,Строчный!$A:$A,Строчный!H:H,"ERR",0))</f>
        <v>black</v>
      </c>
      <c r="I66" s="81" t="str">
        <f ca="1">LOWER(_xlfn.XLOOKUP($A66,Строчный!$A:$A,Строчный!I:I,"ERR",0))</f>
        <v>черный</v>
      </c>
      <c r="J66" s="81" t="str">
        <f ca="1">SUBSTITUTE(LOWER(_xlfn.XLOOKUP($A66,Строчный!$A:$A,Строчный!J:J,"ERR",0)),"подклад","Подклад")</f>
        <v>100% шерсть / Подклад: 100% полиэстер</v>
      </c>
      <c r="K66" s="81" t="str">
        <f ca="1">LOWER(_xlfn.XLOOKUP($A66,Строчный!$A:$A,Строчный!K:K,"ERR",0))</f>
        <v>шерстяные</v>
      </c>
      <c r="L66" s="81" t="str">
        <f ca="1">PROPER(_xlfn.XLOOKUP($A66,Строчный!$A:$A,Строчный!L:L,"ERR",0))</f>
        <v>Унисекс</v>
      </c>
      <c r="M66" s="113" t="str">
        <f ca="1">PROPER(_xlfn.XLOOKUP($A66,Строчный!$A:$A,Строчный!M:M,"ERR",0))</f>
        <v>Соединенные Штаты</v>
      </c>
      <c r="N66" s="81" t="str">
        <f ca="1">UPPER(_xlfn.XLOOKUP($A66,Строчный!$A:$A,Строчный!O:O,"ERR",0))</f>
        <v/>
      </c>
      <c r="O66" s="107" t="str">
        <f ca="1">PROPER(_xlfn.XLOOKUP($A66,Строчный!$A:$A,Строчный!P:P,"ERR",0))</f>
        <v/>
      </c>
      <c r="P66" s="90">
        <f ca="1">VALUE(_xlfn.XLOOKUP($A66,Строчный!$A:$A,Строчный!N:N,"ERR",0))</f>
        <v>702.00000000000011</v>
      </c>
      <c r="Q66" s="89" t="str">
        <f ca="1">_xlfn.XLOOKUP($G66,Фабрика!A:A,Фабрика!B:B,"ERR",0)</f>
        <v>Bollman Headwear Europe Ltd; 2 Merchants drive, Caelisle, Cumbria CA3 0JW, United Kingdom</v>
      </c>
      <c r="R66" s="80" t="str">
        <f ca="1">_xlfn.XLOOKUP(RIGHT(Z66,2),Размеры!D:D,Размеры!A:A,"ERR",0)</f>
        <v>59</v>
      </c>
      <c r="S66" s="80">
        <f ca="1">VALUE(_xlfn.XLOOKUP($Z66,Строчный!$R:$R,Строчный!T:T,"ERR",0))</f>
        <v>1</v>
      </c>
      <c r="T66" s="14" t="s">
        <v>265</v>
      </c>
      <c r="U66" s="101" t="str">
        <f t="shared" ca="1" si="13"/>
        <v>Шляпа BAILEY арт. W2204D Elko (черный)</v>
      </c>
      <c r="V66" s="100" t="str">
        <f t="shared" ca="1" si="14"/>
        <v>Шляпа BAILEY арт. W2204D Elko (черный) {black}</v>
      </c>
      <c r="W66" s="18" t="str">
        <f t="shared" ca="1" si="15"/>
        <v>черный</v>
      </c>
      <c r="X66" s="18" t="str">
        <f t="shared" ca="1" si="16"/>
        <v>черный</v>
      </c>
      <c r="Y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Z66" s="73" t="str">
        <f ca="1"/>
        <v>21-785-09-59</v>
      </c>
      <c r="AA66" s="75" t="str">
        <f ca="1">VLOOKUP(C66,Группа!A:B,2,FALSE)</f>
        <v>Шляпа</v>
      </c>
      <c r="AB66" s="97" t="str">
        <f ca="1">IFERROR(VLOOKUP(R66,Размеры!A:C,3,FALSE),"")</f>
        <v>59 L</v>
      </c>
      <c r="AC66" s="97" t="str">
        <f ca="1">VLOOKUP(I66,ЦветПолный!A:B,2,FALSE)</f>
        <v>09</v>
      </c>
      <c r="AD66" s="97" t="str">
        <f ca="1">IFERROR(VLOOKUP(R66,Размеры!A:D,4,FALSE),"")</f>
        <v>59</v>
      </c>
      <c r="AE66" s="97">
        <f ca="1">IF(LEFT(IFERROR(VLOOKUP(LOOKUP(2,1/SEARCH(B66,Товары!A:A),Товары!A:A),Товары!A:B,2,0),""),6)=MID(Z66,1,6),1,0)</f>
        <v>0</v>
      </c>
      <c r="AG66" s="97">
        <f ca="1">SUMIF(Группа!A:A,C66,Группа!C:C)</f>
        <v>1</v>
      </c>
      <c r="AH66" s="97">
        <f ca="1">SUMIF(Группа!B:B,AA66,Группа!C:C)</f>
        <v>1</v>
      </c>
      <c r="AI66" s="97">
        <f ca="1">SUMIF(Формы!A:A,D66,Формы!B:B)</f>
        <v>1</v>
      </c>
      <c r="AJ66" s="97">
        <f ca="1">SUMIF(Материал!A:A,K66,Материал!B:B)</f>
        <v>1</v>
      </c>
      <c r="AK66" s="97">
        <f ca="1">SUMIF(Размеры!A:A,R66,Размеры!E:E)</f>
        <v>1</v>
      </c>
      <c r="AL66" s="97">
        <f ca="1">SUMIF(Сезон!A:A,F66,Сезон!B:B)</f>
        <v>1</v>
      </c>
      <c r="AM66" s="97">
        <f ca="1">SUMIF(Состав!A:A,J66,Состав!B:B)</f>
        <v>0</v>
      </c>
      <c r="AN66" s="97">
        <f ca="1">VLOOKUP(I66,ЦветПолный!A:C,3,0)</f>
        <v>1</v>
      </c>
      <c r="AO66" s="97">
        <f ca="1">SUMIF(Цвет!A:A,Y66,Цвет!B:B)</f>
        <v>1</v>
      </c>
      <c r="AP66" s="97">
        <f ca="1">_xlfn.XLOOKUP(L66,Пол!A:A,Пол!B:B,0,0)</f>
        <v>1</v>
      </c>
      <c r="AQ66" s="97">
        <f ca="1">SUMIF(Марка!A:A,G66,Марка!B:B)</f>
        <v>1</v>
      </c>
      <c r="AR66" s="97">
        <f ca="1">SUMIF(Страна!A:A,M66,Страна!B:B)</f>
        <v>1</v>
      </c>
      <c r="AS66" s="64" t="e">
        <f ca="1">IF(VLOOKUP(V66,Товары!A:B,2,FALSE)=A66,"Есть в 1С","ERR")</f>
        <v>#N/A</v>
      </c>
      <c r="AT66" s="65" t="e">
        <f ca="1">IF(VLOOKUP(A66,Товары!B:B,1,FALSE)=A66,"Есть в 1С","ERR")</f>
        <v>#N/A</v>
      </c>
      <c r="AU66" s="96" t="e">
        <f ca="1">VLOOKUP(V66,Товары!A:B,2,FALSE)</f>
        <v>#N/A</v>
      </c>
      <c r="AV66" s="94" t="e">
        <f ca="1">VLOOKUP(V66,Товары!A:B,1,FALSE)</f>
        <v>#N/A</v>
      </c>
    </row>
    <row r="67" spans="1:48" x14ac:dyDescent="0.25">
      <c r="A67" s="110" t="str">
        <f t="shared" ref="A67:A130" ca="1" si="17">LEFT(Z67,9)</f>
        <v>21-785-08</v>
      </c>
      <c r="B67" s="107" t="str">
        <f ca="1">_xlfn.LET(_xlpm.CAPS,0,_xlpm.Style,_xlfn.XLOOKUP($A67,Строчный!$A:$A,Строчный!B:B,"ERR",0),IF(_xlpm.CAPS=0,_xlpm.Style,LOWER(_xlpm.Style)))</f>
        <v>25551BH FOSTER</v>
      </c>
      <c r="C67" s="81" t="str">
        <f ca="1">PROPER(_xlfn.XLOOKUP($A67,Строчный!$A:$A,Строчный!C:C,"ERR",0))</f>
        <v>Кепки</v>
      </c>
      <c r="D67" s="81" t="str">
        <f ca="1">_xlfn.LET(_xlpm.DATA,(_xlfn.XLOOKUP($A67,Строчный!$A:$A,Строчный!D:D,"ERR",0)),UPPER(MID(_xlpm.DATA,1,1))&amp;LOWER(MID(_xlpm.DATA,2,LEN(_xlpm.DATA)-1)))</f>
        <v>Кепка с ушками</v>
      </c>
      <c r="E67" s="81" t="str">
        <f ca="1">PROPER(_xlfn.XLOOKUP($A67,Строчный!$A:$A,Строчный!E:E,"ERR",0))</f>
        <v>The Hollywood</v>
      </c>
      <c r="F67" s="81" t="str">
        <f ca="1">LOWER(_xlfn.XLOOKUP($A67,Строчный!$A:$A,Строчный!F:F,"ERR",0))</f>
        <v>всесезон</v>
      </c>
      <c r="G67" s="81" t="str">
        <f ca="1">UPPER(_xlfn.XLOOKUP($A67,Строчный!$A:$A,Строчный!G:G,"ERR",0))</f>
        <v>BAILEY</v>
      </c>
      <c r="H67" s="81" t="str">
        <f ca="1">LOWER(_xlfn.XLOOKUP($A67,Строчный!$A:$A,Строчный!H:H,"ERR",0))</f>
        <v>avion</v>
      </c>
      <c r="I67" s="81" t="str">
        <f ca="1">LOWER(_xlfn.XLOOKUP($A67,Строчный!$A:$A,Строчный!I:I,"ERR",0))</f>
        <v>серый</v>
      </c>
      <c r="J67" s="81" t="str">
        <f ca="1">SUBSTITUTE(LOWER(_xlfn.XLOOKUP($A67,Строчный!$A:$A,Строчный!J:J,"ERR",0)),"подклад","Подклад")</f>
        <v>50% шерсть - 50% полиэстер / Подклад: 100% полиэстер</v>
      </c>
      <c r="K67" s="81" t="str">
        <f ca="1">LOWER(_xlfn.XLOOKUP($A67,Строчный!$A:$A,Строчный!K:K,"ERR",0))</f>
        <v>шерстяные</v>
      </c>
      <c r="L67" s="81" t="str">
        <f ca="1">PROPER(_xlfn.XLOOKUP($A67,Строчный!$A:$A,Строчный!L:L,"ERR",0))</f>
        <v>Унисекс</v>
      </c>
      <c r="M67" s="113" t="str">
        <f ca="1">PROPER(_xlfn.XLOOKUP($A67,Строчный!$A:$A,Строчный!M:M,"ERR",0))</f>
        <v>Китай</v>
      </c>
      <c r="N67" s="81" t="str">
        <f ca="1">UPPER(_xlfn.XLOOKUP($A67,Строчный!$A:$A,Строчный!O:O,"ERR",0))</f>
        <v/>
      </c>
      <c r="O67" s="107" t="str">
        <f ca="1">PROPER(_xlfn.XLOOKUP($A67,Строчный!$A:$A,Строчный!P:P,"ERR",0))</f>
        <v/>
      </c>
      <c r="P67" s="90">
        <f ca="1">VALUE(_xlfn.XLOOKUP($A67,Строчный!$A:$A,Строчный!N:N,"ERR",0))</f>
        <v>702.00000000000011</v>
      </c>
      <c r="Q67" s="89" t="str">
        <f ca="1">_xlfn.XLOOKUP($G67,Фабрика!A:A,Фабрика!B:B,"ERR",0)</f>
        <v>Bollman Headwear Europe Ltd; 2 Merchants drive, Caelisle, Cumbria CA3 0JW, United Kingdom</v>
      </c>
      <c r="R67" s="80" t="str">
        <f ca="1">_xlfn.XLOOKUP(RIGHT(Z67,2),Размеры!D:D,Размеры!A:A,"ERR",0)</f>
        <v>59</v>
      </c>
      <c r="S67" s="80">
        <f ca="1">VALUE(_xlfn.XLOOKUP($Z67,Строчный!$R:$R,Строчный!T:T,"ERR",0))</f>
        <v>1</v>
      </c>
      <c r="T67" s="14" t="s">
        <v>265</v>
      </c>
      <c r="U67" s="101" t="str">
        <f t="shared" ca="1" si="13"/>
        <v>Кепка BAILEY арт. 25551BH FOSTER (серый)</v>
      </c>
      <c r="V67" s="100" t="str">
        <f t="shared" ca="1" si="14"/>
        <v>Кепка BAILEY арт. 25551BH FOSTER (серый) {avion}</v>
      </c>
      <c r="W67" s="18" t="str">
        <f t="shared" ca="1" si="15"/>
        <v>серый</v>
      </c>
      <c r="X67" s="18" t="str">
        <f t="shared" ca="1" si="16"/>
        <v>серый</v>
      </c>
      <c r="Y67" s="117" t="str">
        <f ca="1">_xlfn.LET(_xlpm.FormColors,_xlfn.XLOOKUP(A67,Строчный!A:A,Строчный!Q:Q,"",0),IF(_xlpm.FormColors=0,IFERROR(MID(I67,FIND("-",I67)+1,LEN(I67)),IFERROR(MID(I67,1,FIND("/",I67)-2),I67)),_xlpm.FormColors))</f>
        <v>серый</v>
      </c>
      <c r="Z67" s="73" t="str">
        <f ca="1"/>
        <v>21-785-08-59</v>
      </c>
      <c r="AA67" s="75" t="str">
        <f ca="1">VLOOKUP(C67,Группа!A:B,2,FALSE)</f>
        <v>Кепка</v>
      </c>
      <c r="AB67" s="97" t="str">
        <f ca="1">IFERROR(VLOOKUP(R67,Размеры!A:C,3,FALSE),"")</f>
        <v>59 L</v>
      </c>
      <c r="AC67" s="97" t="str">
        <f ca="1">VLOOKUP(I67,ЦветПолный!A:B,2,FALSE)</f>
        <v>08</v>
      </c>
      <c r="AD67" s="97" t="str">
        <f ca="1">IFERROR(VLOOKUP(R67,Размеры!A:D,4,FALSE),"")</f>
        <v>59</v>
      </c>
      <c r="AE67" s="97">
        <f ca="1">IF(LEFT(IFERROR(VLOOKUP(LOOKUP(2,1/SEARCH(B67,Товары!A:A),Товары!A:A),Товары!A:B,2,0),""),6)=MID(Z67,1,6),1,0)</f>
        <v>0</v>
      </c>
      <c r="AG67" s="97">
        <f ca="1">SUMIF(Группа!A:A,C67,Группа!C:C)</f>
        <v>1</v>
      </c>
      <c r="AH67" s="97">
        <f ca="1">SUMIF(Группа!B:B,AA67,Группа!C:C)</f>
        <v>1</v>
      </c>
      <c r="AI67" s="97">
        <f ca="1">SUMIF(Формы!A:A,D67,Формы!B:B)</f>
        <v>1</v>
      </c>
      <c r="AJ67" s="97">
        <f ca="1">SUMIF(Материал!A:A,K67,Материал!B:B)</f>
        <v>1</v>
      </c>
      <c r="AK67" s="97">
        <f ca="1">SUMIF(Размеры!A:A,R67,Размеры!E:E)</f>
        <v>1</v>
      </c>
      <c r="AL67" s="97">
        <f ca="1">SUMIF(Сезон!A:A,F67,Сезон!B:B)</f>
        <v>1</v>
      </c>
      <c r="AM67" s="97">
        <f ca="1">SUMIF(Состав!A:A,J67,Состав!B:B)</f>
        <v>0</v>
      </c>
      <c r="AN67" s="97">
        <f ca="1">VLOOKUP(I67,ЦветПолный!A:C,3,0)</f>
        <v>1</v>
      </c>
      <c r="AO67" s="97">
        <f ca="1">SUMIF(Цвет!A:A,Y67,Цвет!B:B)</f>
        <v>1</v>
      </c>
      <c r="AP67" s="97">
        <f ca="1">_xlfn.XLOOKUP(L67,Пол!A:A,Пол!B:B,0,0)</f>
        <v>1</v>
      </c>
      <c r="AQ67" s="97">
        <f ca="1">SUMIF(Марка!A:A,G67,Марка!B:B)</f>
        <v>1</v>
      </c>
      <c r="AR67" s="97">
        <f ca="1">SUMIF(Страна!A:A,M67,Страна!B:B)</f>
        <v>1</v>
      </c>
      <c r="AS67" s="64" t="e">
        <f ca="1">IF(VLOOKUP(V67,Товары!A:B,2,FALSE)=A67,"Есть в 1С","ERR")</f>
        <v>#N/A</v>
      </c>
      <c r="AT67" s="65" t="e">
        <f ca="1">IF(VLOOKUP(A67,Товары!B:B,1,FALSE)=A67,"Есть в 1С","ERR")</f>
        <v>#N/A</v>
      </c>
      <c r="AU67" s="96" t="e">
        <f ca="1">VLOOKUP(V67,Товары!A:B,2,FALSE)</f>
        <v>#N/A</v>
      </c>
      <c r="AV67" s="94" t="e">
        <f ca="1">VLOOKUP(V67,Товары!A:B,1,FALSE)</f>
        <v>#N/A</v>
      </c>
    </row>
    <row r="68" spans="1:48" x14ac:dyDescent="0.25">
      <c r="A68" s="110" t="str">
        <f t="shared" ca="1" si="17"/>
        <v>21-784-08</v>
      </c>
      <c r="B68" s="107" t="str">
        <f ca="1">_xlfn.LET(_xlpm.CAPS,0,_xlpm.Style,_xlfn.XLOOKUP($A68,Строчный!$A:$A,Строчный!B:B,"ERR",0),IF(_xlpm.CAPS=0,_xlpm.Style,LOWER(_xlpm.Style)))</f>
        <v>W2203C Escobares</v>
      </c>
      <c r="C68" s="81" t="str">
        <f ca="1">PROPER(_xlfn.XLOOKUP($A68,Строчный!$A:$A,Строчный!C:C,"ERR",0))</f>
        <v>Шляпы</v>
      </c>
      <c r="D68" s="81" t="str">
        <f ca="1">_xlfn.LET(_xlpm.DATA,(_xlfn.XLOOKUP($A68,Строчный!$A:$A,Строчный!D:D,"ERR",0)),UPPER(MID(_xlpm.DATA,1,1))&amp;LOWER(MID(_xlpm.DATA,2,LEN(_xlpm.DATA)-1)))</f>
        <v>Шляпа ковбойская</v>
      </c>
      <c r="E68" s="81" t="str">
        <f ca="1">PROPER(_xlfn.XLOOKUP($A68,Строчный!$A:$A,Строчный!E:E,"ERR",0))</f>
        <v>The Hollywood</v>
      </c>
      <c r="F68" s="81" t="str">
        <f ca="1">LOWER(_xlfn.XLOOKUP($A68,Строчный!$A:$A,Строчный!F:F,"ERR",0))</f>
        <v>всесезон</v>
      </c>
      <c r="G68" s="81" t="str">
        <f ca="1">UPPER(_xlfn.XLOOKUP($A68,Строчный!$A:$A,Строчный!G:G,"ERR",0))</f>
        <v>BAILEY</v>
      </c>
      <c r="H68" s="81" t="str">
        <f ca="1">LOWER(_xlfn.XLOOKUP($A68,Строчный!$A:$A,Строчный!H:H,"ERR",0))</f>
        <v>cobble</v>
      </c>
      <c r="I68" s="81" t="str">
        <f ca="1">LOWER(_xlfn.XLOOKUP($A68,Строчный!$A:$A,Строчный!I:I,"ERR",0))</f>
        <v>серый</v>
      </c>
      <c r="J68" s="81" t="str">
        <f ca="1">SUBSTITUTE(LOWER(_xlfn.XLOOKUP($A68,Строчный!$A:$A,Строчный!J:J,"ERR",0)),"подклад","Подклад")</f>
        <v>100% шерсть / Подклад: 100% полиэстер</v>
      </c>
      <c r="K68" s="81" t="str">
        <f ca="1">LOWER(_xlfn.XLOOKUP($A68,Строчный!$A:$A,Строчный!K:K,"ERR",0))</f>
        <v>шерстяные</v>
      </c>
      <c r="L68" s="81" t="str">
        <f ca="1">PROPER(_xlfn.XLOOKUP($A68,Строчный!$A:$A,Строчный!L:L,"ERR",0))</f>
        <v>Унисекс</v>
      </c>
      <c r="M68" s="113" t="str">
        <f ca="1">PROPER(_xlfn.XLOOKUP($A68,Строчный!$A:$A,Строчный!M:M,"ERR",0))</f>
        <v>Соединенные Штаты</v>
      </c>
      <c r="N68" s="81" t="str">
        <f ca="1">UPPER(_xlfn.XLOOKUP($A68,Строчный!$A:$A,Строчный!O:O,"ERR",0))</f>
        <v/>
      </c>
      <c r="O68" s="107" t="str">
        <f ca="1">PROPER(_xlfn.XLOOKUP($A68,Строчный!$A:$A,Строчный!P:P,"ERR",0))</f>
        <v/>
      </c>
      <c r="P68" s="90">
        <f ca="1">VALUE(_xlfn.XLOOKUP($A68,Строчный!$A:$A,Строчный!N:N,"ERR",0))</f>
        <v>702.00000000000011</v>
      </c>
      <c r="Q68" s="89" t="str">
        <f ca="1">_xlfn.XLOOKUP($G68,Фабрика!A:A,Фабрика!B:B,"ERR",0)</f>
        <v>Bollman Headwear Europe Ltd; 2 Merchants drive, Caelisle, Cumbria CA3 0JW, United Kingdom</v>
      </c>
      <c r="R68" s="80" t="str">
        <f ca="1">_xlfn.XLOOKUP(RIGHT(Z68,2),Размеры!D:D,Размеры!A:A,"ERR",0)</f>
        <v>57</v>
      </c>
      <c r="S68" s="80">
        <f ca="1">VALUE(_xlfn.XLOOKUP($Z68,Строчный!$R:$R,Строчный!T:T,"ERR",0))</f>
        <v>1</v>
      </c>
      <c r="T68" s="14" t="s">
        <v>265</v>
      </c>
      <c r="U68" s="101" t="str">
        <f t="shared" ca="1" si="13"/>
        <v>Шляпа BAILEY арт. W2203C Escobares (серый)</v>
      </c>
      <c r="V68" s="100" t="str">
        <f t="shared" ca="1" si="14"/>
        <v>Шляпа BAILEY арт. W2203C Escobares (серый) {cobble}</v>
      </c>
      <c r="W68" s="18" t="str">
        <f t="shared" ca="1" si="15"/>
        <v>серый</v>
      </c>
      <c r="X68" s="18" t="str">
        <f t="shared" ca="1" si="16"/>
        <v>серый</v>
      </c>
      <c r="Y68" s="117" t="str">
        <f ca="1">_xlfn.LET(_xlpm.FormColors,_xlfn.XLOOKUP(A68,Строчный!A:A,Строчный!Q:Q,"",0),IF(_xlpm.FormColors=0,IFERROR(MID(I68,FIND("-",I68)+1,LEN(I68)),IFERROR(MID(I68,1,FIND("/",I68)-2),I68)),_xlpm.FormColors))</f>
        <v>серый</v>
      </c>
      <c r="Z68" s="73" t="str">
        <f ca="1"/>
        <v>21-784-08-57</v>
      </c>
      <c r="AA68" s="75" t="str">
        <f ca="1">VLOOKUP(C68,Группа!A:B,2,FALSE)</f>
        <v>Шляпа</v>
      </c>
      <c r="AB68" s="97" t="str">
        <f ca="1">IFERROR(VLOOKUP(R68,Размеры!A:C,3,FALSE),"")</f>
        <v>57 M</v>
      </c>
      <c r="AC68" s="97" t="str">
        <f ca="1">VLOOKUP(I68,ЦветПолный!A:B,2,FALSE)</f>
        <v>08</v>
      </c>
      <c r="AD68" s="97" t="str">
        <f ca="1">IFERROR(VLOOKUP(R68,Размеры!A:D,4,FALSE),"")</f>
        <v>57</v>
      </c>
      <c r="AE68" s="97">
        <f ca="1">IF(LEFT(IFERROR(VLOOKUP(LOOKUP(2,1/SEARCH(B68,Товары!A:A),Товары!A:A),Товары!A:B,2,0),""),6)=MID(Z68,1,6),1,0)</f>
        <v>0</v>
      </c>
      <c r="AG68" s="97">
        <f ca="1">SUMIF(Группа!A:A,C68,Группа!C:C)</f>
        <v>1</v>
      </c>
      <c r="AH68" s="97">
        <f ca="1">SUMIF(Группа!B:B,AA68,Группа!C:C)</f>
        <v>1</v>
      </c>
      <c r="AI68" s="97">
        <f ca="1">SUMIF(Формы!A:A,D68,Формы!B:B)</f>
        <v>1</v>
      </c>
      <c r="AJ68" s="97">
        <f ca="1">SUMIF(Материал!A:A,K68,Материал!B:B)</f>
        <v>1</v>
      </c>
      <c r="AK68" s="97">
        <f ca="1">SUMIF(Размеры!A:A,R68,Размеры!E:E)</f>
        <v>1</v>
      </c>
      <c r="AL68" s="97">
        <f ca="1">SUMIF(Сезон!A:A,F68,Сезон!B:B)</f>
        <v>1</v>
      </c>
      <c r="AM68" s="97">
        <f ca="1">SUMIF(Состав!A:A,J68,Состав!B:B)</f>
        <v>0</v>
      </c>
      <c r="AN68" s="97">
        <f ca="1">VLOOKUP(I68,ЦветПолный!A:C,3,0)</f>
        <v>1</v>
      </c>
      <c r="AO68" s="97">
        <f ca="1">SUMIF(Цвет!A:A,Y68,Цвет!B:B)</f>
        <v>1</v>
      </c>
      <c r="AP68" s="97">
        <f ca="1">_xlfn.XLOOKUP(L68,Пол!A:A,Пол!B:B,0,0)</f>
        <v>1</v>
      </c>
      <c r="AQ68" s="97">
        <f ca="1">SUMIF(Марка!A:A,G68,Марка!B:B)</f>
        <v>1</v>
      </c>
      <c r="AR68" s="97">
        <f ca="1">SUMIF(Страна!A:A,M68,Страна!B:B)</f>
        <v>1</v>
      </c>
      <c r="AS68" s="64" t="e">
        <f ca="1">IF(VLOOKUP(V68,Товары!A:B,2,FALSE)=A68,"Есть в 1С","ERR")</f>
        <v>#N/A</v>
      </c>
      <c r="AT68" s="65" t="e">
        <f ca="1">IF(VLOOKUP(A68,Товары!B:B,1,FALSE)=A68,"Есть в 1С","ERR")</f>
        <v>#N/A</v>
      </c>
      <c r="AU68" s="96" t="e">
        <f ca="1">VLOOKUP(V68,Товары!A:B,2,FALSE)</f>
        <v>#N/A</v>
      </c>
      <c r="AV68" s="94" t="e">
        <f ca="1">VLOOKUP(V68,Товары!A:B,1,FALSE)</f>
        <v>#N/A</v>
      </c>
    </row>
    <row r="69" spans="1:48" x14ac:dyDescent="0.25">
      <c r="A69" s="110" t="str">
        <f t="shared" ca="1" si="17"/>
        <v>21-784-06</v>
      </c>
      <c r="B69" s="107" t="str">
        <f ca="1">_xlfn.LET(_xlpm.CAPS,0,_xlpm.Style,_xlfn.XLOOKUP($A69,Строчный!$A:$A,Строчный!B:B,"ERR",0),IF(_xlpm.CAPS=0,_xlpm.Style,LOWER(_xlpm.Style)))</f>
        <v>25550BH DERIN</v>
      </c>
      <c r="C69" s="81" t="str">
        <f ca="1">PROPER(_xlfn.XLOOKUP($A69,Строчный!$A:$A,Строчный!C:C,"ERR",0))</f>
        <v>Кепки</v>
      </c>
      <c r="D69" s="81" t="str">
        <f ca="1">_xlfn.LET(_xlpm.DATA,(_xlfn.XLOOKUP($A69,Строчный!$A:$A,Строчный!D:D,"ERR",0)),UPPER(MID(_xlpm.DATA,1,1))&amp;LOWER(MID(_xlpm.DATA,2,LEN(_xlpm.DATA)-1)))</f>
        <v>Кепка уточка</v>
      </c>
      <c r="E69" s="81" t="str">
        <f ca="1">PROPER(_xlfn.XLOOKUP($A69,Строчный!$A:$A,Строчный!E:E,"ERR",0))</f>
        <v>The Hollywood</v>
      </c>
      <c r="F69" s="81" t="str">
        <f ca="1">LOWER(_xlfn.XLOOKUP($A69,Строчный!$A:$A,Строчный!F:F,"ERR",0))</f>
        <v>всесезон</v>
      </c>
      <c r="G69" s="81" t="str">
        <f ca="1">UPPER(_xlfn.XLOOKUP($A69,Строчный!$A:$A,Строчный!G:G,"ERR",0))</f>
        <v>BAILEY</v>
      </c>
      <c r="H69" s="81" t="str">
        <f ca="1">LOWER(_xlfn.XLOOKUP($A69,Строчный!$A:$A,Строчный!H:H,"ERR",0))</f>
        <v>blue</v>
      </c>
      <c r="I69" s="81" t="str">
        <f ca="1">LOWER(_xlfn.XLOOKUP($A69,Строчный!$A:$A,Строчный!I:I,"ERR",0))</f>
        <v>синий</v>
      </c>
      <c r="J69" s="81" t="str">
        <f ca="1">SUBSTITUTE(LOWER(_xlfn.XLOOKUP($A69,Строчный!$A:$A,Строчный!J:J,"ERR",0)),"подклад","Подклад")</f>
        <v>68% полиэстер - 32% вискоза / Подклад: 100% полиэстер</v>
      </c>
      <c r="K69" s="81" t="str">
        <f ca="1">LOWER(_xlfn.XLOOKUP($A69,Строчный!$A:$A,Строчный!K:K,"ERR",0))</f>
        <v/>
      </c>
      <c r="L69" s="81" t="str">
        <f ca="1">PROPER(_xlfn.XLOOKUP($A69,Строчный!$A:$A,Строчный!L:L,"ERR",0))</f>
        <v>Унисекс</v>
      </c>
      <c r="M69" s="113" t="str">
        <f ca="1">PROPER(_xlfn.XLOOKUP($A69,Строчный!$A:$A,Строчный!M:M,"ERR",0))</f>
        <v>Китай</v>
      </c>
      <c r="N69" s="81" t="str">
        <f ca="1">UPPER(_xlfn.XLOOKUP($A69,Строчный!$A:$A,Строчный!O:O,"ERR",0))</f>
        <v/>
      </c>
      <c r="O69" s="107" t="str">
        <f ca="1">PROPER(_xlfn.XLOOKUP($A69,Строчный!$A:$A,Строчный!P:P,"ERR",0))</f>
        <v/>
      </c>
      <c r="P69" s="90">
        <f ca="1">VALUE(_xlfn.XLOOKUP($A69,Строчный!$A:$A,Строчный!N:N,"ERR",0))</f>
        <v>702.00000000000011</v>
      </c>
      <c r="Q69" s="89" t="str">
        <f ca="1">_xlfn.XLOOKUP($G69,Фабрика!A:A,Фабрика!B:B,"ERR",0)</f>
        <v>Bollman Headwear Europe Ltd; 2 Merchants drive, Caelisle, Cumbria CA3 0JW, United Kingdom</v>
      </c>
      <c r="R69" s="80" t="str">
        <f ca="1">_xlfn.XLOOKUP(RIGHT(Z69,2),Размеры!D:D,Размеры!A:A,"ERR",0)</f>
        <v>59</v>
      </c>
      <c r="S69" s="80">
        <f ca="1">VALUE(_xlfn.XLOOKUP($Z69,Строчный!$R:$R,Строчный!T:T,"ERR",0))</f>
        <v>1</v>
      </c>
      <c r="T69" s="14" t="s">
        <v>265</v>
      </c>
      <c r="U69" s="101" t="str">
        <f t="shared" ca="1" si="13"/>
        <v>Кепка BAILEY арт. 25550BH DERIN (синий)</v>
      </c>
      <c r="V69" s="100" t="str">
        <f t="shared" ca="1" si="14"/>
        <v>Кепка BAILEY арт. 25550BH DERIN (синий) {blue}</v>
      </c>
      <c r="W69" s="18" t="str">
        <f t="shared" ca="1" si="15"/>
        <v>синий</v>
      </c>
      <c r="X69" s="18" t="str">
        <f t="shared" ca="1" si="16"/>
        <v>синий</v>
      </c>
      <c r="Y69" s="117" t="str">
        <f ca="1">_xlfn.LET(_xlpm.FormColors,_xlfn.XLOOKUP(A69,Строчный!A:A,Строчный!Q:Q,"",0),IF(_xlpm.FormColors=0,IFERROR(MID(I69,FIND("-",I69)+1,LEN(I69)),IFERROR(MID(I69,1,FIND("/",I69)-2),I69)),_xlpm.FormColors))</f>
        <v>синий</v>
      </c>
      <c r="Z69" s="73" t="str">
        <f ca="1"/>
        <v>21-784-06-59</v>
      </c>
      <c r="AA69" s="75" t="str">
        <f ca="1">VLOOKUP(C69,Группа!A:B,2,FALSE)</f>
        <v>Кепка</v>
      </c>
      <c r="AB69" s="97" t="str">
        <f ca="1">IFERROR(VLOOKUP(R69,Размеры!A:C,3,FALSE),"")</f>
        <v>59 L</v>
      </c>
      <c r="AC69" s="97" t="str">
        <f ca="1">VLOOKUP(I69,ЦветПолный!A:B,2,FALSE)</f>
        <v>06</v>
      </c>
      <c r="AD69" s="97" t="str">
        <f ca="1">IFERROR(VLOOKUP(R69,Размеры!A:D,4,FALSE),"")</f>
        <v>59</v>
      </c>
      <c r="AE69" s="97">
        <f ca="1">IF(LEFT(IFERROR(VLOOKUP(LOOKUP(2,1/SEARCH(B69,Товары!A:A),Товары!A:A),Товары!A:B,2,0),""),6)=MID(Z69,1,6),1,0)</f>
        <v>0</v>
      </c>
      <c r="AG69" s="97">
        <f ca="1">SUMIF(Группа!A:A,C69,Группа!C:C)</f>
        <v>1</v>
      </c>
      <c r="AH69" s="97">
        <f ca="1">SUMIF(Группа!B:B,AA69,Группа!C:C)</f>
        <v>1</v>
      </c>
      <c r="AI69" s="97">
        <f ca="1">SUMIF(Формы!A:A,D69,Формы!B:B)</f>
        <v>1</v>
      </c>
      <c r="AJ69" s="97">
        <f ca="1">SUMIF(Материал!A:A,K69,Материал!B:B)</f>
        <v>0</v>
      </c>
      <c r="AK69" s="97">
        <f ca="1">SUMIF(Размеры!A:A,R69,Размеры!E:E)</f>
        <v>1</v>
      </c>
      <c r="AL69" s="97">
        <f ca="1">SUMIF(Сезон!A:A,F69,Сезон!B:B)</f>
        <v>1</v>
      </c>
      <c r="AM69" s="97">
        <f ca="1">SUMIF(Состав!A:A,J69,Состав!B:B)</f>
        <v>0</v>
      </c>
      <c r="AN69" s="97">
        <f ca="1">VLOOKUP(I69,ЦветПолный!A:C,3,0)</f>
        <v>1</v>
      </c>
      <c r="AO69" s="97">
        <f ca="1">SUMIF(Цвет!A:A,Y69,Цвет!B:B)</f>
        <v>1</v>
      </c>
      <c r="AP69" s="97">
        <f ca="1">_xlfn.XLOOKUP(L69,Пол!A:A,Пол!B:B,0,0)</f>
        <v>1</v>
      </c>
      <c r="AQ69" s="97">
        <f ca="1">SUMIF(Марка!A:A,G69,Марка!B:B)</f>
        <v>1</v>
      </c>
      <c r="AR69" s="97">
        <f ca="1">SUMIF(Страна!A:A,M69,Страна!B:B)</f>
        <v>1</v>
      </c>
      <c r="AS69" s="64" t="e">
        <f ca="1">IF(VLOOKUP(V69,Товары!A:B,2,FALSE)=A69,"Есть в 1С","ERR")</f>
        <v>#N/A</v>
      </c>
      <c r="AT69" s="65" t="e">
        <f ca="1">IF(VLOOKUP(A69,Товары!B:B,1,FALSE)=A69,"Есть в 1С","ERR")</f>
        <v>#N/A</v>
      </c>
      <c r="AU69" s="96" t="e">
        <f ca="1">VLOOKUP(V69,Товары!A:B,2,FALSE)</f>
        <v>#N/A</v>
      </c>
      <c r="AV69" s="94" t="e">
        <f ca="1">VLOOKUP(V69,Товары!A:B,1,FALSE)</f>
        <v>#N/A</v>
      </c>
    </row>
    <row r="70" spans="1:48" x14ac:dyDescent="0.25">
      <c r="A70" s="110" t="str">
        <f t="shared" ca="1" si="17"/>
        <v>21-783-14</v>
      </c>
      <c r="B70" s="107" t="str">
        <f ca="1">_xlfn.LET(_xlpm.CAPS,0,_xlpm.Style,_xlfn.XLOOKUP($A70,Строчный!$A:$A,Строчный!B:B,"ERR",0),IF(_xlpm.CAPS=0,_xlpm.Style,LOWER(_xlpm.Style)))</f>
        <v>W2202B Evant</v>
      </c>
      <c r="C70" s="81" t="str">
        <f ca="1">PROPER(_xlfn.XLOOKUP($A70,Строчный!$A:$A,Строчный!C:C,"ERR",0))</f>
        <v>Шляпы</v>
      </c>
      <c r="D70" s="81" t="str">
        <f ca="1">_xlfn.LET(_xlpm.DATA,(_xlfn.XLOOKUP($A70,Строчный!$A:$A,Строчный!D:D,"ERR",0)),UPPER(MID(_xlpm.DATA,1,1))&amp;LOWER(MID(_xlpm.DATA,2,LEN(_xlpm.DATA)-1)))</f>
        <v>Шляпа ковбойская</v>
      </c>
      <c r="E70" s="81" t="str">
        <f ca="1">PROPER(_xlfn.XLOOKUP($A70,Строчный!$A:$A,Строчный!E:E,"ERR",0))</f>
        <v>The Hollywood</v>
      </c>
      <c r="F70" s="81" t="str">
        <f ca="1">LOWER(_xlfn.XLOOKUP($A70,Строчный!$A:$A,Строчный!F:F,"ERR",0))</f>
        <v>всесезон</v>
      </c>
      <c r="G70" s="81" t="str">
        <f ca="1">UPPER(_xlfn.XLOOKUP($A70,Строчный!$A:$A,Строчный!G:G,"ERR",0))</f>
        <v>BAILEY</v>
      </c>
      <c r="H70" s="81" t="str">
        <f ca="1">LOWER(_xlfn.XLOOKUP($A70,Строчный!$A:$A,Строчный!H:H,"ERR",0))</f>
        <v>pecan</v>
      </c>
      <c r="I70" s="81" t="str">
        <f ca="1">LOWER(_xlfn.XLOOKUP($A70,Строчный!$A:$A,Строчный!I:I,"ERR",0))</f>
        <v>коричневый</v>
      </c>
      <c r="J70" s="81" t="str">
        <f ca="1">SUBSTITUTE(LOWER(_xlfn.XLOOKUP($A70,Строчный!$A:$A,Строчный!J:J,"ERR",0)),"подклад","Подклад")</f>
        <v>100% шерсть / Подклад: 100% полиэстер</v>
      </c>
      <c r="K70" s="81" t="str">
        <f ca="1">LOWER(_xlfn.XLOOKUP($A70,Строчный!$A:$A,Строчный!K:K,"ERR",0))</f>
        <v>шерстяные</v>
      </c>
      <c r="L70" s="81" t="str">
        <f ca="1">PROPER(_xlfn.XLOOKUP($A70,Строчный!$A:$A,Строчный!L:L,"ERR",0))</f>
        <v>Унисекс</v>
      </c>
      <c r="M70" s="113" t="str">
        <f ca="1">PROPER(_xlfn.XLOOKUP($A70,Строчный!$A:$A,Строчный!M:M,"ERR",0))</f>
        <v>Соединенные Штаты</v>
      </c>
      <c r="N70" s="81" t="str">
        <f ca="1">UPPER(_xlfn.XLOOKUP($A70,Строчный!$A:$A,Строчный!O:O,"ERR",0))</f>
        <v/>
      </c>
      <c r="O70" s="107" t="str">
        <f ca="1">PROPER(_xlfn.XLOOKUP($A70,Строчный!$A:$A,Строчный!P:P,"ERR",0))</f>
        <v/>
      </c>
      <c r="P70" s="90">
        <f ca="1">VALUE(_xlfn.XLOOKUP($A70,Строчный!$A:$A,Строчный!N:N,"ERR",0))</f>
        <v>702.00000000000011</v>
      </c>
      <c r="Q70" s="89" t="str">
        <f ca="1">_xlfn.XLOOKUP($G70,Фабрика!A:A,Фабрика!B:B,"ERR",0)</f>
        <v>Bollman Headwear Europe Ltd; 2 Merchants drive, Caelisle, Cumbria CA3 0JW, United Kingdom</v>
      </c>
      <c r="R70" s="80" t="str">
        <f ca="1">_xlfn.XLOOKUP(RIGHT(Z70,2),Размеры!D:D,Размеры!A:A,"ERR",0)</f>
        <v>62</v>
      </c>
      <c r="S70" s="80">
        <f ca="1">VALUE(_xlfn.XLOOKUP($Z70,Строчный!$R:$R,Строчный!T:T,"ERR",0))</f>
        <v>1</v>
      </c>
      <c r="T70" s="14" t="s">
        <v>265</v>
      </c>
      <c r="U70" s="101" t="str">
        <f t="shared" ca="1" si="13"/>
        <v>Шляпа BAILEY арт. W2202B Evant (коричневый)</v>
      </c>
      <c r="V70" s="100" t="str">
        <f t="shared" ca="1" si="14"/>
        <v>Шляпа BAILEY арт. W2202B Evant (коричневый) {pecan}</v>
      </c>
      <c r="W70" s="18" t="str">
        <f t="shared" ca="1" si="15"/>
        <v>коричневый</v>
      </c>
      <c r="X70" s="18" t="str">
        <f t="shared" ca="1" si="16"/>
        <v>коричневый</v>
      </c>
      <c r="Y70" s="117" t="str">
        <f ca="1">_xlfn.LET(_xlpm.FormColors,_xlfn.XLOOKUP(A70,Строчный!A:A,Строчный!Q:Q,"",0),IF(_xlpm.FormColors=0,IFERROR(MID(I70,FIND("-",I70)+1,LEN(I70)),IFERROR(MID(I70,1,FIND("/",I70)-2),I70)),_xlpm.FormColors))</f>
        <v>коричневый</v>
      </c>
      <c r="Z70" s="73" t="str">
        <f ca="1"/>
        <v>21-783-14-62</v>
      </c>
      <c r="AA70" s="75" t="str">
        <f ca="1">VLOOKUP(C70,Группа!A:B,2,FALSE)</f>
        <v>Шляпа</v>
      </c>
      <c r="AB70" s="97" t="str">
        <f ca="1">IFERROR(VLOOKUP(R70,Размеры!A:C,3,FALSE),"")</f>
        <v>62 XL/XXL</v>
      </c>
      <c r="AC70" s="97" t="str">
        <f ca="1">VLOOKUP(I70,ЦветПолный!A:B,2,FALSE)</f>
        <v>14</v>
      </c>
      <c r="AD70" s="97" t="str">
        <f ca="1">IFERROR(VLOOKUP(R70,Размеры!A:D,4,FALSE),"")</f>
        <v>62</v>
      </c>
      <c r="AE70" s="97">
        <f ca="1">IF(LEFT(IFERROR(VLOOKUP(LOOKUP(2,1/SEARCH(B70,Товары!A:A),Товары!A:A),Товары!A:B,2,0),""),6)=MID(Z70,1,6),1,0)</f>
        <v>0</v>
      </c>
      <c r="AG70" s="97">
        <f ca="1">SUMIF(Группа!A:A,C70,Группа!C:C)</f>
        <v>1</v>
      </c>
      <c r="AH70" s="97">
        <f ca="1">SUMIF(Группа!B:B,AA70,Группа!C:C)</f>
        <v>1</v>
      </c>
      <c r="AI70" s="97">
        <f ca="1">SUMIF(Формы!A:A,D70,Формы!B:B)</f>
        <v>1</v>
      </c>
      <c r="AJ70" s="97">
        <f ca="1">SUMIF(Материал!A:A,K70,Материал!B:B)</f>
        <v>1</v>
      </c>
      <c r="AK70" s="97">
        <f ca="1">SUMIF(Размеры!A:A,R70,Размеры!E:E)</f>
        <v>1</v>
      </c>
      <c r="AL70" s="97">
        <f ca="1">SUMIF(Сезон!A:A,F70,Сезон!B:B)</f>
        <v>1</v>
      </c>
      <c r="AM70" s="97">
        <f ca="1">SUMIF(Состав!A:A,J70,Состав!B:B)</f>
        <v>0</v>
      </c>
      <c r="AN70" s="97">
        <f ca="1">VLOOKUP(I70,ЦветПолный!A:C,3,0)</f>
        <v>1</v>
      </c>
      <c r="AO70" s="97">
        <f ca="1">SUMIF(Цвет!A:A,Y70,Цвет!B:B)</f>
        <v>1</v>
      </c>
      <c r="AP70" s="97">
        <f ca="1">_xlfn.XLOOKUP(L70,Пол!A:A,Пол!B:B,0,0)</f>
        <v>1</v>
      </c>
      <c r="AQ70" s="97">
        <f ca="1">SUMIF(Марка!A:A,G70,Марка!B:B)</f>
        <v>1</v>
      </c>
      <c r="AR70" s="97">
        <f ca="1">SUMIF(Страна!A:A,M70,Страна!B:B)</f>
        <v>1</v>
      </c>
      <c r="AS70" s="64" t="e">
        <f ca="1">IF(VLOOKUP(V70,Товары!A:B,2,FALSE)=A70,"Есть в 1С","ERR")</f>
        <v>#N/A</v>
      </c>
      <c r="AT70" s="65" t="e">
        <f ca="1">IF(VLOOKUP(A70,Товары!B:B,1,FALSE)=A70,"Есть в 1С","ERR")</f>
        <v>#N/A</v>
      </c>
      <c r="AU70" s="96" t="e">
        <f ca="1">VLOOKUP(V70,Товары!A:B,2,FALSE)</f>
        <v>#N/A</v>
      </c>
      <c r="AV70" s="94" t="e">
        <f ca="1">VLOOKUP(V70,Товары!A:B,1,FALSE)</f>
        <v>#N/A</v>
      </c>
    </row>
    <row r="71" spans="1:48" x14ac:dyDescent="0.25">
      <c r="A71" s="110" t="str">
        <f t="shared" ca="1" si="17"/>
        <v>21-783-09</v>
      </c>
      <c r="B71" s="107" t="str">
        <f ca="1">_xlfn.LET(_xlpm.CAPS,0,_xlpm.Style,_xlfn.XLOOKUP($A71,Строчный!$A:$A,Строчный!B:B,"ERR",0),IF(_xlpm.CAPS=0,_xlpm.Style,LOWER(_xlpm.Style)))</f>
        <v>25150BH REFFELL</v>
      </c>
      <c r="C71" s="81" t="str">
        <f ca="1">PROPER(_xlfn.XLOOKUP($A71,Строчный!$A:$A,Строчный!C:C,"ERR",0))</f>
        <v>Кепки</v>
      </c>
      <c r="D71" s="81" t="str">
        <f ca="1">_xlfn.LET(_xlpm.DATA,(_xlfn.XLOOKUP($A71,Строчный!$A:$A,Строчный!D:D,"ERR",0)),UPPER(MID(_xlpm.DATA,1,1))&amp;LOWER(MID(_xlpm.DATA,2,LEN(_xlpm.DATA)-1)))</f>
        <v>Кепка уточка</v>
      </c>
      <c r="E71" s="81" t="str">
        <f ca="1">PROPER(_xlfn.XLOOKUP($A71,Строчный!$A:$A,Строчный!E:E,"ERR",0))</f>
        <v>The Hollywood</v>
      </c>
      <c r="F71" s="81" t="str">
        <f ca="1">LOWER(_xlfn.XLOOKUP($A71,Строчный!$A:$A,Строчный!F:F,"ERR",0))</f>
        <v>всесезон</v>
      </c>
      <c r="G71" s="81" t="str">
        <f ca="1">UPPER(_xlfn.XLOOKUP($A71,Строчный!$A:$A,Строчный!G:G,"ERR",0))</f>
        <v>BAILEY</v>
      </c>
      <c r="H71" s="81" t="str">
        <f ca="1">LOWER(_xlfn.XLOOKUP($A71,Строчный!$A:$A,Строчный!H:H,"ERR",0))</f>
        <v>black</v>
      </c>
      <c r="I71" s="81" t="str">
        <f ca="1">LOWER(_xlfn.XLOOKUP($A71,Строчный!$A:$A,Строчный!I:I,"ERR",0))</f>
        <v>черный</v>
      </c>
      <c r="J71" s="81" t="str">
        <f ca="1">SUBSTITUTE(LOWER(_xlfn.XLOOKUP($A71,Строчный!$A:$A,Строчный!J:J,"ERR",0)),"подклад","Подклад")</f>
        <v>100% кожа / Подклад: 100% полиэстер</v>
      </c>
      <c r="K71" s="81" t="str">
        <f ca="1">LOWER(_xlfn.XLOOKUP($A71,Строчный!$A:$A,Строчный!K:K,"ERR",0))</f>
        <v>кожаные</v>
      </c>
      <c r="L71" s="81" t="str">
        <f ca="1">PROPER(_xlfn.XLOOKUP($A71,Строчный!$A:$A,Строчный!L:L,"ERR",0))</f>
        <v>Унисекс</v>
      </c>
      <c r="M71" s="113" t="str">
        <f ca="1">PROPER(_xlfn.XLOOKUP($A71,Строчный!$A:$A,Строчный!M:M,"ERR",0))</f>
        <v>Китай</v>
      </c>
      <c r="N71" s="81" t="str">
        <f ca="1">UPPER(_xlfn.XLOOKUP($A71,Строчный!$A:$A,Строчный!O:O,"ERR",0))</f>
        <v/>
      </c>
      <c r="O71" s="107" t="str">
        <f ca="1">PROPER(_xlfn.XLOOKUP($A71,Строчный!$A:$A,Строчный!P:P,"ERR",0))</f>
        <v/>
      </c>
      <c r="P71" s="90">
        <f ca="1">VALUE(_xlfn.XLOOKUP($A71,Строчный!$A:$A,Строчный!N:N,"ERR",0))</f>
        <v>702.00000000000011</v>
      </c>
      <c r="Q71" s="89" t="str">
        <f ca="1">_xlfn.XLOOKUP($G71,Фабрика!A:A,Фабрика!B:B,"ERR",0)</f>
        <v>Bollman Headwear Europe Ltd; 2 Merchants drive, Caelisle, Cumbria CA3 0JW, United Kingdom</v>
      </c>
      <c r="R71" s="80" t="str">
        <f ca="1">_xlfn.XLOOKUP(RIGHT(Z71,2),Размеры!D:D,Размеры!A:A,"ERR",0)</f>
        <v>59</v>
      </c>
      <c r="S71" s="80">
        <f ca="1">VALUE(_xlfn.XLOOKUP($Z71,Строчный!$R:$R,Строчный!T:T,"ERR",0))</f>
        <v>1</v>
      </c>
      <c r="T71" s="14" t="s">
        <v>265</v>
      </c>
      <c r="U71" s="101" t="str">
        <f t="shared" ca="1" si="13"/>
        <v>Кепка BAILEY арт. 25150BH REFFELL (черный)</v>
      </c>
      <c r="V71" s="100" t="str">
        <f t="shared" ca="1" si="14"/>
        <v>Кепка BAILEY арт. 25150BH REFFELL (черный) {black}</v>
      </c>
      <c r="W71" s="18" t="str">
        <f t="shared" ca="1" si="15"/>
        <v>черный</v>
      </c>
      <c r="X71" s="18" t="str">
        <f t="shared" ca="1" si="16"/>
        <v>черный</v>
      </c>
      <c r="Y71" s="117" t="str">
        <f ca="1">_xlfn.LET(_xlpm.FormColors,_xlfn.XLOOKUP(A71,Строчный!A:A,Строчный!Q:Q,"",0),IF(_xlpm.FormColors=0,IFERROR(MID(I71,FIND("-",I71)+1,LEN(I71)),IFERROR(MID(I71,1,FIND("/",I71)-2),I71)),_xlpm.FormColors))</f>
        <v>черный</v>
      </c>
      <c r="Z71" s="73" t="str">
        <f ca="1"/>
        <v>21-783-09-59</v>
      </c>
      <c r="AA71" s="75" t="str">
        <f ca="1">VLOOKUP(C71,Группа!A:B,2,FALSE)</f>
        <v>Кепка</v>
      </c>
      <c r="AB71" s="97" t="str">
        <f ca="1">IFERROR(VLOOKUP(R71,Размеры!A:C,3,FALSE),"")</f>
        <v>59 L</v>
      </c>
      <c r="AC71" s="97" t="str">
        <f ca="1">VLOOKUP(I71,ЦветПолный!A:B,2,FALSE)</f>
        <v>09</v>
      </c>
      <c r="AD71" s="97" t="str">
        <f ca="1">IFERROR(VLOOKUP(R71,Размеры!A:D,4,FALSE),"")</f>
        <v>59</v>
      </c>
      <c r="AE71" s="97">
        <f ca="1">IF(LEFT(IFERROR(VLOOKUP(LOOKUP(2,1/SEARCH(B71,Товары!A:A),Товары!A:A),Товары!A:B,2,0),""),6)=MID(Z71,1,6),1,0)</f>
        <v>0</v>
      </c>
      <c r="AG71" s="97">
        <f ca="1">SUMIF(Группа!A:A,C71,Группа!C:C)</f>
        <v>1</v>
      </c>
      <c r="AH71" s="97">
        <f ca="1">SUMIF(Группа!B:B,AA71,Группа!C:C)</f>
        <v>1</v>
      </c>
      <c r="AI71" s="97">
        <f ca="1">SUMIF(Формы!A:A,D71,Формы!B:B)</f>
        <v>1</v>
      </c>
      <c r="AJ71" s="97">
        <f ca="1">SUMIF(Материал!A:A,K71,Материал!B:B)</f>
        <v>1</v>
      </c>
      <c r="AK71" s="97">
        <f ca="1">SUMIF(Размеры!A:A,R71,Размеры!E:E)</f>
        <v>1</v>
      </c>
      <c r="AL71" s="97">
        <f ca="1">SUMIF(Сезон!A:A,F71,Сезон!B:B)</f>
        <v>1</v>
      </c>
      <c r="AM71" s="97">
        <f ca="1">SUMIF(Состав!A:A,J71,Состав!B:B)</f>
        <v>0</v>
      </c>
      <c r="AN71" s="97">
        <f ca="1">VLOOKUP(I71,ЦветПолный!A:C,3,0)</f>
        <v>1</v>
      </c>
      <c r="AO71" s="97">
        <f ca="1">SUMIF(Цвет!A:A,Y71,Цвет!B:B)</f>
        <v>1</v>
      </c>
      <c r="AP71" s="97">
        <f ca="1">_xlfn.XLOOKUP(L71,Пол!A:A,Пол!B:B,0,0)</f>
        <v>1</v>
      </c>
      <c r="AQ71" s="97">
        <f ca="1">SUMIF(Марка!A:A,G71,Марка!B:B)</f>
        <v>1</v>
      </c>
      <c r="AR71" s="97">
        <f ca="1">SUMIF(Страна!A:A,M71,Страна!B:B)</f>
        <v>1</v>
      </c>
      <c r="AS71" s="64" t="e">
        <f ca="1">IF(VLOOKUP(V71,Товары!A:B,2,FALSE)=A71,"Есть в 1С","ERR")</f>
        <v>#N/A</v>
      </c>
      <c r="AT71" s="65" t="e">
        <f ca="1">IF(VLOOKUP(A71,Товары!B:B,1,FALSE)=A71,"Есть в 1С","ERR")</f>
        <v>#N/A</v>
      </c>
      <c r="AU71" s="96" t="e">
        <f ca="1">VLOOKUP(V71,Товары!A:B,2,FALSE)</f>
        <v>#N/A</v>
      </c>
      <c r="AV71" s="94" t="e">
        <f ca="1">VLOOKUP(V71,Товары!A:B,1,FALSE)</f>
        <v>#N/A</v>
      </c>
    </row>
    <row r="72" spans="1:48" x14ac:dyDescent="0.25">
      <c r="A72" s="110" t="str">
        <f t="shared" ca="1" si="17"/>
        <v>21-782-26</v>
      </c>
      <c r="B72" s="107" t="str">
        <f ca="1">_xlfn.LET(_xlpm.CAPS,0,_xlpm.Style,_xlfn.XLOOKUP($A72,Строчный!$A:$A,Строчный!B:B,"ERR",0),IF(_xlpm.CAPS=0,_xlpm.Style,LOWER(_xlpm.Style)))</f>
        <v>22805BH EZRA</v>
      </c>
      <c r="C72" s="81" t="str">
        <f ca="1">PROPER(_xlfn.XLOOKUP($A72,Строчный!$A:$A,Строчный!C:C,"ERR",0))</f>
        <v>Шляпы</v>
      </c>
      <c r="D72" s="81" t="str">
        <f ca="1">_xlfn.LET(_xlpm.DATA,(_xlfn.XLOOKUP($A72,Строчный!$A:$A,Строчный!D:D,"ERR",0)),UPPER(MID(_xlpm.DATA,1,1))&amp;LOWER(MID(_xlpm.DATA,2,LEN(_xlpm.DATA)-1)))</f>
        <v>Шляпа федора</v>
      </c>
      <c r="E72" s="81" t="str">
        <f ca="1">PROPER(_xlfn.XLOOKUP($A72,Строчный!$A:$A,Строчный!E:E,"ERR",0))</f>
        <v>The Hollywood</v>
      </c>
      <c r="F72" s="81" t="str">
        <f ca="1">LOWER(_xlfn.XLOOKUP($A72,Строчный!$A:$A,Строчный!F:F,"ERR",0))</f>
        <v>летний</v>
      </c>
      <c r="G72" s="81" t="str">
        <f ca="1">UPPER(_xlfn.XLOOKUP($A72,Строчный!$A:$A,Строчный!G:G,"ERR",0))</f>
        <v>BAILEY</v>
      </c>
      <c r="H72" s="81" t="str">
        <f ca="1">LOWER(_xlfn.XLOOKUP($A72,Строчный!$A:$A,Строчный!H:H,"ERR",0))</f>
        <v>unbleached</v>
      </c>
      <c r="I72" s="81" t="str">
        <f ca="1">LOWER(_xlfn.XLOOKUP($A72,Строчный!$A:$A,Строчный!I:I,"ERR",0))</f>
        <v>кремовый</v>
      </c>
      <c r="J72" s="81" t="str">
        <f ca="1">SUBSTITUTE(LOWER(_xlfn.XLOOKUP($A72,Строчный!$A:$A,Строчный!J:J,"ERR",0)),"подклад","Подклад")</f>
        <v>100% солома токилла</v>
      </c>
      <c r="K72" s="81" t="str">
        <f ca="1">LOWER(_xlfn.XLOOKUP($A72,Строчный!$A:$A,Строчный!K:K,"ERR",0))</f>
        <v>соломенные</v>
      </c>
      <c r="L72" s="81" t="str">
        <f ca="1">PROPER(_xlfn.XLOOKUP($A72,Строчный!$A:$A,Строчный!L:L,"ERR",0))</f>
        <v>Унисекс</v>
      </c>
      <c r="M72" s="113" t="str">
        <f ca="1">PROPER(_xlfn.XLOOKUP($A72,Строчный!$A:$A,Строчный!M:M,"ERR",0))</f>
        <v>Соединенные Штаты</v>
      </c>
      <c r="N72" s="81" t="str">
        <f ca="1">UPPER(_xlfn.XLOOKUP($A72,Строчный!$A:$A,Строчный!O:O,"ERR",0))</f>
        <v/>
      </c>
      <c r="O72" s="107" t="str">
        <f ca="1">PROPER(_xlfn.XLOOKUP($A72,Строчный!$A:$A,Строчный!P:P,"ERR",0))</f>
        <v/>
      </c>
      <c r="P72" s="90">
        <f ca="1">VALUE(_xlfn.XLOOKUP($A72,Строчный!$A:$A,Строчный!N:N,"ERR",0))</f>
        <v>7195.5</v>
      </c>
      <c r="Q72" s="89" t="str">
        <f ca="1">_xlfn.XLOOKUP($G72,Фабрика!A:A,Фабрика!B:B,"ERR",0)</f>
        <v>Bollman Headwear Europe Ltd; 2 Merchants drive, Caelisle, Cumbria CA3 0JW, United Kingdom</v>
      </c>
      <c r="R72" s="80" t="str">
        <f ca="1">_xlfn.XLOOKUP(RIGHT(Z72,2),Размеры!D:D,Размеры!A:A,"ERR",0)</f>
        <v>61</v>
      </c>
      <c r="S72" s="80">
        <f ca="1">VALUE(_xlfn.XLOOKUP($Z72,Строчный!$R:$R,Строчный!T:T,"ERR",0))</f>
        <v>1</v>
      </c>
      <c r="T72" s="14" t="s">
        <v>265</v>
      </c>
      <c r="U72" s="101" t="str">
        <f t="shared" ca="1" si="13"/>
        <v>Шляпа BAILEY арт. 22805BH EZRA (кремовый)</v>
      </c>
      <c r="V72" s="100" t="str">
        <f t="shared" ca="1" si="14"/>
        <v>Шляпа BAILEY арт. 22805BH EZRA (кремовый) {unbleached}</v>
      </c>
      <c r="W72" s="18" t="str">
        <f t="shared" ca="1" si="15"/>
        <v>кремовый</v>
      </c>
      <c r="X72" s="18" t="str">
        <f t="shared" ca="1" si="16"/>
        <v>кремовый</v>
      </c>
      <c r="Y72" s="117" t="str">
        <f ca="1">_xlfn.LET(_xlpm.FormColors,_xlfn.XLOOKUP(A72,Строчный!A:A,Строчный!Q:Q,"",0),IF(_xlpm.FormColors=0,IFERROR(MID(I72,FIND("-",I72)+1,LEN(I72)),IFERROR(MID(I72,1,FIND("/",I72)-2),I72)),_xlpm.FormColors))</f>
        <v>кремовый</v>
      </c>
      <c r="Z72" s="73" t="str">
        <f ca="1"/>
        <v>21-782-26-61</v>
      </c>
      <c r="AA72" s="75" t="str">
        <f ca="1">VLOOKUP(C72,Группа!A:B,2,FALSE)</f>
        <v>Шляпа</v>
      </c>
      <c r="AB72" s="97" t="str">
        <f ca="1">IFERROR(VLOOKUP(R72,Размеры!A:C,3,FALSE),"")</f>
        <v>61 XL</v>
      </c>
      <c r="AC72" s="97" t="str">
        <f ca="1">VLOOKUP(I72,ЦветПолный!A:B,2,FALSE)</f>
        <v>36</v>
      </c>
      <c r="AD72" s="97" t="str">
        <f ca="1">IFERROR(VLOOKUP(R72,Размеры!A:D,4,FALSE),"")</f>
        <v>61</v>
      </c>
      <c r="AE72" s="97">
        <f ca="1">IF(LEFT(IFERROR(VLOOKUP(LOOKUP(2,1/SEARCH(B72,Товары!A:A),Товары!A:A),Товары!A:B,2,0),""),6)=MID(Z72,1,6),1,0)</f>
        <v>0</v>
      </c>
      <c r="AG72" s="97">
        <f ca="1">SUMIF(Группа!A:A,C72,Группа!C:C)</f>
        <v>1</v>
      </c>
      <c r="AH72" s="97">
        <f ca="1">SUMIF(Группа!B:B,AA72,Группа!C:C)</f>
        <v>1</v>
      </c>
      <c r="AI72" s="97">
        <f ca="1">SUMIF(Формы!A:A,D72,Формы!B:B)</f>
        <v>1</v>
      </c>
      <c r="AJ72" s="97">
        <f ca="1">SUMIF(Материал!A:A,K72,Материал!B:B)</f>
        <v>1</v>
      </c>
      <c r="AK72" s="97">
        <f ca="1">SUMIF(Размеры!A:A,R72,Размеры!E:E)</f>
        <v>1</v>
      </c>
      <c r="AL72" s="97">
        <f ca="1">SUMIF(Сезон!A:A,F72,Сезон!B:B)</f>
        <v>1</v>
      </c>
      <c r="AM72" s="97">
        <f ca="1">SUMIF(Состав!A:A,J72,Состав!B:B)</f>
        <v>1</v>
      </c>
      <c r="AN72" s="97">
        <f ca="1">VLOOKUP(I72,ЦветПолный!A:C,3,0)</f>
        <v>1</v>
      </c>
      <c r="AO72" s="97">
        <f ca="1">SUMIF(Цвет!A:A,Y72,Цвет!B:B)</f>
        <v>1</v>
      </c>
      <c r="AP72" s="97">
        <f ca="1">_xlfn.XLOOKUP(L72,Пол!A:A,Пол!B:B,0,0)</f>
        <v>1</v>
      </c>
      <c r="AQ72" s="97">
        <f ca="1">SUMIF(Марка!A:A,G72,Марка!B:B)</f>
        <v>1</v>
      </c>
      <c r="AR72" s="97">
        <f ca="1">SUMIF(Страна!A:A,M72,Страна!B:B)</f>
        <v>1</v>
      </c>
      <c r="AS72" s="64" t="e">
        <f ca="1">IF(VLOOKUP(V72,Товары!A:B,2,FALSE)=A72,"Есть в 1С","ERR")</f>
        <v>#N/A</v>
      </c>
      <c r="AT72" s="65" t="e">
        <f ca="1">IF(VLOOKUP(A72,Товары!B:B,1,FALSE)=A72,"Есть в 1С","ERR")</f>
        <v>#N/A</v>
      </c>
      <c r="AU72" s="96" t="e">
        <f ca="1">VLOOKUP(V72,Товары!A:B,2,FALSE)</f>
        <v>#N/A</v>
      </c>
      <c r="AV72" s="94" t="e">
        <f ca="1">VLOOKUP(V72,Товары!A:B,1,FALSE)</f>
        <v>#N/A</v>
      </c>
    </row>
    <row r="73" spans="1:48" x14ac:dyDescent="0.25">
      <c r="A73" s="110" t="str">
        <f t="shared" ca="1" si="17"/>
        <v>21-782-26</v>
      </c>
      <c r="B73" s="107" t="str">
        <f ca="1">_xlfn.LET(_xlpm.CAPS,0,_xlpm.Style,_xlfn.XLOOKUP($A73,Строчный!$A:$A,Строчный!B:B,"ERR",0),IF(_xlpm.CAPS=0,_xlpm.Style,LOWER(_xlpm.Style)))</f>
        <v>22805BH EZRA</v>
      </c>
      <c r="C73" s="81" t="str">
        <f ca="1">PROPER(_xlfn.XLOOKUP($A73,Строчный!$A:$A,Строчный!C:C,"ERR",0))</f>
        <v>Шляпы</v>
      </c>
      <c r="D73" s="81" t="str">
        <f ca="1">_xlfn.LET(_xlpm.DATA,(_xlfn.XLOOKUP($A73,Строчный!$A:$A,Строчный!D:D,"ERR",0)),UPPER(MID(_xlpm.DATA,1,1))&amp;LOWER(MID(_xlpm.DATA,2,LEN(_xlpm.DATA)-1)))</f>
        <v>Шляпа федора</v>
      </c>
      <c r="E73" s="81" t="str">
        <f ca="1">PROPER(_xlfn.XLOOKUP($A73,Строчный!$A:$A,Строчный!E:E,"ERR",0))</f>
        <v>The Hollywood</v>
      </c>
      <c r="F73" s="81" t="str">
        <f ca="1">LOWER(_xlfn.XLOOKUP($A73,Строчный!$A:$A,Строчный!F:F,"ERR",0))</f>
        <v>летний</v>
      </c>
      <c r="G73" s="81" t="str">
        <f ca="1">UPPER(_xlfn.XLOOKUP($A73,Строчный!$A:$A,Строчный!G:G,"ERR",0))</f>
        <v>BAILEY</v>
      </c>
      <c r="H73" s="81" t="str">
        <f ca="1">LOWER(_xlfn.XLOOKUP($A73,Строчный!$A:$A,Строчный!H:H,"ERR",0))</f>
        <v>unbleached</v>
      </c>
      <c r="I73" s="81" t="str">
        <f ca="1">LOWER(_xlfn.XLOOKUP($A73,Строчный!$A:$A,Строчный!I:I,"ERR",0))</f>
        <v>кремовый</v>
      </c>
      <c r="J73" s="81" t="str">
        <f ca="1">SUBSTITUTE(LOWER(_xlfn.XLOOKUP($A73,Строчный!$A:$A,Строчный!J:J,"ERR",0)),"подклад","Подклад")</f>
        <v>100% солома токилла</v>
      </c>
      <c r="K73" s="81" t="str">
        <f ca="1">LOWER(_xlfn.XLOOKUP($A73,Строчный!$A:$A,Строчный!K:K,"ERR",0))</f>
        <v>соломенные</v>
      </c>
      <c r="L73" s="81" t="str">
        <f ca="1">PROPER(_xlfn.XLOOKUP($A73,Строчный!$A:$A,Строчный!L:L,"ERR",0))</f>
        <v>Унисекс</v>
      </c>
      <c r="M73" s="113" t="str">
        <f ca="1">PROPER(_xlfn.XLOOKUP($A73,Строчный!$A:$A,Строчный!M:M,"ERR",0))</f>
        <v>Соединенные Штаты</v>
      </c>
      <c r="N73" s="81" t="str">
        <f ca="1">UPPER(_xlfn.XLOOKUP($A73,Строчный!$A:$A,Строчный!O:O,"ERR",0))</f>
        <v/>
      </c>
      <c r="O73" s="107" t="str">
        <f ca="1">PROPER(_xlfn.XLOOKUP($A73,Строчный!$A:$A,Строчный!P:P,"ERR",0))</f>
        <v/>
      </c>
      <c r="P73" s="90">
        <f ca="1">VALUE(_xlfn.XLOOKUP($A73,Строчный!$A:$A,Строчный!N:N,"ERR",0))</f>
        <v>7195.5</v>
      </c>
      <c r="Q73" s="89" t="str">
        <f ca="1">_xlfn.XLOOKUP($G73,Фабрика!A:A,Фабрика!B:B,"ERR",0)</f>
        <v>Bollman Headwear Europe Ltd; 2 Merchants drive, Caelisle, Cumbria CA3 0JW, United Kingdom</v>
      </c>
      <c r="R73" s="80" t="str">
        <f ca="1">_xlfn.XLOOKUP(RIGHT(Z73,2),Размеры!D:D,Размеры!A:A,"ERR",0)</f>
        <v>59</v>
      </c>
      <c r="S73" s="80">
        <f ca="1">VALUE(_xlfn.XLOOKUP($Z73,Строчный!$R:$R,Строчный!T:T,"ERR",0))</f>
        <v>2</v>
      </c>
      <c r="T73" s="14" t="s">
        <v>265</v>
      </c>
      <c r="U73" s="101" t="str">
        <f t="shared" ca="1" si="13"/>
        <v>Шляпа BAILEY арт. 22805BH EZRA (кремовый)</v>
      </c>
      <c r="V73" s="100" t="str">
        <f t="shared" ca="1" si="14"/>
        <v>Шляпа BAILEY арт. 22805BH EZRA (кремовый) {unbleached}</v>
      </c>
      <c r="W73" s="18" t="str">
        <f t="shared" ca="1" si="15"/>
        <v>кремовый</v>
      </c>
      <c r="X73" s="18" t="str">
        <f t="shared" ca="1" si="16"/>
        <v>кремовый</v>
      </c>
      <c r="Y73" s="117" t="str">
        <f ca="1">_xlfn.LET(_xlpm.FormColors,_xlfn.XLOOKUP(A73,Строчный!A:A,Строчный!Q:Q,"",0),IF(_xlpm.FormColors=0,IFERROR(MID(I73,FIND("-",I73)+1,LEN(I73)),IFERROR(MID(I73,1,FIND("/",I73)-2),I73)),_xlpm.FormColors))</f>
        <v>кремовый</v>
      </c>
      <c r="Z73" s="73" t="str">
        <f ca="1"/>
        <v>21-782-26-59</v>
      </c>
      <c r="AA73" s="75" t="str">
        <f ca="1">VLOOKUP(C73,Группа!A:B,2,FALSE)</f>
        <v>Шляпа</v>
      </c>
      <c r="AB73" s="97" t="str">
        <f ca="1">IFERROR(VLOOKUP(R73,Размеры!A:C,3,FALSE),"")</f>
        <v>59 L</v>
      </c>
      <c r="AC73" s="97" t="str">
        <f ca="1">VLOOKUP(I73,ЦветПолный!A:B,2,FALSE)</f>
        <v>36</v>
      </c>
      <c r="AD73" s="97" t="str">
        <f ca="1">IFERROR(VLOOKUP(R73,Размеры!A:D,4,FALSE),"")</f>
        <v>59</v>
      </c>
      <c r="AE73" s="97">
        <f ca="1">IF(LEFT(IFERROR(VLOOKUP(LOOKUP(2,1/SEARCH(B73,Товары!A:A),Товары!A:A),Товары!A:B,2,0),""),6)=MID(Z73,1,6),1,0)</f>
        <v>0</v>
      </c>
      <c r="AG73" s="97">
        <f ca="1">SUMIF(Группа!A:A,C73,Группа!C:C)</f>
        <v>1</v>
      </c>
      <c r="AH73" s="97">
        <f ca="1">SUMIF(Группа!B:B,AA73,Группа!C:C)</f>
        <v>1</v>
      </c>
      <c r="AI73" s="97">
        <f ca="1">SUMIF(Формы!A:A,D73,Формы!B:B)</f>
        <v>1</v>
      </c>
      <c r="AJ73" s="97">
        <f ca="1">SUMIF(Материал!A:A,K73,Материал!B:B)</f>
        <v>1</v>
      </c>
      <c r="AK73" s="97">
        <f ca="1">SUMIF(Размеры!A:A,R73,Размеры!E:E)</f>
        <v>1</v>
      </c>
      <c r="AL73" s="97">
        <f ca="1">SUMIF(Сезон!A:A,F73,Сезон!B:B)</f>
        <v>1</v>
      </c>
      <c r="AM73" s="97">
        <f ca="1">SUMIF(Состав!A:A,J73,Состав!B:B)</f>
        <v>1</v>
      </c>
      <c r="AN73" s="97">
        <f ca="1">VLOOKUP(I73,ЦветПолный!A:C,3,0)</f>
        <v>1</v>
      </c>
      <c r="AO73" s="97">
        <f ca="1">SUMIF(Цвет!A:A,Y73,Цвет!B:B)</f>
        <v>1</v>
      </c>
      <c r="AP73" s="97">
        <f ca="1">_xlfn.XLOOKUP(L73,Пол!A:A,Пол!B:B,0,0)</f>
        <v>1</v>
      </c>
      <c r="AQ73" s="97">
        <f ca="1">SUMIF(Марка!A:A,G73,Марка!B:B)</f>
        <v>1</v>
      </c>
      <c r="AR73" s="97">
        <f ca="1">SUMIF(Страна!A:A,M73,Страна!B:B)</f>
        <v>1</v>
      </c>
      <c r="AS73" s="64" t="e">
        <f ca="1">IF(VLOOKUP(V73,Товары!A:B,2,FALSE)=A73,"Есть в 1С","ERR")</f>
        <v>#N/A</v>
      </c>
      <c r="AT73" s="65" t="e">
        <f ca="1">IF(VLOOKUP(A73,Товары!B:B,1,FALSE)=A73,"Есть в 1С","ERR")</f>
        <v>#N/A</v>
      </c>
      <c r="AU73" s="96" t="e">
        <f ca="1">VLOOKUP(V73,Товары!A:B,2,FALSE)</f>
        <v>#N/A</v>
      </c>
      <c r="AV73" s="94" t="e">
        <f ca="1">VLOOKUP(V73,Товары!A:B,1,FALSE)</f>
        <v>#N/A</v>
      </c>
    </row>
    <row r="74" spans="1:48" x14ac:dyDescent="0.25">
      <c r="A74" s="110" t="str">
        <f t="shared" ca="1" si="17"/>
        <v>21-782-26</v>
      </c>
      <c r="B74" s="107" t="str">
        <f ca="1">_xlfn.LET(_xlpm.CAPS,0,_xlpm.Style,_xlfn.XLOOKUP($A74,Строчный!$A:$A,Строчный!B:B,"ERR",0),IF(_xlpm.CAPS=0,_xlpm.Style,LOWER(_xlpm.Style)))</f>
        <v>22805BH EZRA</v>
      </c>
      <c r="C74" s="81" t="str">
        <f ca="1">PROPER(_xlfn.XLOOKUP($A74,Строчный!$A:$A,Строчный!C:C,"ERR",0))</f>
        <v>Шляпы</v>
      </c>
      <c r="D74" s="81" t="str">
        <f ca="1">_xlfn.LET(_xlpm.DATA,(_xlfn.XLOOKUP($A74,Строчный!$A:$A,Строчный!D:D,"ERR",0)),UPPER(MID(_xlpm.DATA,1,1))&amp;LOWER(MID(_xlpm.DATA,2,LEN(_xlpm.DATA)-1)))</f>
        <v>Шляпа федора</v>
      </c>
      <c r="E74" s="81" t="str">
        <f ca="1">PROPER(_xlfn.XLOOKUP($A74,Строчный!$A:$A,Строчный!E:E,"ERR",0))</f>
        <v>The Hollywood</v>
      </c>
      <c r="F74" s="81" t="str">
        <f ca="1">LOWER(_xlfn.XLOOKUP($A74,Строчный!$A:$A,Строчный!F:F,"ERR",0))</f>
        <v>летний</v>
      </c>
      <c r="G74" s="81" t="str">
        <f ca="1">UPPER(_xlfn.XLOOKUP($A74,Строчный!$A:$A,Строчный!G:G,"ERR",0))</f>
        <v>BAILEY</v>
      </c>
      <c r="H74" s="81" t="str">
        <f ca="1">LOWER(_xlfn.XLOOKUP($A74,Строчный!$A:$A,Строчный!H:H,"ERR",0))</f>
        <v>unbleached</v>
      </c>
      <c r="I74" s="81" t="str">
        <f ca="1">LOWER(_xlfn.XLOOKUP($A74,Строчный!$A:$A,Строчный!I:I,"ERR",0))</f>
        <v>кремовый</v>
      </c>
      <c r="J74" s="81" t="str">
        <f ca="1">SUBSTITUTE(LOWER(_xlfn.XLOOKUP($A74,Строчный!$A:$A,Строчный!J:J,"ERR",0)),"подклад","Подклад")</f>
        <v>100% солома токилла</v>
      </c>
      <c r="K74" s="81" t="str">
        <f ca="1">LOWER(_xlfn.XLOOKUP($A74,Строчный!$A:$A,Строчный!K:K,"ERR",0))</f>
        <v>соломенные</v>
      </c>
      <c r="L74" s="81" t="str">
        <f ca="1">PROPER(_xlfn.XLOOKUP($A74,Строчный!$A:$A,Строчный!L:L,"ERR",0))</f>
        <v>Унисекс</v>
      </c>
      <c r="M74" s="113" t="str">
        <f ca="1">PROPER(_xlfn.XLOOKUP($A74,Строчный!$A:$A,Строчный!M:M,"ERR",0))</f>
        <v>Соединенные Штаты</v>
      </c>
      <c r="N74" s="81" t="str">
        <f ca="1">UPPER(_xlfn.XLOOKUP($A74,Строчный!$A:$A,Строчный!O:O,"ERR",0))</f>
        <v/>
      </c>
      <c r="O74" s="107" t="str">
        <f ca="1">PROPER(_xlfn.XLOOKUP($A74,Строчный!$A:$A,Строчный!P:P,"ERR",0))</f>
        <v/>
      </c>
      <c r="P74" s="90">
        <f ca="1">VALUE(_xlfn.XLOOKUP($A74,Строчный!$A:$A,Строчный!N:N,"ERR",0))</f>
        <v>7195.5</v>
      </c>
      <c r="Q74" s="89" t="str">
        <f ca="1">_xlfn.XLOOKUP($G74,Фабрика!A:A,Фабрика!B:B,"ERR",0)</f>
        <v>Bollman Headwear Europe Ltd; 2 Merchants drive, Caelisle, Cumbria CA3 0JW, United Kingdom</v>
      </c>
      <c r="R74" s="80" t="str">
        <f ca="1">_xlfn.XLOOKUP(RIGHT(Z74,2),Размеры!D:D,Размеры!A:A,"ERR",0)</f>
        <v>57</v>
      </c>
      <c r="S74" s="80">
        <f ca="1">VALUE(_xlfn.XLOOKUP($Z74,Строчный!$R:$R,Строчный!T:T,"ERR",0))</f>
        <v>1</v>
      </c>
      <c r="T74" s="14" t="s">
        <v>265</v>
      </c>
      <c r="U74" s="101" t="str">
        <f t="shared" ca="1" si="13"/>
        <v>Шляпа BAILEY арт. 22805BH EZRA (кремовый)</v>
      </c>
      <c r="V74" s="100" t="str">
        <f t="shared" ca="1" si="14"/>
        <v>Шляпа BAILEY арт. 22805BH EZRA (кремовый) {unbleached}</v>
      </c>
      <c r="W74" s="18" t="str">
        <f t="shared" ca="1" si="15"/>
        <v>кремовый</v>
      </c>
      <c r="X74" s="18" t="str">
        <f t="shared" ca="1" si="16"/>
        <v>кремовый</v>
      </c>
      <c r="Y74" s="117" t="str">
        <f ca="1">_xlfn.LET(_xlpm.FormColors,_xlfn.XLOOKUP(A74,Строчный!A:A,Строчный!Q:Q,"",0),IF(_xlpm.FormColors=0,IFERROR(MID(I74,FIND("-",I74)+1,LEN(I74)),IFERROR(MID(I74,1,FIND("/",I74)-2),I74)),_xlpm.FormColors))</f>
        <v>кремовый</v>
      </c>
      <c r="Z74" s="73" t="str">
        <f ca="1"/>
        <v>21-782-26-57</v>
      </c>
      <c r="AA74" s="75" t="str">
        <f ca="1">VLOOKUP(C74,Группа!A:B,2,FALSE)</f>
        <v>Шляпа</v>
      </c>
      <c r="AB74" s="97" t="str">
        <f ca="1">IFERROR(VLOOKUP(R74,Размеры!A:C,3,FALSE),"")</f>
        <v>57 M</v>
      </c>
      <c r="AC74" s="97" t="str">
        <f ca="1">VLOOKUP(I74,ЦветПолный!A:B,2,FALSE)</f>
        <v>36</v>
      </c>
      <c r="AD74" s="97" t="str">
        <f ca="1">IFERROR(VLOOKUP(R74,Размеры!A:D,4,FALSE),"")</f>
        <v>57</v>
      </c>
      <c r="AE74" s="97">
        <f ca="1">IF(LEFT(IFERROR(VLOOKUP(LOOKUP(2,1/SEARCH(B74,Товары!A:A),Товары!A:A),Товары!A:B,2,0),""),6)=MID(Z74,1,6),1,0)</f>
        <v>0</v>
      </c>
      <c r="AG74" s="97">
        <f ca="1">SUMIF(Группа!A:A,C74,Группа!C:C)</f>
        <v>1</v>
      </c>
      <c r="AH74" s="97">
        <f ca="1">SUMIF(Группа!B:B,AA74,Группа!C:C)</f>
        <v>1</v>
      </c>
      <c r="AI74" s="97">
        <f ca="1">SUMIF(Формы!A:A,D74,Формы!B:B)</f>
        <v>1</v>
      </c>
      <c r="AJ74" s="97">
        <f ca="1">SUMIF(Материал!A:A,K74,Материал!B:B)</f>
        <v>1</v>
      </c>
      <c r="AK74" s="97">
        <f ca="1">SUMIF(Размеры!A:A,R74,Размеры!E:E)</f>
        <v>1</v>
      </c>
      <c r="AL74" s="97">
        <f ca="1">SUMIF(Сезон!A:A,F74,Сезон!B:B)</f>
        <v>1</v>
      </c>
      <c r="AM74" s="97">
        <f ca="1">SUMIF(Состав!A:A,J74,Состав!B:B)</f>
        <v>1</v>
      </c>
      <c r="AN74" s="97">
        <f ca="1">VLOOKUP(I74,ЦветПолный!A:C,3,0)</f>
        <v>1</v>
      </c>
      <c r="AO74" s="97">
        <f ca="1">SUMIF(Цвет!A:A,Y74,Цвет!B:B)</f>
        <v>1</v>
      </c>
      <c r="AP74" s="97">
        <f ca="1">_xlfn.XLOOKUP(L74,Пол!A:A,Пол!B:B,0,0)</f>
        <v>1</v>
      </c>
      <c r="AQ74" s="97">
        <f ca="1">SUMIF(Марка!A:A,G74,Марка!B:B)</f>
        <v>1</v>
      </c>
      <c r="AR74" s="97">
        <f ca="1">SUMIF(Страна!A:A,M74,Страна!B:B)</f>
        <v>1</v>
      </c>
      <c r="AS74" s="64" t="e">
        <f ca="1">IF(VLOOKUP(V74,Товары!A:B,2,FALSE)=A74,"Есть в 1С","ERR")</f>
        <v>#N/A</v>
      </c>
      <c r="AT74" s="65" t="e">
        <f ca="1">IF(VLOOKUP(A74,Товары!B:B,1,FALSE)=A74,"Есть в 1С","ERR")</f>
        <v>#N/A</v>
      </c>
      <c r="AU74" s="96" t="e">
        <f ca="1">VLOOKUP(V74,Товары!A:B,2,FALSE)</f>
        <v>#N/A</v>
      </c>
      <c r="AV74" s="94" t="e">
        <f ca="1">VLOOKUP(V74,Товары!A:B,1,FALSE)</f>
        <v>#N/A</v>
      </c>
    </row>
    <row r="75" spans="1:48" x14ac:dyDescent="0.25">
      <c r="A75" s="110" t="str">
        <f t="shared" ca="1" si="17"/>
        <v>21-782-14</v>
      </c>
      <c r="B75" s="107" t="str">
        <f ca="1">_xlfn.LET(_xlpm.CAPS,0,_xlpm.Style,_xlfn.XLOOKUP($A75,Строчный!$A:$A,Строчный!B:B,"ERR",0),IF(_xlpm.CAPS=0,_xlpm.Style,LOWER(_xlpm.Style)))</f>
        <v>20009BH COLTER</v>
      </c>
      <c r="C75" s="81" t="str">
        <f ca="1">PROPER(_xlfn.XLOOKUP($A75,Строчный!$A:$A,Строчный!C:C,"ERR",0))</f>
        <v>Шляпы</v>
      </c>
      <c r="D75" s="81" t="str">
        <f ca="1">_xlfn.LET(_xlpm.DATA,(_xlfn.XLOOKUP($A75,Строчный!$A:$A,Строчный!D:D,"ERR",0)),UPPER(MID(_xlpm.DATA,1,1))&amp;LOWER(MID(_xlpm.DATA,2,LEN(_xlpm.DATA)-1)))</f>
        <v>Шляпа федора</v>
      </c>
      <c r="E75" s="81" t="str">
        <f ca="1">PROPER(_xlfn.XLOOKUP($A75,Строчный!$A:$A,Строчный!E:E,"ERR",0))</f>
        <v>The Hollywood</v>
      </c>
      <c r="F75" s="81" t="str">
        <f ca="1">LOWER(_xlfn.XLOOKUP($A75,Строчный!$A:$A,Строчный!F:F,"ERR",0))</f>
        <v>всесезон</v>
      </c>
      <c r="G75" s="81" t="str">
        <f ca="1">UPPER(_xlfn.XLOOKUP($A75,Строчный!$A:$A,Строчный!G:G,"ERR",0))</f>
        <v>BAILEY</v>
      </c>
      <c r="H75" s="81" t="str">
        <f ca="1">LOWER(_xlfn.XLOOKUP($A75,Строчный!$A:$A,Строчный!H:H,"ERR",0))</f>
        <v>oak</v>
      </c>
      <c r="I75" s="81" t="str">
        <f ca="1">LOWER(_xlfn.XLOOKUP($A75,Строчный!$A:$A,Строчный!I:I,"ERR",0))</f>
        <v>коричневый</v>
      </c>
      <c r="J75" s="81" t="str">
        <f ca="1">SUBSTITUTE(LOWER(_xlfn.XLOOKUP($A75,Строчный!$A:$A,Строчный!J:J,"ERR",0)),"подклад","Подклад")</f>
        <v>100% шерсть</v>
      </c>
      <c r="K75" s="81" t="str">
        <f ca="1">LOWER(_xlfn.XLOOKUP($A75,Строчный!$A:$A,Строчный!K:K,"ERR",0))</f>
        <v>фетровые</v>
      </c>
      <c r="L75" s="81" t="str">
        <f ca="1">PROPER(_xlfn.XLOOKUP($A75,Строчный!$A:$A,Строчный!L:L,"ERR",0))</f>
        <v>Унисекс</v>
      </c>
      <c r="M75" s="113" t="str">
        <f ca="1">PROPER(_xlfn.XLOOKUP($A75,Строчный!$A:$A,Строчный!M:M,"ERR",0))</f>
        <v>Соединенные Штаты</v>
      </c>
      <c r="N75" s="81" t="str">
        <f ca="1">UPPER(_xlfn.XLOOKUP($A75,Строчный!$A:$A,Строчный!O:O,"ERR",0))</f>
        <v/>
      </c>
      <c r="O75" s="107" t="str">
        <f ca="1">PROPER(_xlfn.XLOOKUP($A75,Строчный!$A:$A,Строчный!P:P,"ERR",0))</f>
        <v/>
      </c>
      <c r="P75" s="90">
        <f ca="1">VALUE(_xlfn.XLOOKUP($A75,Строчный!$A:$A,Строчный!N:N,"ERR",0))</f>
        <v>702.00000000000011</v>
      </c>
      <c r="Q75" s="89" t="str">
        <f ca="1">_xlfn.XLOOKUP($G75,Фабрика!A:A,Фабрика!B:B,"ERR",0)</f>
        <v>Bollman Headwear Europe Ltd; 2 Merchants drive, Caelisle, Cumbria CA3 0JW, United Kingdom</v>
      </c>
      <c r="R75" s="80" t="str">
        <f ca="1">_xlfn.XLOOKUP(RIGHT(Z75,2),Размеры!D:D,Размеры!A:A,"ERR",0)</f>
        <v>59</v>
      </c>
      <c r="S75" s="80">
        <f ca="1">VALUE(_xlfn.XLOOKUP($Z75,Строчный!$R:$R,Строчный!T:T,"ERR",0))</f>
        <v>1</v>
      </c>
      <c r="T75" s="14" t="s">
        <v>265</v>
      </c>
      <c r="U75" s="101" t="str">
        <f t="shared" ca="1" si="13"/>
        <v>Шляпа BAILEY арт. 20009BH COLTER (коричневый)</v>
      </c>
      <c r="V75" s="100" t="str">
        <f t="shared" ca="1" si="14"/>
        <v>Шляпа BAILEY арт. 20009BH COLTER (коричневый) {oak}</v>
      </c>
      <c r="W75" s="18" t="str">
        <f t="shared" ca="1" si="15"/>
        <v>коричневый</v>
      </c>
      <c r="X75" s="18" t="str">
        <f t="shared" ca="1" si="16"/>
        <v>коричневый</v>
      </c>
      <c r="Y75" s="117" t="str">
        <f ca="1">_xlfn.LET(_xlpm.FormColors,_xlfn.XLOOKUP(A75,Строчный!A:A,Строчный!Q:Q,"",0),IF(_xlpm.FormColors=0,IFERROR(MID(I75,FIND("-",I75)+1,LEN(I75)),IFERROR(MID(I75,1,FIND("/",I75)-2),I75)),_xlpm.FormColors))</f>
        <v>коричневый</v>
      </c>
      <c r="Z75" s="73" t="str">
        <f ca="1"/>
        <v>21-782-14-59</v>
      </c>
      <c r="AA75" s="75" t="str">
        <f ca="1">VLOOKUP(C75,Группа!A:B,2,FALSE)</f>
        <v>Шляпа</v>
      </c>
      <c r="AB75" s="97" t="str">
        <f ca="1">IFERROR(VLOOKUP(R75,Размеры!A:C,3,FALSE),"")</f>
        <v>59 L</v>
      </c>
      <c r="AC75" s="97" t="str">
        <f ca="1">VLOOKUP(I75,ЦветПолный!A:B,2,FALSE)</f>
        <v>14</v>
      </c>
      <c r="AD75" s="97" t="str">
        <f ca="1">IFERROR(VLOOKUP(R75,Размеры!A:D,4,FALSE),"")</f>
        <v>59</v>
      </c>
      <c r="AE75" s="97">
        <f ca="1">IF(LEFT(IFERROR(VLOOKUP(LOOKUP(2,1/SEARCH(B75,Товары!A:A),Товары!A:A),Товары!A:B,2,0),""),6)=MID(Z75,1,6),1,0)</f>
        <v>0</v>
      </c>
      <c r="AG75" s="97">
        <f ca="1">SUMIF(Группа!A:A,C75,Группа!C:C)</f>
        <v>1</v>
      </c>
      <c r="AH75" s="97">
        <f ca="1">SUMIF(Группа!B:B,AA75,Группа!C:C)</f>
        <v>1</v>
      </c>
      <c r="AI75" s="97">
        <f ca="1">SUMIF(Формы!A:A,D75,Формы!B:B)</f>
        <v>1</v>
      </c>
      <c r="AJ75" s="97">
        <f ca="1">SUMIF(Материал!A:A,K75,Материал!B:B)</f>
        <v>1</v>
      </c>
      <c r="AK75" s="97">
        <f ca="1">SUMIF(Размеры!A:A,R75,Размеры!E:E)</f>
        <v>1</v>
      </c>
      <c r="AL75" s="97">
        <f ca="1">SUMIF(Сезон!A:A,F75,Сезон!B:B)</f>
        <v>1</v>
      </c>
      <c r="AM75" s="97">
        <f ca="1">SUMIF(Состав!A:A,J75,Состав!B:B)</f>
        <v>1</v>
      </c>
      <c r="AN75" s="97">
        <f ca="1">VLOOKUP(I75,ЦветПолный!A:C,3,0)</f>
        <v>1</v>
      </c>
      <c r="AO75" s="97">
        <f ca="1">SUMIF(Цвет!A:A,Y75,Цвет!B:B)</f>
        <v>1</v>
      </c>
      <c r="AP75" s="97">
        <f ca="1">_xlfn.XLOOKUP(L75,Пол!A:A,Пол!B:B,0,0)</f>
        <v>1</v>
      </c>
      <c r="AQ75" s="97">
        <f ca="1">SUMIF(Марка!A:A,G75,Марка!B:B)</f>
        <v>1</v>
      </c>
      <c r="AR75" s="97">
        <f ca="1">SUMIF(Страна!A:A,M75,Страна!B:B)</f>
        <v>1</v>
      </c>
      <c r="AS75" s="64" t="e">
        <f ca="1">IF(VLOOKUP(V75,Товары!A:B,2,FALSE)=A75,"Есть в 1С","ERR")</f>
        <v>#N/A</v>
      </c>
      <c r="AT75" s="65" t="e">
        <f ca="1">IF(VLOOKUP(A75,Товары!B:B,1,FALSE)=A75,"Есть в 1С","ERR")</f>
        <v>#N/A</v>
      </c>
      <c r="AU75" s="96" t="e">
        <f ca="1">VLOOKUP(V75,Товары!A:B,2,FALSE)</f>
        <v>#N/A</v>
      </c>
      <c r="AV75" s="94" t="e">
        <f ca="1">VLOOKUP(V75,Товары!A:B,1,FALSE)</f>
        <v>#N/A</v>
      </c>
    </row>
    <row r="76" spans="1:48" x14ac:dyDescent="0.25">
      <c r="A76" s="110" t="str">
        <f t="shared" ca="1" si="17"/>
        <v>21-782-09</v>
      </c>
      <c r="B76" s="107" t="str">
        <f ca="1">_xlfn.LET(_xlpm.CAPS,0,_xlpm.Style,_xlfn.XLOOKUP($A76,Строчный!$A:$A,Строчный!B:B,"ERR",0),IF(_xlpm.CAPS=0,_xlpm.Style,LOWER(_xlpm.Style)))</f>
        <v>W2201A Eustis</v>
      </c>
      <c r="C76" s="81" t="str">
        <f ca="1">PROPER(_xlfn.XLOOKUP($A76,Строчный!$A:$A,Строчный!C:C,"ERR",0))</f>
        <v>Шляпы</v>
      </c>
      <c r="D76" s="81" t="str">
        <f ca="1">_xlfn.LET(_xlpm.DATA,(_xlfn.XLOOKUP($A76,Строчный!$A:$A,Строчный!D:D,"ERR",0)),UPPER(MID(_xlpm.DATA,1,1))&amp;LOWER(MID(_xlpm.DATA,2,LEN(_xlpm.DATA)-1)))</f>
        <v>Шляпа ковбойская</v>
      </c>
      <c r="E76" s="81" t="str">
        <f ca="1">PROPER(_xlfn.XLOOKUP($A76,Строчный!$A:$A,Строчный!E:E,"ERR",0))</f>
        <v>The Hollywood</v>
      </c>
      <c r="F76" s="81" t="str">
        <f ca="1">LOWER(_xlfn.XLOOKUP($A76,Строчный!$A:$A,Строчный!F:F,"ERR",0))</f>
        <v>всесезон</v>
      </c>
      <c r="G76" s="81" t="str">
        <f ca="1">UPPER(_xlfn.XLOOKUP($A76,Строчный!$A:$A,Строчный!G:G,"ERR",0))</f>
        <v>BAILEY</v>
      </c>
      <c r="H76" s="81" t="str">
        <f ca="1">LOWER(_xlfn.XLOOKUP($A76,Строчный!$A:$A,Строчный!H:H,"ERR",0))</f>
        <v>black</v>
      </c>
      <c r="I76" s="81" t="str">
        <f ca="1">LOWER(_xlfn.XLOOKUP($A76,Строчный!$A:$A,Строчный!I:I,"ERR",0))</f>
        <v>черный</v>
      </c>
      <c r="J76" s="81" t="str">
        <f ca="1">SUBSTITUTE(LOWER(_xlfn.XLOOKUP($A76,Строчный!$A:$A,Строчный!J:J,"ERR",0)),"подклад","Подклад")</f>
        <v>100% шерсть / Подклад: 100% полиэстер</v>
      </c>
      <c r="K76" s="81" t="str">
        <f ca="1">LOWER(_xlfn.XLOOKUP($A76,Строчный!$A:$A,Строчный!K:K,"ERR",0))</f>
        <v>шерстяные</v>
      </c>
      <c r="L76" s="81" t="str">
        <f ca="1">PROPER(_xlfn.XLOOKUP($A76,Строчный!$A:$A,Строчный!L:L,"ERR",0))</f>
        <v>Унисекс</v>
      </c>
      <c r="M76" s="113" t="str">
        <f ca="1">PROPER(_xlfn.XLOOKUP($A76,Строчный!$A:$A,Строчный!M:M,"ERR",0))</f>
        <v>Соединенные Штаты</v>
      </c>
      <c r="N76" s="81" t="str">
        <f ca="1">UPPER(_xlfn.XLOOKUP($A76,Строчный!$A:$A,Строчный!O:O,"ERR",0))</f>
        <v/>
      </c>
      <c r="O76" s="107" t="str">
        <f ca="1">PROPER(_xlfn.XLOOKUP($A76,Строчный!$A:$A,Строчный!P:P,"ERR",0))</f>
        <v/>
      </c>
      <c r="P76" s="90">
        <f ca="1">VALUE(_xlfn.XLOOKUP($A76,Строчный!$A:$A,Строчный!N:N,"ERR",0))</f>
        <v>702.00000000000011</v>
      </c>
      <c r="Q76" s="89" t="str">
        <f ca="1">_xlfn.XLOOKUP($G76,Фабрика!A:A,Фабрика!B:B,"ERR",0)</f>
        <v>Bollman Headwear Europe Ltd; 2 Merchants drive, Caelisle, Cumbria CA3 0JW, United Kingdom</v>
      </c>
      <c r="R76" s="80" t="str">
        <f ca="1">_xlfn.XLOOKUP(RIGHT(Z76,2),Размеры!D:D,Размеры!A:A,"ERR",0)</f>
        <v>55</v>
      </c>
      <c r="S76" s="80">
        <f ca="1">VALUE(_xlfn.XLOOKUP($Z76,Строчный!$R:$R,Строчный!T:T,"ERR",0))</f>
        <v>1</v>
      </c>
      <c r="T76" s="14" t="s">
        <v>265</v>
      </c>
      <c r="U76" s="101" t="str">
        <f t="shared" ca="1" si="13"/>
        <v>Шляпа BAILEY арт. W2201A Eustis (черный)</v>
      </c>
      <c r="V76" s="100" t="str">
        <f t="shared" ca="1" si="14"/>
        <v>Шляпа BAILEY арт. W2201A Eustis (черный) {black}</v>
      </c>
      <c r="W76" s="18" t="str">
        <f t="shared" ca="1" si="15"/>
        <v>черный</v>
      </c>
      <c r="X76" s="18" t="str">
        <f t="shared" ca="1" si="16"/>
        <v>черный</v>
      </c>
      <c r="Y76" s="117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Z76" s="73" t="str">
        <f ca="1"/>
        <v>21-782-09-55</v>
      </c>
      <c r="AA76" s="75" t="str">
        <f ca="1">VLOOKUP(C76,Группа!A:B,2,FALSE)</f>
        <v>Шляпа</v>
      </c>
      <c r="AB76" s="97" t="str">
        <f ca="1">IFERROR(VLOOKUP(R76,Размеры!A:C,3,FALSE),"")</f>
        <v>55 S</v>
      </c>
      <c r="AC76" s="97" t="str">
        <f ca="1">VLOOKUP(I76,ЦветПолный!A:B,2,FALSE)</f>
        <v>09</v>
      </c>
      <c r="AD76" s="97" t="str">
        <f ca="1">IFERROR(VLOOKUP(R76,Размеры!A:D,4,FALSE),"")</f>
        <v>55</v>
      </c>
      <c r="AE76" s="97">
        <f ca="1">IF(LEFT(IFERROR(VLOOKUP(LOOKUP(2,1/SEARCH(B76,Товары!A:A),Товары!A:A),Товары!A:B,2,0),""),6)=MID(Z76,1,6),1,0)</f>
        <v>0</v>
      </c>
      <c r="AG76" s="97">
        <f ca="1">SUMIF(Группа!A:A,C76,Группа!C:C)</f>
        <v>1</v>
      </c>
      <c r="AH76" s="97">
        <f ca="1">SUMIF(Группа!B:B,AA76,Группа!C:C)</f>
        <v>1</v>
      </c>
      <c r="AI76" s="97">
        <f ca="1">SUMIF(Формы!A:A,D76,Формы!B:B)</f>
        <v>1</v>
      </c>
      <c r="AJ76" s="97">
        <f ca="1">SUMIF(Материал!A:A,K76,Материал!B:B)</f>
        <v>1</v>
      </c>
      <c r="AK76" s="97">
        <f ca="1">SUMIF(Размеры!A:A,R76,Размеры!E:E)</f>
        <v>1</v>
      </c>
      <c r="AL76" s="97">
        <f ca="1">SUMIF(Сезон!A:A,F76,Сезон!B:B)</f>
        <v>1</v>
      </c>
      <c r="AM76" s="97">
        <f ca="1">SUMIF(Состав!A:A,J76,Состав!B:B)</f>
        <v>0</v>
      </c>
      <c r="AN76" s="97">
        <f ca="1">VLOOKUP(I76,ЦветПолный!A:C,3,0)</f>
        <v>1</v>
      </c>
      <c r="AO76" s="97">
        <f ca="1">SUMIF(Цвет!A:A,Y76,Цвет!B:B)</f>
        <v>1</v>
      </c>
      <c r="AP76" s="97">
        <f ca="1">_xlfn.XLOOKUP(L76,Пол!A:A,Пол!B:B,0,0)</f>
        <v>1</v>
      </c>
      <c r="AQ76" s="97">
        <f ca="1">SUMIF(Марка!A:A,G76,Марка!B:B)</f>
        <v>1</v>
      </c>
      <c r="AR76" s="97">
        <f ca="1">SUMIF(Страна!A:A,M76,Страна!B:B)</f>
        <v>1</v>
      </c>
      <c r="AS76" s="64" t="e">
        <f ca="1">IF(VLOOKUP(V76,Товары!A:B,2,FALSE)=A76,"Есть в 1С","ERR")</f>
        <v>#N/A</v>
      </c>
      <c r="AT76" s="65" t="e">
        <f ca="1">IF(VLOOKUP(A76,Товары!B:B,1,FALSE)=A76,"Есть в 1С","ERR")</f>
        <v>#N/A</v>
      </c>
      <c r="AU76" s="96" t="e">
        <f ca="1">VLOOKUP(V76,Товары!A:B,2,FALSE)</f>
        <v>#N/A</v>
      </c>
      <c r="AV76" s="94" t="e">
        <f ca="1">VLOOKUP(V76,Товары!A:B,1,FALSE)</f>
        <v>#N/A</v>
      </c>
    </row>
    <row r="77" spans="1:48" x14ac:dyDescent="0.25">
      <c r="A77" s="110" t="str">
        <f t="shared" ca="1" si="17"/>
        <v>21-755-15</v>
      </c>
      <c r="B77" s="107" t="str">
        <f ca="1">_xlfn.LET(_xlpm.CAPS,0,_xlpm.Style,_xlfn.XLOOKUP($A77,Строчный!$A:$A,Строчный!B:B,"ERR",0),IF(_xlpm.CAPS=0,_xlpm.Style,LOWER(_xlpm.Style)))</f>
        <v>90158BH BURNEY</v>
      </c>
      <c r="C77" s="81" t="str">
        <f ca="1">PROPER(_xlfn.XLOOKUP($A77,Строчный!$A:$A,Строчный!C:C,"ERR",0))</f>
        <v>Кепки</v>
      </c>
      <c r="D77" s="81" t="str">
        <f ca="1">_xlfn.LET(_xlpm.DATA,(_xlfn.XLOOKUP($A77,Строчный!$A:$A,Строчный!D:D,"ERR",0)),UPPER(MID(_xlpm.DATA,1,1))&amp;LOWER(MID(_xlpm.DATA,2,LEN(_xlpm.DATA)-1)))</f>
        <v>Кепка плоская</v>
      </c>
      <c r="E77" s="81" t="str">
        <f ca="1">PROPER(_xlfn.XLOOKUP($A77,Строчный!$A:$A,Строчный!E:E,"ERR",0))</f>
        <v>The Hollywood</v>
      </c>
      <c r="F77" s="81" t="str">
        <f ca="1">LOWER(_xlfn.XLOOKUP($A77,Строчный!$A:$A,Строчный!F:F,"ERR",0))</f>
        <v>летний</v>
      </c>
      <c r="G77" s="81" t="str">
        <f ca="1">UPPER(_xlfn.XLOOKUP($A77,Строчный!$A:$A,Строчный!G:G,"ERR",0))</f>
        <v>BAILEY</v>
      </c>
      <c r="H77" s="81" t="str">
        <f ca="1">LOWER(_xlfn.XLOOKUP($A77,Строчный!$A:$A,Строчный!H:H,"ERR",0))</f>
        <v>brown</v>
      </c>
      <c r="I77" s="81" t="str">
        <f ca="1">LOWER(_xlfn.XLOOKUP($A77,Строчный!$A:$A,Строчный!I:I,"ERR",0))</f>
        <v>светло-коричневый</v>
      </c>
      <c r="J77" s="81" t="str">
        <f ca="1">SUBSTITUTE(LOWER(_xlfn.XLOOKUP($A77,Строчный!$A:$A,Строчный!J:J,"ERR",0)),"подклад","Подклад")</f>
        <v>100% лен / Подклад: 100% полиэстер</v>
      </c>
      <c r="K77" s="81" t="str">
        <f ca="1">LOWER(_xlfn.XLOOKUP($A77,Строчный!$A:$A,Строчный!K:K,"ERR",0))</f>
        <v>льняные</v>
      </c>
      <c r="L77" s="81" t="str">
        <f ca="1">PROPER(_xlfn.XLOOKUP($A77,Строчный!$A:$A,Строчный!L:L,"ERR",0))</f>
        <v>Унисекс</v>
      </c>
      <c r="M77" s="113" t="str">
        <f ca="1">PROPER(_xlfn.XLOOKUP($A77,Строчный!$A:$A,Строчный!M:M,"ERR",0))</f>
        <v>Китай</v>
      </c>
      <c r="N77" s="81" t="str">
        <f ca="1">UPPER(_xlfn.XLOOKUP($A77,Строчный!$A:$A,Строчный!O:O,"ERR",0))</f>
        <v/>
      </c>
      <c r="O77" s="107" t="str">
        <f ca="1">PROPER(_xlfn.XLOOKUP($A77,Строчный!$A:$A,Строчный!P:P,"ERR",0))</f>
        <v/>
      </c>
      <c r="P77" s="90">
        <f ca="1">VALUE(_xlfn.XLOOKUP($A77,Строчный!$A:$A,Строчный!N:N,"ERR",0))</f>
        <v>1877.8500000000001</v>
      </c>
      <c r="Q77" s="89" t="str">
        <f ca="1">_xlfn.XLOOKUP($G77,Фабрика!A:A,Фабрика!B:B,"ERR",0)</f>
        <v>Bollman Headwear Europe Ltd; 2 Merchants drive, Caelisle, Cumbria CA3 0JW, United Kingdom</v>
      </c>
      <c r="R77" s="80" t="str">
        <f ca="1">_xlfn.XLOOKUP(RIGHT(Z77,2),Размеры!D:D,Размеры!A:A,"ERR",0)</f>
        <v>61</v>
      </c>
      <c r="S77" s="80">
        <f ca="1">VALUE(_xlfn.XLOOKUP($Z77,Строчный!$R:$R,Строчный!T:T,"ERR",0))</f>
        <v>4</v>
      </c>
      <c r="T77" s="14" t="s">
        <v>265</v>
      </c>
      <c r="U77" s="101" t="str">
        <f t="shared" ca="1" si="13"/>
        <v>Кепка BAILEY арт. 90158BH BURNEY (светло-коричневый)</v>
      </c>
      <c r="V77" s="100" t="str">
        <f t="shared" ca="1" si="14"/>
        <v>Кепка BAILEY арт. 90158BH BURNEY (светло-коричневый) {brown}</v>
      </c>
      <c r="W77" s="18" t="str">
        <f t="shared" ca="1" si="15"/>
        <v>коричневый</v>
      </c>
      <c r="X77" s="18" t="str">
        <f t="shared" ca="1" si="16"/>
        <v>коричневый</v>
      </c>
      <c r="Y77" s="117" t="str">
        <f ca="1">_xlfn.LET(_xlpm.FormColors,_xlfn.XLOOKUP(A77,Строчный!A:A,Строчный!Q:Q,"",0),IF(_xlpm.FormColors=0,IFERROR(MID(I77,FIND("-",I77)+1,LEN(I77)),IFERROR(MID(I77,1,FIND("/",I77)-2),I77)),_xlpm.FormColors))</f>
        <v>коричневый</v>
      </c>
      <c r="Z77" s="73" t="str">
        <f ca="1"/>
        <v>21-755-15-61</v>
      </c>
      <c r="AA77" s="75" t="str">
        <f ca="1">VLOOKUP(C77,Группа!A:B,2,FALSE)</f>
        <v>Кепка</v>
      </c>
      <c r="AB77" s="97" t="str">
        <f ca="1">IFERROR(VLOOKUP(R77,Размеры!A:C,3,FALSE),"")</f>
        <v>61 XL</v>
      </c>
      <c r="AC77" s="97" t="str">
        <f ca="1">VLOOKUP(I77,ЦветПолный!A:B,2,FALSE)</f>
        <v>15</v>
      </c>
      <c r="AD77" s="97" t="str">
        <f ca="1">IFERROR(VLOOKUP(R77,Размеры!A:D,4,FALSE),"")</f>
        <v>61</v>
      </c>
      <c r="AE77" s="97">
        <f ca="1">IF(LEFT(IFERROR(VLOOKUP(LOOKUP(2,1/SEARCH(B77,Товары!A:A),Товары!A:A),Товары!A:B,2,0),""),6)=MID(Z77,1,6),1,0)</f>
        <v>1</v>
      </c>
      <c r="AG77" s="97">
        <f ca="1">SUMIF(Группа!A:A,C77,Группа!C:C)</f>
        <v>1</v>
      </c>
      <c r="AH77" s="97">
        <f ca="1">SUMIF(Группа!B:B,AA77,Группа!C:C)</f>
        <v>1</v>
      </c>
      <c r="AI77" s="97">
        <f ca="1">SUMIF(Формы!A:A,D77,Формы!B:B)</f>
        <v>1</v>
      </c>
      <c r="AJ77" s="97">
        <f ca="1">SUMIF(Материал!A:A,K77,Материал!B:B)</f>
        <v>1</v>
      </c>
      <c r="AK77" s="97">
        <f ca="1">SUMIF(Размеры!A:A,R77,Размеры!E:E)</f>
        <v>1</v>
      </c>
      <c r="AL77" s="97">
        <f ca="1">SUMIF(Сезон!A:A,F77,Сезон!B:B)</f>
        <v>1</v>
      </c>
      <c r="AM77" s="97">
        <f ca="1">SUMIF(Состав!A:A,J77,Состав!B:B)</f>
        <v>0</v>
      </c>
      <c r="AN77" s="97">
        <f ca="1">VLOOKUP(I77,ЦветПолный!A:C,3,0)</f>
        <v>1</v>
      </c>
      <c r="AO77" s="97">
        <f ca="1">SUMIF(Цвет!A:A,Y77,Цвет!B:B)</f>
        <v>1</v>
      </c>
      <c r="AP77" s="97">
        <f ca="1">_xlfn.XLOOKUP(L77,Пол!A:A,Пол!B:B,0,0)</f>
        <v>1</v>
      </c>
      <c r="AQ77" s="97">
        <f ca="1">SUMIF(Марка!A:A,G77,Марка!B:B)</f>
        <v>1</v>
      </c>
      <c r="AR77" s="97">
        <f ca="1">SUMIF(Страна!A:A,M77,Страна!B:B)</f>
        <v>1</v>
      </c>
      <c r="AS77" s="64" t="str">
        <f ca="1">IF(VLOOKUP(V77,Товары!A:B,2,FALSE)=A77,"Есть в 1С","ERR")</f>
        <v>Есть в 1С</v>
      </c>
      <c r="AT77" s="65" t="str">
        <f ca="1">IF(VLOOKUP(A77,Товары!B:B,1,FALSE)=A77,"Есть в 1С","ERR")</f>
        <v>Есть в 1С</v>
      </c>
      <c r="AU77" s="96" t="str">
        <f ca="1">VLOOKUP(V77,Товары!A:B,2,FALSE)</f>
        <v>21-755-15</v>
      </c>
      <c r="AV77" s="94" t="str">
        <f ca="1">VLOOKUP(V77,Товары!A:B,1,FALSE)</f>
        <v>Кепка BAILEY арт. 90158BH BURNEY (светло-коричневый) {brown}</v>
      </c>
    </row>
    <row r="78" spans="1:48" x14ac:dyDescent="0.25">
      <c r="A78" s="110" t="str">
        <f t="shared" ca="1" si="17"/>
        <v>21-755-15</v>
      </c>
      <c r="B78" s="107" t="str">
        <f ca="1">_xlfn.LET(_xlpm.CAPS,0,_xlpm.Style,_xlfn.XLOOKUP($A78,Строчный!$A:$A,Строчный!B:B,"ERR",0),IF(_xlpm.CAPS=0,_xlpm.Style,LOWER(_xlpm.Style)))</f>
        <v>90158BH BURNEY</v>
      </c>
      <c r="C78" s="81" t="str">
        <f ca="1">PROPER(_xlfn.XLOOKUP($A78,Строчный!$A:$A,Строчный!C:C,"ERR",0))</f>
        <v>Кепки</v>
      </c>
      <c r="D78" s="81" t="str">
        <f ca="1">_xlfn.LET(_xlpm.DATA,(_xlfn.XLOOKUP($A78,Строчный!$A:$A,Строчный!D:D,"ERR",0)),UPPER(MID(_xlpm.DATA,1,1))&amp;LOWER(MID(_xlpm.DATA,2,LEN(_xlpm.DATA)-1)))</f>
        <v>Кепка плоская</v>
      </c>
      <c r="E78" s="81" t="str">
        <f ca="1">PROPER(_xlfn.XLOOKUP($A78,Строчный!$A:$A,Строчный!E:E,"ERR",0))</f>
        <v>The Hollywood</v>
      </c>
      <c r="F78" s="81" t="str">
        <f ca="1">LOWER(_xlfn.XLOOKUP($A78,Строчный!$A:$A,Строчный!F:F,"ERR",0))</f>
        <v>летний</v>
      </c>
      <c r="G78" s="81" t="str">
        <f ca="1">UPPER(_xlfn.XLOOKUP($A78,Строчный!$A:$A,Строчный!G:G,"ERR",0))</f>
        <v>BAILEY</v>
      </c>
      <c r="H78" s="81" t="str">
        <f ca="1">LOWER(_xlfn.XLOOKUP($A78,Строчный!$A:$A,Строчный!H:H,"ERR",0))</f>
        <v>brown</v>
      </c>
      <c r="I78" s="81" t="str">
        <f ca="1">LOWER(_xlfn.XLOOKUP($A78,Строчный!$A:$A,Строчный!I:I,"ERR",0))</f>
        <v>светло-коричневый</v>
      </c>
      <c r="J78" s="81" t="str">
        <f ca="1">SUBSTITUTE(LOWER(_xlfn.XLOOKUP($A78,Строчный!$A:$A,Строчный!J:J,"ERR",0)),"подклад","Подклад")</f>
        <v>100% лен / Подклад: 100% полиэстер</v>
      </c>
      <c r="K78" s="81" t="str">
        <f ca="1">LOWER(_xlfn.XLOOKUP($A78,Строчный!$A:$A,Строчный!K:K,"ERR",0))</f>
        <v>льняные</v>
      </c>
      <c r="L78" s="81" t="str">
        <f ca="1">PROPER(_xlfn.XLOOKUP($A78,Строчный!$A:$A,Строчный!L:L,"ERR",0))</f>
        <v>Унисекс</v>
      </c>
      <c r="M78" s="113" t="str">
        <f ca="1">PROPER(_xlfn.XLOOKUP($A78,Строчный!$A:$A,Строчный!M:M,"ERR",0))</f>
        <v>Китай</v>
      </c>
      <c r="N78" s="81" t="str">
        <f ca="1">UPPER(_xlfn.XLOOKUP($A78,Строчный!$A:$A,Строчный!O:O,"ERR",0))</f>
        <v/>
      </c>
      <c r="O78" s="107" t="str">
        <f ca="1">PROPER(_xlfn.XLOOKUP($A78,Строчный!$A:$A,Строчный!P:P,"ERR",0))</f>
        <v/>
      </c>
      <c r="P78" s="90">
        <f ca="1">VALUE(_xlfn.XLOOKUP($A78,Строчный!$A:$A,Строчный!N:N,"ERR",0))</f>
        <v>1877.8500000000001</v>
      </c>
      <c r="Q78" s="89" t="str">
        <f ca="1">_xlfn.XLOOKUP($G78,Фабрика!A:A,Фабрика!B:B,"ERR",0)</f>
        <v>Bollman Headwear Europe Ltd; 2 Merchants drive, Caelisle, Cumbria CA3 0JW, United Kingdom</v>
      </c>
      <c r="R78" s="80" t="str">
        <f ca="1">_xlfn.XLOOKUP(RIGHT(Z78,2),Размеры!D:D,Размеры!A:A,"ERR",0)</f>
        <v>59</v>
      </c>
      <c r="S78" s="80">
        <f ca="1">VALUE(_xlfn.XLOOKUP($Z78,Строчный!$R:$R,Строчный!T:T,"ERR",0))</f>
        <v>7</v>
      </c>
      <c r="T78" s="14" t="s">
        <v>265</v>
      </c>
      <c r="U78" s="101" t="str">
        <f t="shared" ca="1" si="13"/>
        <v>Кепка BAILEY арт. 90158BH BURNEY (светло-коричневый)</v>
      </c>
      <c r="V78" s="100" t="str">
        <f t="shared" ca="1" si="14"/>
        <v>Кепка BAILEY арт. 90158BH BURNEY (светло-коричневый) {brown}</v>
      </c>
      <c r="W78" s="18" t="str">
        <f t="shared" ca="1" si="15"/>
        <v>коричневый</v>
      </c>
      <c r="X78" s="18" t="str">
        <f t="shared" ca="1" si="16"/>
        <v>коричневый</v>
      </c>
      <c r="Y78" s="117" t="str">
        <f ca="1">_xlfn.LET(_xlpm.FormColors,_xlfn.XLOOKUP(A78,Строчный!A:A,Строчный!Q:Q,"",0),IF(_xlpm.FormColors=0,IFERROR(MID(I78,FIND("-",I78)+1,LEN(I78)),IFERROR(MID(I78,1,FIND("/",I78)-2),I78)),_xlpm.FormColors))</f>
        <v>коричневый</v>
      </c>
      <c r="Z78" s="73" t="str">
        <f ca="1"/>
        <v>21-755-15-59</v>
      </c>
      <c r="AA78" s="75" t="str">
        <f ca="1">VLOOKUP(C78,Группа!A:B,2,FALSE)</f>
        <v>Кепка</v>
      </c>
      <c r="AB78" s="97" t="str">
        <f ca="1">IFERROR(VLOOKUP(R78,Размеры!A:C,3,FALSE),"")</f>
        <v>59 L</v>
      </c>
      <c r="AC78" s="97" t="str">
        <f ca="1">VLOOKUP(I78,ЦветПолный!A:B,2,FALSE)</f>
        <v>15</v>
      </c>
      <c r="AD78" s="97" t="str">
        <f ca="1">IFERROR(VLOOKUP(R78,Размеры!A:D,4,FALSE),"")</f>
        <v>59</v>
      </c>
      <c r="AE78" s="97">
        <f ca="1">IF(LEFT(IFERROR(VLOOKUP(LOOKUP(2,1/SEARCH(B78,Товары!A:A),Товары!A:A),Товары!A:B,2,0),""),6)=MID(Z78,1,6),1,0)</f>
        <v>1</v>
      </c>
      <c r="AG78" s="97">
        <f ca="1">SUMIF(Группа!A:A,C78,Группа!C:C)</f>
        <v>1</v>
      </c>
      <c r="AH78" s="97">
        <f ca="1">SUMIF(Группа!B:B,AA78,Группа!C:C)</f>
        <v>1</v>
      </c>
      <c r="AI78" s="97">
        <f ca="1">SUMIF(Формы!A:A,D78,Формы!B:B)</f>
        <v>1</v>
      </c>
      <c r="AJ78" s="97">
        <f ca="1">SUMIF(Материал!A:A,K78,Материал!B:B)</f>
        <v>1</v>
      </c>
      <c r="AK78" s="97">
        <f ca="1">SUMIF(Размеры!A:A,R78,Размеры!E:E)</f>
        <v>1</v>
      </c>
      <c r="AL78" s="97">
        <f ca="1">SUMIF(Сезон!A:A,F78,Сезон!B:B)</f>
        <v>1</v>
      </c>
      <c r="AM78" s="97">
        <f ca="1">SUMIF(Состав!A:A,J78,Состав!B:B)</f>
        <v>0</v>
      </c>
      <c r="AN78" s="97">
        <f ca="1">VLOOKUP(I78,ЦветПолный!A:C,3,0)</f>
        <v>1</v>
      </c>
      <c r="AO78" s="97">
        <f ca="1">SUMIF(Цвет!A:A,Y78,Цвет!B:B)</f>
        <v>1</v>
      </c>
      <c r="AP78" s="97">
        <f ca="1">_xlfn.XLOOKUP(L78,Пол!A:A,Пол!B:B,0,0)</f>
        <v>1</v>
      </c>
      <c r="AQ78" s="97">
        <f ca="1">SUMIF(Марка!A:A,G78,Марка!B:B)</f>
        <v>1</v>
      </c>
      <c r="AR78" s="97">
        <f ca="1">SUMIF(Страна!A:A,M78,Страна!B:B)</f>
        <v>1</v>
      </c>
      <c r="AS78" s="64" t="str">
        <f ca="1">IF(VLOOKUP(V78,Товары!A:B,2,FALSE)=A78,"Есть в 1С","ERR")</f>
        <v>Есть в 1С</v>
      </c>
      <c r="AT78" s="65" t="str">
        <f ca="1">IF(VLOOKUP(A78,Товары!B:B,1,FALSE)=A78,"Есть в 1С","ERR")</f>
        <v>Есть в 1С</v>
      </c>
      <c r="AU78" s="96" t="str">
        <f ca="1">VLOOKUP(V78,Товары!A:B,2,FALSE)</f>
        <v>21-755-15</v>
      </c>
      <c r="AV78" s="94" t="str">
        <f ca="1">VLOOKUP(V78,Товары!A:B,1,FALSE)</f>
        <v>Кепка BAILEY арт. 90158BH BURNEY (светло-коричневый) {brown}</v>
      </c>
    </row>
    <row r="79" spans="1:48" x14ac:dyDescent="0.25">
      <c r="A79" s="110" t="str">
        <f t="shared" ca="1" si="17"/>
        <v>21-755-15</v>
      </c>
      <c r="B79" s="107" t="str">
        <f ca="1">_xlfn.LET(_xlpm.CAPS,0,_xlpm.Style,_xlfn.XLOOKUP($A79,Строчный!$A:$A,Строчный!B:B,"ERR",0),IF(_xlpm.CAPS=0,_xlpm.Style,LOWER(_xlpm.Style)))</f>
        <v>90158BH BURNEY</v>
      </c>
      <c r="C79" s="81" t="str">
        <f ca="1">PROPER(_xlfn.XLOOKUP($A79,Строчный!$A:$A,Строчный!C:C,"ERR",0))</f>
        <v>Кепки</v>
      </c>
      <c r="D79" s="81" t="str">
        <f ca="1">_xlfn.LET(_xlpm.DATA,(_xlfn.XLOOKUP($A79,Строчный!$A:$A,Строчный!D:D,"ERR",0)),UPPER(MID(_xlpm.DATA,1,1))&amp;LOWER(MID(_xlpm.DATA,2,LEN(_xlpm.DATA)-1)))</f>
        <v>Кепка плоская</v>
      </c>
      <c r="E79" s="81" t="str">
        <f ca="1">PROPER(_xlfn.XLOOKUP($A79,Строчный!$A:$A,Строчный!E:E,"ERR",0))</f>
        <v>The Hollywood</v>
      </c>
      <c r="F79" s="81" t="str">
        <f ca="1">LOWER(_xlfn.XLOOKUP($A79,Строчный!$A:$A,Строчный!F:F,"ERR",0))</f>
        <v>летний</v>
      </c>
      <c r="G79" s="81" t="str">
        <f ca="1">UPPER(_xlfn.XLOOKUP($A79,Строчный!$A:$A,Строчный!G:G,"ERR",0))</f>
        <v>BAILEY</v>
      </c>
      <c r="H79" s="81" t="str">
        <f ca="1">LOWER(_xlfn.XLOOKUP($A79,Строчный!$A:$A,Строчный!H:H,"ERR",0))</f>
        <v>brown</v>
      </c>
      <c r="I79" s="81" t="str">
        <f ca="1">LOWER(_xlfn.XLOOKUP($A79,Строчный!$A:$A,Строчный!I:I,"ERR",0))</f>
        <v>светло-коричневый</v>
      </c>
      <c r="J79" s="81" t="str">
        <f ca="1">SUBSTITUTE(LOWER(_xlfn.XLOOKUP($A79,Строчный!$A:$A,Строчный!J:J,"ERR",0)),"подклад","Подклад")</f>
        <v>100% лен / Подклад: 100% полиэстер</v>
      </c>
      <c r="K79" s="81" t="str">
        <f ca="1">LOWER(_xlfn.XLOOKUP($A79,Строчный!$A:$A,Строчный!K:K,"ERR",0))</f>
        <v>льняные</v>
      </c>
      <c r="L79" s="81" t="str">
        <f ca="1">PROPER(_xlfn.XLOOKUP($A79,Строчный!$A:$A,Строчный!L:L,"ERR",0))</f>
        <v>Унисекс</v>
      </c>
      <c r="M79" s="113" t="str">
        <f ca="1">PROPER(_xlfn.XLOOKUP($A79,Строчный!$A:$A,Строчный!M:M,"ERR",0))</f>
        <v>Китай</v>
      </c>
      <c r="N79" s="81" t="str">
        <f ca="1">UPPER(_xlfn.XLOOKUP($A79,Строчный!$A:$A,Строчный!O:O,"ERR",0))</f>
        <v/>
      </c>
      <c r="O79" s="107" t="str">
        <f ca="1">PROPER(_xlfn.XLOOKUP($A79,Строчный!$A:$A,Строчный!P:P,"ERR",0))</f>
        <v/>
      </c>
      <c r="P79" s="90">
        <f ca="1">VALUE(_xlfn.XLOOKUP($A79,Строчный!$A:$A,Строчный!N:N,"ERR",0))</f>
        <v>1877.8500000000001</v>
      </c>
      <c r="Q79" s="89" t="str">
        <f ca="1">_xlfn.XLOOKUP($G79,Фабрика!A:A,Фабрика!B:B,"ERR",0)</f>
        <v>Bollman Headwear Europe Ltd; 2 Merchants drive, Caelisle, Cumbria CA3 0JW, United Kingdom</v>
      </c>
      <c r="R79" s="80" t="str">
        <f ca="1">_xlfn.XLOOKUP(RIGHT(Z79,2),Размеры!D:D,Размеры!A:A,"ERR",0)</f>
        <v>57</v>
      </c>
      <c r="S79" s="80">
        <f ca="1">VALUE(_xlfn.XLOOKUP($Z79,Строчный!$R:$R,Строчный!T:T,"ERR",0))</f>
        <v>4</v>
      </c>
      <c r="T79" s="14" t="s">
        <v>265</v>
      </c>
      <c r="U79" s="101" t="str">
        <f t="shared" ca="1" si="13"/>
        <v>Кепка BAILEY арт. 90158BH BURNEY (светло-коричневый)</v>
      </c>
      <c r="V79" s="100" t="str">
        <f t="shared" ca="1" si="14"/>
        <v>Кепка BAILEY арт. 90158BH BURNEY (светло-коричневый) {brown}</v>
      </c>
      <c r="W79" s="18" t="str">
        <f t="shared" ca="1" si="15"/>
        <v>коричневый</v>
      </c>
      <c r="X79" s="18" t="str">
        <f t="shared" ca="1" si="16"/>
        <v>коричневый</v>
      </c>
      <c r="Y79" s="117" t="str">
        <f ca="1">_xlfn.LET(_xlpm.FormColors,_xlfn.XLOOKUP(A79,Строчный!A:A,Строчный!Q:Q,"",0),IF(_xlpm.FormColors=0,IFERROR(MID(I79,FIND("-",I79)+1,LEN(I79)),IFERROR(MID(I79,1,FIND("/",I79)-2),I79)),_xlpm.FormColors))</f>
        <v>коричневый</v>
      </c>
      <c r="Z79" s="73" t="str">
        <f ca="1"/>
        <v>21-755-15-57</v>
      </c>
      <c r="AA79" s="75" t="str">
        <f ca="1">VLOOKUP(C79,Группа!A:B,2,FALSE)</f>
        <v>Кепка</v>
      </c>
      <c r="AB79" s="97" t="str">
        <f ca="1">IFERROR(VLOOKUP(R79,Размеры!A:C,3,FALSE),"")</f>
        <v>57 M</v>
      </c>
      <c r="AC79" s="97" t="str">
        <f ca="1">VLOOKUP(I79,ЦветПолный!A:B,2,FALSE)</f>
        <v>15</v>
      </c>
      <c r="AD79" s="97" t="str">
        <f ca="1">IFERROR(VLOOKUP(R79,Размеры!A:D,4,FALSE),"")</f>
        <v>57</v>
      </c>
      <c r="AE79" s="97">
        <f ca="1">IF(LEFT(IFERROR(VLOOKUP(LOOKUP(2,1/SEARCH(B79,Товары!A:A),Товары!A:A),Товары!A:B,2,0),""),6)=MID(Z79,1,6),1,0)</f>
        <v>1</v>
      </c>
      <c r="AG79" s="97">
        <f ca="1">SUMIF(Группа!A:A,C79,Группа!C:C)</f>
        <v>1</v>
      </c>
      <c r="AH79" s="97">
        <f ca="1">SUMIF(Группа!B:B,AA79,Группа!C:C)</f>
        <v>1</v>
      </c>
      <c r="AI79" s="97">
        <f ca="1">SUMIF(Формы!A:A,D79,Формы!B:B)</f>
        <v>1</v>
      </c>
      <c r="AJ79" s="97">
        <f ca="1">SUMIF(Материал!A:A,K79,Материал!B:B)</f>
        <v>1</v>
      </c>
      <c r="AK79" s="97">
        <f ca="1">SUMIF(Размеры!A:A,R79,Размеры!E:E)</f>
        <v>1</v>
      </c>
      <c r="AL79" s="97">
        <f ca="1">SUMIF(Сезон!A:A,F79,Сезон!B:B)</f>
        <v>1</v>
      </c>
      <c r="AM79" s="97">
        <f ca="1">SUMIF(Состав!A:A,J79,Состав!B:B)</f>
        <v>0</v>
      </c>
      <c r="AN79" s="97">
        <f ca="1">VLOOKUP(I79,ЦветПолный!A:C,3,0)</f>
        <v>1</v>
      </c>
      <c r="AO79" s="97">
        <f ca="1">SUMIF(Цвет!A:A,Y79,Цвет!B:B)</f>
        <v>1</v>
      </c>
      <c r="AP79" s="97">
        <f ca="1">_xlfn.XLOOKUP(L79,Пол!A:A,Пол!B:B,0,0)</f>
        <v>1</v>
      </c>
      <c r="AQ79" s="97">
        <f ca="1">SUMIF(Марка!A:A,G79,Марка!B:B)</f>
        <v>1</v>
      </c>
      <c r="AR79" s="97">
        <f ca="1">SUMIF(Страна!A:A,M79,Страна!B:B)</f>
        <v>1</v>
      </c>
      <c r="AS79" s="64" t="str">
        <f ca="1">IF(VLOOKUP(V79,Товары!A:B,2,FALSE)=A79,"Есть в 1С","ERR")</f>
        <v>Есть в 1С</v>
      </c>
      <c r="AT79" s="65" t="str">
        <f ca="1">IF(VLOOKUP(A79,Товары!B:B,1,FALSE)=A79,"Есть в 1С","ERR")</f>
        <v>Есть в 1С</v>
      </c>
      <c r="AU79" s="96" t="str">
        <f ca="1">VLOOKUP(V79,Товары!A:B,2,FALSE)</f>
        <v>21-755-15</v>
      </c>
      <c r="AV79" s="94" t="str">
        <f ca="1">VLOOKUP(V79,Товары!A:B,1,FALSE)</f>
        <v>Кепка BAILEY арт. 90158BH BURNEY (светло-коричневый) {brown}</v>
      </c>
    </row>
    <row r="80" spans="1:48" x14ac:dyDescent="0.25">
      <c r="A80" s="110" t="str">
        <f t="shared" ca="1" si="17"/>
        <v>21-755-15</v>
      </c>
      <c r="B80" s="107" t="str">
        <f ca="1">_xlfn.LET(_xlpm.CAPS,0,_xlpm.Style,_xlfn.XLOOKUP($A80,Строчный!$A:$A,Строчный!B:B,"ERR",0),IF(_xlpm.CAPS=0,_xlpm.Style,LOWER(_xlpm.Style)))</f>
        <v>90158BH BURNEY</v>
      </c>
      <c r="C80" s="81" t="str">
        <f ca="1">PROPER(_xlfn.XLOOKUP($A80,Строчный!$A:$A,Строчный!C:C,"ERR",0))</f>
        <v>Кепки</v>
      </c>
      <c r="D80" s="81" t="str">
        <f ca="1">_xlfn.LET(_xlpm.DATA,(_xlfn.XLOOKUP($A80,Строчный!$A:$A,Строчный!D:D,"ERR",0)),UPPER(MID(_xlpm.DATA,1,1))&amp;LOWER(MID(_xlpm.DATA,2,LEN(_xlpm.DATA)-1)))</f>
        <v>Кепка плоская</v>
      </c>
      <c r="E80" s="81" t="str">
        <f ca="1">PROPER(_xlfn.XLOOKUP($A80,Строчный!$A:$A,Строчный!E:E,"ERR",0))</f>
        <v>The Hollywood</v>
      </c>
      <c r="F80" s="81" t="str">
        <f ca="1">LOWER(_xlfn.XLOOKUP($A80,Строчный!$A:$A,Строчный!F:F,"ERR",0))</f>
        <v>летний</v>
      </c>
      <c r="G80" s="81" t="str">
        <f ca="1">UPPER(_xlfn.XLOOKUP($A80,Строчный!$A:$A,Строчный!G:G,"ERR",0))</f>
        <v>BAILEY</v>
      </c>
      <c r="H80" s="81" t="str">
        <f ca="1">LOWER(_xlfn.XLOOKUP($A80,Строчный!$A:$A,Строчный!H:H,"ERR",0))</f>
        <v>brown</v>
      </c>
      <c r="I80" s="81" t="str">
        <f ca="1">LOWER(_xlfn.XLOOKUP($A80,Строчный!$A:$A,Строчный!I:I,"ERR",0))</f>
        <v>светло-коричневый</v>
      </c>
      <c r="J80" s="81" t="str">
        <f ca="1">SUBSTITUTE(LOWER(_xlfn.XLOOKUP($A80,Строчный!$A:$A,Строчный!J:J,"ERR",0)),"подклад","Подклад")</f>
        <v>100% лен / Подклад: 100% полиэстер</v>
      </c>
      <c r="K80" s="81" t="str">
        <f ca="1">LOWER(_xlfn.XLOOKUP($A80,Строчный!$A:$A,Строчный!K:K,"ERR",0))</f>
        <v>льняные</v>
      </c>
      <c r="L80" s="81" t="str">
        <f ca="1">PROPER(_xlfn.XLOOKUP($A80,Строчный!$A:$A,Строчный!L:L,"ERR",0))</f>
        <v>Унисекс</v>
      </c>
      <c r="M80" s="113" t="str">
        <f ca="1">PROPER(_xlfn.XLOOKUP($A80,Строчный!$A:$A,Строчный!M:M,"ERR",0))</f>
        <v>Китай</v>
      </c>
      <c r="N80" s="81" t="str">
        <f ca="1">UPPER(_xlfn.XLOOKUP($A80,Строчный!$A:$A,Строчный!O:O,"ERR",0))</f>
        <v/>
      </c>
      <c r="O80" s="107" t="str">
        <f ca="1">PROPER(_xlfn.XLOOKUP($A80,Строчный!$A:$A,Строчный!P:P,"ERR",0))</f>
        <v/>
      </c>
      <c r="P80" s="90">
        <f ca="1">VALUE(_xlfn.XLOOKUP($A80,Строчный!$A:$A,Строчный!N:N,"ERR",0))</f>
        <v>1877.8500000000001</v>
      </c>
      <c r="Q80" s="89" t="str">
        <f ca="1">_xlfn.XLOOKUP($G80,Фабрика!A:A,Фабрика!B:B,"ERR",0)</f>
        <v>Bollman Headwear Europe Ltd; 2 Merchants drive, Caelisle, Cumbria CA3 0JW, United Kingdom</v>
      </c>
      <c r="R80" s="80" t="str">
        <f ca="1">_xlfn.XLOOKUP(RIGHT(Z80,2),Размеры!D:D,Размеры!A:A,"ERR",0)</f>
        <v>55</v>
      </c>
      <c r="S80" s="80">
        <f ca="1">VALUE(_xlfn.XLOOKUP($Z80,Строчный!$R:$R,Строчный!T:T,"ERR",0))</f>
        <v>1</v>
      </c>
      <c r="T80" s="14" t="s">
        <v>265</v>
      </c>
      <c r="U80" s="101" t="str">
        <f t="shared" ca="1" si="13"/>
        <v>Кепка BAILEY арт. 90158BH BURNEY (светло-коричневый)</v>
      </c>
      <c r="V80" s="100" t="str">
        <f t="shared" ca="1" si="14"/>
        <v>Кепка BAILEY арт. 90158BH BURNEY (светло-коричневый) {brown}</v>
      </c>
      <c r="W80" s="18" t="str">
        <f t="shared" ca="1" si="15"/>
        <v>коричневый</v>
      </c>
      <c r="X80" s="18" t="str">
        <f t="shared" ca="1" si="16"/>
        <v>коричневый</v>
      </c>
      <c r="Y80" s="117" t="str">
        <f ca="1">_xlfn.LET(_xlpm.FormColors,_xlfn.XLOOKUP(A80,Строчный!A:A,Строчный!Q:Q,"",0),IF(_xlpm.FormColors=0,IFERROR(MID(I80,FIND("-",I80)+1,LEN(I80)),IFERROR(MID(I80,1,FIND("/",I80)-2),I80)),_xlpm.FormColors))</f>
        <v>коричневый</v>
      </c>
      <c r="Z80" s="73" t="str">
        <f ca="1"/>
        <v>21-755-15-55</v>
      </c>
      <c r="AA80" s="75" t="str">
        <f ca="1">VLOOKUP(C80,Группа!A:B,2,FALSE)</f>
        <v>Кепка</v>
      </c>
      <c r="AB80" s="97" t="str">
        <f ca="1">IFERROR(VLOOKUP(R80,Размеры!A:C,3,FALSE),"")</f>
        <v>55 S</v>
      </c>
      <c r="AC80" s="97" t="str">
        <f ca="1">VLOOKUP(I80,ЦветПолный!A:B,2,FALSE)</f>
        <v>15</v>
      </c>
      <c r="AD80" s="97" t="str">
        <f ca="1">IFERROR(VLOOKUP(R80,Размеры!A:D,4,FALSE),"")</f>
        <v>55</v>
      </c>
      <c r="AE80" s="97">
        <f ca="1">IF(LEFT(IFERROR(VLOOKUP(LOOKUP(2,1/SEARCH(B80,Товары!A:A),Товары!A:A),Товары!A:B,2,0),""),6)=MID(Z80,1,6),1,0)</f>
        <v>1</v>
      </c>
      <c r="AG80" s="97">
        <f ca="1">SUMIF(Группа!A:A,C80,Группа!C:C)</f>
        <v>1</v>
      </c>
      <c r="AH80" s="97">
        <f ca="1">SUMIF(Группа!B:B,AA80,Группа!C:C)</f>
        <v>1</v>
      </c>
      <c r="AI80" s="97">
        <f ca="1">SUMIF(Формы!A:A,D80,Формы!B:B)</f>
        <v>1</v>
      </c>
      <c r="AJ80" s="97">
        <f ca="1">SUMIF(Материал!A:A,K80,Материал!B:B)</f>
        <v>1</v>
      </c>
      <c r="AK80" s="97">
        <f ca="1">SUMIF(Размеры!A:A,R80,Размеры!E:E)</f>
        <v>1</v>
      </c>
      <c r="AL80" s="97">
        <f ca="1">SUMIF(Сезон!A:A,F80,Сезон!B:B)</f>
        <v>1</v>
      </c>
      <c r="AM80" s="97">
        <f ca="1">SUMIF(Состав!A:A,J80,Состав!B:B)</f>
        <v>0</v>
      </c>
      <c r="AN80" s="97">
        <f ca="1">VLOOKUP(I80,ЦветПолный!A:C,3,0)</f>
        <v>1</v>
      </c>
      <c r="AO80" s="97">
        <f ca="1">SUMIF(Цвет!A:A,Y80,Цвет!B:B)</f>
        <v>1</v>
      </c>
      <c r="AP80" s="97">
        <f ca="1">_xlfn.XLOOKUP(L80,Пол!A:A,Пол!B:B,0,0)</f>
        <v>1</v>
      </c>
      <c r="AQ80" s="97">
        <f ca="1">SUMIF(Марка!A:A,G80,Марка!B:B)</f>
        <v>1</v>
      </c>
      <c r="AR80" s="97">
        <f ca="1">SUMIF(Страна!A:A,M80,Страна!B:B)</f>
        <v>1</v>
      </c>
      <c r="AS80" s="64" t="str">
        <f ca="1">IF(VLOOKUP(V80,Товары!A:B,2,FALSE)=A80,"Есть в 1С","ERR")</f>
        <v>Есть в 1С</v>
      </c>
      <c r="AT80" s="65" t="str">
        <f ca="1">IF(VLOOKUP(A80,Товары!B:B,1,FALSE)=A80,"Есть в 1С","ERR")</f>
        <v>Есть в 1С</v>
      </c>
      <c r="AU80" s="96" t="str">
        <f ca="1">VLOOKUP(V80,Товары!A:B,2,FALSE)</f>
        <v>21-755-15</v>
      </c>
      <c r="AV80" s="94" t="str">
        <f ca="1">VLOOKUP(V80,Товары!A:B,1,FALSE)</f>
        <v>Кепка BAILEY арт. 90158BH BURNEY (светло-коричневый) {brown}</v>
      </c>
    </row>
    <row r="81" spans="1:48" x14ac:dyDescent="0.25">
      <c r="A81" s="110" t="str">
        <f t="shared" ca="1" si="17"/>
        <v>21-755-08</v>
      </c>
      <c r="B81" s="107" t="str">
        <f ca="1">_xlfn.LET(_xlpm.CAPS,0,_xlpm.Style,_xlfn.XLOOKUP($A81,Строчный!$A:$A,Строчный!B:B,"ERR",0),IF(_xlpm.CAPS=0,_xlpm.Style,LOWER(_xlpm.Style)))</f>
        <v>90158BH BURNEY</v>
      </c>
      <c r="C81" s="81" t="str">
        <f ca="1">PROPER(_xlfn.XLOOKUP($A81,Строчный!$A:$A,Строчный!C:C,"ERR",0))</f>
        <v>Кепки</v>
      </c>
      <c r="D81" s="81" t="str">
        <f ca="1">_xlfn.LET(_xlpm.DATA,(_xlfn.XLOOKUP($A81,Строчный!$A:$A,Строчный!D:D,"ERR",0)),UPPER(MID(_xlpm.DATA,1,1))&amp;LOWER(MID(_xlpm.DATA,2,LEN(_xlpm.DATA)-1)))</f>
        <v>Кепка плоская</v>
      </c>
      <c r="E81" s="81" t="str">
        <f ca="1">PROPER(_xlfn.XLOOKUP($A81,Строчный!$A:$A,Строчный!E:E,"ERR",0))</f>
        <v>The Hollywood</v>
      </c>
      <c r="F81" s="81" t="str">
        <f ca="1">LOWER(_xlfn.XLOOKUP($A81,Строчный!$A:$A,Строчный!F:F,"ERR",0))</f>
        <v>летний</v>
      </c>
      <c r="G81" s="81" t="str">
        <f ca="1">UPPER(_xlfn.XLOOKUP($A81,Строчный!$A:$A,Строчный!G:G,"ERR",0))</f>
        <v>BAILEY</v>
      </c>
      <c r="H81" s="81" t="str">
        <f ca="1">LOWER(_xlfn.XLOOKUP($A81,Строчный!$A:$A,Строчный!H:H,"ERR",0))</f>
        <v>grey</v>
      </c>
      <c r="I81" s="81" t="str">
        <f ca="1">LOWER(_xlfn.XLOOKUP($A81,Строчный!$A:$A,Строчный!I:I,"ERR",0))</f>
        <v>серый</v>
      </c>
      <c r="J81" s="81" t="str">
        <f ca="1">SUBSTITUTE(LOWER(_xlfn.XLOOKUP($A81,Строчный!$A:$A,Строчный!J:J,"ERR",0)),"подклад","Подклад")</f>
        <v>100% лен / Подклад: 100% полиэстер</v>
      </c>
      <c r="K81" s="81" t="str">
        <f ca="1">LOWER(_xlfn.XLOOKUP($A81,Строчный!$A:$A,Строчный!K:K,"ERR",0))</f>
        <v>льняные</v>
      </c>
      <c r="L81" s="81" t="str">
        <f ca="1">PROPER(_xlfn.XLOOKUP($A81,Строчный!$A:$A,Строчный!L:L,"ERR",0))</f>
        <v>Унисекс</v>
      </c>
      <c r="M81" s="113" t="str">
        <f ca="1">PROPER(_xlfn.XLOOKUP($A81,Строчный!$A:$A,Строчный!M:M,"ERR",0))</f>
        <v>Китай</v>
      </c>
      <c r="N81" s="81" t="str">
        <f ca="1">UPPER(_xlfn.XLOOKUP($A81,Строчный!$A:$A,Строчный!O:O,"ERR",0))</f>
        <v/>
      </c>
      <c r="O81" s="107" t="str">
        <f ca="1">PROPER(_xlfn.XLOOKUP($A81,Строчный!$A:$A,Строчный!P:P,"ERR",0))</f>
        <v/>
      </c>
      <c r="P81" s="90">
        <f ca="1">VALUE(_xlfn.XLOOKUP($A81,Строчный!$A:$A,Строчный!N:N,"ERR",0))</f>
        <v>1877.8500000000001</v>
      </c>
      <c r="Q81" s="89" t="str">
        <f ca="1">_xlfn.XLOOKUP($G81,Фабрика!A:A,Фабрика!B:B,"ERR",0)</f>
        <v>Bollman Headwear Europe Ltd; 2 Merchants drive, Caelisle, Cumbria CA3 0JW, United Kingdom</v>
      </c>
      <c r="R81" s="80" t="str">
        <f ca="1">_xlfn.XLOOKUP(RIGHT(Z81,2),Размеры!D:D,Размеры!A:A,"ERR",0)</f>
        <v>61</v>
      </c>
      <c r="S81" s="80">
        <f ca="1">VALUE(_xlfn.XLOOKUP($Z81,Строчный!$R:$R,Строчный!T:T,"ERR",0))</f>
        <v>4</v>
      </c>
      <c r="T81" s="14" t="s">
        <v>265</v>
      </c>
      <c r="U81" s="101" t="str">
        <f t="shared" ca="1" si="13"/>
        <v>Кепка BAILEY арт. 90158BH BURNEY (серый)</v>
      </c>
      <c r="V81" s="100" t="str">
        <f t="shared" ca="1" si="14"/>
        <v>Кепка BAILEY арт. 90158BH BURNEY (серый) {grey}</v>
      </c>
      <c r="W81" s="18" t="str">
        <f t="shared" ca="1" si="15"/>
        <v>серый</v>
      </c>
      <c r="X81" s="18" t="str">
        <f t="shared" ca="1" si="16"/>
        <v>серый</v>
      </c>
      <c r="Y81" s="117" t="str">
        <f ca="1">_xlfn.LET(_xlpm.FormColors,_xlfn.XLOOKUP(A81,Строчный!A:A,Строчный!Q:Q,"",0),IF(_xlpm.FormColors=0,IFERROR(MID(I81,FIND("-",I81)+1,LEN(I81)),IFERROR(MID(I81,1,FIND("/",I81)-2),I81)),_xlpm.FormColors))</f>
        <v>серый</v>
      </c>
      <c r="Z81" s="73" t="str">
        <f ca="1"/>
        <v>21-755-08-61</v>
      </c>
      <c r="AA81" s="75" t="str">
        <f ca="1">VLOOKUP(C81,Группа!A:B,2,FALSE)</f>
        <v>Кепка</v>
      </c>
      <c r="AB81" s="97" t="str">
        <f ca="1">IFERROR(VLOOKUP(R81,Размеры!A:C,3,FALSE),"")</f>
        <v>61 XL</v>
      </c>
      <c r="AC81" s="97" t="str">
        <f ca="1">VLOOKUP(I81,ЦветПолный!A:B,2,FALSE)</f>
        <v>08</v>
      </c>
      <c r="AD81" s="97" t="str">
        <f ca="1">IFERROR(VLOOKUP(R81,Размеры!A:D,4,FALSE),"")</f>
        <v>61</v>
      </c>
      <c r="AE81" s="97">
        <f ca="1">IF(LEFT(IFERROR(VLOOKUP(LOOKUP(2,1/SEARCH(B81,Товары!A:A),Товары!A:A),Товары!A:B,2,0),""),6)=MID(Z81,1,6),1,0)</f>
        <v>1</v>
      </c>
      <c r="AG81" s="97">
        <f ca="1">SUMIF(Группа!A:A,C81,Группа!C:C)</f>
        <v>1</v>
      </c>
      <c r="AH81" s="97">
        <f ca="1">SUMIF(Группа!B:B,AA81,Группа!C:C)</f>
        <v>1</v>
      </c>
      <c r="AI81" s="97">
        <f ca="1">SUMIF(Формы!A:A,D81,Формы!B:B)</f>
        <v>1</v>
      </c>
      <c r="AJ81" s="97">
        <f ca="1">SUMIF(Материал!A:A,K81,Материал!B:B)</f>
        <v>1</v>
      </c>
      <c r="AK81" s="97">
        <f ca="1">SUMIF(Размеры!A:A,R81,Размеры!E:E)</f>
        <v>1</v>
      </c>
      <c r="AL81" s="97">
        <f ca="1">SUMIF(Сезон!A:A,F81,Сезон!B:B)</f>
        <v>1</v>
      </c>
      <c r="AM81" s="97">
        <f ca="1">SUMIF(Состав!A:A,J81,Состав!B:B)</f>
        <v>0</v>
      </c>
      <c r="AN81" s="97">
        <f ca="1">VLOOKUP(I81,ЦветПолный!A:C,3,0)</f>
        <v>1</v>
      </c>
      <c r="AO81" s="97">
        <f ca="1">SUMIF(Цвет!A:A,Y81,Цвет!B:B)</f>
        <v>1</v>
      </c>
      <c r="AP81" s="97">
        <f ca="1">_xlfn.XLOOKUP(L81,Пол!A:A,Пол!B:B,0,0)</f>
        <v>1</v>
      </c>
      <c r="AQ81" s="97">
        <f ca="1">SUMIF(Марка!A:A,G81,Марка!B:B)</f>
        <v>1</v>
      </c>
      <c r="AR81" s="97">
        <f ca="1">SUMIF(Страна!A:A,M81,Страна!B:B)</f>
        <v>1</v>
      </c>
      <c r="AS81" s="64" t="e">
        <f ca="1">IF(VLOOKUP(V81,Товары!A:B,2,FALSE)=A81,"Есть в 1С","ERR")</f>
        <v>#N/A</v>
      </c>
      <c r="AT81" s="65" t="e">
        <f ca="1">IF(VLOOKUP(A81,Товары!B:B,1,FALSE)=A81,"Есть в 1С","ERR")</f>
        <v>#N/A</v>
      </c>
      <c r="AU81" s="96" t="e">
        <f ca="1">VLOOKUP(V81,Товары!A:B,2,FALSE)</f>
        <v>#N/A</v>
      </c>
      <c r="AV81" s="94" t="e">
        <f ca="1">VLOOKUP(V81,Товары!A:B,1,FALSE)</f>
        <v>#N/A</v>
      </c>
    </row>
    <row r="82" spans="1:48" x14ac:dyDescent="0.25">
      <c r="A82" s="110" t="str">
        <f t="shared" ca="1" si="17"/>
        <v>21-755-08</v>
      </c>
      <c r="B82" s="107" t="str">
        <f ca="1">_xlfn.LET(_xlpm.CAPS,0,_xlpm.Style,_xlfn.XLOOKUP($A82,Строчный!$A:$A,Строчный!B:B,"ERR",0),IF(_xlpm.CAPS=0,_xlpm.Style,LOWER(_xlpm.Style)))</f>
        <v>90158BH BURNEY</v>
      </c>
      <c r="C82" s="81" t="str">
        <f ca="1">PROPER(_xlfn.XLOOKUP($A82,Строчный!$A:$A,Строчный!C:C,"ERR",0))</f>
        <v>Кепки</v>
      </c>
      <c r="D82" s="81" t="str">
        <f ca="1">_xlfn.LET(_xlpm.DATA,(_xlfn.XLOOKUP($A82,Строчный!$A:$A,Строчный!D:D,"ERR",0)),UPPER(MID(_xlpm.DATA,1,1))&amp;LOWER(MID(_xlpm.DATA,2,LEN(_xlpm.DATA)-1)))</f>
        <v>Кепка плоская</v>
      </c>
      <c r="E82" s="81" t="str">
        <f ca="1">PROPER(_xlfn.XLOOKUP($A82,Строчный!$A:$A,Строчный!E:E,"ERR",0))</f>
        <v>The Hollywood</v>
      </c>
      <c r="F82" s="81" t="str">
        <f ca="1">LOWER(_xlfn.XLOOKUP($A82,Строчный!$A:$A,Строчный!F:F,"ERR",0))</f>
        <v>летний</v>
      </c>
      <c r="G82" s="81" t="str">
        <f ca="1">UPPER(_xlfn.XLOOKUP($A82,Строчный!$A:$A,Строчный!G:G,"ERR",0))</f>
        <v>BAILEY</v>
      </c>
      <c r="H82" s="81" t="str">
        <f ca="1">LOWER(_xlfn.XLOOKUP($A82,Строчный!$A:$A,Строчный!H:H,"ERR",0))</f>
        <v>grey</v>
      </c>
      <c r="I82" s="81" t="str">
        <f ca="1">LOWER(_xlfn.XLOOKUP($A82,Строчный!$A:$A,Строчный!I:I,"ERR",0))</f>
        <v>серый</v>
      </c>
      <c r="J82" s="81" t="str">
        <f ca="1">SUBSTITUTE(LOWER(_xlfn.XLOOKUP($A82,Строчный!$A:$A,Строчный!J:J,"ERR",0)),"подклад","Подклад")</f>
        <v>100% лен / Подклад: 100% полиэстер</v>
      </c>
      <c r="K82" s="81" t="str">
        <f ca="1">LOWER(_xlfn.XLOOKUP($A82,Строчный!$A:$A,Строчный!K:K,"ERR",0))</f>
        <v>льняные</v>
      </c>
      <c r="L82" s="81" t="str">
        <f ca="1">PROPER(_xlfn.XLOOKUP($A82,Строчный!$A:$A,Строчный!L:L,"ERR",0))</f>
        <v>Унисекс</v>
      </c>
      <c r="M82" s="113" t="str">
        <f ca="1">PROPER(_xlfn.XLOOKUP($A82,Строчный!$A:$A,Строчный!M:M,"ERR",0))</f>
        <v>Китай</v>
      </c>
      <c r="N82" s="81" t="str">
        <f ca="1">UPPER(_xlfn.XLOOKUP($A82,Строчный!$A:$A,Строчный!O:O,"ERR",0))</f>
        <v/>
      </c>
      <c r="O82" s="107" t="str">
        <f ca="1">PROPER(_xlfn.XLOOKUP($A82,Строчный!$A:$A,Строчный!P:P,"ERR",0))</f>
        <v/>
      </c>
      <c r="P82" s="90">
        <f ca="1">VALUE(_xlfn.XLOOKUP($A82,Строчный!$A:$A,Строчный!N:N,"ERR",0))</f>
        <v>1877.8500000000001</v>
      </c>
      <c r="Q82" s="89" t="str">
        <f ca="1">_xlfn.XLOOKUP($G82,Фабрика!A:A,Фабрика!B:B,"ERR",0)</f>
        <v>Bollman Headwear Europe Ltd; 2 Merchants drive, Caelisle, Cumbria CA3 0JW, United Kingdom</v>
      </c>
      <c r="R82" s="80" t="str">
        <f ca="1">_xlfn.XLOOKUP(RIGHT(Z82,2),Размеры!D:D,Размеры!A:A,"ERR",0)</f>
        <v>59</v>
      </c>
      <c r="S82" s="80">
        <f ca="1">VALUE(_xlfn.XLOOKUP($Z82,Строчный!$R:$R,Строчный!T:T,"ERR",0))</f>
        <v>7</v>
      </c>
      <c r="T82" s="14" t="s">
        <v>265</v>
      </c>
      <c r="U82" s="101" t="str">
        <f t="shared" ca="1" si="13"/>
        <v>Кепка BAILEY арт. 90158BH BURNEY (серый)</v>
      </c>
      <c r="V82" s="100" t="str">
        <f t="shared" ca="1" si="14"/>
        <v>Кепка BAILEY арт. 90158BH BURNEY (серый) {grey}</v>
      </c>
      <c r="W82" s="18" t="str">
        <f t="shared" ca="1" si="15"/>
        <v>серый</v>
      </c>
      <c r="X82" s="18" t="str">
        <f t="shared" ca="1" si="16"/>
        <v>серый</v>
      </c>
      <c r="Y82" s="117" t="str">
        <f ca="1">_xlfn.LET(_xlpm.FormColors,_xlfn.XLOOKUP(A82,Строчный!A:A,Строчный!Q:Q,"",0),IF(_xlpm.FormColors=0,IFERROR(MID(I82,FIND("-",I82)+1,LEN(I82)),IFERROR(MID(I82,1,FIND("/",I82)-2),I82)),_xlpm.FormColors))</f>
        <v>серый</v>
      </c>
      <c r="Z82" s="73" t="str">
        <f ca="1"/>
        <v>21-755-08-59</v>
      </c>
      <c r="AA82" s="75" t="str">
        <f ca="1">VLOOKUP(C82,Группа!A:B,2,FALSE)</f>
        <v>Кепка</v>
      </c>
      <c r="AB82" s="97" t="str">
        <f ca="1">IFERROR(VLOOKUP(R82,Размеры!A:C,3,FALSE),"")</f>
        <v>59 L</v>
      </c>
      <c r="AC82" s="97" t="str">
        <f ca="1">VLOOKUP(I82,ЦветПолный!A:B,2,FALSE)</f>
        <v>08</v>
      </c>
      <c r="AD82" s="97" t="str">
        <f ca="1">IFERROR(VLOOKUP(R82,Размеры!A:D,4,FALSE),"")</f>
        <v>59</v>
      </c>
      <c r="AE82" s="97">
        <f ca="1">IF(LEFT(IFERROR(VLOOKUP(LOOKUP(2,1/SEARCH(B82,Товары!A:A),Товары!A:A),Товары!A:B,2,0),""),6)=MID(Z82,1,6),1,0)</f>
        <v>1</v>
      </c>
      <c r="AG82" s="97">
        <f ca="1">SUMIF(Группа!A:A,C82,Группа!C:C)</f>
        <v>1</v>
      </c>
      <c r="AH82" s="97">
        <f ca="1">SUMIF(Группа!B:B,AA82,Группа!C:C)</f>
        <v>1</v>
      </c>
      <c r="AI82" s="97">
        <f ca="1">SUMIF(Формы!A:A,D82,Формы!B:B)</f>
        <v>1</v>
      </c>
      <c r="AJ82" s="97">
        <f ca="1">SUMIF(Материал!A:A,K82,Материал!B:B)</f>
        <v>1</v>
      </c>
      <c r="AK82" s="97">
        <f ca="1">SUMIF(Размеры!A:A,R82,Размеры!E:E)</f>
        <v>1</v>
      </c>
      <c r="AL82" s="97">
        <f ca="1">SUMIF(Сезон!A:A,F82,Сезон!B:B)</f>
        <v>1</v>
      </c>
      <c r="AM82" s="97">
        <f ca="1">SUMIF(Состав!A:A,J82,Состав!B:B)</f>
        <v>0</v>
      </c>
      <c r="AN82" s="97">
        <f ca="1">VLOOKUP(I82,ЦветПолный!A:C,3,0)</f>
        <v>1</v>
      </c>
      <c r="AO82" s="97">
        <f ca="1">SUMIF(Цвет!A:A,Y82,Цвет!B:B)</f>
        <v>1</v>
      </c>
      <c r="AP82" s="97">
        <f ca="1">_xlfn.XLOOKUP(L82,Пол!A:A,Пол!B:B,0,0)</f>
        <v>1</v>
      </c>
      <c r="AQ82" s="97">
        <f ca="1">SUMIF(Марка!A:A,G82,Марка!B:B)</f>
        <v>1</v>
      </c>
      <c r="AR82" s="97">
        <f ca="1">SUMIF(Страна!A:A,M82,Страна!B:B)</f>
        <v>1</v>
      </c>
      <c r="AS82" s="64" t="e">
        <f ca="1">IF(VLOOKUP(V82,Товары!A:B,2,FALSE)=A82,"Есть в 1С","ERR")</f>
        <v>#N/A</v>
      </c>
      <c r="AT82" s="65" t="e">
        <f ca="1">IF(VLOOKUP(A82,Товары!B:B,1,FALSE)=A82,"Есть в 1С","ERR")</f>
        <v>#N/A</v>
      </c>
      <c r="AU82" s="96" t="e">
        <f ca="1">VLOOKUP(V82,Товары!A:B,2,FALSE)</f>
        <v>#N/A</v>
      </c>
      <c r="AV82" s="94" t="e">
        <f ca="1">VLOOKUP(V82,Товары!A:B,1,FALSE)</f>
        <v>#N/A</v>
      </c>
    </row>
    <row r="83" spans="1:48" x14ac:dyDescent="0.25">
      <c r="A83" s="110" t="str">
        <f t="shared" ca="1" si="17"/>
        <v>21-755-08</v>
      </c>
      <c r="B83" s="107" t="str">
        <f ca="1">_xlfn.LET(_xlpm.CAPS,0,_xlpm.Style,_xlfn.XLOOKUP($A83,Строчный!$A:$A,Строчный!B:B,"ERR",0),IF(_xlpm.CAPS=0,_xlpm.Style,LOWER(_xlpm.Style)))</f>
        <v>90158BH BURNEY</v>
      </c>
      <c r="C83" s="81" t="str">
        <f ca="1">PROPER(_xlfn.XLOOKUP($A83,Строчный!$A:$A,Строчный!C:C,"ERR",0))</f>
        <v>Кепки</v>
      </c>
      <c r="D83" s="81" t="str">
        <f ca="1">_xlfn.LET(_xlpm.DATA,(_xlfn.XLOOKUP($A83,Строчный!$A:$A,Строчный!D:D,"ERR",0)),UPPER(MID(_xlpm.DATA,1,1))&amp;LOWER(MID(_xlpm.DATA,2,LEN(_xlpm.DATA)-1)))</f>
        <v>Кепка плоская</v>
      </c>
      <c r="E83" s="81" t="str">
        <f ca="1">PROPER(_xlfn.XLOOKUP($A83,Строчный!$A:$A,Строчный!E:E,"ERR",0))</f>
        <v>The Hollywood</v>
      </c>
      <c r="F83" s="81" t="str">
        <f ca="1">LOWER(_xlfn.XLOOKUP($A83,Строчный!$A:$A,Строчный!F:F,"ERR",0))</f>
        <v>летний</v>
      </c>
      <c r="G83" s="81" t="str">
        <f ca="1">UPPER(_xlfn.XLOOKUP($A83,Строчный!$A:$A,Строчный!G:G,"ERR",0))</f>
        <v>BAILEY</v>
      </c>
      <c r="H83" s="81" t="str">
        <f ca="1">LOWER(_xlfn.XLOOKUP($A83,Строчный!$A:$A,Строчный!H:H,"ERR",0))</f>
        <v>grey</v>
      </c>
      <c r="I83" s="81" t="str">
        <f ca="1">LOWER(_xlfn.XLOOKUP($A83,Строчный!$A:$A,Строчный!I:I,"ERR",0))</f>
        <v>серый</v>
      </c>
      <c r="J83" s="81" t="str">
        <f ca="1">SUBSTITUTE(LOWER(_xlfn.XLOOKUP($A83,Строчный!$A:$A,Строчный!J:J,"ERR",0)),"подклад","Подклад")</f>
        <v>100% лен / Подклад: 100% полиэстер</v>
      </c>
      <c r="K83" s="81" t="str">
        <f ca="1">LOWER(_xlfn.XLOOKUP($A83,Строчный!$A:$A,Строчный!K:K,"ERR",0))</f>
        <v>льняные</v>
      </c>
      <c r="L83" s="81" t="str">
        <f ca="1">PROPER(_xlfn.XLOOKUP($A83,Строчный!$A:$A,Строчный!L:L,"ERR",0))</f>
        <v>Унисекс</v>
      </c>
      <c r="M83" s="113" t="str">
        <f ca="1">PROPER(_xlfn.XLOOKUP($A83,Строчный!$A:$A,Строчный!M:M,"ERR",0))</f>
        <v>Китай</v>
      </c>
      <c r="N83" s="81" t="str">
        <f ca="1">UPPER(_xlfn.XLOOKUP($A83,Строчный!$A:$A,Строчный!O:O,"ERR",0))</f>
        <v/>
      </c>
      <c r="O83" s="107" t="str">
        <f ca="1">PROPER(_xlfn.XLOOKUP($A83,Строчный!$A:$A,Строчный!P:P,"ERR",0))</f>
        <v/>
      </c>
      <c r="P83" s="90">
        <f ca="1">VALUE(_xlfn.XLOOKUP($A83,Строчный!$A:$A,Строчный!N:N,"ERR",0))</f>
        <v>1877.8500000000001</v>
      </c>
      <c r="Q83" s="89" t="str">
        <f ca="1">_xlfn.XLOOKUP($G83,Фабрика!A:A,Фабрика!B:B,"ERR",0)</f>
        <v>Bollman Headwear Europe Ltd; 2 Merchants drive, Caelisle, Cumbria CA3 0JW, United Kingdom</v>
      </c>
      <c r="R83" s="80" t="str">
        <f ca="1">_xlfn.XLOOKUP(RIGHT(Z83,2),Размеры!D:D,Размеры!A:A,"ERR",0)</f>
        <v>57</v>
      </c>
      <c r="S83" s="80">
        <f ca="1">VALUE(_xlfn.XLOOKUP($Z83,Строчный!$R:$R,Строчный!T:T,"ERR",0))</f>
        <v>4</v>
      </c>
      <c r="T83" s="14" t="s">
        <v>265</v>
      </c>
      <c r="U83" s="101" t="str">
        <f t="shared" ca="1" si="13"/>
        <v>Кепка BAILEY арт. 90158BH BURNEY (серый)</v>
      </c>
      <c r="V83" s="100" t="str">
        <f t="shared" ca="1" si="14"/>
        <v>Кепка BAILEY арт. 90158BH BURNEY (серый) {grey}</v>
      </c>
      <c r="W83" s="18" t="str">
        <f t="shared" ca="1" si="15"/>
        <v>серый</v>
      </c>
      <c r="X83" s="18" t="str">
        <f t="shared" ca="1" si="16"/>
        <v>серый</v>
      </c>
      <c r="Y83" s="117" t="str">
        <f ca="1">_xlfn.LET(_xlpm.FormColors,_xlfn.XLOOKUP(A83,Строчный!A:A,Строчный!Q:Q,"",0),IF(_xlpm.FormColors=0,IFERROR(MID(I83,FIND("-",I83)+1,LEN(I83)),IFERROR(MID(I83,1,FIND("/",I83)-2),I83)),_xlpm.FormColors))</f>
        <v>серый</v>
      </c>
      <c r="Z83" s="73" t="str">
        <f ca="1"/>
        <v>21-755-08-57</v>
      </c>
      <c r="AA83" s="75" t="str">
        <f ca="1">VLOOKUP(C83,Группа!A:B,2,FALSE)</f>
        <v>Кепка</v>
      </c>
      <c r="AB83" s="97" t="str">
        <f ca="1">IFERROR(VLOOKUP(R83,Размеры!A:C,3,FALSE),"")</f>
        <v>57 M</v>
      </c>
      <c r="AC83" s="97" t="str">
        <f ca="1">VLOOKUP(I83,ЦветПолный!A:B,2,FALSE)</f>
        <v>08</v>
      </c>
      <c r="AD83" s="97" t="str">
        <f ca="1">IFERROR(VLOOKUP(R83,Размеры!A:D,4,FALSE),"")</f>
        <v>57</v>
      </c>
      <c r="AE83" s="97">
        <f ca="1">IF(LEFT(IFERROR(VLOOKUP(LOOKUP(2,1/SEARCH(B83,Товары!A:A),Товары!A:A),Товары!A:B,2,0),""),6)=MID(Z83,1,6),1,0)</f>
        <v>1</v>
      </c>
      <c r="AG83" s="97">
        <f ca="1">SUMIF(Группа!A:A,C83,Группа!C:C)</f>
        <v>1</v>
      </c>
      <c r="AH83" s="97">
        <f ca="1">SUMIF(Группа!B:B,AA83,Группа!C:C)</f>
        <v>1</v>
      </c>
      <c r="AI83" s="97">
        <f ca="1">SUMIF(Формы!A:A,D83,Формы!B:B)</f>
        <v>1</v>
      </c>
      <c r="AJ83" s="97">
        <f ca="1">SUMIF(Материал!A:A,K83,Материал!B:B)</f>
        <v>1</v>
      </c>
      <c r="AK83" s="97">
        <f ca="1">SUMIF(Размеры!A:A,R83,Размеры!E:E)</f>
        <v>1</v>
      </c>
      <c r="AL83" s="97">
        <f ca="1">SUMIF(Сезон!A:A,F83,Сезон!B:B)</f>
        <v>1</v>
      </c>
      <c r="AM83" s="97">
        <f ca="1">SUMIF(Состав!A:A,J83,Состав!B:B)</f>
        <v>0</v>
      </c>
      <c r="AN83" s="97">
        <f ca="1">VLOOKUP(I83,ЦветПолный!A:C,3,0)</f>
        <v>1</v>
      </c>
      <c r="AO83" s="97">
        <f ca="1">SUMIF(Цвет!A:A,Y83,Цвет!B:B)</f>
        <v>1</v>
      </c>
      <c r="AP83" s="97">
        <f ca="1">_xlfn.XLOOKUP(L83,Пол!A:A,Пол!B:B,0,0)</f>
        <v>1</v>
      </c>
      <c r="AQ83" s="97">
        <f ca="1">SUMIF(Марка!A:A,G83,Марка!B:B)</f>
        <v>1</v>
      </c>
      <c r="AR83" s="97">
        <f ca="1">SUMIF(Страна!A:A,M83,Страна!B:B)</f>
        <v>1</v>
      </c>
      <c r="AS83" s="64" t="e">
        <f ca="1">IF(VLOOKUP(V83,Товары!A:B,2,FALSE)=A83,"Есть в 1С","ERR")</f>
        <v>#N/A</v>
      </c>
      <c r="AT83" s="65" t="e">
        <f ca="1">IF(VLOOKUP(A83,Товары!B:B,1,FALSE)=A83,"Есть в 1С","ERR")</f>
        <v>#N/A</v>
      </c>
      <c r="AU83" s="96" t="e">
        <f ca="1">VLOOKUP(V83,Товары!A:B,2,FALSE)</f>
        <v>#N/A</v>
      </c>
      <c r="AV83" s="94" t="e">
        <f ca="1">VLOOKUP(V83,Товары!A:B,1,FALSE)</f>
        <v>#N/A</v>
      </c>
    </row>
    <row r="84" spans="1:48" x14ac:dyDescent="0.25">
      <c r="A84" s="110" t="str">
        <f t="shared" ca="1" si="17"/>
        <v>21-755-08</v>
      </c>
      <c r="B84" s="107" t="str">
        <f ca="1">_xlfn.LET(_xlpm.CAPS,0,_xlpm.Style,_xlfn.XLOOKUP($A84,Строчный!$A:$A,Строчный!B:B,"ERR",0),IF(_xlpm.CAPS=0,_xlpm.Style,LOWER(_xlpm.Style)))</f>
        <v>90158BH BURNEY</v>
      </c>
      <c r="C84" s="81" t="str">
        <f ca="1">PROPER(_xlfn.XLOOKUP($A84,Строчный!$A:$A,Строчный!C:C,"ERR",0))</f>
        <v>Кепки</v>
      </c>
      <c r="D84" s="81" t="str">
        <f ca="1">_xlfn.LET(_xlpm.DATA,(_xlfn.XLOOKUP($A84,Строчный!$A:$A,Строчный!D:D,"ERR",0)),UPPER(MID(_xlpm.DATA,1,1))&amp;LOWER(MID(_xlpm.DATA,2,LEN(_xlpm.DATA)-1)))</f>
        <v>Кепка плоская</v>
      </c>
      <c r="E84" s="81" t="str">
        <f ca="1">PROPER(_xlfn.XLOOKUP($A84,Строчный!$A:$A,Строчный!E:E,"ERR",0))</f>
        <v>The Hollywood</v>
      </c>
      <c r="F84" s="81" t="str">
        <f ca="1">LOWER(_xlfn.XLOOKUP($A84,Строчный!$A:$A,Строчный!F:F,"ERR",0))</f>
        <v>летний</v>
      </c>
      <c r="G84" s="81" t="str">
        <f ca="1">UPPER(_xlfn.XLOOKUP($A84,Строчный!$A:$A,Строчный!G:G,"ERR",0))</f>
        <v>BAILEY</v>
      </c>
      <c r="H84" s="81" t="str">
        <f ca="1">LOWER(_xlfn.XLOOKUP($A84,Строчный!$A:$A,Строчный!H:H,"ERR",0))</f>
        <v>grey</v>
      </c>
      <c r="I84" s="81" t="str">
        <f ca="1">LOWER(_xlfn.XLOOKUP($A84,Строчный!$A:$A,Строчный!I:I,"ERR",0))</f>
        <v>серый</v>
      </c>
      <c r="J84" s="81" t="str">
        <f ca="1">SUBSTITUTE(LOWER(_xlfn.XLOOKUP($A84,Строчный!$A:$A,Строчный!J:J,"ERR",0)),"подклад","Подклад")</f>
        <v>100% лен / Подклад: 100% полиэстер</v>
      </c>
      <c r="K84" s="81" t="str">
        <f ca="1">LOWER(_xlfn.XLOOKUP($A84,Строчный!$A:$A,Строчный!K:K,"ERR",0))</f>
        <v>льняные</v>
      </c>
      <c r="L84" s="81" t="str">
        <f ca="1">PROPER(_xlfn.XLOOKUP($A84,Строчный!$A:$A,Строчный!L:L,"ERR",0))</f>
        <v>Унисекс</v>
      </c>
      <c r="M84" s="113" t="str">
        <f ca="1">PROPER(_xlfn.XLOOKUP($A84,Строчный!$A:$A,Строчный!M:M,"ERR",0))</f>
        <v>Китай</v>
      </c>
      <c r="N84" s="81" t="str">
        <f ca="1">UPPER(_xlfn.XLOOKUP($A84,Строчный!$A:$A,Строчный!O:O,"ERR",0))</f>
        <v/>
      </c>
      <c r="O84" s="107" t="str">
        <f ca="1">PROPER(_xlfn.XLOOKUP($A84,Строчный!$A:$A,Строчный!P:P,"ERR",0))</f>
        <v/>
      </c>
      <c r="P84" s="90">
        <f ca="1">VALUE(_xlfn.XLOOKUP($A84,Строчный!$A:$A,Строчный!N:N,"ERR",0))</f>
        <v>1877.8500000000001</v>
      </c>
      <c r="Q84" s="89" t="str">
        <f ca="1">_xlfn.XLOOKUP($G84,Фабрика!A:A,Фабрика!B:B,"ERR",0)</f>
        <v>Bollman Headwear Europe Ltd; 2 Merchants drive, Caelisle, Cumbria CA3 0JW, United Kingdom</v>
      </c>
      <c r="R84" s="80" t="str">
        <f ca="1">_xlfn.XLOOKUP(RIGHT(Z84,2),Размеры!D:D,Размеры!A:A,"ERR",0)</f>
        <v>55</v>
      </c>
      <c r="S84" s="80">
        <f ca="1">VALUE(_xlfn.XLOOKUP($Z84,Строчный!$R:$R,Строчный!T:T,"ERR",0))</f>
        <v>1</v>
      </c>
      <c r="T84" s="14" t="s">
        <v>265</v>
      </c>
      <c r="U84" s="101" t="str">
        <f t="shared" ca="1" si="13"/>
        <v>Кепка BAILEY арт. 90158BH BURNEY (серый)</v>
      </c>
      <c r="V84" s="100" t="str">
        <f t="shared" ca="1" si="14"/>
        <v>Кепка BAILEY арт. 90158BH BURNEY (серый) {grey}</v>
      </c>
      <c r="W84" s="18" t="str">
        <f t="shared" ca="1" si="15"/>
        <v>серый</v>
      </c>
      <c r="X84" s="18" t="str">
        <f t="shared" ca="1" si="16"/>
        <v>серый</v>
      </c>
      <c r="Y84" s="117" t="str">
        <f ca="1">_xlfn.LET(_xlpm.FormColors,_xlfn.XLOOKUP(A84,Строчный!A:A,Строчный!Q:Q,"",0),IF(_xlpm.FormColors=0,IFERROR(MID(I84,FIND("-",I84)+1,LEN(I84)),IFERROR(MID(I84,1,FIND("/",I84)-2),I84)),_xlpm.FormColors))</f>
        <v>серый</v>
      </c>
      <c r="Z84" s="73" t="str">
        <f ca="1"/>
        <v>21-755-08-55</v>
      </c>
      <c r="AA84" s="75" t="str">
        <f ca="1">VLOOKUP(C84,Группа!A:B,2,FALSE)</f>
        <v>Кепка</v>
      </c>
      <c r="AB84" s="97" t="str">
        <f ca="1">IFERROR(VLOOKUP(R84,Размеры!A:C,3,FALSE),"")</f>
        <v>55 S</v>
      </c>
      <c r="AC84" s="97" t="str">
        <f ca="1">VLOOKUP(I84,ЦветПолный!A:B,2,FALSE)</f>
        <v>08</v>
      </c>
      <c r="AD84" s="97" t="str">
        <f ca="1">IFERROR(VLOOKUP(R84,Размеры!A:D,4,FALSE),"")</f>
        <v>55</v>
      </c>
      <c r="AE84" s="97">
        <f ca="1">IF(LEFT(IFERROR(VLOOKUP(LOOKUP(2,1/SEARCH(B84,Товары!A:A),Товары!A:A),Товары!A:B,2,0),""),6)=MID(Z84,1,6),1,0)</f>
        <v>1</v>
      </c>
      <c r="AG84" s="97">
        <f ca="1">SUMIF(Группа!A:A,C84,Группа!C:C)</f>
        <v>1</v>
      </c>
      <c r="AH84" s="97">
        <f ca="1">SUMIF(Группа!B:B,AA84,Группа!C:C)</f>
        <v>1</v>
      </c>
      <c r="AI84" s="97">
        <f ca="1">SUMIF(Формы!A:A,D84,Формы!B:B)</f>
        <v>1</v>
      </c>
      <c r="AJ84" s="97">
        <f ca="1">SUMIF(Материал!A:A,K84,Материал!B:B)</f>
        <v>1</v>
      </c>
      <c r="AK84" s="97">
        <f ca="1">SUMIF(Размеры!A:A,R84,Размеры!E:E)</f>
        <v>1</v>
      </c>
      <c r="AL84" s="97">
        <f ca="1">SUMIF(Сезон!A:A,F84,Сезон!B:B)</f>
        <v>1</v>
      </c>
      <c r="AM84" s="97">
        <f ca="1">SUMIF(Состав!A:A,J84,Состав!B:B)</f>
        <v>0</v>
      </c>
      <c r="AN84" s="97">
        <f ca="1">VLOOKUP(I84,ЦветПолный!A:C,3,0)</f>
        <v>1</v>
      </c>
      <c r="AO84" s="97">
        <f ca="1">SUMIF(Цвет!A:A,Y84,Цвет!B:B)</f>
        <v>1</v>
      </c>
      <c r="AP84" s="97">
        <f ca="1">_xlfn.XLOOKUP(L84,Пол!A:A,Пол!B:B,0,0)</f>
        <v>1</v>
      </c>
      <c r="AQ84" s="97">
        <f ca="1">SUMIF(Марка!A:A,G84,Марка!B:B)</f>
        <v>1</v>
      </c>
      <c r="AR84" s="97">
        <f ca="1">SUMIF(Страна!A:A,M84,Страна!B:B)</f>
        <v>1</v>
      </c>
      <c r="AS84" s="64" t="e">
        <f ca="1">IF(VLOOKUP(V84,Товары!A:B,2,FALSE)=A84,"Есть в 1С","ERR")</f>
        <v>#N/A</v>
      </c>
      <c r="AT84" s="65" t="e">
        <f ca="1">IF(VLOOKUP(A84,Товары!B:B,1,FALSE)=A84,"Есть в 1С","ERR")</f>
        <v>#N/A</v>
      </c>
      <c r="AU84" s="96" t="e">
        <f ca="1">VLOOKUP(V84,Товары!A:B,2,FALSE)</f>
        <v>#N/A</v>
      </c>
      <c r="AV84" s="94" t="e">
        <f ca="1">VLOOKUP(V84,Товары!A:B,1,FALSE)</f>
        <v>#N/A</v>
      </c>
    </row>
    <row r="85" spans="1:48" x14ac:dyDescent="0.25">
      <c r="A85" s="110" t="str">
        <f t="shared" ca="1" si="17"/>
        <v>21-753-48</v>
      </c>
      <c r="B85" s="107" t="str">
        <f ca="1">_xlfn.LET(_xlpm.CAPS,0,_xlpm.Style,_xlfn.XLOOKUP($A85,Строчный!$A:$A,Строчный!B:B,"ERR",0),IF(_xlpm.CAPS=0,_xlpm.Style,LOWER(_xlpm.Style)))</f>
        <v>90156BH LAZ</v>
      </c>
      <c r="C85" s="81" t="str">
        <f ca="1">PROPER(_xlfn.XLOOKUP($A85,Строчный!$A:$A,Строчный!C:C,"ERR",0))</f>
        <v>Кепки</v>
      </c>
      <c r="D85" s="81" t="str">
        <f ca="1">_xlfn.LET(_xlpm.DATA,(_xlfn.XLOOKUP($A85,Строчный!$A:$A,Строчный!D:D,"ERR",0)),UPPER(MID(_xlpm.DATA,1,1))&amp;LOWER(MID(_xlpm.DATA,2,LEN(_xlpm.DATA)-1)))</f>
        <v>Кепка восьмиклинка</v>
      </c>
      <c r="E85" s="81" t="str">
        <f ca="1">PROPER(_xlfn.XLOOKUP($A85,Строчный!$A:$A,Строчный!E:E,"ERR",0))</f>
        <v>The Hollywood</v>
      </c>
      <c r="F85" s="81" t="str">
        <f ca="1">LOWER(_xlfn.XLOOKUP($A85,Строчный!$A:$A,Строчный!F:F,"ERR",0))</f>
        <v>летний</v>
      </c>
      <c r="G85" s="81" t="str">
        <f ca="1">UPPER(_xlfn.XLOOKUP($A85,Строчный!$A:$A,Строчный!G:G,"ERR",0))</f>
        <v>BAILEY</v>
      </c>
      <c r="H85" s="81" t="str">
        <f ca="1">LOWER(_xlfn.XLOOKUP($A85,Строчный!$A:$A,Строчный!H:H,"ERR",0))</f>
        <v>black</v>
      </c>
      <c r="I85" s="81" t="str">
        <f ca="1">LOWER(_xlfn.XLOOKUP($A85,Строчный!$A:$A,Строчный!I:I,"ERR",0))</f>
        <v>белый / черный</v>
      </c>
      <c r="J85" s="81" t="str">
        <f ca="1">SUBSTITUTE(LOWER(_xlfn.XLOOKUP($A85,Строчный!$A:$A,Строчный!J:J,"ERR",0)),"подклад","Подклад")</f>
        <v>100% полиэстер / Подклад: 100% полиэстер</v>
      </c>
      <c r="K85" s="81" t="str">
        <f ca="1">LOWER(_xlfn.XLOOKUP($A85,Строчный!$A:$A,Строчный!K:K,"ERR",0))</f>
        <v/>
      </c>
      <c r="L85" s="81" t="str">
        <f ca="1">PROPER(_xlfn.XLOOKUP($A85,Строчный!$A:$A,Строчный!L:L,"ERR",0))</f>
        <v>Унисекс</v>
      </c>
      <c r="M85" s="113" t="str">
        <f ca="1">PROPER(_xlfn.XLOOKUP($A85,Строчный!$A:$A,Строчный!M:M,"ERR",0))</f>
        <v>Китай</v>
      </c>
      <c r="N85" s="81" t="str">
        <f ca="1">UPPER(_xlfn.XLOOKUP($A85,Строчный!$A:$A,Строчный!O:O,"ERR",0))</f>
        <v/>
      </c>
      <c r="O85" s="107" t="str">
        <f ca="1">PROPER(_xlfn.XLOOKUP($A85,Строчный!$A:$A,Строчный!P:P,"ERR",0))</f>
        <v/>
      </c>
      <c r="P85" s="90">
        <f ca="1">VALUE(_xlfn.XLOOKUP($A85,Строчный!$A:$A,Строчный!N:N,"ERR",0))</f>
        <v>1702.3500000000001</v>
      </c>
      <c r="Q85" s="89" t="str">
        <f ca="1">_xlfn.XLOOKUP($G85,Фабрика!A:A,Фабрика!B:B,"ERR",0)</f>
        <v>Bollman Headwear Europe Ltd; 2 Merchants drive, Caelisle, Cumbria CA3 0JW, United Kingdom</v>
      </c>
      <c r="R85" s="80" t="str">
        <f ca="1">_xlfn.XLOOKUP(RIGHT(Z85,2),Размеры!D:D,Размеры!A:A,"ERR",0)</f>
        <v>61</v>
      </c>
      <c r="S85" s="80">
        <f ca="1">VALUE(_xlfn.XLOOKUP($Z85,Строчный!$R:$R,Строчный!T:T,"ERR",0))</f>
        <v>4</v>
      </c>
      <c r="T85" s="14" t="s">
        <v>265</v>
      </c>
      <c r="U85" s="101" t="str">
        <f t="shared" ca="1" si="13"/>
        <v>Кепка BAILEY арт. 90156BH LAZ (белый / черный)</v>
      </c>
      <c r="V85" s="100" t="str">
        <f t="shared" ca="1" si="14"/>
        <v>Кепка BAILEY арт. 90156BH LAZ (белый / черный) {black}</v>
      </c>
      <c r="W85" s="18" t="str">
        <f t="shared" ca="1" si="15"/>
        <v>белый</v>
      </c>
      <c r="X85" s="18" t="str">
        <f t="shared" ca="1" si="16"/>
        <v>черный</v>
      </c>
      <c r="Y85" s="117" t="str">
        <f ca="1">_xlfn.LET(_xlpm.FormColors,_xlfn.XLOOKUP(A85,Строчный!A:A,Строчный!Q:Q,"",0),IF(_xlpm.FormColors=0,IFERROR(MID(I85,FIND("-",I85)+1,LEN(I85)),IFERROR(MID(I85,1,FIND("/",I85)-2),I85)),_xlpm.FormColors))</f>
        <v>белый</v>
      </c>
      <c r="Z85" s="73" t="str">
        <f ca="1"/>
        <v>21-753-48-61</v>
      </c>
      <c r="AA85" s="75" t="str">
        <f ca="1">VLOOKUP(C85,Группа!A:B,2,FALSE)</f>
        <v>Кепка</v>
      </c>
      <c r="AB85" s="97" t="str">
        <f ca="1">IFERROR(VLOOKUP(R85,Размеры!A:C,3,FALSE),"")</f>
        <v>61 XL</v>
      </c>
      <c r="AC85" s="97" t="str">
        <f ca="1">VLOOKUP(I85,ЦветПолный!A:B,2,FALSE)</f>
        <v>48</v>
      </c>
      <c r="AD85" s="97" t="str">
        <f ca="1">IFERROR(VLOOKUP(R85,Размеры!A:D,4,FALSE),"")</f>
        <v>61</v>
      </c>
      <c r="AE85" s="97">
        <f ca="1">IF(LEFT(IFERROR(VLOOKUP(LOOKUP(2,1/SEARCH(B85,Товары!A:A),Товары!A:A),Товары!A:B,2,0),""),6)=MID(Z85,1,6),1,0)</f>
        <v>1</v>
      </c>
      <c r="AG85" s="97">
        <f ca="1">SUMIF(Группа!A:A,C85,Группа!C:C)</f>
        <v>1</v>
      </c>
      <c r="AH85" s="97">
        <f ca="1">SUMIF(Группа!B:B,AA85,Группа!C:C)</f>
        <v>1</v>
      </c>
      <c r="AI85" s="97">
        <f ca="1">SUMIF(Формы!A:A,D85,Формы!B:B)</f>
        <v>1</v>
      </c>
      <c r="AJ85" s="97">
        <f ca="1">SUMIF(Материал!A:A,K85,Материал!B:B)</f>
        <v>0</v>
      </c>
      <c r="AK85" s="97">
        <f ca="1">SUMIF(Размеры!A:A,R85,Размеры!E:E)</f>
        <v>1</v>
      </c>
      <c r="AL85" s="97">
        <f ca="1">SUMIF(Сезон!A:A,F85,Сезон!B:B)</f>
        <v>1</v>
      </c>
      <c r="AM85" s="97">
        <f ca="1">SUMIF(Состав!A:A,J85,Состав!B:B)</f>
        <v>0</v>
      </c>
      <c r="AN85" s="97">
        <f ca="1">VLOOKUP(I85,ЦветПолный!A:C,3,0)</f>
        <v>1</v>
      </c>
      <c r="AO85" s="97">
        <f ca="1">SUMIF(Цвет!A:A,Y85,Цвет!B:B)</f>
        <v>1</v>
      </c>
      <c r="AP85" s="97">
        <f ca="1">_xlfn.XLOOKUP(L85,Пол!A:A,Пол!B:B,0,0)</f>
        <v>1</v>
      </c>
      <c r="AQ85" s="97">
        <f ca="1">SUMIF(Марка!A:A,G85,Марка!B:B)</f>
        <v>1</v>
      </c>
      <c r="AR85" s="97">
        <f ca="1">SUMIF(Страна!A:A,M85,Страна!B:B)</f>
        <v>1</v>
      </c>
      <c r="AS85" s="64" t="str">
        <f ca="1">IF(VLOOKUP(V85,Товары!A:B,2,FALSE)=A85,"Есть в 1С","ERR")</f>
        <v>Есть в 1С</v>
      </c>
      <c r="AT85" s="65" t="str">
        <f ca="1">IF(VLOOKUP(A85,Товары!B:B,1,FALSE)=A85,"Есть в 1С","ERR")</f>
        <v>Есть в 1С</v>
      </c>
      <c r="AU85" s="96" t="str">
        <f ca="1">VLOOKUP(V85,Товары!A:B,2,FALSE)</f>
        <v>21-753-48</v>
      </c>
      <c r="AV85" s="94" t="str">
        <f ca="1">VLOOKUP(V85,Товары!A:B,1,FALSE)</f>
        <v>Кепка BAILEY арт. 90156BH LAZ (белый / черный) {black}</v>
      </c>
    </row>
    <row r="86" spans="1:48" x14ac:dyDescent="0.25">
      <c r="A86" s="110" t="str">
        <f t="shared" ca="1" si="17"/>
        <v>21-753-48</v>
      </c>
      <c r="B86" s="107" t="str">
        <f ca="1">_xlfn.LET(_xlpm.CAPS,0,_xlpm.Style,_xlfn.XLOOKUP($A86,Строчный!$A:$A,Строчный!B:B,"ERR",0),IF(_xlpm.CAPS=0,_xlpm.Style,LOWER(_xlpm.Style)))</f>
        <v>90156BH LAZ</v>
      </c>
      <c r="C86" s="81" t="str">
        <f ca="1">PROPER(_xlfn.XLOOKUP($A86,Строчный!$A:$A,Строчный!C:C,"ERR",0))</f>
        <v>Кепки</v>
      </c>
      <c r="D86" s="81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81" t="str">
        <f ca="1">PROPER(_xlfn.XLOOKUP($A86,Строчный!$A:$A,Строчный!E:E,"ERR",0))</f>
        <v>The Hollywood</v>
      </c>
      <c r="F86" s="81" t="str">
        <f ca="1">LOWER(_xlfn.XLOOKUP($A86,Строчный!$A:$A,Строчный!F:F,"ERR",0))</f>
        <v>летний</v>
      </c>
      <c r="G86" s="81" t="str">
        <f ca="1">UPPER(_xlfn.XLOOKUP($A86,Строчный!$A:$A,Строчный!G:G,"ERR",0))</f>
        <v>BAILEY</v>
      </c>
      <c r="H86" s="81" t="str">
        <f ca="1">LOWER(_xlfn.XLOOKUP($A86,Строчный!$A:$A,Строчный!H:H,"ERR",0))</f>
        <v>black</v>
      </c>
      <c r="I86" s="81" t="str">
        <f ca="1">LOWER(_xlfn.XLOOKUP($A86,Строчный!$A:$A,Строчный!I:I,"ERR",0))</f>
        <v>белый / черный</v>
      </c>
      <c r="J86" s="81" t="str">
        <f ca="1">SUBSTITUTE(LOWER(_xlfn.XLOOKUP($A86,Строчный!$A:$A,Строчный!J:J,"ERR",0)),"подклад","Подклад")</f>
        <v>100% полиэстер / Подклад: 100% полиэстер</v>
      </c>
      <c r="K86" s="81" t="str">
        <f ca="1">LOWER(_xlfn.XLOOKUP($A86,Строчный!$A:$A,Строчный!K:K,"ERR",0))</f>
        <v/>
      </c>
      <c r="L86" s="81" t="str">
        <f ca="1">PROPER(_xlfn.XLOOKUP($A86,Строчный!$A:$A,Строчный!L:L,"ERR",0))</f>
        <v>Унисекс</v>
      </c>
      <c r="M86" s="113" t="str">
        <f ca="1">PROPER(_xlfn.XLOOKUP($A86,Строчный!$A:$A,Строчный!M:M,"ERR",0))</f>
        <v>Китай</v>
      </c>
      <c r="N86" s="81" t="str">
        <f ca="1">UPPER(_xlfn.XLOOKUP($A86,Строчный!$A:$A,Строчный!O:O,"ERR",0))</f>
        <v/>
      </c>
      <c r="O86" s="107" t="str">
        <f ca="1">PROPER(_xlfn.XLOOKUP($A86,Строчный!$A:$A,Строчный!P:P,"ERR",0))</f>
        <v/>
      </c>
      <c r="P86" s="90">
        <f ca="1">VALUE(_xlfn.XLOOKUP($A86,Строчный!$A:$A,Строчный!N:N,"ERR",0))</f>
        <v>1702.3500000000001</v>
      </c>
      <c r="Q86" s="89" t="str">
        <f ca="1">_xlfn.XLOOKUP($G86,Фабрика!A:A,Фабрика!B:B,"ERR",0)</f>
        <v>Bollman Headwear Europe Ltd; 2 Merchants drive, Caelisle, Cumbria CA3 0JW, United Kingdom</v>
      </c>
      <c r="R86" s="80" t="str">
        <f ca="1">_xlfn.XLOOKUP(RIGHT(Z86,2),Размеры!D:D,Размеры!A:A,"ERR",0)</f>
        <v>59</v>
      </c>
      <c r="S86" s="80">
        <f ca="1">VALUE(_xlfn.XLOOKUP($Z86,Строчный!$R:$R,Строчный!T:T,"ERR",0))</f>
        <v>7</v>
      </c>
      <c r="T86" s="14" t="s">
        <v>265</v>
      </c>
      <c r="U86" s="101" t="str">
        <f t="shared" ca="1" si="13"/>
        <v>Кепка BAILEY арт. 90156BH LAZ (белый / черный)</v>
      </c>
      <c r="V86" s="100" t="str">
        <f t="shared" ca="1" si="14"/>
        <v>Кепка BAILEY арт. 90156BH LAZ (белый / черный) {black}</v>
      </c>
      <c r="W86" s="18" t="str">
        <f t="shared" ca="1" si="15"/>
        <v>белый</v>
      </c>
      <c r="X86" s="18" t="str">
        <f t="shared" ca="1" si="16"/>
        <v>черный</v>
      </c>
      <c r="Y86" s="117" t="str">
        <f ca="1">_xlfn.LET(_xlpm.FormColors,_xlfn.XLOOKUP(A86,Строчный!A:A,Строчный!Q:Q,"",0),IF(_xlpm.FormColors=0,IFERROR(MID(I86,FIND("-",I86)+1,LEN(I86)),IFERROR(MID(I86,1,FIND("/",I86)-2),I86)),_xlpm.FormColors))</f>
        <v>белый</v>
      </c>
      <c r="Z86" s="73" t="str">
        <f ca="1"/>
        <v>21-753-48-59</v>
      </c>
      <c r="AA86" s="75" t="str">
        <f ca="1">VLOOKUP(C86,Группа!A:B,2,FALSE)</f>
        <v>Кепка</v>
      </c>
      <c r="AB86" s="97" t="str">
        <f ca="1">IFERROR(VLOOKUP(R86,Размеры!A:C,3,FALSE),"")</f>
        <v>59 L</v>
      </c>
      <c r="AC86" s="97" t="str">
        <f ca="1">VLOOKUP(I86,ЦветПолный!A:B,2,FALSE)</f>
        <v>48</v>
      </c>
      <c r="AD86" s="97" t="str">
        <f ca="1">IFERROR(VLOOKUP(R86,Размеры!A:D,4,FALSE),"")</f>
        <v>59</v>
      </c>
      <c r="AE86" s="97">
        <f ca="1">IF(LEFT(IFERROR(VLOOKUP(LOOKUP(2,1/SEARCH(B86,Товары!A:A),Товары!A:A),Товары!A:B,2,0),""),6)=MID(Z86,1,6),1,0)</f>
        <v>1</v>
      </c>
      <c r="AG86" s="97">
        <f ca="1">SUMIF(Группа!A:A,C86,Группа!C:C)</f>
        <v>1</v>
      </c>
      <c r="AH86" s="97">
        <f ca="1">SUMIF(Группа!B:B,AA86,Группа!C:C)</f>
        <v>1</v>
      </c>
      <c r="AI86" s="97">
        <f ca="1">SUMIF(Формы!A:A,D86,Формы!B:B)</f>
        <v>1</v>
      </c>
      <c r="AJ86" s="97">
        <f ca="1">SUMIF(Материал!A:A,K86,Материал!B:B)</f>
        <v>0</v>
      </c>
      <c r="AK86" s="97">
        <f ca="1">SUMIF(Размеры!A:A,R86,Размеры!E:E)</f>
        <v>1</v>
      </c>
      <c r="AL86" s="97">
        <f ca="1">SUMIF(Сезон!A:A,F86,Сезон!B:B)</f>
        <v>1</v>
      </c>
      <c r="AM86" s="97">
        <f ca="1">SUMIF(Состав!A:A,J86,Состав!B:B)</f>
        <v>0</v>
      </c>
      <c r="AN86" s="97">
        <f ca="1">VLOOKUP(I86,ЦветПолный!A:C,3,0)</f>
        <v>1</v>
      </c>
      <c r="AO86" s="97">
        <f ca="1">SUMIF(Цвет!A:A,Y86,Цвет!B:B)</f>
        <v>1</v>
      </c>
      <c r="AP86" s="97">
        <f ca="1">_xlfn.XLOOKUP(L86,Пол!A:A,Пол!B:B,0,0)</f>
        <v>1</v>
      </c>
      <c r="AQ86" s="97">
        <f ca="1">SUMIF(Марка!A:A,G86,Марка!B:B)</f>
        <v>1</v>
      </c>
      <c r="AR86" s="97">
        <f ca="1">SUMIF(Страна!A:A,M86,Страна!B:B)</f>
        <v>1</v>
      </c>
      <c r="AS86" s="64" t="str">
        <f ca="1">IF(VLOOKUP(V86,Товары!A:B,2,FALSE)=A86,"Есть в 1С","ERR")</f>
        <v>Есть в 1С</v>
      </c>
      <c r="AT86" s="65" t="str">
        <f ca="1">IF(VLOOKUP(A86,Товары!B:B,1,FALSE)=A86,"Есть в 1С","ERR")</f>
        <v>Есть в 1С</v>
      </c>
      <c r="AU86" s="96" t="str">
        <f ca="1">VLOOKUP(V86,Товары!A:B,2,FALSE)</f>
        <v>21-753-48</v>
      </c>
      <c r="AV86" s="94" t="str">
        <f ca="1">VLOOKUP(V86,Товары!A:B,1,FALSE)</f>
        <v>Кепка BAILEY арт. 90156BH LAZ (белый / черный) {black}</v>
      </c>
    </row>
    <row r="87" spans="1:48" x14ac:dyDescent="0.25">
      <c r="A87" s="110" t="str">
        <f t="shared" ca="1" si="17"/>
        <v>21-753-48</v>
      </c>
      <c r="B87" s="107" t="str">
        <f ca="1">_xlfn.LET(_xlpm.CAPS,0,_xlpm.Style,_xlfn.XLOOKUP($A87,Строчный!$A:$A,Строчный!B:B,"ERR",0),IF(_xlpm.CAPS=0,_xlpm.Style,LOWER(_xlpm.Style)))</f>
        <v>90156BH LAZ</v>
      </c>
      <c r="C87" s="81" t="str">
        <f ca="1">PROPER(_xlfn.XLOOKUP($A87,Строчный!$A:$A,Строчный!C:C,"ERR",0))</f>
        <v>Кепки</v>
      </c>
      <c r="D87" s="81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81" t="str">
        <f ca="1">PROPER(_xlfn.XLOOKUP($A87,Строчный!$A:$A,Строчный!E:E,"ERR",0))</f>
        <v>The Hollywood</v>
      </c>
      <c r="F87" s="81" t="str">
        <f ca="1">LOWER(_xlfn.XLOOKUP($A87,Строчный!$A:$A,Строчный!F:F,"ERR",0))</f>
        <v>летний</v>
      </c>
      <c r="G87" s="81" t="str">
        <f ca="1">UPPER(_xlfn.XLOOKUP($A87,Строчный!$A:$A,Строчный!G:G,"ERR",0))</f>
        <v>BAILEY</v>
      </c>
      <c r="H87" s="81" t="str">
        <f ca="1">LOWER(_xlfn.XLOOKUP($A87,Строчный!$A:$A,Строчный!H:H,"ERR",0))</f>
        <v>black</v>
      </c>
      <c r="I87" s="81" t="str">
        <f ca="1">LOWER(_xlfn.XLOOKUP($A87,Строчный!$A:$A,Строчный!I:I,"ERR",0))</f>
        <v>белый / черный</v>
      </c>
      <c r="J87" s="81" t="str">
        <f ca="1">SUBSTITUTE(LOWER(_xlfn.XLOOKUP($A87,Строчный!$A:$A,Строчный!J:J,"ERR",0)),"подклад","Подклад")</f>
        <v>100% полиэстер / Подклад: 100% полиэстер</v>
      </c>
      <c r="K87" s="81" t="str">
        <f ca="1">LOWER(_xlfn.XLOOKUP($A87,Строчный!$A:$A,Строчный!K:K,"ERR",0))</f>
        <v/>
      </c>
      <c r="L87" s="81" t="str">
        <f ca="1">PROPER(_xlfn.XLOOKUP($A87,Строчный!$A:$A,Строчный!L:L,"ERR",0))</f>
        <v>Унисекс</v>
      </c>
      <c r="M87" s="113" t="str">
        <f ca="1">PROPER(_xlfn.XLOOKUP($A87,Строчный!$A:$A,Строчный!M:M,"ERR",0))</f>
        <v>Китай</v>
      </c>
      <c r="N87" s="81" t="str">
        <f ca="1">UPPER(_xlfn.XLOOKUP($A87,Строчный!$A:$A,Строчный!O:O,"ERR",0))</f>
        <v/>
      </c>
      <c r="O87" s="107" t="str">
        <f ca="1">PROPER(_xlfn.XLOOKUP($A87,Строчный!$A:$A,Строчный!P:P,"ERR",0))</f>
        <v/>
      </c>
      <c r="P87" s="90">
        <f ca="1">VALUE(_xlfn.XLOOKUP($A87,Строчный!$A:$A,Строчный!N:N,"ERR",0))</f>
        <v>1702.3500000000001</v>
      </c>
      <c r="Q87" s="89" t="str">
        <f ca="1">_xlfn.XLOOKUP($G87,Фабрика!A:A,Фабрика!B:B,"ERR",0)</f>
        <v>Bollman Headwear Europe Ltd; 2 Merchants drive, Caelisle, Cumbria CA3 0JW, United Kingdom</v>
      </c>
      <c r="R87" s="80" t="str">
        <f ca="1">_xlfn.XLOOKUP(RIGHT(Z87,2),Размеры!D:D,Размеры!A:A,"ERR",0)</f>
        <v>57</v>
      </c>
      <c r="S87" s="80">
        <f ca="1">VALUE(_xlfn.XLOOKUP($Z87,Строчный!$R:$R,Строчный!T:T,"ERR",0))</f>
        <v>4</v>
      </c>
      <c r="T87" s="14" t="s">
        <v>265</v>
      </c>
      <c r="U87" s="101" t="str">
        <f t="shared" ca="1" si="13"/>
        <v>Кепка BAILEY арт. 90156BH LAZ (белый / черный)</v>
      </c>
      <c r="V87" s="100" t="str">
        <f t="shared" ca="1" si="14"/>
        <v>Кепка BAILEY арт. 90156BH LAZ (белый / черный) {black}</v>
      </c>
      <c r="W87" s="18" t="str">
        <f t="shared" ca="1" si="15"/>
        <v>белый</v>
      </c>
      <c r="X87" s="18" t="str">
        <f t="shared" ca="1" si="16"/>
        <v>черный</v>
      </c>
      <c r="Y87" s="117" t="str">
        <f ca="1">_xlfn.LET(_xlpm.FormColors,_xlfn.XLOOKUP(A87,Строчный!A:A,Строчный!Q:Q,"",0),IF(_xlpm.FormColors=0,IFERROR(MID(I87,FIND("-",I87)+1,LEN(I87)),IFERROR(MID(I87,1,FIND("/",I87)-2),I87)),_xlpm.FormColors))</f>
        <v>белый</v>
      </c>
      <c r="Z87" s="73" t="str">
        <f ca="1"/>
        <v>21-753-48-57</v>
      </c>
      <c r="AA87" s="75" t="str">
        <f ca="1">VLOOKUP(C87,Группа!A:B,2,FALSE)</f>
        <v>Кепка</v>
      </c>
      <c r="AB87" s="97" t="str">
        <f ca="1">IFERROR(VLOOKUP(R87,Размеры!A:C,3,FALSE),"")</f>
        <v>57 M</v>
      </c>
      <c r="AC87" s="97" t="str">
        <f ca="1">VLOOKUP(I87,ЦветПолный!A:B,2,FALSE)</f>
        <v>48</v>
      </c>
      <c r="AD87" s="97" t="str">
        <f ca="1">IFERROR(VLOOKUP(R87,Размеры!A:D,4,FALSE),"")</f>
        <v>57</v>
      </c>
      <c r="AE87" s="97">
        <f ca="1">IF(LEFT(IFERROR(VLOOKUP(LOOKUP(2,1/SEARCH(B87,Товары!A:A),Товары!A:A),Товары!A:B,2,0),""),6)=MID(Z87,1,6),1,0)</f>
        <v>1</v>
      </c>
      <c r="AG87" s="97">
        <f ca="1">SUMIF(Группа!A:A,C87,Группа!C:C)</f>
        <v>1</v>
      </c>
      <c r="AH87" s="97">
        <f ca="1">SUMIF(Группа!B:B,AA87,Группа!C:C)</f>
        <v>1</v>
      </c>
      <c r="AI87" s="97">
        <f ca="1">SUMIF(Формы!A:A,D87,Формы!B:B)</f>
        <v>1</v>
      </c>
      <c r="AJ87" s="97">
        <f ca="1">SUMIF(Материал!A:A,K87,Материал!B:B)</f>
        <v>0</v>
      </c>
      <c r="AK87" s="97">
        <f ca="1">SUMIF(Размеры!A:A,R87,Размеры!E:E)</f>
        <v>1</v>
      </c>
      <c r="AL87" s="97">
        <f ca="1">SUMIF(Сезон!A:A,F87,Сезон!B:B)</f>
        <v>1</v>
      </c>
      <c r="AM87" s="97">
        <f ca="1">SUMIF(Состав!A:A,J87,Состав!B:B)</f>
        <v>0</v>
      </c>
      <c r="AN87" s="97">
        <f ca="1">VLOOKUP(I87,ЦветПолный!A:C,3,0)</f>
        <v>1</v>
      </c>
      <c r="AO87" s="97">
        <f ca="1">SUMIF(Цвет!A:A,Y87,Цвет!B:B)</f>
        <v>1</v>
      </c>
      <c r="AP87" s="97">
        <f ca="1">_xlfn.XLOOKUP(L87,Пол!A:A,Пол!B:B,0,0)</f>
        <v>1</v>
      </c>
      <c r="AQ87" s="97">
        <f ca="1">SUMIF(Марка!A:A,G87,Марка!B:B)</f>
        <v>1</v>
      </c>
      <c r="AR87" s="97">
        <f ca="1">SUMIF(Страна!A:A,M87,Страна!B:B)</f>
        <v>1</v>
      </c>
      <c r="AS87" s="64" t="str">
        <f ca="1">IF(VLOOKUP(V87,Товары!A:B,2,FALSE)=A87,"Есть в 1С","ERR")</f>
        <v>Есть в 1С</v>
      </c>
      <c r="AT87" s="65" t="str">
        <f ca="1">IF(VLOOKUP(A87,Товары!B:B,1,FALSE)=A87,"Есть в 1С","ERR")</f>
        <v>Есть в 1С</v>
      </c>
      <c r="AU87" s="96" t="str">
        <f ca="1">VLOOKUP(V87,Товары!A:B,2,FALSE)</f>
        <v>21-753-48</v>
      </c>
      <c r="AV87" s="94" t="str">
        <f ca="1">VLOOKUP(V87,Товары!A:B,1,FALSE)</f>
        <v>Кепка BAILEY арт. 90156BH LAZ (белый / черный) {black}</v>
      </c>
    </row>
    <row r="88" spans="1:48" x14ac:dyDescent="0.25">
      <c r="A88" s="110" t="str">
        <f t="shared" ca="1" si="17"/>
        <v>21-753-48</v>
      </c>
      <c r="B88" s="107" t="str">
        <f ca="1">_xlfn.LET(_xlpm.CAPS,0,_xlpm.Style,_xlfn.XLOOKUP($A88,Строчный!$A:$A,Строчный!B:B,"ERR",0),IF(_xlpm.CAPS=0,_xlpm.Style,LOWER(_xlpm.Style)))</f>
        <v>90156BH LAZ</v>
      </c>
      <c r="C88" s="81" t="str">
        <f ca="1">PROPER(_xlfn.XLOOKUP($A88,Строчный!$A:$A,Строчный!C:C,"ERR",0))</f>
        <v>Кепки</v>
      </c>
      <c r="D88" s="81" t="str">
        <f ca="1">_xlfn.LET(_xlpm.DATA,(_xlfn.XLOOKUP($A88,Строчный!$A:$A,Строчный!D:D,"ERR",0)),UPPER(MID(_xlpm.DATA,1,1))&amp;LOWER(MID(_xlpm.DATA,2,LEN(_xlpm.DATA)-1)))</f>
        <v>Кепка восьмиклинка</v>
      </c>
      <c r="E88" s="81" t="str">
        <f ca="1">PROPER(_xlfn.XLOOKUP($A88,Строчный!$A:$A,Строчный!E:E,"ERR",0))</f>
        <v>The Hollywood</v>
      </c>
      <c r="F88" s="81" t="str">
        <f ca="1">LOWER(_xlfn.XLOOKUP($A88,Строчный!$A:$A,Строчный!F:F,"ERR",0))</f>
        <v>летний</v>
      </c>
      <c r="G88" s="81" t="str">
        <f ca="1">UPPER(_xlfn.XLOOKUP($A88,Строчный!$A:$A,Строчный!G:G,"ERR",0))</f>
        <v>BAILEY</v>
      </c>
      <c r="H88" s="81" t="str">
        <f ca="1">LOWER(_xlfn.XLOOKUP($A88,Строчный!$A:$A,Строчный!H:H,"ERR",0))</f>
        <v>black</v>
      </c>
      <c r="I88" s="81" t="str">
        <f ca="1">LOWER(_xlfn.XLOOKUP($A88,Строчный!$A:$A,Строчный!I:I,"ERR",0))</f>
        <v>белый / черный</v>
      </c>
      <c r="J88" s="81" t="str">
        <f ca="1">SUBSTITUTE(LOWER(_xlfn.XLOOKUP($A88,Строчный!$A:$A,Строчный!J:J,"ERR",0)),"подклад","Подклад")</f>
        <v>100% полиэстер / Подклад: 100% полиэстер</v>
      </c>
      <c r="K88" s="81" t="str">
        <f ca="1">LOWER(_xlfn.XLOOKUP($A88,Строчный!$A:$A,Строчный!K:K,"ERR",0))</f>
        <v/>
      </c>
      <c r="L88" s="81" t="str">
        <f ca="1">PROPER(_xlfn.XLOOKUP($A88,Строчный!$A:$A,Строчный!L:L,"ERR",0))</f>
        <v>Унисекс</v>
      </c>
      <c r="M88" s="113" t="str">
        <f ca="1">PROPER(_xlfn.XLOOKUP($A88,Строчный!$A:$A,Строчный!M:M,"ERR",0))</f>
        <v>Китай</v>
      </c>
      <c r="N88" s="81" t="str">
        <f ca="1">UPPER(_xlfn.XLOOKUP($A88,Строчный!$A:$A,Строчный!O:O,"ERR",0))</f>
        <v/>
      </c>
      <c r="O88" s="107" t="str">
        <f ca="1">PROPER(_xlfn.XLOOKUP($A88,Строчный!$A:$A,Строчный!P:P,"ERR",0))</f>
        <v/>
      </c>
      <c r="P88" s="90">
        <f ca="1">VALUE(_xlfn.XLOOKUP($A88,Строчный!$A:$A,Строчный!N:N,"ERR",0))</f>
        <v>1702.3500000000001</v>
      </c>
      <c r="Q88" s="89" t="str">
        <f ca="1">_xlfn.XLOOKUP($G88,Фабрика!A:A,Фабрика!B:B,"ERR",0)</f>
        <v>Bollman Headwear Europe Ltd; 2 Merchants drive, Caelisle, Cumbria CA3 0JW, United Kingdom</v>
      </c>
      <c r="R88" s="80" t="str">
        <f ca="1">_xlfn.XLOOKUP(RIGHT(Z88,2),Размеры!D:D,Размеры!A:A,"ERR",0)</f>
        <v>55</v>
      </c>
      <c r="S88" s="80">
        <f ca="1">VALUE(_xlfn.XLOOKUP($Z88,Строчный!$R:$R,Строчный!T:T,"ERR",0))</f>
        <v>1</v>
      </c>
      <c r="T88" s="14" t="s">
        <v>265</v>
      </c>
      <c r="U88" s="101" t="str">
        <f t="shared" ca="1" si="13"/>
        <v>Кепка BAILEY арт. 90156BH LAZ (белый / черный)</v>
      </c>
      <c r="V88" s="100" t="str">
        <f t="shared" ca="1" si="14"/>
        <v>Кепка BAILEY арт. 90156BH LAZ (белый / черный) {black}</v>
      </c>
      <c r="W88" s="18" t="str">
        <f t="shared" ca="1" si="15"/>
        <v>белый</v>
      </c>
      <c r="X88" s="18" t="str">
        <f t="shared" ca="1" si="16"/>
        <v>черный</v>
      </c>
      <c r="Y88" s="117" t="str">
        <f ca="1">_xlfn.LET(_xlpm.FormColors,_xlfn.XLOOKUP(A88,Строчный!A:A,Строчный!Q:Q,"",0),IF(_xlpm.FormColors=0,IFERROR(MID(I88,FIND("-",I88)+1,LEN(I88)),IFERROR(MID(I88,1,FIND("/",I88)-2),I88)),_xlpm.FormColors))</f>
        <v>белый</v>
      </c>
      <c r="Z88" s="73" t="str">
        <f ca="1"/>
        <v>21-753-48-55</v>
      </c>
      <c r="AA88" s="75" t="str">
        <f ca="1">VLOOKUP(C88,Группа!A:B,2,FALSE)</f>
        <v>Кепка</v>
      </c>
      <c r="AB88" s="97" t="str">
        <f ca="1">IFERROR(VLOOKUP(R88,Размеры!A:C,3,FALSE),"")</f>
        <v>55 S</v>
      </c>
      <c r="AC88" s="97" t="str">
        <f ca="1">VLOOKUP(I88,ЦветПолный!A:B,2,FALSE)</f>
        <v>48</v>
      </c>
      <c r="AD88" s="97" t="str">
        <f ca="1">IFERROR(VLOOKUP(R88,Размеры!A:D,4,FALSE),"")</f>
        <v>55</v>
      </c>
      <c r="AE88" s="97">
        <f ca="1">IF(LEFT(IFERROR(VLOOKUP(LOOKUP(2,1/SEARCH(B88,Товары!A:A),Товары!A:A),Товары!A:B,2,0),""),6)=MID(Z88,1,6),1,0)</f>
        <v>1</v>
      </c>
      <c r="AG88" s="97">
        <f ca="1">SUMIF(Группа!A:A,C88,Группа!C:C)</f>
        <v>1</v>
      </c>
      <c r="AH88" s="97">
        <f ca="1">SUMIF(Группа!B:B,AA88,Группа!C:C)</f>
        <v>1</v>
      </c>
      <c r="AI88" s="97">
        <f ca="1">SUMIF(Формы!A:A,D88,Формы!B:B)</f>
        <v>1</v>
      </c>
      <c r="AJ88" s="97">
        <f ca="1">SUMIF(Материал!A:A,K88,Материал!B:B)</f>
        <v>0</v>
      </c>
      <c r="AK88" s="97">
        <f ca="1">SUMIF(Размеры!A:A,R88,Размеры!E:E)</f>
        <v>1</v>
      </c>
      <c r="AL88" s="97">
        <f ca="1">SUMIF(Сезон!A:A,F88,Сезон!B:B)</f>
        <v>1</v>
      </c>
      <c r="AM88" s="97">
        <f ca="1">SUMIF(Состав!A:A,J88,Состав!B:B)</f>
        <v>0</v>
      </c>
      <c r="AN88" s="97">
        <f ca="1">VLOOKUP(I88,ЦветПолный!A:C,3,0)</f>
        <v>1</v>
      </c>
      <c r="AO88" s="97">
        <f ca="1">SUMIF(Цвет!A:A,Y88,Цвет!B:B)</f>
        <v>1</v>
      </c>
      <c r="AP88" s="97">
        <f ca="1">_xlfn.XLOOKUP(L88,Пол!A:A,Пол!B:B,0,0)</f>
        <v>1</v>
      </c>
      <c r="AQ88" s="97">
        <f ca="1">SUMIF(Марка!A:A,G88,Марка!B:B)</f>
        <v>1</v>
      </c>
      <c r="AR88" s="97">
        <f ca="1">SUMIF(Страна!A:A,M88,Страна!B:B)</f>
        <v>1</v>
      </c>
      <c r="AS88" s="64" t="str">
        <f ca="1">IF(VLOOKUP(V88,Товары!A:B,2,FALSE)=A88,"Есть в 1С","ERR")</f>
        <v>Есть в 1С</v>
      </c>
      <c r="AT88" s="65" t="str">
        <f ca="1">IF(VLOOKUP(A88,Товары!B:B,1,FALSE)=A88,"Есть в 1С","ERR")</f>
        <v>Есть в 1С</v>
      </c>
      <c r="AU88" s="96" t="str">
        <f ca="1">VLOOKUP(V88,Товары!A:B,2,FALSE)</f>
        <v>21-753-48</v>
      </c>
      <c r="AV88" s="94" t="str">
        <f ca="1">VLOOKUP(V88,Товары!A:B,1,FALSE)</f>
        <v>Кепка BAILEY арт. 90156BH LAZ (белый / черный) {black}</v>
      </c>
    </row>
    <row r="89" spans="1:48" x14ac:dyDescent="0.25">
      <c r="A89" s="110" t="str">
        <f t="shared" ca="1" si="17"/>
        <v>21-753-11</v>
      </c>
      <c r="B89" s="107" t="str">
        <f ca="1">_xlfn.LET(_xlpm.CAPS,0,_xlpm.Style,_xlfn.XLOOKUP($A89,Строчный!$A:$A,Строчный!B:B,"ERR",0),IF(_xlpm.CAPS=0,_xlpm.Style,LOWER(_xlpm.Style)))</f>
        <v>90156BH LAZ</v>
      </c>
      <c r="C89" s="81" t="str">
        <f ca="1">PROPER(_xlfn.XLOOKUP($A89,Строчный!$A:$A,Строчный!C:C,"ERR",0))</f>
        <v>Кепки</v>
      </c>
      <c r="D89" s="81" t="str">
        <f ca="1">_xlfn.LET(_xlpm.DATA,(_xlfn.XLOOKUP($A89,Строчный!$A:$A,Строчный!D:D,"ERR",0)),UPPER(MID(_xlpm.DATA,1,1))&amp;LOWER(MID(_xlpm.DATA,2,LEN(_xlpm.DATA)-1)))</f>
        <v>Кепка восьмиклинка</v>
      </c>
      <c r="E89" s="81" t="str">
        <f ca="1">PROPER(_xlfn.XLOOKUP($A89,Строчный!$A:$A,Строчный!E:E,"ERR",0))</f>
        <v>The Hollywood</v>
      </c>
      <c r="F89" s="81" t="str">
        <f ca="1">LOWER(_xlfn.XLOOKUP($A89,Строчный!$A:$A,Строчный!F:F,"ERR",0))</f>
        <v>летний</v>
      </c>
      <c r="G89" s="81" t="str">
        <f ca="1">UPPER(_xlfn.XLOOKUP($A89,Строчный!$A:$A,Строчный!G:G,"ERR",0))</f>
        <v>BAILEY</v>
      </c>
      <c r="H89" s="81" t="str">
        <f ca="1">LOWER(_xlfn.XLOOKUP($A89,Строчный!$A:$A,Строчный!H:H,"ERR",0))</f>
        <v>hunter</v>
      </c>
      <c r="I89" s="81" t="str">
        <f ca="1">LOWER(_xlfn.XLOOKUP($A89,Строчный!$A:$A,Строчный!I:I,"ERR",0))</f>
        <v>зеленый</v>
      </c>
      <c r="J89" s="81" t="str">
        <f ca="1">SUBSTITUTE(LOWER(_xlfn.XLOOKUP($A89,Строчный!$A:$A,Строчный!J:J,"ERR",0)),"подклад","Подклад")</f>
        <v>100% полиэстер / Подклад: 100% полиэстер</v>
      </c>
      <c r="K89" s="81" t="str">
        <f ca="1">LOWER(_xlfn.XLOOKUP($A89,Строчный!$A:$A,Строчный!K:K,"ERR",0))</f>
        <v/>
      </c>
      <c r="L89" s="81" t="str">
        <f ca="1">PROPER(_xlfn.XLOOKUP($A89,Строчный!$A:$A,Строчный!L:L,"ERR",0))</f>
        <v>Унисекс</v>
      </c>
      <c r="M89" s="113" t="str">
        <f ca="1">PROPER(_xlfn.XLOOKUP($A89,Строчный!$A:$A,Строчный!M:M,"ERR",0))</f>
        <v>Китай</v>
      </c>
      <c r="N89" s="81" t="str">
        <f ca="1">UPPER(_xlfn.XLOOKUP($A89,Строчный!$A:$A,Строчный!O:O,"ERR",0))</f>
        <v/>
      </c>
      <c r="O89" s="107" t="str">
        <f ca="1">PROPER(_xlfn.XLOOKUP($A89,Строчный!$A:$A,Строчный!P:P,"ERR",0))</f>
        <v/>
      </c>
      <c r="P89" s="90">
        <f ca="1">VALUE(_xlfn.XLOOKUP($A89,Строчный!$A:$A,Строчный!N:N,"ERR",0))</f>
        <v>1702.3500000000001</v>
      </c>
      <c r="Q89" s="89" t="str">
        <f ca="1">_xlfn.XLOOKUP($G89,Фабрика!A:A,Фабрика!B:B,"ERR",0)</f>
        <v>Bollman Headwear Europe Ltd; 2 Merchants drive, Caelisle, Cumbria CA3 0JW, United Kingdom</v>
      </c>
      <c r="R89" s="80" t="str">
        <f ca="1">_xlfn.XLOOKUP(RIGHT(Z89,2),Размеры!D:D,Размеры!A:A,"ERR",0)</f>
        <v>61</v>
      </c>
      <c r="S89" s="80">
        <f ca="1">VALUE(_xlfn.XLOOKUP($Z89,Строчный!$R:$R,Строчный!T:T,"ERR",0))</f>
        <v>4</v>
      </c>
      <c r="T89" s="14" t="s">
        <v>265</v>
      </c>
      <c r="U89" s="101" t="str">
        <f t="shared" ca="1" si="13"/>
        <v>Кепка BAILEY арт. 90156BH LAZ (зеленый)</v>
      </c>
      <c r="V89" s="100" t="str">
        <f t="shared" ca="1" si="14"/>
        <v>Кепка BAILEY арт. 90156BH LAZ (зеленый) {hunter}</v>
      </c>
      <c r="W89" s="18" t="str">
        <f t="shared" ca="1" si="15"/>
        <v>зеленый</v>
      </c>
      <c r="X89" s="18" t="str">
        <f t="shared" ca="1" si="16"/>
        <v>зеленый</v>
      </c>
      <c r="Y89" s="117" t="str">
        <f ca="1">_xlfn.LET(_xlpm.FormColors,_xlfn.XLOOKUP(A89,Строчный!A:A,Строчный!Q:Q,"",0),IF(_xlpm.FormColors=0,IFERROR(MID(I89,FIND("-",I89)+1,LEN(I89)),IFERROR(MID(I89,1,FIND("/",I89)-2),I89)),_xlpm.FormColors))</f>
        <v>зеленый</v>
      </c>
      <c r="Z89" s="73" t="str">
        <f ca="1"/>
        <v>21-753-11-61</v>
      </c>
      <c r="AA89" s="75" t="str">
        <f ca="1">VLOOKUP(C89,Группа!A:B,2,FALSE)</f>
        <v>Кепка</v>
      </c>
      <c r="AB89" s="97" t="str">
        <f ca="1">IFERROR(VLOOKUP(R89,Размеры!A:C,3,FALSE),"")</f>
        <v>61 XL</v>
      </c>
      <c r="AC89" s="97" t="str">
        <f ca="1">VLOOKUP(I89,ЦветПолный!A:B,2,FALSE)</f>
        <v>11</v>
      </c>
      <c r="AD89" s="97" t="str">
        <f ca="1">IFERROR(VLOOKUP(R89,Размеры!A:D,4,FALSE),"")</f>
        <v>61</v>
      </c>
      <c r="AE89" s="97">
        <f ca="1">IF(LEFT(IFERROR(VLOOKUP(LOOKUP(2,1/SEARCH(B89,Товары!A:A),Товары!A:A),Товары!A:B,2,0),""),6)=MID(Z89,1,6),1,0)</f>
        <v>1</v>
      </c>
      <c r="AG89" s="97">
        <f ca="1">SUMIF(Группа!A:A,C89,Группа!C:C)</f>
        <v>1</v>
      </c>
      <c r="AH89" s="97">
        <f ca="1">SUMIF(Группа!B:B,AA89,Группа!C:C)</f>
        <v>1</v>
      </c>
      <c r="AI89" s="97">
        <f ca="1">SUMIF(Формы!A:A,D89,Формы!B:B)</f>
        <v>1</v>
      </c>
      <c r="AJ89" s="97">
        <f ca="1">SUMIF(Материал!A:A,K89,Материал!B:B)</f>
        <v>0</v>
      </c>
      <c r="AK89" s="97">
        <f ca="1">SUMIF(Размеры!A:A,R89,Размеры!E:E)</f>
        <v>1</v>
      </c>
      <c r="AL89" s="97">
        <f ca="1">SUMIF(Сезон!A:A,F89,Сезон!B:B)</f>
        <v>1</v>
      </c>
      <c r="AM89" s="97">
        <f ca="1">SUMIF(Состав!A:A,J89,Состав!B:B)</f>
        <v>0</v>
      </c>
      <c r="AN89" s="97">
        <f ca="1">VLOOKUP(I89,ЦветПолный!A:C,3,0)</f>
        <v>1</v>
      </c>
      <c r="AO89" s="97">
        <f ca="1">SUMIF(Цвет!A:A,Y89,Цвет!B:B)</f>
        <v>1</v>
      </c>
      <c r="AP89" s="97">
        <f ca="1">_xlfn.XLOOKUP(L89,Пол!A:A,Пол!B:B,0,0)</f>
        <v>1</v>
      </c>
      <c r="AQ89" s="97">
        <f ca="1">SUMIF(Марка!A:A,G89,Марка!B:B)</f>
        <v>1</v>
      </c>
      <c r="AR89" s="97">
        <f ca="1">SUMIF(Страна!A:A,M89,Страна!B:B)</f>
        <v>1</v>
      </c>
      <c r="AS89" s="64" t="e">
        <f ca="1">IF(VLOOKUP(V89,Товары!A:B,2,FALSE)=A89,"Есть в 1С","ERR")</f>
        <v>#N/A</v>
      </c>
      <c r="AT89" s="65" t="e">
        <f ca="1">IF(VLOOKUP(A89,Товары!B:B,1,FALSE)=A89,"Есть в 1С","ERR")</f>
        <v>#N/A</v>
      </c>
      <c r="AU89" s="96" t="e">
        <f ca="1">VLOOKUP(V89,Товары!A:B,2,FALSE)</f>
        <v>#N/A</v>
      </c>
      <c r="AV89" s="94" t="e">
        <f ca="1">VLOOKUP(V89,Товары!A:B,1,FALSE)</f>
        <v>#N/A</v>
      </c>
    </row>
    <row r="90" spans="1:48" x14ac:dyDescent="0.25">
      <c r="A90" s="110" t="str">
        <f t="shared" ca="1" si="17"/>
        <v>21-753-11</v>
      </c>
      <c r="B90" s="107" t="str">
        <f ca="1">_xlfn.LET(_xlpm.CAPS,0,_xlpm.Style,_xlfn.XLOOKUP($A90,Строчный!$A:$A,Строчный!B:B,"ERR",0),IF(_xlpm.CAPS=0,_xlpm.Style,LOWER(_xlpm.Style)))</f>
        <v>90156BH LAZ</v>
      </c>
      <c r="C90" s="81" t="str">
        <f ca="1">PROPER(_xlfn.XLOOKUP($A90,Строчный!$A:$A,Строчный!C:C,"ERR",0))</f>
        <v>Кепки</v>
      </c>
      <c r="D90" s="81" t="str">
        <f ca="1">_xlfn.LET(_xlpm.DATA,(_xlfn.XLOOKUP($A90,Строчный!$A:$A,Строчный!D:D,"ERR",0)),UPPER(MID(_xlpm.DATA,1,1))&amp;LOWER(MID(_xlpm.DATA,2,LEN(_xlpm.DATA)-1)))</f>
        <v>Кепка восьмиклинка</v>
      </c>
      <c r="E90" s="81" t="str">
        <f ca="1">PROPER(_xlfn.XLOOKUP($A90,Строчный!$A:$A,Строчный!E:E,"ERR",0))</f>
        <v>The Hollywood</v>
      </c>
      <c r="F90" s="81" t="str">
        <f ca="1">LOWER(_xlfn.XLOOKUP($A90,Строчный!$A:$A,Строчный!F:F,"ERR",0))</f>
        <v>летний</v>
      </c>
      <c r="G90" s="81" t="str">
        <f ca="1">UPPER(_xlfn.XLOOKUP($A90,Строчный!$A:$A,Строчный!G:G,"ERR",0))</f>
        <v>BAILEY</v>
      </c>
      <c r="H90" s="81" t="str">
        <f ca="1">LOWER(_xlfn.XLOOKUP($A90,Строчный!$A:$A,Строчный!H:H,"ERR",0))</f>
        <v>hunter</v>
      </c>
      <c r="I90" s="81" t="str">
        <f ca="1">LOWER(_xlfn.XLOOKUP($A90,Строчный!$A:$A,Строчный!I:I,"ERR",0))</f>
        <v>зеленый</v>
      </c>
      <c r="J90" s="81" t="str">
        <f ca="1">SUBSTITUTE(LOWER(_xlfn.XLOOKUP($A90,Строчный!$A:$A,Строчный!J:J,"ERR",0)),"подклад","Подклад")</f>
        <v>100% полиэстер / Подклад: 100% полиэстер</v>
      </c>
      <c r="K90" s="81" t="str">
        <f ca="1">LOWER(_xlfn.XLOOKUP($A90,Строчный!$A:$A,Строчный!K:K,"ERR",0))</f>
        <v/>
      </c>
      <c r="L90" s="81" t="str">
        <f ca="1">PROPER(_xlfn.XLOOKUP($A90,Строчный!$A:$A,Строчный!L:L,"ERR",0))</f>
        <v>Унисекс</v>
      </c>
      <c r="M90" s="113" t="str">
        <f ca="1">PROPER(_xlfn.XLOOKUP($A90,Строчный!$A:$A,Строчный!M:M,"ERR",0))</f>
        <v>Китай</v>
      </c>
      <c r="N90" s="81" t="str">
        <f ca="1">UPPER(_xlfn.XLOOKUP($A90,Строчный!$A:$A,Строчный!O:O,"ERR",0))</f>
        <v/>
      </c>
      <c r="O90" s="107" t="str">
        <f ca="1">PROPER(_xlfn.XLOOKUP($A90,Строчный!$A:$A,Строчный!P:P,"ERR",0))</f>
        <v/>
      </c>
      <c r="P90" s="90">
        <f ca="1">VALUE(_xlfn.XLOOKUP($A90,Строчный!$A:$A,Строчный!N:N,"ERR",0))</f>
        <v>1702.3500000000001</v>
      </c>
      <c r="Q90" s="89" t="str">
        <f ca="1">_xlfn.XLOOKUP($G90,Фабрика!A:A,Фабрика!B:B,"ERR",0)</f>
        <v>Bollman Headwear Europe Ltd; 2 Merchants drive, Caelisle, Cumbria CA3 0JW, United Kingdom</v>
      </c>
      <c r="R90" s="80" t="str">
        <f ca="1">_xlfn.XLOOKUP(RIGHT(Z90,2),Размеры!D:D,Размеры!A:A,"ERR",0)</f>
        <v>59</v>
      </c>
      <c r="S90" s="80">
        <f ca="1">VALUE(_xlfn.XLOOKUP($Z90,Строчный!$R:$R,Строчный!T:T,"ERR",0))</f>
        <v>7</v>
      </c>
      <c r="T90" s="14" t="s">
        <v>265</v>
      </c>
      <c r="U90" s="101" t="str">
        <f t="shared" ca="1" si="13"/>
        <v>Кепка BAILEY арт. 90156BH LAZ (зеленый)</v>
      </c>
      <c r="V90" s="100" t="str">
        <f t="shared" ca="1" si="14"/>
        <v>Кепка BAILEY арт. 90156BH LAZ (зеленый) {hunter}</v>
      </c>
      <c r="W90" s="18" t="str">
        <f t="shared" ca="1" si="15"/>
        <v>зеленый</v>
      </c>
      <c r="X90" s="18" t="str">
        <f t="shared" ca="1" si="16"/>
        <v>зеленый</v>
      </c>
      <c r="Y90" s="117" t="str">
        <f ca="1">_xlfn.LET(_xlpm.FormColors,_xlfn.XLOOKUP(A90,Строчный!A:A,Строчный!Q:Q,"",0),IF(_xlpm.FormColors=0,IFERROR(MID(I90,FIND("-",I90)+1,LEN(I90)),IFERROR(MID(I90,1,FIND("/",I90)-2),I90)),_xlpm.FormColors))</f>
        <v>зеленый</v>
      </c>
      <c r="Z90" s="73" t="str">
        <f ca="1"/>
        <v>21-753-11-59</v>
      </c>
      <c r="AA90" s="75" t="str">
        <f ca="1">VLOOKUP(C90,Группа!A:B,2,FALSE)</f>
        <v>Кепка</v>
      </c>
      <c r="AB90" s="97" t="str">
        <f ca="1">IFERROR(VLOOKUP(R90,Размеры!A:C,3,FALSE),"")</f>
        <v>59 L</v>
      </c>
      <c r="AC90" s="97" t="str">
        <f ca="1">VLOOKUP(I90,ЦветПолный!A:B,2,FALSE)</f>
        <v>11</v>
      </c>
      <c r="AD90" s="97" t="str">
        <f ca="1">IFERROR(VLOOKUP(R90,Размеры!A:D,4,FALSE),"")</f>
        <v>59</v>
      </c>
      <c r="AE90" s="97">
        <f ca="1">IF(LEFT(IFERROR(VLOOKUP(LOOKUP(2,1/SEARCH(B90,Товары!A:A),Товары!A:A),Товары!A:B,2,0),""),6)=MID(Z90,1,6),1,0)</f>
        <v>1</v>
      </c>
      <c r="AG90" s="97">
        <f ca="1">SUMIF(Группа!A:A,C90,Группа!C:C)</f>
        <v>1</v>
      </c>
      <c r="AH90" s="97">
        <f ca="1">SUMIF(Группа!B:B,AA90,Группа!C:C)</f>
        <v>1</v>
      </c>
      <c r="AI90" s="97">
        <f ca="1">SUMIF(Формы!A:A,D90,Формы!B:B)</f>
        <v>1</v>
      </c>
      <c r="AJ90" s="97">
        <f ca="1">SUMIF(Материал!A:A,K90,Материал!B:B)</f>
        <v>0</v>
      </c>
      <c r="AK90" s="97">
        <f ca="1">SUMIF(Размеры!A:A,R90,Размеры!E:E)</f>
        <v>1</v>
      </c>
      <c r="AL90" s="97">
        <f ca="1">SUMIF(Сезон!A:A,F90,Сезон!B:B)</f>
        <v>1</v>
      </c>
      <c r="AM90" s="97">
        <f ca="1">SUMIF(Состав!A:A,J90,Состав!B:B)</f>
        <v>0</v>
      </c>
      <c r="AN90" s="97">
        <f ca="1">VLOOKUP(I90,ЦветПолный!A:C,3,0)</f>
        <v>1</v>
      </c>
      <c r="AO90" s="97">
        <f ca="1">SUMIF(Цвет!A:A,Y90,Цвет!B:B)</f>
        <v>1</v>
      </c>
      <c r="AP90" s="97">
        <f ca="1">_xlfn.XLOOKUP(L90,Пол!A:A,Пол!B:B,0,0)</f>
        <v>1</v>
      </c>
      <c r="AQ90" s="97">
        <f ca="1">SUMIF(Марка!A:A,G90,Марка!B:B)</f>
        <v>1</v>
      </c>
      <c r="AR90" s="97">
        <f ca="1">SUMIF(Страна!A:A,M90,Страна!B:B)</f>
        <v>1</v>
      </c>
      <c r="AS90" s="64" t="e">
        <f ca="1">IF(VLOOKUP(V90,Товары!A:B,2,FALSE)=A90,"Есть в 1С","ERR")</f>
        <v>#N/A</v>
      </c>
      <c r="AT90" s="65" t="e">
        <f ca="1">IF(VLOOKUP(A90,Товары!B:B,1,FALSE)=A90,"Есть в 1С","ERR")</f>
        <v>#N/A</v>
      </c>
      <c r="AU90" s="96" t="e">
        <f ca="1">VLOOKUP(V90,Товары!A:B,2,FALSE)</f>
        <v>#N/A</v>
      </c>
      <c r="AV90" s="94" t="e">
        <f ca="1">VLOOKUP(V90,Товары!A:B,1,FALSE)</f>
        <v>#N/A</v>
      </c>
    </row>
    <row r="91" spans="1:48" x14ac:dyDescent="0.25">
      <c r="A91" s="110" t="str">
        <f t="shared" ca="1" si="17"/>
        <v>21-753-11</v>
      </c>
      <c r="B91" s="107" t="str">
        <f ca="1">_xlfn.LET(_xlpm.CAPS,0,_xlpm.Style,_xlfn.XLOOKUP($A91,Строчный!$A:$A,Строчный!B:B,"ERR",0),IF(_xlpm.CAPS=0,_xlpm.Style,LOWER(_xlpm.Style)))</f>
        <v>90156BH LAZ</v>
      </c>
      <c r="C91" s="81" t="str">
        <f ca="1">PROPER(_xlfn.XLOOKUP($A91,Строчный!$A:$A,Строчный!C:C,"ERR",0))</f>
        <v>Кепки</v>
      </c>
      <c r="D91" s="81" t="str">
        <f ca="1">_xlfn.LET(_xlpm.DATA,(_xlfn.XLOOKUP($A91,Строчный!$A:$A,Строчный!D:D,"ERR",0)),UPPER(MID(_xlpm.DATA,1,1))&amp;LOWER(MID(_xlpm.DATA,2,LEN(_xlpm.DATA)-1)))</f>
        <v>Кепка восьмиклинка</v>
      </c>
      <c r="E91" s="81" t="str">
        <f ca="1">PROPER(_xlfn.XLOOKUP($A91,Строчный!$A:$A,Строчный!E:E,"ERR",0))</f>
        <v>The Hollywood</v>
      </c>
      <c r="F91" s="81" t="str">
        <f ca="1">LOWER(_xlfn.XLOOKUP($A91,Строчный!$A:$A,Строчный!F:F,"ERR",0))</f>
        <v>летний</v>
      </c>
      <c r="G91" s="81" t="str">
        <f ca="1">UPPER(_xlfn.XLOOKUP($A91,Строчный!$A:$A,Строчный!G:G,"ERR",0))</f>
        <v>BAILEY</v>
      </c>
      <c r="H91" s="81" t="str">
        <f ca="1">LOWER(_xlfn.XLOOKUP($A91,Строчный!$A:$A,Строчный!H:H,"ERR",0))</f>
        <v>hunter</v>
      </c>
      <c r="I91" s="81" t="str">
        <f ca="1">LOWER(_xlfn.XLOOKUP($A91,Строчный!$A:$A,Строчный!I:I,"ERR",0))</f>
        <v>зеленый</v>
      </c>
      <c r="J91" s="81" t="str">
        <f ca="1">SUBSTITUTE(LOWER(_xlfn.XLOOKUP($A91,Строчный!$A:$A,Строчный!J:J,"ERR",0)),"подклад","Подклад")</f>
        <v>100% полиэстер / Подклад: 100% полиэстер</v>
      </c>
      <c r="K91" s="81" t="str">
        <f ca="1">LOWER(_xlfn.XLOOKUP($A91,Строчный!$A:$A,Строчный!K:K,"ERR",0))</f>
        <v/>
      </c>
      <c r="L91" s="81" t="str">
        <f ca="1">PROPER(_xlfn.XLOOKUP($A91,Строчный!$A:$A,Строчный!L:L,"ERR",0))</f>
        <v>Унисекс</v>
      </c>
      <c r="M91" s="113" t="str">
        <f ca="1">PROPER(_xlfn.XLOOKUP($A91,Строчный!$A:$A,Строчный!M:M,"ERR",0))</f>
        <v>Китай</v>
      </c>
      <c r="N91" s="81" t="str">
        <f ca="1">UPPER(_xlfn.XLOOKUP($A91,Строчный!$A:$A,Строчный!O:O,"ERR",0))</f>
        <v/>
      </c>
      <c r="O91" s="107" t="str">
        <f ca="1">PROPER(_xlfn.XLOOKUP($A91,Строчный!$A:$A,Строчный!P:P,"ERR",0))</f>
        <v/>
      </c>
      <c r="P91" s="90">
        <f ca="1">VALUE(_xlfn.XLOOKUP($A91,Строчный!$A:$A,Строчный!N:N,"ERR",0))</f>
        <v>1702.3500000000001</v>
      </c>
      <c r="Q91" s="89" t="str">
        <f ca="1">_xlfn.XLOOKUP($G91,Фабрика!A:A,Фабрика!B:B,"ERR",0)</f>
        <v>Bollman Headwear Europe Ltd; 2 Merchants drive, Caelisle, Cumbria CA3 0JW, United Kingdom</v>
      </c>
      <c r="R91" s="80" t="str">
        <f ca="1">_xlfn.XLOOKUP(RIGHT(Z91,2),Размеры!D:D,Размеры!A:A,"ERR",0)</f>
        <v>57</v>
      </c>
      <c r="S91" s="80">
        <f ca="1">VALUE(_xlfn.XLOOKUP($Z91,Строчный!$R:$R,Строчный!T:T,"ERR",0))</f>
        <v>4</v>
      </c>
      <c r="T91" s="14" t="s">
        <v>265</v>
      </c>
      <c r="U91" s="101" t="str">
        <f t="shared" ca="1" si="13"/>
        <v>Кепка BAILEY арт. 90156BH LAZ (зеленый)</v>
      </c>
      <c r="V91" s="100" t="str">
        <f t="shared" ca="1" si="14"/>
        <v>Кепка BAILEY арт. 90156BH LAZ (зеленый) {hunter}</v>
      </c>
      <c r="W91" s="18" t="str">
        <f t="shared" ca="1" si="15"/>
        <v>зеленый</v>
      </c>
      <c r="X91" s="18" t="str">
        <f t="shared" ca="1" si="16"/>
        <v>зеленый</v>
      </c>
      <c r="Y91" s="117" t="str">
        <f ca="1">_xlfn.LET(_xlpm.FormColors,_xlfn.XLOOKUP(A91,Строчный!A:A,Строчный!Q:Q,"",0),IF(_xlpm.FormColors=0,IFERROR(MID(I91,FIND("-",I91)+1,LEN(I91)),IFERROR(MID(I91,1,FIND("/",I91)-2),I91)),_xlpm.FormColors))</f>
        <v>зеленый</v>
      </c>
      <c r="Z91" s="73" t="str">
        <f ca="1"/>
        <v>21-753-11-57</v>
      </c>
      <c r="AA91" s="75" t="str">
        <f ca="1">VLOOKUP(C91,Группа!A:B,2,FALSE)</f>
        <v>Кепка</v>
      </c>
      <c r="AB91" s="97" t="str">
        <f ca="1">IFERROR(VLOOKUP(R91,Размеры!A:C,3,FALSE),"")</f>
        <v>57 M</v>
      </c>
      <c r="AC91" s="97" t="str">
        <f ca="1">VLOOKUP(I91,ЦветПолный!A:B,2,FALSE)</f>
        <v>11</v>
      </c>
      <c r="AD91" s="97" t="str">
        <f ca="1">IFERROR(VLOOKUP(R91,Размеры!A:D,4,FALSE),"")</f>
        <v>57</v>
      </c>
      <c r="AE91" s="97">
        <f ca="1">IF(LEFT(IFERROR(VLOOKUP(LOOKUP(2,1/SEARCH(B91,Товары!A:A),Товары!A:A),Товары!A:B,2,0),""),6)=MID(Z91,1,6),1,0)</f>
        <v>1</v>
      </c>
      <c r="AG91" s="97">
        <f ca="1">SUMIF(Группа!A:A,C91,Группа!C:C)</f>
        <v>1</v>
      </c>
      <c r="AH91" s="97">
        <f ca="1">SUMIF(Группа!B:B,AA91,Группа!C:C)</f>
        <v>1</v>
      </c>
      <c r="AI91" s="97">
        <f ca="1">SUMIF(Формы!A:A,D91,Формы!B:B)</f>
        <v>1</v>
      </c>
      <c r="AJ91" s="97">
        <f ca="1">SUMIF(Материал!A:A,K91,Материал!B:B)</f>
        <v>0</v>
      </c>
      <c r="AK91" s="97">
        <f ca="1">SUMIF(Размеры!A:A,R91,Размеры!E:E)</f>
        <v>1</v>
      </c>
      <c r="AL91" s="97">
        <f ca="1">SUMIF(Сезон!A:A,F91,Сезон!B:B)</f>
        <v>1</v>
      </c>
      <c r="AM91" s="97">
        <f ca="1">SUMIF(Состав!A:A,J91,Состав!B:B)</f>
        <v>0</v>
      </c>
      <c r="AN91" s="97">
        <f ca="1">VLOOKUP(I91,ЦветПолный!A:C,3,0)</f>
        <v>1</v>
      </c>
      <c r="AO91" s="97">
        <f ca="1">SUMIF(Цвет!A:A,Y91,Цвет!B:B)</f>
        <v>1</v>
      </c>
      <c r="AP91" s="97">
        <f ca="1">_xlfn.XLOOKUP(L91,Пол!A:A,Пол!B:B,0,0)</f>
        <v>1</v>
      </c>
      <c r="AQ91" s="97">
        <f ca="1">SUMIF(Марка!A:A,G91,Марка!B:B)</f>
        <v>1</v>
      </c>
      <c r="AR91" s="97">
        <f ca="1">SUMIF(Страна!A:A,M91,Страна!B:B)</f>
        <v>1</v>
      </c>
      <c r="AS91" s="64" t="e">
        <f ca="1">IF(VLOOKUP(V91,Товары!A:B,2,FALSE)=A91,"Есть в 1С","ERR")</f>
        <v>#N/A</v>
      </c>
      <c r="AT91" s="65" t="e">
        <f ca="1">IF(VLOOKUP(A91,Товары!B:B,1,FALSE)=A91,"Есть в 1С","ERR")</f>
        <v>#N/A</v>
      </c>
      <c r="AU91" s="96" t="e">
        <f ca="1">VLOOKUP(V91,Товары!A:B,2,FALSE)</f>
        <v>#N/A</v>
      </c>
      <c r="AV91" s="94" t="e">
        <f ca="1">VLOOKUP(V91,Товары!A:B,1,FALSE)</f>
        <v>#N/A</v>
      </c>
    </row>
    <row r="92" spans="1:48" x14ac:dyDescent="0.25">
      <c r="A92" s="110" t="str">
        <f t="shared" ca="1" si="17"/>
        <v>21-753-11</v>
      </c>
      <c r="B92" s="107" t="str">
        <f ca="1">_xlfn.LET(_xlpm.CAPS,0,_xlpm.Style,_xlfn.XLOOKUP($A92,Строчный!$A:$A,Строчный!B:B,"ERR",0),IF(_xlpm.CAPS=0,_xlpm.Style,LOWER(_xlpm.Style)))</f>
        <v>90156BH LAZ</v>
      </c>
      <c r="C92" s="81" t="str">
        <f ca="1">PROPER(_xlfn.XLOOKUP($A92,Строчный!$A:$A,Строчный!C:C,"ERR",0))</f>
        <v>Кепки</v>
      </c>
      <c r="D92" s="81" t="str">
        <f ca="1">_xlfn.LET(_xlpm.DATA,(_xlfn.XLOOKUP($A92,Строчный!$A:$A,Строчный!D:D,"ERR",0)),UPPER(MID(_xlpm.DATA,1,1))&amp;LOWER(MID(_xlpm.DATA,2,LEN(_xlpm.DATA)-1)))</f>
        <v>Кепка восьмиклинка</v>
      </c>
      <c r="E92" s="81" t="str">
        <f ca="1">PROPER(_xlfn.XLOOKUP($A92,Строчный!$A:$A,Строчный!E:E,"ERR",0))</f>
        <v>The Hollywood</v>
      </c>
      <c r="F92" s="81" t="str">
        <f ca="1">LOWER(_xlfn.XLOOKUP($A92,Строчный!$A:$A,Строчный!F:F,"ERR",0))</f>
        <v>летний</v>
      </c>
      <c r="G92" s="81" t="str">
        <f ca="1">UPPER(_xlfn.XLOOKUP($A92,Строчный!$A:$A,Строчный!G:G,"ERR",0))</f>
        <v>BAILEY</v>
      </c>
      <c r="H92" s="81" t="str">
        <f ca="1">LOWER(_xlfn.XLOOKUP($A92,Строчный!$A:$A,Строчный!H:H,"ERR",0))</f>
        <v>hunter</v>
      </c>
      <c r="I92" s="81" t="str">
        <f ca="1">LOWER(_xlfn.XLOOKUP($A92,Строчный!$A:$A,Строчный!I:I,"ERR",0))</f>
        <v>зеленый</v>
      </c>
      <c r="J92" s="81" t="str">
        <f ca="1">SUBSTITUTE(LOWER(_xlfn.XLOOKUP($A92,Строчный!$A:$A,Строчный!J:J,"ERR",0)),"подклад","Подклад")</f>
        <v>100% полиэстер / Подклад: 100% полиэстер</v>
      </c>
      <c r="K92" s="81" t="str">
        <f ca="1">LOWER(_xlfn.XLOOKUP($A92,Строчный!$A:$A,Строчный!K:K,"ERR",0))</f>
        <v/>
      </c>
      <c r="L92" s="81" t="str">
        <f ca="1">PROPER(_xlfn.XLOOKUP($A92,Строчный!$A:$A,Строчный!L:L,"ERR",0))</f>
        <v>Унисекс</v>
      </c>
      <c r="M92" s="113" t="str">
        <f ca="1">PROPER(_xlfn.XLOOKUP($A92,Строчный!$A:$A,Строчный!M:M,"ERR",0))</f>
        <v>Китай</v>
      </c>
      <c r="N92" s="81" t="str">
        <f ca="1">UPPER(_xlfn.XLOOKUP($A92,Строчный!$A:$A,Строчный!O:O,"ERR",0))</f>
        <v/>
      </c>
      <c r="O92" s="107" t="str">
        <f ca="1">PROPER(_xlfn.XLOOKUP($A92,Строчный!$A:$A,Строчный!P:P,"ERR",0))</f>
        <v/>
      </c>
      <c r="P92" s="90">
        <f ca="1">VALUE(_xlfn.XLOOKUP($A92,Строчный!$A:$A,Строчный!N:N,"ERR",0))</f>
        <v>1702.3500000000001</v>
      </c>
      <c r="Q92" s="89" t="str">
        <f ca="1">_xlfn.XLOOKUP($G92,Фабрика!A:A,Фабрика!B:B,"ERR",0)</f>
        <v>Bollman Headwear Europe Ltd; 2 Merchants drive, Caelisle, Cumbria CA3 0JW, United Kingdom</v>
      </c>
      <c r="R92" s="80" t="str">
        <f ca="1">_xlfn.XLOOKUP(RIGHT(Z92,2),Размеры!D:D,Размеры!A:A,"ERR",0)</f>
        <v>55</v>
      </c>
      <c r="S92" s="80">
        <f ca="1">VALUE(_xlfn.XLOOKUP($Z92,Строчный!$R:$R,Строчный!T:T,"ERR",0))</f>
        <v>1</v>
      </c>
      <c r="T92" s="14" t="s">
        <v>265</v>
      </c>
      <c r="U92" s="101" t="str">
        <f t="shared" ca="1" si="13"/>
        <v>Кепка BAILEY арт. 90156BH LAZ (зеленый)</v>
      </c>
      <c r="V92" s="100" t="str">
        <f t="shared" ca="1" si="14"/>
        <v>Кепка BAILEY арт. 90156BH LAZ (зеленый) {hunter}</v>
      </c>
      <c r="W92" s="18" t="str">
        <f t="shared" ca="1" si="15"/>
        <v>зеленый</v>
      </c>
      <c r="X92" s="18" t="str">
        <f t="shared" ca="1" si="16"/>
        <v>зеленый</v>
      </c>
      <c r="Y92" s="117" t="str">
        <f ca="1">_xlfn.LET(_xlpm.FormColors,_xlfn.XLOOKUP(A92,Строчный!A:A,Строчный!Q:Q,"",0),IF(_xlpm.FormColors=0,IFERROR(MID(I92,FIND("-",I92)+1,LEN(I92)),IFERROR(MID(I92,1,FIND("/",I92)-2),I92)),_xlpm.FormColors))</f>
        <v>зеленый</v>
      </c>
      <c r="Z92" s="73" t="str">
        <f ca="1"/>
        <v>21-753-11-55</v>
      </c>
      <c r="AA92" s="75" t="str">
        <f ca="1">VLOOKUP(C92,Группа!A:B,2,FALSE)</f>
        <v>Кепка</v>
      </c>
      <c r="AB92" s="97" t="str">
        <f ca="1">IFERROR(VLOOKUP(R92,Размеры!A:C,3,FALSE),"")</f>
        <v>55 S</v>
      </c>
      <c r="AC92" s="97" t="str">
        <f ca="1">VLOOKUP(I92,ЦветПолный!A:B,2,FALSE)</f>
        <v>11</v>
      </c>
      <c r="AD92" s="97" t="str">
        <f ca="1">IFERROR(VLOOKUP(R92,Размеры!A:D,4,FALSE),"")</f>
        <v>55</v>
      </c>
      <c r="AE92" s="97">
        <f ca="1">IF(LEFT(IFERROR(VLOOKUP(LOOKUP(2,1/SEARCH(B92,Товары!A:A),Товары!A:A),Товары!A:B,2,0),""),6)=MID(Z92,1,6),1,0)</f>
        <v>1</v>
      </c>
      <c r="AG92" s="97">
        <f ca="1">SUMIF(Группа!A:A,C92,Группа!C:C)</f>
        <v>1</v>
      </c>
      <c r="AH92" s="97">
        <f ca="1">SUMIF(Группа!B:B,AA92,Группа!C:C)</f>
        <v>1</v>
      </c>
      <c r="AI92" s="97">
        <f ca="1">SUMIF(Формы!A:A,D92,Формы!B:B)</f>
        <v>1</v>
      </c>
      <c r="AJ92" s="97">
        <f ca="1">SUMIF(Материал!A:A,K92,Материал!B:B)</f>
        <v>0</v>
      </c>
      <c r="AK92" s="97">
        <f ca="1">SUMIF(Размеры!A:A,R92,Размеры!E:E)</f>
        <v>1</v>
      </c>
      <c r="AL92" s="97">
        <f ca="1">SUMIF(Сезон!A:A,F92,Сезон!B:B)</f>
        <v>1</v>
      </c>
      <c r="AM92" s="97">
        <f ca="1">SUMIF(Состав!A:A,J92,Состав!B:B)</f>
        <v>0</v>
      </c>
      <c r="AN92" s="97">
        <f ca="1">VLOOKUP(I92,ЦветПолный!A:C,3,0)</f>
        <v>1</v>
      </c>
      <c r="AO92" s="97">
        <f ca="1">SUMIF(Цвет!A:A,Y92,Цвет!B:B)</f>
        <v>1</v>
      </c>
      <c r="AP92" s="97">
        <f ca="1">_xlfn.XLOOKUP(L92,Пол!A:A,Пол!B:B,0,0)</f>
        <v>1</v>
      </c>
      <c r="AQ92" s="97">
        <f ca="1">SUMIF(Марка!A:A,G92,Марка!B:B)</f>
        <v>1</v>
      </c>
      <c r="AR92" s="97">
        <f ca="1">SUMIF(Страна!A:A,M92,Страна!B:B)</f>
        <v>1</v>
      </c>
      <c r="AS92" s="64" t="e">
        <f ca="1">IF(VLOOKUP(V92,Товары!A:B,2,FALSE)=A92,"Есть в 1С","ERR")</f>
        <v>#N/A</v>
      </c>
      <c r="AT92" s="65" t="e">
        <f ca="1">IF(VLOOKUP(A92,Товары!B:B,1,FALSE)=A92,"Есть в 1С","ERR")</f>
        <v>#N/A</v>
      </c>
      <c r="AU92" s="96" t="e">
        <f ca="1">VLOOKUP(V92,Товары!A:B,2,FALSE)</f>
        <v>#N/A</v>
      </c>
      <c r="AV92" s="94" t="e">
        <f ca="1">VLOOKUP(V92,Товары!A:B,1,FALSE)</f>
        <v>#N/A</v>
      </c>
    </row>
    <row r="93" spans="1:48" x14ac:dyDescent="0.25">
      <c r="A93" s="110" t="str">
        <f t="shared" ca="1" si="17"/>
        <v>21-752-16</v>
      </c>
      <c r="B93" s="107" t="str">
        <f ca="1">_xlfn.LET(_xlpm.CAPS,0,_xlpm.Style,_xlfn.XLOOKUP($A93,Строчный!$A:$A,Строчный!B:B,"ERR",0),IF(_xlpm.CAPS=0,_xlpm.Style,LOWER(_xlpm.Style)))</f>
        <v>90155BH SHIRIN</v>
      </c>
      <c r="C93" s="81" t="str">
        <f ca="1">PROPER(_xlfn.XLOOKUP($A93,Строчный!$A:$A,Строчный!C:C,"ERR",0))</f>
        <v>Кепки</v>
      </c>
      <c r="D93" s="81" t="str">
        <f ca="1">_xlfn.LET(_xlpm.DATA,(_xlfn.XLOOKUP($A93,Строчный!$A:$A,Строчный!D:D,"ERR",0)),UPPER(MID(_xlpm.DATA,1,1))&amp;LOWER(MID(_xlpm.DATA,2,LEN(_xlpm.DATA)-1)))</f>
        <v>Кепка плоская</v>
      </c>
      <c r="E93" s="81" t="str">
        <f ca="1">PROPER(_xlfn.XLOOKUP($A93,Строчный!$A:$A,Строчный!E:E,"ERR",0))</f>
        <v>The Hollywood</v>
      </c>
      <c r="F93" s="81" t="str">
        <f ca="1">LOWER(_xlfn.XLOOKUP($A93,Строчный!$A:$A,Строчный!F:F,"ERR",0))</f>
        <v>летний</v>
      </c>
      <c r="G93" s="81" t="str">
        <f ca="1">UPPER(_xlfn.XLOOKUP($A93,Строчный!$A:$A,Строчный!G:G,"ERR",0))</f>
        <v>BAILEY</v>
      </c>
      <c r="H93" s="81" t="str">
        <f ca="1">LOWER(_xlfn.XLOOKUP($A93,Строчный!$A:$A,Строчный!H:H,"ERR",0))</f>
        <v>navy</v>
      </c>
      <c r="I93" s="81" t="str">
        <f ca="1">LOWER(_xlfn.XLOOKUP($A93,Строчный!$A:$A,Строчный!I:I,"ERR",0))</f>
        <v>темно-синий</v>
      </c>
      <c r="J93" s="81" t="str">
        <f ca="1">SUBSTITUTE(LOWER(_xlfn.XLOOKUP($A93,Строчный!$A:$A,Строчный!J:J,"ERR",0)),"подклад","Подклад")</f>
        <v>66% полиэстер - 34% вискоза / Подклад: 100% полиэстер</v>
      </c>
      <c r="K93" s="81" t="str">
        <f ca="1">LOWER(_xlfn.XLOOKUP($A93,Строчный!$A:$A,Строчный!K:K,"ERR",0))</f>
        <v>льняные</v>
      </c>
      <c r="L93" s="81" t="str">
        <f ca="1">PROPER(_xlfn.XLOOKUP($A93,Строчный!$A:$A,Строчный!L:L,"ERR",0))</f>
        <v>Унисекс</v>
      </c>
      <c r="M93" s="113" t="str">
        <f ca="1">PROPER(_xlfn.XLOOKUP($A93,Строчный!$A:$A,Строчный!M:M,"ERR",0))</f>
        <v>Китай</v>
      </c>
      <c r="N93" s="81" t="str">
        <f ca="1">UPPER(_xlfn.XLOOKUP($A93,Строчный!$A:$A,Строчный!O:O,"ERR",0))</f>
        <v/>
      </c>
      <c r="O93" s="107" t="str">
        <f ca="1">PROPER(_xlfn.XLOOKUP($A93,Строчный!$A:$A,Строчный!P:P,"ERR",0))</f>
        <v/>
      </c>
      <c r="P93" s="90">
        <f ca="1">VALUE(_xlfn.XLOOKUP($A93,Строчный!$A:$A,Строчный!N:N,"ERR",0))</f>
        <v>1755</v>
      </c>
      <c r="Q93" s="89" t="str">
        <f ca="1">_xlfn.XLOOKUP($G93,Фабрика!A:A,Фабрика!B:B,"ERR",0)</f>
        <v>Bollman Headwear Europe Ltd; 2 Merchants drive, Caelisle, Cumbria CA3 0JW, United Kingdom</v>
      </c>
      <c r="R93" s="80" t="str">
        <f ca="1">_xlfn.XLOOKUP(RIGHT(Z93,2),Размеры!D:D,Размеры!A:A,"ERR",0)</f>
        <v>61</v>
      </c>
      <c r="S93" s="80">
        <f ca="1">VALUE(_xlfn.XLOOKUP($Z93,Строчный!$R:$R,Строчный!T:T,"ERR",0))</f>
        <v>4</v>
      </c>
      <c r="T93" s="14" t="s">
        <v>265</v>
      </c>
      <c r="U93" s="101" t="str">
        <f t="shared" ca="1" si="13"/>
        <v>Кепка BAILEY арт. 90155BH SHIRIN (темно-синий)</v>
      </c>
      <c r="V93" s="100" t="str">
        <f t="shared" ca="1" si="14"/>
        <v>Кепка BAILEY арт. 90155BH SHIRIN (темно-синий) {navy}</v>
      </c>
      <c r="W93" s="18" t="str">
        <f t="shared" ca="1" si="15"/>
        <v>синий</v>
      </c>
      <c r="X93" s="18" t="str">
        <f t="shared" ca="1" si="16"/>
        <v>синий</v>
      </c>
      <c r="Y93" s="117" t="str">
        <f ca="1">_xlfn.LET(_xlpm.FormColors,_xlfn.XLOOKUP(A93,Строчный!A:A,Строчный!Q:Q,"",0),IF(_xlpm.FormColors=0,IFERROR(MID(I93,FIND("-",I93)+1,LEN(I93)),IFERROR(MID(I93,1,FIND("/",I93)-2),I93)),_xlpm.FormColors))</f>
        <v>синий</v>
      </c>
      <c r="Z93" s="73" t="str">
        <f ca="1"/>
        <v>21-752-16-61</v>
      </c>
      <c r="AA93" s="75" t="str">
        <f ca="1">VLOOKUP(C93,Группа!A:B,2,FALSE)</f>
        <v>Кепка</v>
      </c>
      <c r="AB93" s="97" t="str">
        <f ca="1">IFERROR(VLOOKUP(R93,Размеры!A:C,3,FALSE),"")</f>
        <v>61 XL</v>
      </c>
      <c r="AC93" s="97" t="str">
        <f ca="1">VLOOKUP(I93,ЦветПолный!A:B,2,FALSE)</f>
        <v>16</v>
      </c>
      <c r="AD93" s="97" t="str">
        <f ca="1">IFERROR(VLOOKUP(R93,Размеры!A:D,4,FALSE),"")</f>
        <v>61</v>
      </c>
      <c r="AE93" s="97">
        <f ca="1">IF(LEFT(IFERROR(VLOOKUP(LOOKUP(2,1/SEARCH(B93,Товары!A:A),Товары!A:A),Товары!A:B,2,0),""),6)=MID(Z93,1,6),1,0)</f>
        <v>1</v>
      </c>
      <c r="AG93" s="97">
        <f ca="1">SUMIF(Группа!A:A,C93,Группа!C:C)</f>
        <v>1</v>
      </c>
      <c r="AH93" s="97">
        <f ca="1">SUMIF(Группа!B:B,AA93,Группа!C:C)</f>
        <v>1</v>
      </c>
      <c r="AI93" s="97">
        <f ca="1">SUMIF(Формы!A:A,D93,Формы!B:B)</f>
        <v>1</v>
      </c>
      <c r="AJ93" s="97">
        <f ca="1">SUMIF(Материал!A:A,K93,Материал!B:B)</f>
        <v>1</v>
      </c>
      <c r="AK93" s="97">
        <f ca="1">SUMIF(Размеры!A:A,R93,Размеры!E:E)</f>
        <v>1</v>
      </c>
      <c r="AL93" s="97">
        <f ca="1">SUMIF(Сезон!A:A,F93,Сезон!B:B)</f>
        <v>1</v>
      </c>
      <c r="AM93" s="97">
        <f ca="1">SUMIF(Состав!A:A,J93,Состав!B:B)</f>
        <v>0</v>
      </c>
      <c r="AN93" s="97">
        <f ca="1">VLOOKUP(I93,ЦветПолный!A:C,3,0)</f>
        <v>1</v>
      </c>
      <c r="AO93" s="97">
        <f ca="1">SUMIF(Цвет!A:A,Y93,Цвет!B:B)</f>
        <v>1</v>
      </c>
      <c r="AP93" s="97">
        <f ca="1">_xlfn.XLOOKUP(L93,Пол!A:A,Пол!B:B,0,0)</f>
        <v>1</v>
      </c>
      <c r="AQ93" s="97">
        <f ca="1">SUMIF(Марка!A:A,G93,Марка!B:B)</f>
        <v>1</v>
      </c>
      <c r="AR93" s="97">
        <f ca="1">SUMIF(Страна!A:A,M93,Страна!B:B)</f>
        <v>1</v>
      </c>
      <c r="AS93" s="64" t="e">
        <f ca="1">IF(VLOOKUP(V93,Товары!A:B,2,FALSE)=A93,"Есть в 1С","ERR")</f>
        <v>#N/A</v>
      </c>
      <c r="AT93" s="65" t="e">
        <f ca="1">IF(VLOOKUP(A93,Товары!B:B,1,FALSE)=A93,"Есть в 1С","ERR")</f>
        <v>#N/A</v>
      </c>
      <c r="AU93" s="96" t="e">
        <f ca="1">VLOOKUP(V93,Товары!A:B,2,FALSE)</f>
        <v>#N/A</v>
      </c>
      <c r="AV93" s="94" t="e">
        <f ca="1">VLOOKUP(V93,Товары!A:B,1,FALSE)</f>
        <v>#N/A</v>
      </c>
    </row>
    <row r="94" spans="1:48" x14ac:dyDescent="0.25">
      <c r="A94" s="110" t="str">
        <f t="shared" ca="1" si="17"/>
        <v>21-752-16</v>
      </c>
      <c r="B94" s="107" t="str">
        <f ca="1">_xlfn.LET(_xlpm.CAPS,0,_xlpm.Style,_xlfn.XLOOKUP($A94,Строчный!$A:$A,Строчный!B:B,"ERR",0),IF(_xlpm.CAPS=0,_xlpm.Style,LOWER(_xlpm.Style)))</f>
        <v>90155BH SHIRIN</v>
      </c>
      <c r="C94" s="81" t="str">
        <f ca="1">PROPER(_xlfn.XLOOKUP($A94,Строчный!$A:$A,Строчный!C:C,"ERR",0))</f>
        <v>Кепки</v>
      </c>
      <c r="D94" s="81" t="str">
        <f ca="1">_xlfn.LET(_xlpm.DATA,(_xlfn.XLOOKUP($A94,Строчный!$A:$A,Строчный!D:D,"ERR",0)),UPPER(MID(_xlpm.DATA,1,1))&amp;LOWER(MID(_xlpm.DATA,2,LEN(_xlpm.DATA)-1)))</f>
        <v>Кепка плоская</v>
      </c>
      <c r="E94" s="81" t="str">
        <f ca="1">PROPER(_xlfn.XLOOKUP($A94,Строчный!$A:$A,Строчный!E:E,"ERR",0))</f>
        <v>The Hollywood</v>
      </c>
      <c r="F94" s="81" t="str">
        <f ca="1">LOWER(_xlfn.XLOOKUP($A94,Строчный!$A:$A,Строчный!F:F,"ERR",0))</f>
        <v>летний</v>
      </c>
      <c r="G94" s="81" t="str">
        <f ca="1">UPPER(_xlfn.XLOOKUP($A94,Строчный!$A:$A,Строчный!G:G,"ERR",0))</f>
        <v>BAILEY</v>
      </c>
      <c r="H94" s="81" t="str">
        <f ca="1">LOWER(_xlfn.XLOOKUP($A94,Строчный!$A:$A,Строчный!H:H,"ERR",0))</f>
        <v>navy</v>
      </c>
      <c r="I94" s="81" t="str">
        <f ca="1">LOWER(_xlfn.XLOOKUP($A94,Строчный!$A:$A,Строчный!I:I,"ERR",0))</f>
        <v>темно-синий</v>
      </c>
      <c r="J94" s="81" t="str">
        <f ca="1">SUBSTITUTE(LOWER(_xlfn.XLOOKUP($A94,Строчный!$A:$A,Строчный!J:J,"ERR",0)),"подклад","Подклад")</f>
        <v>66% полиэстер - 34% вискоза / Подклад: 100% полиэстер</v>
      </c>
      <c r="K94" s="81" t="str">
        <f ca="1">LOWER(_xlfn.XLOOKUP($A94,Строчный!$A:$A,Строчный!K:K,"ERR",0))</f>
        <v>льняные</v>
      </c>
      <c r="L94" s="81" t="str">
        <f ca="1">PROPER(_xlfn.XLOOKUP($A94,Строчный!$A:$A,Строчный!L:L,"ERR",0))</f>
        <v>Унисекс</v>
      </c>
      <c r="M94" s="113" t="str">
        <f ca="1">PROPER(_xlfn.XLOOKUP($A94,Строчный!$A:$A,Строчный!M:M,"ERR",0))</f>
        <v>Китай</v>
      </c>
      <c r="N94" s="81" t="str">
        <f ca="1">UPPER(_xlfn.XLOOKUP($A94,Строчный!$A:$A,Строчный!O:O,"ERR",0))</f>
        <v/>
      </c>
      <c r="O94" s="107" t="str">
        <f ca="1">PROPER(_xlfn.XLOOKUP($A94,Строчный!$A:$A,Строчный!P:P,"ERR",0))</f>
        <v/>
      </c>
      <c r="P94" s="90">
        <f ca="1">VALUE(_xlfn.XLOOKUP($A94,Строчный!$A:$A,Строчный!N:N,"ERR",0))</f>
        <v>1755</v>
      </c>
      <c r="Q94" s="89" t="str">
        <f ca="1">_xlfn.XLOOKUP($G94,Фабрика!A:A,Фабрика!B:B,"ERR",0)</f>
        <v>Bollman Headwear Europe Ltd; 2 Merchants drive, Caelisle, Cumbria CA3 0JW, United Kingdom</v>
      </c>
      <c r="R94" s="80" t="str">
        <f ca="1">_xlfn.XLOOKUP(RIGHT(Z94,2),Размеры!D:D,Размеры!A:A,"ERR",0)</f>
        <v>59</v>
      </c>
      <c r="S94" s="80">
        <f ca="1">VALUE(_xlfn.XLOOKUP($Z94,Строчный!$R:$R,Строчный!T:T,"ERR",0))</f>
        <v>7</v>
      </c>
      <c r="T94" s="14" t="s">
        <v>265</v>
      </c>
      <c r="U94" s="101" t="str">
        <f t="shared" ca="1" si="13"/>
        <v>Кепка BAILEY арт. 90155BH SHIRIN (темно-синий)</v>
      </c>
      <c r="V94" s="100" t="str">
        <f t="shared" ca="1" si="14"/>
        <v>Кепка BAILEY арт. 90155BH SHIRIN (темно-синий) {navy}</v>
      </c>
      <c r="W94" s="18" t="str">
        <f t="shared" ca="1" si="15"/>
        <v>синий</v>
      </c>
      <c r="X94" s="18" t="str">
        <f t="shared" ca="1" si="16"/>
        <v>синий</v>
      </c>
      <c r="Y94" s="117" t="str">
        <f ca="1">_xlfn.LET(_xlpm.FormColors,_xlfn.XLOOKUP(A94,Строчный!A:A,Строчный!Q:Q,"",0),IF(_xlpm.FormColors=0,IFERROR(MID(I94,FIND("-",I94)+1,LEN(I94)),IFERROR(MID(I94,1,FIND("/",I94)-2),I94)),_xlpm.FormColors))</f>
        <v>синий</v>
      </c>
      <c r="Z94" s="73" t="str">
        <f ca="1"/>
        <v>21-752-16-59</v>
      </c>
      <c r="AA94" s="75" t="str">
        <f ca="1">VLOOKUP(C94,Группа!A:B,2,FALSE)</f>
        <v>Кепка</v>
      </c>
      <c r="AB94" s="97" t="str">
        <f ca="1">IFERROR(VLOOKUP(R94,Размеры!A:C,3,FALSE),"")</f>
        <v>59 L</v>
      </c>
      <c r="AC94" s="97" t="str">
        <f ca="1">VLOOKUP(I94,ЦветПолный!A:B,2,FALSE)</f>
        <v>16</v>
      </c>
      <c r="AD94" s="97" t="str">
        <f ca="1">IFERROR(VLOOKUP(R94,Размеры!A:D,4,FALSE),"")</f>
        <v>59</v>
      </c>
      <c r="AE94" s="97">
        <f ca="1">IF(LEFT(IFERROR(VLOOKUP(LOOKUP(2,1/SEARCH(B94,Товары!A:A),Товары!A:A),Товары!A:B,2,0),""),6)=MID(Z94,1,6),1,0)</f>
        <v>1</v>
      </c>
      <c r="AG94" s="97">
        <f ca="1">SUMIF(Группа!A:A,C94,Группа!C:C)</f>
        <v>1</v>
      </c>
      <c r="AH94" s="97">
        <f ca="1">SUMIF(Группа!B:B,AA94,Группа!C:C)</f>
        <v>1</v>
      </c>
      <c r="AI94" s="97">
        <f ca="1">SUMIF(Формы!A:A,D94,Формы!B:B)</f>
        <v>1</v>
      </c>
      <c r="AJ94" s="97">
        <f ca="1">SUMIF(Материал!A:A,K94,Материал!B:B)</f>
        <v>1</v>
      </c>
      <c r="AK94" s="97">
        <f ca="1">SUMIF(Размеры!A:A,R94,Размеры!E:E)</f>
        <v>1</v>
      </c>
      <c r="AL94" s="97">
        <f ca="1">SUMIF(Сезон!A:A,F94,Сезон!B:B)</f>
        <v>1</v>
      </c>
      <c r="AM94" s="97">
        <f ca="1">SUMIF(Состав!A:A,J94,Состав!B:B)</f>
        <v>0</v>
      </c>
      <c r="AN94" s="97">
        <f ca="1">VLOOKUP(I94,ЦветПолный!A:C,3,0)</f>
        <v>1</v>
      </c>
      <c r="AO94" s="97">
        <f ca="1">SUMIF(Цвет!A:A,Y94,Цвет!B:B)</f>
        <v>1</v>
      </c>
      <c r="AP94" s="97">
        <f ca="1">_xlfn.XLOOKUP(L94,Пол!A:A,Пол!B:B,0,0)</f>
        <v>1</v>
      </c>
      <c r="AQ94" s="97">
        <f ca="1">SUMIF(Марка!A:A,G94,Марка!B:B)</f>
        <v>1</v>
      </c>
      <c r="AR94" s="97">
        <f ca="1">SUMIF(Страна!A:A,M94,Страна!B:B)</f>
        <v>1</v>
      </c>
      <c r="AS94" s="64" t="e">
        <f ca="1">IF(VLOOKUP(V94,Товары!A:B,2,FALSE)=A94,"Есть в 1С","ERR")</f>
        <v>#N/A</v>
      </c>
      <c r="AT94" s="65" t="e">
        <f ca="1">IF(VLOOKUP(A94,Товары!B:B,1,FALSE)=A94,"Есть в 1С","ERR")</f>
        <v>#N/A</v>
      </c>
      <c r="AU94" s="96" t="e">
        <f ca="1">VLOOKUP(V94,Товары!A:B,2,FALSE)</f>
        <v>#N/A</v>
      </c>
      <c r="AV94" s="94" t="e">
        <f ca="1">VLOOKUP(V94,Товары!A:B,1,FALSE)</f>
        <v>#N/A</v>
      </c>
    </row>
    <row r="95" spans="1:48" x14ac:dyDescent="0.25">
      <c r="A95" s="110" t="str">
        <f t="shared" ca="1" si="17"/>
        <v>21-752-16</v>
      </c>
      <c r="B95" s="107" t="str">
        <f ca="1">_xlfn.LET(_xlpm.CAPS,0,_xlpm.Style,_xlfn.XLOOKUP($A95,Строчный!$A:$A,Строчный!B:B,"ERR",0),IF(_xlpm.CAPS=0,_xlpm.Style,LOWER(_xlpm.Style)))</f>
        <v>90155BH SHIRIN</v>
      </c>
      <c r="C95" s="81" t="str">
        <f ca="1">PROPER(_xlfn.XLOOKUP($A95,Строчный!$A:$A,Строчный!C:C,"ERR",0))</f>
        <v>Кепки</v>
      </c>
      <c r="D95" s="81" t="str">
        <f ca="1">_xlfn.LET(_xlpm.DATA,(_xlfn.XLOOKUP($A95,Строчный!$A:$A,Строчный!D:D,"ERR",0)),UPPER(MID(_xlpm.DATA,1,1))&amp;LOWER(MID(_xlpm.DATA,2,LEN(_xlpm.DATA)-1)))</f>
        <v>Кепка плоская</v>
      </c>
      <c r="E95" s="81" t="str">
        <f ca="1">PROPER(_xlfn.XLOOKUP($A95,Строчный!$A:$A,Строчный!E:E,"ERR",0))</f>
        <v>The Hollywood</v>
      </c>
      <c r="F95" s="81" t="str">
        <f ca="1">LOWER(_xlfn.XLOOKUP($A95,Строчный!$A:$A,Строчный!F:F,"ERR",0))</f>
        <v>летний</v>
      </c>
      <c r="G95" s="81" t="str">
        <f ca="1">UPPER(_xlfn.XLOOKUP($A95,Строчный!$A:$A,Строчный!G:G,"ERR",0))</f>
        <v>BAILEY</v>
      </c>
      <c r="H95" s="81" t="str">
        <f ca="1">LOWER(_xlfn.XLOOKUP($A95,Строчный!$A:$A,Строчный!H:H,"ERR",0))</f>
        <v>navy</v>
      </c>
      <c r="I95" s="81" t="str">
        <f ca="1">LOWER(_xlfn.XLOOKUP($A95,Строчный!$A:$A,Строчный!I:I,"ERR",0))</f>
        <v>темно-синий</v>
      </c>
      <c r="J95" s="81" t="str">
        <f ca="1">SUBSTITUTE(LOWER(_xlfn.XLOOKUP($A95,Строчный!$A:$A,Строчный!J:J,"ERR",0)),"подклад","Подклад")</f>
        <v>66% полиэстер - 34% вискоза / Подклад: 100% полиэстер</v>
      </c>
      <c r="K95" s="81" t="str">
        <f ca="1">LOWER(_xlfn.XLOOKUP($A95,Строчный!$A:$A,Строчный!K:K,"ERR",0))</f>
        <v>льняные</v>
      </c>
      <c r="L95" s="81" t="str">
        <f ca="1">PROPER(_xlfn.XLOOKUP($A95,Строчный!$A:$A,Строчный!L:L,"ERR",0))</f>
        <v>Унисекс</v>
      </c>
      <c r="M95" s="113" t="str">
        <f ca="1">PROPER(_xlfn.XLOOKUP($A95,Строчный!$A:$A,Строчный!M:M,"ERR",0))</f>
        <v>Китай</v>
      </c>
      <c r="N95" s="81" t="str">
        <f ca="1">UPPER(_xlfn.XLOOKUP($A95,Строчный!$A:$A,Строчный!O:O,"ERR",0))</f>
        <v/>
      </c>
      <c r="O95" s="107" t="str">
        <f ca="1">PROPER(_xlfn.XLOOKUP($A95,Строчный!$A:$A,Строчный!P:P,"ERR",0))</f>
        <v/>
      </c>
      <c r="P95" s="90">
        <f ca="1">VALUE(_xlfn.XLOOKUP($A95,Строчный!$A:$A,Строчный!N:N,"ERR",0))</f>
        <v>1755</v>
      </c>
      <c r="Q95" s="89" t="str">
        <f ca="1">_xlfn.XLOOKUP($G95,Фабрика!A:A,Фабрика!B:B,"ERR",0)</f>
        <v>Bollman Headwear Europe Ltd; 2 Merchants drive, Caelisle, Cumbria CA3 0JW, United Kingdom</v>
      </c>
      <c r="R95" s="80" t="str">
        <f ca="1">_xlfn.XLOOKUP(RIGHT(Z95,2),Размеры!D:D,Размеры!A:A,"ERR",0)</f>
        <v>57</v>
      </c>
      <c r="S95" s="80">
        <f ca="1">VALUE(_xlfn.XLOOKUP($Z95,Строчный!$R:$R,Строчный!T:T,"ERR",0))</f>
        <v>4</v>
      </c>
      <c r="T95" s="14" t="s">
        <v>265</v>
      </c>
      <c r="U95" s="101" t="str">
        <f t="shared" ca="1" si="13"/>
        <v>Кепка BAILEY арт. 90155BH SHIRIN (темно-синий)</v>
      </c>
      <c r="V95" s="100" t="str">
        <f t="shared" ca="1" si="14"/>
        <v>Кепка BAILEY арт. 90155BH SHIRIN (темно-синий) {navy}</v>
      </c>
      <c r="W95" s="18" t="str">
        <f t="shared" ca="1" si="15"/>
        <v>синий</v>
      </c>
      <c r="X95" s="18" t="str">
        <f t="shared" ca="1" si="16"/>
        <v>синий</v>
      </c>
      <c r="Y95" s="117" t="str">
        <f ca="1">_xlfn.LET(_xlpm.FormColors,_xlfn.XLOOKUP(A95,Строчный!A:A,Строчный!Q:Q,"",0),IF(_xlpm.FormColors=0,IFERROR(MID(I95,FIND("-",I95)+1,LEN(I95)),IFERROR(MID(I95,1,FIND("/",I95)-2),I95)),_xlpm.FormColors))</f>
        <v>синий</v>
      </c>
      <c r="Z95" s="73" t="str">
        <f ca="1"/>
        <v>21-752-16-57</v>
      </c>
      <c r="AA95" s="75" t="str">
        <f ca="1">VLOOKUP(C95,Группа!A:B,2,FALSE)</f>
        <v>Кепка</v>
      </c>
      <c r="AB95" s="97" t="str">
        <f ca="1">IFERROR(VLOOKUP(R95,Размеры!A:C,3,FALSE),"")</f>
        <v>57 M</v>
      </c>
      <c r="AC95" s="97" t="str">
        <f ca="1">VLOOKUP(I95,ЦветПолный!A:B,2,FALSE)</f>
        <v>16</v>
      </c>
      <c r="AD95" s="97" t="str">
        <f ca="1">IFERROR(VLOOKUP(R95,Размеры!A:D,4,FALSE),"")</f>
        <v>57</v>
      </c>
      <c r="AE95" s="97">
        <f ca="1">IF(LEFT(IFERROR(VLOOKUP(LOOKUP(2,1/SEARCH(B95,Товары!A:A),Товары!A:A),Товары!A:B,2,0),""),6)=MID(Z95,1,6),1,0)</f>
        <v>1</v>
      </c>
      <c r="AG95" s="97">
        <f ca="1">SUMIF(Группа!A:A,C95,Группа!C:C)</f>
        <v>1</v>
      </c>
      <c r="AH95" s="97">
        <f ca="1">SUMIF(Группа!B:B,AA95,Группа!C:C)</f>
        <v>1</v>
      </c>
      <c r="AI95" s="97">
        <f ca="1">SUMIF(Формы!A:A,D95,Формы!B:B)</f>
        <v>1</v>
      </c>
      <c r="AJ95" s="97">
        <f ca="1">SUMIF(Материал!A:A,K95,Материал!B:B)</f>
        <v>1</v>
      </c>
      <c r="AK95" s="97">
        <f ca="1">SUMIF(Размеры!A:A,R95,Размеры!E:E)</f>
        <v>1</v>
      </c>
      <c r="AL95" s="97">
        <f ca="1">SUMIF(Сезон!A:A,F95,Сезон!B:B)</f>
        <v>1</v>
      </c>
      <c r="AM95" s="97">
        <f ca="1">SUMIF(Состав!A:A,J95,Состав!B:B)</f>
        <v>0</v>
      </c>
      <c r="AN95" s="97">
        <f ca="1">VLOOKUP(I95,ЦветПолный!A:C,3,0)</f>
        <v>1</v>
      </c>
      <c r="AO95" s="97">
        <f ca="1">SUMIF(Цвет!A:A,Y95,Цвет!B:B)</f>
        <v>1</v>
      </c>
      <c r="AP95" s="97">
        <f ca="1">_xlfn.XLOOKUP(L95,Пол!A:A,Пол!B:B,0,0)</f>
        <v>1</v>
      </c>
      <c r="AQ95" s="97">
        <f ca="1">SUMIF(Марка!A:A,G95,Марка!B:B)</f>
        <v>1</v>
      </c>
      <c r="AR95" s="97">
        <f ca="1">SUMIF(Страна!A:A,M95,Страна!B:B)</f>
        <v>1</v>
      </c>
      <c r="AS95" s="64" t="e">
        <f ca="1">IF(VLOOKUP(V95,Товары!A:B,2,FALSE)=A95,"Есть в 1С","ERR")</f>
        <v>#N/A</v>
      </c>
      <c r="AT95" s="65" t="e">
        <f ca="1">IF(VLOOKUP(A95,Товары!B:B,1,FALSE)=A95,"Есть в 1С","ERR")</f>
        <v>#N/A</v>
      </c>
      <c r="AU95" s="96" t="e">
        <f ca="1">VLOOKUP(V95,Товары!A:B,2,FALSE)</f>
        <v>#N/A</v>
      </c>
      <c r="AV95" s="94" t="e">
        <f ca="1">VLOOKUP(V95,Товары!A:B,1,FALSE)</f>
        <v>#N/A</v>
      </c>
    </row>
    <row r="96" spans="1:48" x14ac:dyDescent="0.25">
      <c r="A96" s="110" t="str">
        <f t="shared" ca="1" si="17"/>
        <v>21-752-16</v>
      </c>
      <c r="B96" s="107" t="str">
        <f ca="1">_xlfn.LET(_xlpm.CAPS,0,_xlpm.Style,_xlfn.XLOOKUP($A96,Строчный!$A:$A,Строчный!B:B,"ERR",0),IF(_xlpm.CAPS=0,_xlpm.Style,LOWER(_xlpm.Style)))</f>
        <v>90155BH SHIRIN</v>
      </c>
      <c r="C96" s="81" t="str">
        <f ca="1">PROPER(_xlfn.XLOOKUP($A96,Строчный!$A:$A,Строчный!C:C,"ERR",0))</f>
        <v>Кепки</v>
      </c>
      <c r="D96" s="81" t="str">
        <f ca="1">_xlfn.LET(_xlpm.DATA,(_xlfn.XLOOKUP($A96,Строчный!$A:$A,Строчный!D:D,"ERR",0)),UPPER(MID(_xlpm.DATA,1,1))&amp;LOWER(MID(_xlpm.DATA,2,LEN(_xlpm.DATA)-1)))</f>
        <v>Кепка плоская</v>
      </c>
      <c r="E96" s="81" t="str">
        <f ca="1">PROPER(_xlfn.XLOOKUP($A96,Строчный!$A:$A,Строчный!E:E,"ERR",0))</f>
        <v>The Hollywood</v>
      </c>
      <c r="F96" s="81" t="str">
        <f ca="1">LOWER(_xlfn.XLOOKUP($A96,Строчный!$A:$A,Строчный!F:F,"ERR",0))</f>
        <v>летний</v>
      </c>
      <c r="G96" s="81" t="str">
        <f ca="1">UPPER(_xlfn.XLOOKUP($A96,Строчный!$A:$A,Строчный!G:G,"ERR",0))</f>
        <v>BAILEY</v>
      </c>
      <c r="H96" s="81" t="str">
        <f ca="1">LOWER(_xlfn.XLOOKUP($A96,Строчный!$A:$A,Строчный!H:H,"ERR",0))</f>
        <v>navy</v>
      </c>
      <c r="I96" s="81" t="str">
        <f ca="1">LOWER(_xlfn.XLOOKUP($A96,Строчный!$A:$A,Строчный!I:I,"ERR",0))</f>
        <v>темно-синий</v>
      </c>
      <c r="J96" s="81" t="str">
        <f ca="1">SUBSTITUTE(LOWER(_xlfn.XLOOKUP($A96,Строчный!$A:$A,Строчный!J:J,"ERR",0)),"подклад","Подклад")</f>
        <v>66% полиэстер - 34% вискоза / Подклад: 100% полиэстер</v>
      </c>
      <c r="K96" s="81" t="str">
        <f ca="1">LOWER(_xlfn.XLOOKUP($A96,Строчный!$A:$A,Строчный!K:K,"ERR",0))</f>
        <v>льняные</v>
      </c>
      <c r="L96" s="81" t="str">
        <f ca="1">PROPER(_xlfn.XLOOKUP($A96,Строчный!$A:$A,Строчный!L:L,"ERR",0))</f>
        <v>Унисекс</v>
      </c>
      <c r="M96" s="113" t="str">
        <f ca="1">PROPER(_xlfn.XLOOKUP($A96,Строчный!$A:$A,Строчный!M:M,"ERR",0))</f>
        <v>Китай</v>
      </c>
      <c r="N96" s="81" t="str">
        <f ca="1">UPPER(_xlfn.XLOOKUP($A96,Строчный!$A:$A,Строчный!O:O,"ERR",0))</f>
        <v/>
      </c>
      <c r="O96" s="107" t="str">
        <f ca="1">PROPER(_xlfn.XLOOKUP($A96,Строчный!$A:$A,Строчный!P:P,"ERR",0))</f>
        <v/>
      </c>
      <c r="P96" s="90">
        <f ca="1">VALUE(_xlfn.XLOOKUP($A96,Строчный!$A:$A,Строчный!N:N,"ERR",0))</f>
        <v>1755</v>
      </c>
      <c r="Q96" s="89" t="str">
        <f ca="1">_xlfn.XLOOKUP($G96,Фабрика!A:A,Фабрика!B:B,"ERR",0)</f>
        <v>Bollman Headwear Europe Ltd; 2 Merchants drive, Caelisle, Cumbria CA3 0JW, United Kingdom</v>
      </c>
      <c r="R96" s="80" t="str">
        <f ca="1">_xlfn.XLOOKUP(RIGHT(Z96,2),Размеры!D:D,Размеры!A:A,"ERR",0)</f>
        <v>55</v>
      </c>
      <c r="S96" s="80">
        <f ca="1">VALUE(_xlfn.XLOOKUP($Z96,Строчный!$R:$R,Строчный!T:T,"ERR",0))</f>
        <v>1</v>
      </c>
      <c r="T96" s="14" t="s">
        <v>265</v>
      </c>
      <c r="U96" s="101" t="str">
        <f t="shared" ca="1" si="13"/>
        <v>Кепка BAILEY арт. 90155BH SHIRIN (темно-синий)</v>
      </c>
      <c r="V96" s="100" t="str">
        <f t="shared" ca="1" si="14"/>
        <v>Кепка BAILEY арт. 90155BH SHIRIN (темно-синий) {navy}</v>
      </c>
      <c r="W96" s="18" t="str">
        <f t="shared" ca="1" si="15"/>
        <v>синий</v>
      </c>
      <c r="X96" s="18" t="str">
        <f t="shared" ca="1" si="16"/>
        <v>синий</v>
      </c>
      <c r="Y96" s="117" t="str">
        <f ca="1">_xlfn.LET(_xlpm.FormColors,_xlfn.XLOOKUP(A96,Строчный!A:A,Строчный!Q:Q,"",0),IF(_xlpm.FormColors=0,IFERROR(MID(I96,FIND("-",I96)+1,LEN(I96)),IFERROR(MID(I96,1,FIND("/",I96)-2),I96)),_xlpm.FormColors))</f>
        <v>синий</v>
      </c>
      <c r="Z96" s="73" t="str">
        <f ca="1"/>
        <v>21-752-16-55</v>
      </c>
      <c r="AA96" s="75" t="str">
        <f ca="1">VLOOKUP(C96,Группа!A:B,2,FALSE)</f>
        <v>Кепка</v>
      </c>
      <c r="AB96" s="97" t="str">
        <f ca="1">IFERROR(VLOOKUP(R96,Размеры!A:C,3,FALSE),"")</f>
        <v>55 S</v>
      </c>
      <c r="AC96" s="97" t="str">
        <f ca="1">VLOOKUP(I96,ЦветПолный!A:B,2,FALSE)</f>
        <v>16</v>
      </c>
      <c r="AD96" s="97" t="str">
        <f ca="1">IFERROR(VLOOKUP(R96,Размеры!A:D,4,FALSE),"")</f>
        <v>55</v>
      </c>
      <c r="AE96" s="97">
        <f ca="1">IF(LEFT(IFERROR(VLOOKUP(LOOKUP(2,1/SEARCH(B96,Товары!A:A),Товары!A:A),Товары!A:B,2,0),""),6)=MID(Z96,1,6),1,0)</f>
        <v>1</v>
      </c>
      <c r="AG96" s="97">
        <f ca="1">SUMIF(Группа!A:A,C96,Группа!C:C)</f>
        <v>1</v>
      </c>
      <c r="AH96" s="97">
        <f ca="1">SUMIF(Группа!B:B,AA96,Группа!C:C)</f>
        <v>1</v>
      </c>
      <c r="AI96" s="97">
        <f ca="1">SUMIF(Формы!A:A,D96,Формы!B:B)</f>
        <v>1</v>
      </c>
      <c r="AJ96" s="97">
        <f ca="1">SUMIF(Материал!A:A,K96,Материал!B:B)</f>
        <v>1</v>
      </c>
      <c r="AK96" s="97">
        <f ca="1">SUMIF(Размеры!A:A,R96,Размеры!E:E)</f>
        <v>1</v>
      </c>
      <c r="AL96" s="97">
        <f ca="1">SUMIF(Сезон!A:A,F96,Сезон!B:B)</f>
        <v>1</v>
      </c>
      <c r="AM96" s="97">
        <f ca="1">SUMIF(Состав!A:A,J96,Состав!B:B)</f>
        <v>0</v>
      </c>
      <c r="AN96" s="97">
        <f ca="1">VLOOKUP(I96,ЦветПолный!A:C,3,0)</f>
        <v>1</v>
      </c>
      <c r="AO96" s="97">
        <f ca="1">SUMIF(Цвет!A:A,Y96,Цвет!B:B)</f>
        <v>1</v>
      </c>
      <c r="AP96" s="97">
        <f ca="1">_xlfn.XLOOKUP(L96,Пол!A:A,Пол!B:B,0,0)</f>
        <v>1</v>
      </c>
      <c r="AQ96" s="97">
        <f ca="1">SUMIF(Марка!A:A,G96,Марка!B:B)</f>
        <v>1</v>
      </c>
      <c r="AR96" s="97">
        <f ca="1">SUMIF(Страна!A:A,M96,Страна!B:B)</f>
        <v>1</v>
      </c>
      <c r="AS96" s="64" t="e">
        <f ca="1">IF(VLOOKUP(V96,Товары!A:B,2,FALSE)=A96,"Есть в 1С","ERR")</f>
        <v>#N/A</v>
      </c>
      <c r="AT96" s="65" t="e">
        <f ca="1">IF(VLOOKUP(A96,Товары!B:B,1,FALSE)=A96,"Есть в 1С","ERR")</f>
        <v>#N/A</v>
      </c>
      <c r="AU96" s="96" t="e">
        <f ca="1">VLOOKUP(V96,Товары!A:B,2,FALSE)</f>
        <v>#N/A</v>
      </c>
      <c r="AV96" s="94" t="e">
        <f ca="1">VLOOKUP(V96,Товары!A:B,1,FALSE)</f>
        <v>#N/A</v>
      </c>
    </row>
    <row r="97" spans="1:48" x14ac:dyDescent="0.25">
      <c r="A97" s="110" t="str">
        <f t="shared" ca="1" si="17"/>
        <v>21-751-06</v>
      </c>
      <c r="B97" s="107" t="str">
        <f ca="1">_xlfn.LET(_xlpm.CAPS,0,_xlpm.Style,_xlfn.XLOOKUP($A97,Строчный!$A:$A,Строчный!B:B,"ERR",0),IF(_xlpm.CAPS=0,_xlpm.Style,LOWER(_xlpm.Style)))</f>
        <v>90154BH NADEL</v>
      </c>
      <c r="C97" s="81" t="str">
        <f ca="1">PROPER(_xlfn.XLOOKUP($A97,Строчный!$A:$A,Строчный!C:C,"ERR",0))</f>
        <v>Кепки</v>
      </c>
      <c r="D97" s="81" t="str">
        <f ca="1">_xlfn.LET(_xlpm.DATA,(_xlfn.XLOOKUP($A97,Строчный!$A:$A,Строчный!D:D,"ERR",0)),UPPER(MID(_xlpm.DATA,1,1))&amp;LOWER(MID(_xlpm.DATA,2,LEN(_xlpm.DATA)-1)))</f>
        <v>Кепка плоская</v>
      </c>
      <c r="E97" s="81" t="str">
        <f ca="1">PROPER(_xlfn.XLOOKUP($A97,Строчный!$A:$A,Строчный!E:E,"ERR",0))</f>
        <v>The Hollywood</v>
      </c>
      <c r="F97" s="81" t="str">
        <f ca="1">LOWER(_xlfn.XLOOKUP($A97,Строчный!$A:$A,Строчный!F:F,"ERR",0))</f>
        <v>летний</v>
      </c>
      <c r="G97" s="81" t="str">
        <f ca="1">UPPER(_xlfn.XLOOKUP($A97,Строчный!$A:$A,Строчный!G:G,"ERR",0))</f>
        <v>BAILEY</v>
      </c>
      <c r="H97" s="81" t="str">
        <f ca="1">LOWER(_xlfn.XLOOKUP($A97,Строчный!$A:$A,Строчный!H:H,"ERR",0))</f>
        <v>blue</v>
      </c>
      <c r="I97" s="81" t="str">
        <f ca="1">LOWER(_xlfn.XLOOKUP($A97,Строчный!$A:$A,Строчный!I:I,"ERR",0))</f>
        <v>синий</v>
      </c>
      <c r="J97" s="81" t="str">
        <f ca="1">SUBSTITUTE(LOWER(_xlfn.XLOOKUP($A97,Строчный!$A:$A,Строчный!J:J,"ERR",0)),"подклад","Подклад")</f>
        <v>100% лен / Подклад: 100% полиэстер</v>
      </c>
      <c r="K97" s="81" t="str">
        <f ca="1">LOWER(_xlfn.XLOOKUP($A97,Строчный!$A:$A,Строчный!K:K,"ERR",0))</f>
        <v>льняные</v>
      </c>
      <c r="L97" s="81" t="str">
        <f ca="1">PROPER(_xlfn.XLOOKUP($A97,Строчный!$A:$A,Строчный!L:L,"ERR",0))</f>
        <v>Унисекс</v>
      </c>
      <c r="M97" s="113" t="str">
        <f ca="1">PROPER(_xlfn.XLOOKUP($A97,Строчный!$A:$A,Строчный!M:M,"ERR",0))</f>
        <v>Китай</v>
      </c>
      <c r="N97" s="81" t="str">
        <f ca="1">UPPER(_xlfn.XLOOKUP($A97,Строчный!$A:$A,Строчный!O:O,"ERR",0))</f>
        <v/>
      </c>
      <c r="O97" s="107" t="str">
        <f ca="1">PROPER(_xlfn.XLOOKUP($A97,Строчный!$A:$A,Строчный!P:P,"ERR",0))</f>
        <v/>
      </c>
      <c r="P97" s="90">
        <f ca="1">VALUE(_xlfn.XLOOKUP($A97,Строчный!$A:$A,Строчный!N:N,"ERR",0))</f>
        <v>1766.6999999999998</v>
      </c>
      <c r="Q97" s="89" t="str">
        <f ca="1">_xlfn.XLOOKUP($G97,Фабрика!A:A,Фабрика!B:B,"ERR",0)</f>
        <v>Bollman Headwear Europe Ltd; 2 Merchants drive, Caelisle, Cumbria CA3 0JW, United Kingdom</v>
      </c>
      <c r="R97" s="80" t="str">
        <f ca="1">_xlfn.XLOOKUP(RIGHT(Z97,2),Размеры!D:D,Размеры!A:A,"ERR",0)</f>
        <v>61</v>
      </c>
      <c r="S97" s="80">
        <f ca="1">VALUE(_xlfn.XLOOKUP($Z97,Строчный!$R:$R,Строчный!T:T,"ERR",0))</f>
        <v>4</v>
      </c>
      <c r="T97" s="14" t="s">
        <v>265</v>
      </c>
      <c r="U97" s="101" t="str">
        <f t="shared" ca="1" si="13"/>
        <v>Кепка BAILEY арт. 90154BH NADEL (синий)</v>
      </c>
      <c r="V97" s="100" t="str">
        <f t="shared" ca="1" si="14"/>
        <v>Кепка BAILEY арт. 90154BH NADEL (синий) {blue}</v>
      </c>
      <c r="W97" s="18" t="str">
        <f t="shared" ca="1" si="15"/>
        <v>синий</v>
      </c>
      <c r="X97" s="18" t="str">
        <f t="shared" ca="1" si="16"/>
        <v>синий</v>
      </c>
      <c r="Y97" s="117" t="str">
        <f ca="1">_xlfn.LET(_xlpm.FormColors,_xlfn.XLOOKUP(A97,Строчный!A:A,Строчный!Q:Q,"",0),IF(_xlpm.FormColors=0,IFERROR(MID(I97,FIND("-",I97)+1,LEN(I97)),IFERROR(MID(I97,1,FIND("/",I97)-2),I97)),_xlpm.FormColors))</f>
        <v>синий</v>
      </c>
      <c r="Z97" s="73" t="str">
        <f ca="1"/>
        <v>21-751-06-61</v>
      </c>
      <c r="AA97" s="75" t="str">
        <f ca="1">VLOOKUP(C97,Группа!A:B,2,FALSE)</f>
        <v>Кепка</v>
      </c>
      <c r="AB97" s="97" t="str">
        <f ca="1">IFERROR(VLOOKUP(R97,Размеры!A:C,3,FALSE),"")</f>
        <v>61 XL</v>
      </c>
      <c r="AC97" s="97" t="str">
        <f ca="1">VLOOKUP(I97,ЦветПолный!A:B,2,FALSE)</f>
        <v>06</v>
      </c>
      <c r="AD97" s="97" t="str">
        <f ca="1">IFERROR(VLOOKUP(R97,Размеры!A:D,4,FALSE),"")</f>
        <v>61</v>
      </c>
      <c r="AE97" s="97">
        <f ca="1">IF(LEFT(IFERROR(VLOOKUP(LOOKUP(2,1/SEARCH(B97,Товары!A:A),Товары!A:A),Товары!A:B,2,0),""),6)=MID(Z97,1,6),1,0)</f>
        <v>1</v>
      </c>
      <c r="AG97" s="97">
        <f ca="1">SUMIF(Группа!A:A,C97,Группа!C:C)</f>
        <v>1</v>
      </c>
      <c r="AH97" s="97">
        <f ca="1">SUMIF(Группа!B:B,AA97,Группа!C:C)</f>
        <v>1</v>
      </c>
      <c r="AI97" s="97">
        <f ca="1">SUMIF(Формы!A:A,D97,Формы!B:B)</f>
        <v>1</v>
      </c>
      <c r="AJ97" s="97">
        <f ca="1">SUMIF(Материал!A:A,K97,Материал!B:B)</f>
        <v>1</v>
      </c>
      <c r="AK97" s="97">
        <f ca="1">SUMIF(Размеры!A:A,R97,Размеры!E:E)</f>
        <v>1</v>
      </c>
      <c r="AL97" s="97">
        <f ca="1">SUMIF(Сезон!A:A,F97,Сезон!B:B)</f>
        <v>1</v>
      </c>
      <c r="AM97" s="97">
        <f ca="1">SUMIF(Состав!A:A,J97,Состав!B:B)</f>
        <v>0</v>
      </c>
      <c r="AN97" s="97">
        <f ca="1">VLOOKUP(I97,ЦветПолный!A:C,3,0)</f>
        <v>1</v>
      </c>
      <c r="AO97" s="97">
        <f ca="1">SUMIF(Цвет!A:A,Y97,Цвет!B:B)</f>
        <v>1</v>
      </c>
      <c r="AP97" s="97">
        <f ca="1">_xlfn.XLOOKUP(L97,Пол!A:A,Пол!B:B,0,0)</f>
        <v>1</v>
      </c>
      <c r="AQ97" s="97">
        <f ca="1">SUMIF(Марка!A:A,G97,Марка!B:B)</f>
        <v>1</v>
      </c>
      <c r="AR97" s="97">
        <f ca="1">SUMIF(Страна!A:A,M97,Страна!B:B)</f>
        <v>1</v>
      </c>
      <c r="AS97" s="64" t="e">
        <f ca="1">IF(VLOOKUP(V97,Товары!A:B,2,FALSE)=A97,"Есть в 1С","ERR")</f>
        <v>#N/A</v>
      </c>
      <c r="AT97" s="65" t="e">
        <f ca="1">IF(VLOOKUP(A97,Товары!B:B,1,FALSE)=A97,"Есть в 1С","ERR")</f>
        <v>#N/A</v>
      </c>
      <c r="AU97" s="96" t="e">
        <f ca="1">VLOOKUP(V97,Товары!A:B,2,FALSE)</f>
        <v>#N/A</v>
      </c>
      <c r="AV97" s="94" t="e">
        <f ca="1">VLOOKUP(V97,Товары!A:B,1,FALSE)</f>
        <v>#N/A</v>
      </c>
    </row>
    <row r="98" spans="1:48" x14ac:dyDescent="0.25">
      <c r="A98" s="110" t="str">
        <f t="shared" ca="1" si="17"/>
        <v>21-751-06</v>
      </c>
      <c r="B98" s="107" t="str">
        <f ca="1">_xlfn.LET(_xlpm.CAPS,0,_xlpm.Style,_xlfn.XLOOKUP($A98,Строчный!$A:$A,Строчный!B:B,"ERR",0),IF(_xlpm.CAPS=0,_xlpm.Style,LOWER(_xlpm.Style)))</f>
        <v>90154BH NADEL</v>
      </c>
      <c r="C98" s="81" t="str">
        <f ca="1">PROPER(_xlfn.XLOOKUP($A98,Строчный!$A:$A,Строчный!C:C,"ERR",0))</f>
        <v>Кепки</v>
      </c>
      <c r="D98" s="81" t="str">
        <f ca="1">_xlfn.LET(_xlpm.DATA,(_xlfn.XLOOKUP($A98,Строчный!$A:$A,Строчный!D:D,"ERR",0)),UPPER(MID(_xlpm.DATA,1,1))&amp;LOWER(MID(_xlpm.DATA,2,LEN(_xlpm.DATA)-1)))</f>
        <v>Кепка плоская</v>
      </c>
      <c r="E98" s="81" t="str">
        <f ca="1">PROPER(_xlfn.XLOOKUP($A98,Строчный!$A:$A,Строчный!E:E,"ERR",0))</f>
        <v>The Hollywood</v>
      </c>
      <c r="F98" s="81" t="str">
        <f ca="1">LOWER(_xlfn.XLOOKUP($A98,Строчный!$A:$A,Строчный!F:F,"ERR",0))</f>
        <v>летний</v>
      </c>
      <c r="G98" s="81" t="str">
        <f ca="1">UPPER(_xlfn.XLOOKUP($A98,Строчный!$A:$A,Строчный!G:G,"ERR",0))</f>
        <v>BAILEY</v>
      </c>
      <c r="H98" s="81" t="str">
        <f ca="1">LOWER(_xlfn.XLOOKUP($A98,Строчный!$A:$A,Строчный!H:H,"ERR",0))</f>
        <v>blue</v>
      </c>
      <c r="I98" s="81" t="str">
        <f ca="1">LOWER(_xlfn.XLOOKUP($A98,Строчный!$A:$A,Строчный!I:I,"ERR",0))</f>
        <v>синий</v>
      </c>
      <c r="J98" s="81" t="str">
        <f ca="1">SUBSTITUTE(LOWER(_xlfn.XLOOKUP($A98,Строчный!$A:$A,Строчный!J:J,"ERR",0)),"подклад","Подклад")</f>
        <v>100% лен / Подклад: 100% полиэстер</v>
      </c>
      <c r="K98" s="81" t="str">
        <f ca="1">LOWER(_xlfn.XLOOKUP($A98,Строчный!$A:$A,Строчный!K:K,"ERR",0))</f>
        <v>льняные</v>
      </c>
      <c r="L98" s="81" t="str">
        <f ca="1">PROPER(_xlfn.XLOOKUP($A98,Строчный!$A:$A,Строчный!L:L,"ERR",0))</f>
        <v>Унисекс</v>
      </c>
      <c r="M98" s="113" t="str">
        <f ca="1">PROPER(_xlfn.XLOOKUP($A98,Строчный!$A:$A,Строчный!M:M,"ERR",0))</f>
        <v>Китай</v>
      </c>
      <c r="N98" s="81" t="str">
        <f ca="1">UPPER(_xlfn.XLOOKUP($A98,Строчный!$A:$A,Строчный!O:O,"ERR",0))</f>
        <v/>
      </c>
      <c r="O98" s="107" t="str">
        <f ca="1">PROPER(_xlfn.XLOOKUP($A98,Строчный!$A:$A,Строчный!P:P,"ERR",0))</f>
        <v/>
      </c>
      <c r="P98" s="90">
        <f ca="1">VALUE(_xlfn.XLOOKUP($A98,Строчный!$A:$A,Строчный!N:N,"ERR",0))</f>
        <v>1766.6999999999998</v>
      </c>
      <c r="Q98" s="89" t="str">
        <f ca="1">_xlfn.XLOOKUP($G98,Фабрика!A:A,Фабрика!B:B,"ERR",0)</f>
        <v>Bollman Headwear Europe Ltd; 2 Merchants drive, Caelisle, Cumbria CA3 0JW, United Kingdom</v>
      </c>
      <c r="R98" s="80" t="str">
        <f ca="1">_xlfn.XLOOKUP(RIGHT(Z98,2),Размеры!D:D,Размеры!A:A,"ERR",0)</f>
        <v>59</v>
      </c>
      <c r="S98" s="80">
        <f ca="1">VALUE(_xlfn.XLOOKUP($Z98,Строчный!$R:$R,Строчный!T:T,"ERR",0))</f>
        <v>7</v>
      </c>
      <c r="T98" s="14" t="s">
        <v>265</v>
      </c>
      <c r="U98" s="101" t="str">
        <f t="shared" ca="1" si="13"/>
        <v>Кепка BAILEY арт. 90154BH NADEL (синий)</v>
      </c>
      <c r="V98" s="100" t="str">
        <f t="shared" ca="1" si="14"/>
        <v>Кепка BAILEY арт. 90154BH NADEL (синий) {blue}</v>
      </c>
      <c r="W98" s="18" t="str">
        <f t="shared" ca="1" si="15"/>
        <v>синий</v>
      </c>
      <c r="X98" s="18" t="str">
        <f t="shared" ca="1" si="16"/>
        <v>синий</v>
      </c>
      <c r="Y98" s="117" t="str">
        <f ca="1">_xlfn.LET(_xlpm.FormColors,_xlfn.XLOOKUP(A98,Строчный!A:A,Строчный!Q:Q,"",0),IF(_xlpm.FormColors=0,IFERROR(MID(I98,FIND("-",I98)+1,LEN(I98)),IFERROR(MID(I98,1,FIND("/",I98)-2),I98)),_xlpm.FormColors))</f>
        <v>синий</v>
      </c>
      <c r="Z98" s="73" t="str">
        <f ca="1"/>
        <v>21-751-06-59</v>
      </c>
      <c r="AA98" s="75" t="str">
        <f ca="1">VLOOKUP(C98,Группа!A:B,2,FALSE)</f>
        <v>Кепка</v>
      </c>
      <c r="AB98" s="97" t="str">
        <f ca="1">IFERROR(VLOOKUP(R98,Размеры!A:C,3,FALSE),"")</f>
        <v>59 L</v>
      </c>
      <c r="AC98" s="97" t="str">
        <f ca="1">VLOOKUP(I98,ЦветПолный!A:B,2,FALSE)</f>
        <v>06</v>
      </c>
      <c r="AD98" s="97" t="str">
        <f ca="1">IFERROR(VLOOKUP(R98,Размеры!A:D,4,FALSE),"")</f>
        <v>59</v>
      </c>
      <c r="AE98" s="97">
        <f ca="1">IF(LEFT(IFERROR(VLOOKUP(LOOKUP(2,1/SEARCH(B98,Товары!A:A),Товары!A:A),Товары!A:B,2,0),""),6)=MID(Z98,1,6),1,0)</f>
        <v>1</v>
      </c>
      <c r="AG98" s="97">
        <f ca="1">SUMIF(Группа!A:A,C98,Группа!C:C)</f>
        <v>1</v>
      </c>
      <c r="AH98" s="97">
        <f ca="1">SUMIF(Группа!B:B,AA98,Группа!C:C)</f>
        <v>1</v>
      </c>
      <c r="AI98" s="97">
        <f ca="1">SUMIF(Формы!A:A,D98,Формы!B:B)</f>
        <v>1</v>
      </c>
      <c r="AJ98" s="97">
        <f ca="1">SUMIF(Материал!A:A,K98,Материал!B:B)</f>
        <v>1</v>
      </c>
      <c r="AK98" s="97">
        <f ca="1">SUMIF(Размеры!A:A,R98,Размеры!E:E)</f>
        <v>1</v>
      </c>
      <c r="AL98" s="97">
        <f ca="1">SUMIF(Сезон!A:A,F98,Сезон!B:B)</f>
        <v>1</v>
      </c>
      <c r="AM98" s="97">
        <f ca="1">SUMIF(Состав!A:A,J98,Состав!B:B)</f>
        <v>0</v>
      </c>
      <c r="AN98" s="97">
        <f ca="1">VLOOKUP(I98,ЦветПолный!A:C,3,0)</f>
        <v>1</v>
      </c>
      <c r="AO98" s="97">
        <f ca="1">SUMIF(Цвет!A:A,Y98,Цвет!B:B)</f>
        <v>1</v>
      </c>
      <c r="AP98" s="97">
        <f ca="1">_xlfn.XLOOKUP(L98,Пол!A:A,Пол!B:B,0,0)</f>
        <v>1</v>
      </c>
      <c r="AQ98" s="97">
        <f ca="1">SUMIF(Марка!A:A,G98,Марка!B:B)</f>
        <v>1</v>
      </c>
      <c r="AR98" s="97">
        <f ca="1">SUMIF(Страна!A:A,M98,Страна!B:B)</f>
        <v>1</v>
      </c>
      <c r="AS98" s="64" t="e">
        <f ca="1">IF(VLOOKUP(V98,Товары!A:B,2,FALSE)=A98,"Есть в 1С","ERR")</f>
        <v>#N/A</v>
      </c>
      <c r="AT98" s="65" t="e">
        <f ca="1">IF(VLOOKUP(A98,Товары!B:B,1,FALSE)=A98,"Есть в 1С","ERR")</f>
        <v>#N/A</v>
      </c>
      <c r="AU98" s="96" t="e">
        <f ca="1">VLOOKUP(V98,Товары!A:B,2,FALSE)</f>
        <v>#N/A</v>
      </c>
      <c r="AV98" s="94" t="e">
        <f ca="1">VLOOKUP(V98,Товары!A:B,1,FALSE)</f>
        <v>#N/A</v>
      </c>
    </row>
    <row r="99" spans="1:48" x14ac:dyDescent="0.25">
      <c r="A99" s="110" t="str">
        <f t="shared" ca="1" si="17"/>
        <v>21-751-06</v>
      </c>
      <c r="B99" s="107" t="str">
        <f ca="1">_xlfn.LET(_xlpm.CAPS,0,_xlpm.Style,_xlfn.XLOOKUP($A99,Строчный!$A:$A,Строчный!B:B,"ERR",0),IF(_xlpm.CAPS=0,_xlpm.Style,LOWER(_xlpm.Style)))</f>
        <v>90154BH NADEL</v>
      </c>
      <c r="C99" s="81" t="str">
        <f ca="1">PROPER(_xlfn.XLOOKUP($A99,Строчный!$A:$A,Строчный!C:C,"ERR",0))</f>
        <v>Кепки</v>
      </c>
      <c r="D99" s="81" t="str">
        <f ca="1">_xlfn.LET(_xlpm.DATA,(_xlfn.XLOOKUP($A99,Строчный!$A:$A,Строчный!D:D,"ERR",0)),UPPER(MID(_xlpm.DATA,1,1))&amp;LOWER(MID(_xlpm.DATA,2,LEN(_xlpm.DATA)-1)))</f>
        <v>Кепка плоская</v>
      </c>
      <c r="E99" s="81" t="str">
        <f ca="1">PROPER(_xlfn.XLOOKUP($A99,Строчный!$A:$A,Строчный!E:E,"ERR",0))</f>
        <v>The Hollywood</v>
      </c>
      <c r="F99" s="81" t="str">
        <f ca="1">LOWER(_xlfn.XLOOKUP($A99,Строчный!$A:$A,Строчный!F:F,"ERR",0))</f>
        <v>летний</v>
      </c>
      <c r="G99" s="81" t="str">
        <f ca="1">UPPER(_xlfn.XLOOKUP($A99,Строчный!$A:$A,Строчный!G:G,"ERR",0))</f>
        <v>BAILEY</v>
      </c>
      <c r="H99" s="81" t="str">
        <f ca="1">LOWER(_xlfn.XLOOKUP($A99,Строчный!$A:$A,Строчный!H:H,"ERR",0))</f>
        <v>blue</v>
      </c>
      <c r="I99" s="81" t="str">
        <f ca="1">LOWER(_xlfn.XLOOKUP($A99,Строчный!$A:$A,Строчный!I:I,"ERR",0))</f>
        <v>синий</v>
      </c>
      <c r="J99" s="81" t="str">
        <f ca="1">SUBSTITUTE(LOWER(_xlfn.XLOOKUP($A99,Строчный!$A:$A,Строчный!J:J,"ERR",0)),"подклад","Подклад")</f>
        <v>100% лен / Подклад: 100% полиэстер</v>
      </c>
      <c r="K99" s="81" t="str">
        <f ca="1">LOWER(_xlfn.XLOOKUP($A99,Строчный!$A:$A,Строчный!K:K,"ERR",0))</f>
        <v>льняные</v>
      </c>
      <c r="L99" s="81" t="str">
        <f ca="1">PROPER(_xlfn.XLOOKUP($A99,Строчный!$A:$A,Строчный!L:L,"ERR",0))</f>
        <v>Унисекс</v>
      </c>
      <c r="M99" s="113" t="str">
        <f ca="1">PROPER(_xlfn.XLOOKUP($A99,Строчный!$A:$A,Строчный!M:M,"ERR",0))</f>
        <v>Китай</v>
      </c>
      <c r="N99" s="81" t="str">
        <f ca="1">UPPER(_xlfn.XLOOKUP($A99,Строчный!$A:$A,Строчный!O:O,"ERR",0))</f>
        <v/>
      </c>
      <c r="O99" s="107" t="str">
        <f ca="1">PROPER(_xlfn.XLOOKUP($A99,Строчный!$A:$A,Строчный!P:P,"ERR",0))</f>
        <v/>
      </c>
      <c r="P99" s="90">
        <f ca="1">VALUE(_xlfn.XLOOKUP($A99,Строчный!$A:$A,Строчный!N:N,"ERR",0))</f>
        <v>1766.6999999999998</v>
      </c>
      <c r="Q99" s="89" t="str">
        <f ca="1">_xlfn.XLOOKUP($G99,Фабрика!A:A,Фабрика!B:B,"ERR",0)</f>
        <v>Bollman Headwear Europe Ltd; 2 Merchants drive, Caelisle, Cumbria CA3 0JW, United Kingdom</v>
      </c>
      <c r="R99" s="80" t="str">
        <f ca="1">_xlfn.XLOOKUP(RIGHT(Z99,2),Размеры!D:D,Размеры!A:A,"ERR",0)</f>
        <v>57</v>
      </c>
      <c r="S99" s="80">
        <f ca="1">VALUE(_xlfn.XLOOKUP($Z99,Строчный!$R:$R,Строчный!T:T,"ERR",0))</f>
        <v>4</v>
      </c>
      <c r="T99" s="14" t="s">
        <v>265</v>
      </c>
      <c r="U99" s="101" t="str">
        <f t="shared" ca="1" si="13"/>
        <v>Кепка BAILEY арт. 90154BH NADEL (синий)</v>
      </c>
      <c r="V99" s="100" t="str">
        <f t="shared" ca="1" si="14"/>
        <v>Кепка BAILEY арт. 90154BH NADEL (синий) {blue}</v>
      </c>
      <c r="W99" s="18" t="str">
        <f t="shared" ca="1" si="15"/>
        <v>синий</v>
      </c>
      <c r="X99" s="18" t="str">
        <f t="shared" ca="1" si="16"/>
        <v>синий</v>
      </c>
      <c r="Y99" s="117" t="str">
        <f ca="1">_xlfn.LET(_xlpm.FormColors,_xlfn.XLOOKUP(A99,Строчный!A:A,Строчный!Q:Q,"",0),IF(_xlpm.FormColors=0,IFERROR(MID(I99,FIND("-",I99)+1,LEN(I99)),IFERROR(MID(I99,1,FIND("/",I99)-2),I99)),_xlpm.FormColors))</f>
        <v>синий</v>
      </c>
      <c r="Z99" s="73" t="str">
        <f ca="1"/>
        <v>21-751-06-57</v>
      </c>
      <c r="AA99" s="75" t="str">
        <f ca="1">VLOOKUP(C99,Группа!A:B,2,FALSE)</f>
        <v>Кепка</v>
      </c>
      <c r="AB99" s="97" t="str">
        <f ca="1">IFERROR(VLOOKUP(R99,Размеры!A:C,3,FALSE),"")</f>
        <v>57 M</v>
      </c>
      <c r="AC99" s="97" t="str">
        <f ca="1">VLOOKUP(I99,ЦветПолный!A:B,2,FALSE)</f>
        <v>06</v>
      </c>
      <c r="AD99" s="97" t="str">
        <f ca="1">IFERROR(VLOOKUP(R99,Размеры!A:D,4,FALSE),"")</f>
        <v>57</v>
      </c>
      <c r="AE99" s="97">
        <f ca="1">IF(LEFT(IFERROR(VLOOKUP(LOOKUP(2,1/SEARCH(B99,Товары!A:A),Товары!A:A),Товары!A:B,2,0),""),6)=MID(Z99,1,6),1,0)</f>
        <v>1</v>
      </c>
      <c r="AG99" s="97">
        <f ca="1">SUMIF(Группа!A:A,C99,Группа!C:C)</f>
        <v>1</v>
      </c>
      <c r="AH99" s="97">
        <f ca="1">SUMIF(Группа!B:B,AA99,Группа!C:C)</f>
        <v>1</v>
      </c>
      <c r="AI99" s="97">
        <f ca="1">SUMIF(Формы!A:A,D99,Формы!B:B)</f>
        <v>1</v>
      </c>
      <c r="AJ99" s="97">
        <f ca="1">SUMIF(Материал!A:A,K99,Материал!B:B)</f>
        <v>1</v>
      </c>
      <c r="AK99" s="97">
        <f ca="1">SUMIF(Размеры!A:A,R99,Размеры!E:E)</f>
        <v>1</v>
      </c>
      <c r="AL99" s="97">
        <f ca="1">SUMIF(Сезон!A:A,F99,Сезон!B:B)</f>
        <v>1</v>
      </c>
      <c r="AM99" s="97">
        <f ca="1">SUMIF(Состав!A:A,J99,Состав!B:B)</f>
        <v>0</v>
      </c>
      <c r="AN99" s="97">
        <f ca="1">VLOOKUP(I99,ЦветПолный!A:C,3,0)</f>
        <v>1</v>
      </c>
      <c r="AO99" s="97">
        <f ca="1">SUMIF(Цвет!A:A,Y99,Цвет!B:B)</f>
        <v>1</v>
      </c>
      <c r="AP99" s="97">
        <f ca="1">_xlfn.XLOOKUP(L99,Пол!A:A,Пол!B:B,0,0)</f>
        <v>1</v>
      </c>
      <c r="AQ99" s="97">
        <f ca="1">SUMIF(Марка!A:A,G99,Марка!B:B)</f>
        <v>1</v>
      </c>
      <c r="AR99" s="97">
        <f ca="1">SUMIF(Страна!A:A,M99,Страна!B:B)</f>
        <v>1</v>
      </c>
      <c r="AS99" s="64" t="e">
        <f ca="1">IF(VLOOKUP(V99,Товары!A:B,2,FALSE)=A99,"Есть в 1С","ERR")</f>
        <v>#N/A</v>
      </c>
      <c r="AT99" s="65" t="e">
        <f ca="1">IF(VLOOKUP(A99,Товары!B:B,1,FALSE)=A99,"Есть в 1С","ERR")</f>
        <v>#N/A</v>
      </c>
      <c r="AU99" s="96" t="e">
        <f ca="1">VLOOKUP(V99,Товары!A:B,2,FALSE)</f>
        <v>#N/A</v>
      </c>
      <c r="AV99" s="94" t="e">
        <f ca="1">VLOOKUP(V99,Товары!A:B,1,FALSE)</f>
        <v>#N/A</v>
      </c>
    </row>
    <row r="100" spans="1:48" x14ac:dyDescent="0.25">
      <c r="A100" s="110" t="str">
        <f t="shared" ca="1" si="17"/>
        <v>21-751-06</v>
      </c>
      <c r="B100" s="107" t="str">
        <f ca="1">_xlfn.LET(_xlpm.CAPS,0,_xlpm.Style,_xlfn.XLOOKUP($A100,Строчный!$A:$A,Строчный!B:B,"ERR",0),IF(_xlpm.CAPS=0,_xlpm.Style,LOWER(_xlpm.Style)))</f>
        <v>90154BH NADEL</v>
      </c>
      <c r="C100" s="81" t="str">
        <f ca="1">PROPER(_xlfn.XLOOKUP($A100,Строчный!$A:$A,Строчный!C:C,"ERR",0))</f>
        <v>Кепки</v>
      </c>
      <c r="D100" s="81" t="str">
        <f ca="1">_xlfn.LET(_xlpm.DATA,(_xlfn.XLOOKUP($A100,Строчный!$A:$A,Строчный!D:D,"ERR",0)),UPPER(MID(_xlpm.DATA,1,1))&amp;LOWER(MID(_xlpm.DATA,2,LEN(_xlpm.DATA)-1)))</f>
        <v>Кепка плоская</v>
      </c>
      <c r="E100" s="81" t="str">
        <f ca="1">PROPER(_xlfn.XLOOKUP($A100,Строчный!$A:$A,Строчный!E:E,"ERR",0))</f>
        <v>The Hollywood</v>
      </c>
      <c r="F100" s="81" t="str">
        <f ca="1">LOWER(_xlfn.XLOOKUP($A100,Строчный!$A:$A,Строчный!F:F,"ERR",0))</f>
        <v>летний</v>
      </c>
      <c r="G100" s="81" t="str">
        <f ca="1">UPPER(_xlfn.XLOOKUP($A100,Строчный!$A:$A,Строчный!G:G,"ERR",0))</f>
        <v>BAILEY</v>
      </c>
      <c r="H100" s="81" t="str">
        <f ca="1">LOWER(_xlfn.XLOOKUP($A100,Строчный!$A:$A,Строчный!H:H,"ERR",0))</f>
        <v>blue</v>
      </c>
      <c r="I100" s="81" t="str">
        <f ca="1">LOWER(_xlfn.XLOOKUP($A100,Строчный!$A:$A,Строчный!I:I,"ERR",0))</f>
        <v>синий</v>
      </c>
      <c r="J100" s="81" t="str">
        <f ca="1">SUBSTITUTE(LOWER(_xlfn.XLOOKUP($A100,Строчный!$A:$A,Строчный!J:J,"ERR",0)),"подклад","Подклад")</f>
        <v>100% лен / Подклад: 100% полиэстер</v>
      </c>
      <c r="K100" s="81" t="str">
        <f ca="1">LOWER(_xlfn.XLOOKUP($A100,Строчный!$A:$A,Строчный!K:K,"ERR",0))</f>
        <v>льняные</v>
      </c>
      <c r="L100" s="81" t="str">
        <f ca="1">PROPER(_xlfn.XLOOKUP($A100,Строчный!$A:$A,Строчный!L:L,"ERR",0))</f>
        <v>Унисекс</v>
      </c>
      <c r="M100" s="113" t="str">
        <f ca="1">PROPER(_xlfn.XLOOKUP($A100,Строчный!$A:$A,Строчный!M:M,"ERR",0))</f>
        <v>Китай</v>
      </c>
      <c r="N100" s="81" t="str">
        <f ca="1">UPPER(_xlfn.XLOOKUP($A100,Строчный!$A:$A,Строчный!O:O,"ERR",0))</f>
        <v/>
      </c>
      <c r="O100" s="107" t="str">
        <f ca="1">PROPER(_xlfn.XLOOKUP($A100,Строчный!$A:$A,Строчный!P:P,"ERR",0))</f>
        <v/>
      </c>
      <c r="P100" s="90">
        <f ca="1">VALUE(_xlfn.XLOOKUP($A100,Строчный!$A:$A,Строчный!N:N,"ERR",0))</f>
        <v>1766.6999999999998</v>
      </c>
      <c r="Q100" s="89" t="str">
        <f ca="1">_xlfn.XLOOKUP($G100,Фабрика!A:A,Фабрика!B:B,"ERR",0)</f>
        <v>Bollman Headwear Europe Ltd; 2 Merchants drive, Caelisle, Cumbria CA3 0JW, United Kingdom</v>
      </c>
      <c r="R100" s="80" t="str">
        <f ca="1">_xlfn.XLOOKUP(RIGHT(Z100,2),Размеры!D:D,Размеры!A:A,"ERR",0)</f>
        <v>55</v>
      </c>
      <c r="S100" s="80">
        <f ca="1">VALUE(_xlfn.XLOOKUP($Z100,Строчный!$R:$R,Строчный!T:T,"ERR",0))</f>
        <v>1</v>
      </c>
      <c r="T100" s="14" t="s">
        <v>265</v>
      </c>
      <c r="U100" s="101" t="str">
        <f t="shared" ca="1" si="13"/>
        <v>Кепка BAILEY арт. 90154BH NADEL (синий)</v>
      </c>
      <c r="V100" s="100" t="str">
        <f t="shared" ca="1" si="14"/>
        <v>Кепка BAILEY арт. 90154BH NADEL (синий) {blue}</v>
      </c>
      <c r="W100" s="18" t="str">
        <f t="shared" ca="1" si="15"/>
        <v>синий</v>
      </c>
      <c r="X100" s="18" t="str">
        <f t="shared" ca="1" si="16"/>
        <v>синий</v>
      </c>
      <c r="Y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Z100" s="73" t="str">
        <f ca="1"/>
        <v>21-751-06-55</v>
      </c>
      <c r="AA100" s="75" t="str">
        <f ca="1">VLOOKUP(C100,Группа!A:B,2,FALSE)</f>
        <v>Кепка</v>
      </c>
      <c r="AB100" s="97" t="str">
        <f ca="1">IFERROR(VLOOKUP(R100,Размеры!A:C,3,FALSE),"")</f>
        <v>55 S</v>
      </c>
      <c r="AC100" s="97" t="str">
        <f ca="1">VLOOKUP(I100,ЦветПолный!A:B,2,FALSE)</f>
        <v>06</v>
      </c>
      <c r="AD100" s="97" t="str">
        <f ca="1">IFERROR(VLOOKUP(R100,Размеры!A:D,4,FALSE),"")</f>
        <v>55</v>
      </c>
      <c r="AE100" s="97">
        <f ca="1">IF(LEFT(IFERROR(VLOOKUP(LOOKUP(2,1/SEARCH(B100,Товары!A:A),Товары!A:A),Товары!A:B,2,0),""),6)=MID(Z100,1,6),1,0)</f>
        <v>1</v>
      </c>
      <c r="AG100" s="97">
        <f ca="1">SUMIF(Группа!A:A,C100,Группа!C:C)</f>
        <v>1</v>
      </c>
      <c r="AH100" s="97">
        <f ca="1">SUMIF(Группа!B:B,AA100,Группа!C:C)</f>
        <v>1</v>
      </c>
      <c r="AI100" s="97">
        <f ca="1">SUMIF(Формы!A:A,D100,Формы!B:B)</f>
        <v>1</v>
      </c>
      <c r="AJ100" s="97">
        <f ca="1">SUMIF(Материал!A:A,K100,Материал!B:B)</f>
        <v>1</v>
      </c>
      <c r="AK100" s="97">
        <f ca="1">SUMIF(Размеры!A:A,R100,Размеры!E:E)</f>
        <v>1</v>
      </c>
      <c r="AL100" s="97">
        <f ca="1">SUMIF(Сезон!A:A,F100,Сезон!B:B)</f>
        <v>1</v>
      </c>
      <c r="AM100" s="97">
        <f ca="1">SUMIF(Состав!A:A,J100,Состав!B:B)</f>
        <v>0</v>
      </c>
      <c r="AN100" s="97">
        <f ca="1">VLOOKUP(I100,ЦветПолный!A:C,3,0)</f>
        <v>1</v>
      </c>
      <c r="AO100" s="97">
        <f ca="1">SUMIF(Цвет!A:A,Y100,Цвет!B:B)</f>
        <v>1</v>
      </c>
      <c r="AP100" s="97">
        <f ca="1">_xlfn.XLOOKUP(L100,Пол!A:A,Пол!B:B,0,0)</f>
        <v>1</v>
      </c>
      <c r="AQ100" s="97">
        <f ca="1">SUMIF(Марка!A:A,G100,Марка!B:B)</f>
        <v>1</v>
      </c>
      <c r="AR100" s="97">
        <f ca="1">SUMIF(Страна!A:A,M100,Страна!B:B)</f>
        <v>1</v>
      </c>
      <c r="AS100" s="64" t="e">
        <f ca="1">IF(VLOOKUP(V100,Товары!A:B,2,FALSE)=A100,"Есть в 1С","ERR")</f>
        <v>#N/A</v>
      </c>
      <c r="AT100" s="65" t="e">
        <f ca="1">IF(VLOOKUP(A100,Товары!B:B,1,FALSE)=A100,"Есть в 1С","ERR")</f>
        <v>#N/A</v>
      </c>
      <c r="AU100" s="96" t="e">
        <f ca="1">VLOOKUP(V100,Товары!A:B,2,FALSE)</f>
        <v>#N/A</v>
      </c>
      <c r="AV100" s="94" t="e">
        <f ca="1">VLOOKUP(V100,Товары!A:B,1,FALSE)</f>
        <v>#N/A</v>
      </c>
    </row>
    <row r="101" spans="1:48" x14ac:dyDescent="0.25">
      <c r="A101" s="110" t="str">
        <f t="shared" ca="1" si="17"/>
        <v>21-748-17</v>
      </c>
      <c r="B101" s="107" t="str">
        <f ca="1">_xlfn.LET(_xlpm.CAPS,0,_xlpm.Style,_xlfn.XLOOKUP($A101,Строчный!$A:$A,Строчный!B:B,"ERR",0),IF(_xlpm.CAPS=0,_xlpm.Style,LOWER(_xlpm.Style)))</f>
        <v>81744BH ELI</v>
      </c>
      <c r="C101" s="81" t="str">
        <f ca="1">PROPER(_xlfn.XLOOKUP($A101,Строчный!$A:$A,Строчный!C:C,"ERR",0))</f>
        <v>Шляпы</v>
      </c>
      <c r="D101" s="81" t="str">
        <f ca="1">_xlfn.LET(_xlpm.DATA,(_xlfn.XLOOKUP($A101,Строчный!$A:$A,Строчный!D:D,"ERR",0)),UPPER(MID(_xlpm.DATA,1,1))&amp;LOWER(MID(_xlpm.DATA,2,LEN(_xlpm.DATA)-1)))</f>
        <v>Шляпа федора</v>
      </c>
      <c r="E101" s="81" t="str">
        <f ca="1">PROPER(_xlfn.XLOOKUP($A101,Строчный!$A:$A,Строчный!E:E,"ERR",0))</f>
        <v>The Hollywood</v>
      </c>
      <c r="F101" s="81" t="str">
        <f ca="1">LOWER(_xlfn.XLOOKUP($A101,Строчный!$A:$A,Строчный!F:F,"ERR",0))</f>
        <v>летний</v>
      </c>
      <c r="G101" s="81" t="str">
        <f ca="1">UPPER(_xlfn.XLOOKUP($A101,Строчный!$A:$A,Строчный!G:G,"ERR",0))</f>
        <v>BAILEY</v>
      </c>
      <c r="H101" s="81" t="str">
        <f ca="1">LOWER(_xlfn.XLOOKUP($A101,Строчный!$A:$A,Строчный!H:H,"ERR",0))</f>
        <v>off white</v>
      </c>
      <c r="I101" s="81" t="str">
        <f ca="1">LOWER(_xlfn.XLOOKUP($A101,Строчный!$A:$A,Строчный!I:I,"ERR",0))</f>
        <v>белый</v>
      </c>
      <c r="J101" s="81" t="str">
        <f ca="1">SUBSTITUTE(LOWER(_xlfn.XLOOKUP($A101,Строчный!$A:$A,Строчный!J:J,"ERR",0)),"подклад","Подклад")</f>
        <v>100% полипропилен</v>
      </c>
      <c r="K101" s="81" t="str">
        <f ca="1">LOWER(_xlfn.XLOOKUP($A101,Строчный!$A:$A,Строчный!K:K,"ERR",0))</f>
        <v/>
      </c>
      <c r="L101" s="81" t="str">
        <f ca="1">PROPER(_xlfn.XLOOKUP($A101,Строчный!$A:$A,Строчный!L:L,"ERR",0))</f>
        <v>Унисекс</v>
      </c>
      <c r="M101" s="113" t="str">
        <f ca="1">PROPER(_xlfn.XLOOKUP($A101,Строчный!$A:$A,Строчный!M:M,"ERR",0))</f>
        <v>Китай</v>
      </c>
      <c r="N101" s="81" t="str">
        <f ca="1">UPPER(_xlfn.XLOOKUP($A101,Строчный!$A:$A,Строчный!O:O,"ERR",0))</f>
        <v/>
      </c>
      <c r="O101" s="107" t="str">
        <f ca="1">PROPER(_xlfn.XLOOKUP($A101,Строчный!$A:$A,Строчный!P:P,"ERR",0))</f>
        <v/>
      </c>
      <c r="P101" s="90">
        <f ca="1">VALUE(_xlfn.XLOOKUP($A101,Строчный!$A:$A,Строчный!N:N,"ERR",0))</f>
        <v>2380.9500000000003</v>
      </c>
      <c r="Q101" s="89" t="str">
        <f ca="1">_xlfn.XLOOKUP($G101,Фабрика!A:A,Фабрика!B:B,"ERR",0)</f>
        <v>Bollman Headwear Europe Ltd; 2 Merchants drive, Caelisle, Cumbria CA3 0JW, United Kingdom</v>
      </c>
      <c r="R101" s="80" t="str">
        <f ca="1">_xlfn.XLOOKUP(RIGHT(Z101,2),Размеры!D:D,Размеры!A:A,"ERR",0)</f>
        <v>61</v>
      </c>
      <c r="S101" s="80">
        <f ca="1">VALUE(_xlfn.XLOOKUP($Z101,Строчный!$R:$R,Строчный!T:T,"ERR",0))</f>
        <v>5</v>
      </c>
      <c r="T101" s="14" t="s">
        <v>265</v>
      </c>
      <c r="U101" s="101" t="str">
        <f t="shared" ca="1" si="13"/>
        <v>Шляпа BAILEY арт. 81744BH ELI (белый)</v>
      </c>
      <c r="V101" s="100" t="str">
        <f t="shared" ca="1" si="14"/>
        <v>Шляпа BAILEY арт. 81744BH ELI (белый) {off white}</v>
      </c>
      <c r="W101" s="18" t="str">
        <f t="shared" ca="1" si="15"/>
        <v>белый</v>
      </c>
      <c r="X101" s="18" t="str">
        <f t="shared" ca="1" si="16"/>
        <v>белый</v>
      </c>
      <c r="Y101" s="117" t="str">
        <f ca="1">_xlfn.LET(_xlpm.FormColors,_xlfn.XLOOKUP(A101,Строчный!A:A,Строчный!Q:Q,"",0),IF(_xlpm.FormColors=0,IFERROR(MID(I101,FIND("-",I101)+1,LEN(I101)),IFERROR(MID(I101,1,FIND("/",I101)-2),I101)),_xlpm.FormColors))</f>
        <v>белый</v>
      </c>
      <c r="Z101" s="73" t="str">
        <f ca="1"/>
        <v>21-748-17-61</v>
      </c>
      <c r="AA101" s="75" t="str">
        <f ca="1">VLOOKUP(C101,Группа!A:B,2,FALSE)</f>
        <v>Шляпа</v>
      </c>
      <c r="AB101" s="97" t="str">
        <f ca="1">IFERROR(VLOOKUP(R101,Размеры!A:C,3,FALSE),"")</f>
        <v>61 XL</v>
      </c>
      <c r="AC101" s="97" t="str">
        <f ca="1">VLOOKUP(I101,ЦветПолный!A:B,2,FALSE)</f>
        <v>17</v>
      </c>
      <c r="AD101" s="97" t="str">
        <f ca="1">IFERROR(VLOOKUP(R101,Размеры!A:D,4,FALSE),"")</f>
        <v>61</v>
      </c>
      <c r="AE101" s="97">
        <f ca="1">IF(LEFT(IFERROR(VLOOKUP(LOOKUP(2,1/SEARCH(B101,Товары!A:A),Товары!A:A),Товары!A:B,2,0),""),6)=MID(Z101,1,6),1,0)</f>
        <v>1</v>
      </c>
      <c r="AG101" s="97">
        <f ca="1">SUMIF(Группа!A:A,C101,Группа!C:C)</f>
        <v>1</v>
      </c>
      <c r="AH101" s="97">
        <f ca="1">SUMIF(Группа!B:B,AA101,Группа!C:C)</f>
        <v>1</v>
      </c>
      <c r="AI101" s="97">
        <f ca="1">SUMIF(Формы!A:A,D101,Формы!B:B)</f>
        <v>1</v>
      </c>
      <c r="AJ101" s="97">
        <f ca="1">SUMIF(Материал!A:A,K101,Материал!B:B)</f>
        <v>0</v>
      </c>
      <c r="AK101" s="97">
        <f ca="1">SUMIF(Размеры!A:A,R101,Размеры!E:E)</f>
        <v>1</v>
      </c>
      <c r="AL101" s="97">
        <f ca="1">SUMIF(Сезон!A:A,F101,Сезон!B:B)</f>
        <v>1</v>
      </c>
      <c r="AM101" s="97">
        <f ca="1">SUMIF(Состав!A:A,J101,Состав!B:B)</f>
        <v>1</v>
      </c>
      <c r="AN101" s="97">
        <f ca="1">VLOOKUP(I101,ЦветПолный!A:C,3,0)</f>
        <v>1</v>
      </c>
      <c r="AO101" s="97">
        <f ca="1">SUMIF(Цвет!A:A,Y101,Цвет!B:B)</f>
        <v>1</v>
      </c>
      <c r="AP101" s="97">
        <f ca="1">_xlfn.XLOOKUP(L101,Пол!A:A,Пол!B:B,0,0)</f>
        <v>1</v>
      </c>
      <c r="AQ101" s="97">
        <f ca="1">SUMIF(Марка!A:A,G101,Марка!B:B)</f>
        <v>1</v>
      </c>
      <c r="AR101" s="97">
        <f ca="1">SUMIF(Страна!A:A,M101,Страна!B:B)</f>
        <v>1</v>
      </c>
      <c r="AS101" s="64" t="e">
        <f ca="1">IF(VLOOKUP(V101,Товары!A:B,2,FALSE)=A101,"Есть в 1С","ERR")</f>
        <v>#N/A</v>
      </c>
      <c r="AT101" s="65" t="e">
        <f ca="1">IF(VLOOKUP(A101,Товары!B:B,1,FALSE)=A101,"Есть в 1С","ERR")</f>
        <v>#N/A</v>
      </c>
      <c r="AU101" s="96" t="e">
        <f ca="1">VLOOKUP(V101,Товары!A:B,2,FALSE)</f>
        <v>#N/A</v>
      </c>
      <c r="AV101" s="94" t="e">
        <f ca="1">VLOOKUP(V101,Товары!A:B,1,FALSE)</f>
        <v>#N/A</v>
      </c>
    </row>
    <row r="102" spans="1:48" x14ac:dyDescent="0.25">
      <c r="A102" s="110" t="str">
        <f t="shared" ca="1" si="17"/>
        <v>21-748-17</v>
      </c>
      <c r="B102" s="107" t="str">
        <f ca="1">_xlfn.LET(_xlpm.CAPS,0,_xlpm.Style,_xlfn.XLOOKUP($A102,Строчный!$A:$A,Строчный!B:B,"ERR",0),IF(_xlpm.CAPS=0,_xlpm.Style,LOWER(_xlpm.Style)))</f>
        <v>81744BH ELI</v>
      </c>
      <c r="C102" s="81" t="str">
        <f ca="1">PROPER(_xlfn.XLOOKUP($A102,Строчный!$A:$A,Строчный!C:C,"ERR",0))</f>
        <v>Шляпы</v>
      </c>
      <c r="D102" s="81" t="str">
        <f ca="1">_xlfn.LET(_xlpm.DATA,(_xlfn.XLOOKUP($A102,Строчный!$A:$A,Строчный!D:D,"ERR",0)),UPPER(MID(_xlpm.DATA,1,1))&amp;LOWER(MID(_xlpm.DATA,2,LEN(_xlpm.DATA)-1)))</f>
        <v>Шляпа федора</v>
      </c>
      <c r="E102" s="81" t="str">
        <f ca="1">PROPER(_xlfn.XLOOKUP($A102,Строчный!$A:$A,Строчный!E:E,"ERR",0))</f>
        <v>The Hollywood</v>
      </c>
      <c r="F102" s="81" t="str">
        <f ca="1">LOWER(_xlfn.XLOOKUP($A102,Строчный!$A:$A,Строчный!F:F,"ERR",0))</f>
        <v>летний</v>
      </c>
      <c r="G102" s="81" t="str">
        <f ca="1">UPPER(_xlfn.XLOOKUP($A102,Строчный!$A:$A,Строчный!G:G,"ERR",0))</f>
        <v>BAILEY</v>
      </c>
      <c r="H102" s="81" t="str">
        <f ca="1">LOWER(_xlfn.XLOOKUP($A102,Строчный!$A:$A,Строчный!H:H,"ERR",0))</f>
        <v>off white</v>
      </c>
      <c r="I102" s="81" t="str">
        <f ca="1">LOWER(_xlfn.XLOOKUP($A102,Строчный!$A:$A,Строчный!I:I,"ERR",0))</f>
        <v>белый</v>
      </c>
      <c r="J102" s="81" t="str">
        <f ca="1">SUBSTITUTE(LOWER(_xlfn.XLOOKUP($A102,Строчный!$A:$A,Строчный!J:J,"ERR",0)),"подклад","Подклад")</f>
        <v>100% полипропилен</v>
      </c>
      <c r="K102" s="81" t="str">
        <f ca="1">LOWER(_xlfn.XLOOKUP($A102,Строчный!$A:$A,Строчный!K:K,"ERR",0))</f>
        <v/>
      </c>
      <c r="L102" s="81" t="str">
        <f ca="1">PROPER(_xlfn.XLOOKUP($A102,Строчный!$A:$A,Строчный!L:L,"ERR",0))</f>
        <v>Унисекс</v>
      </c>
      <c r="M102" s="113" t="str">
        <f ca="1">PROPER(_xlfn.XLOOKUP($A102,Строчный!$A:$A,Строчный!M:M,"ERR",0))</f>
        <v>Китай</v>
      </c>
      <c r="N102" s="81" t="str">
        <f ca="1">UPPER(_xlfn.XLOOKUP($A102,Строчный!$A:$A,Строчный!O:O,"ERR",0))</f>
        <v/>
      </c>
      <c r="O102" s="107" t="str">
        <f ca="1">PROPER(_xlfn.XLOOKUP($A102,Строчный!$A:$A,Строчный!P:P,"ERR",0))</f>
        <v/>
      </c>
      <c r="P102" s="90">
        <f ca="1">VALUE(_xlfn.XLOOKUP($A102,Строчный!$A:$A,Строчный!N:N,"ERR",0))</f>
        <v>2380.9500000000003</v>
      </c>
      <c r="Q102" s="89" t="str">
        <f ca="1">_xlfn.XLOOKUP($G102,Фабрика!A:A,Фабрика!B:B,"ERR",0)</f>
        <v>Bollman Headwear Europe Ltd; 2 Merchants drive, Caelisle, Cumbria CA3 0JW, United Kingdom</v>
      </c>
      <c r="R102" s="80" t="str">
        <f ca="1">_xlfn.XLOOKUP(RIGHT(Z102,2),Размеры!D:D,Размеры!A:A,"ERR",0)</f>
        <v>59</v>
      </c>
      <c r="S102" s="80">
        <f ca="1">VALUE(_xlfn.XLOOKUP($Z102,Строчный!$R:$R,Строчный!T:T,"ERR",0))</f>
        <v>9</v>
      </c>
      <c r="T102" s="14" t="s">
        <v>265</v>
      </c>
      <c r="U102" s="101" t="str">
        <f t="shared" ca="1" si="13"/>
        <v>Шляпа BAILEY арт. 81744BH ELI (белый)</v>
      </c>
      <c r="V102" s="100" t="str">
        <f t="shared" ca="1" si="14"/>
        <v>Шляпа BAILEY арт. 81744BH ELI (белый) {off white}</v>
      </c>
      <c r="W102" s="18" t="str">
        <f t="shared" ca="1" si="15"/>
        <v>белый</v>
      </c>
      <c r="X102" s="18" t="str">
        <f t="shared" ca="1" si="16"/>
        <v>белый</v>
      </c>
      <c r="Y102" s="117" t="str">
        <f ca="1">_xlfn.LET(_xlpm.FormColors,_xlfn.XLOOKUP(A102,Строчный!A:A,Строчный!Q:Q,"",0),IF(_xlpm.FormColors=0,IFERROR(MID(I102,FIND("-",I102)+1,LEN(I102)),IFERROR(MID(I102,1,FIND("/",I102)-2),I102)),_xlpm.FormColors))</f>
        <v>белый</v>
      </c>
      <c r="Z102" s="73" t="str">
        <f ca="1"/>
        <v>21-748-17-59</v>
      </c>
      <c r="AA102" s="75" t="str">
        <f ca="1">VLOOKUP(C102,Группа!A:B,2,FALSE)</f>
        <v>Шляпа</v>
      </c>
      <c r="AB102" s="97" t="str">
        <f ca="1">IFERROR(VLOOKUP(R102,Размеры!A:C,3,FALSE),"")</f>
        <v>59 L</v>
      </c>
      <c r="AC102" s="97" t="str">
        <f ca="1">VLOOKUP(I102,ЦветПолный!A:B,2,FALSE)</f>
        <v>17</v>
      </c>
      <c r="AD102" s="97" t="str">
        <f ca="1">IFERROR(VLOOKUP(R102,Размеры!A:D,4,FALSE),"")</f>
        <v>59</v>
      </c>
      <c r="AE102" s="97">
        <f ca="1">IF(LEFT(IFERROR(VLOOKUP(LOOKUP(2,1/SEARCH(B102,Товары!A:A),Товары!A:A),Товары!A:B,2,0),""),6)=MID(Z102,1,6),1,0)</f>
        <v>1</v>
      </c>
      <c r="AG102" s="97">
        <f ca="1">SUMIF(Группа!A:A,C102,Группа!C:C)</f>
        <v>1</v>
      </c>
      <c r="AH102" s="97">
        <f ca="1">SUMIF(Группа!B:B,AA102,Группа!C:C)</f>
        <v>1</v>
      </c>
      <c r="AI102" s="97">
        <f ca="1">SUMIF(Формы!A:A,D102,Формы!B:B)</f>
        <v>1</v>
      </c>
      <c r="AJ102" s="97">
        <f ca="1">SUMIF(Материал!A:A,K102,Материал!B:B)</f>
        <v>0</v>
      </c>
      <c r="AK102" s="97">
        <f ca="1">SUMIF(Размеры!A:A,R102,Размеры!E:E)</f>
        <v>1</v>
      </c>
      <c r="AL102" s="97">
        <f ca="1">SUMIF(Сезон!A:A,F102,Сезон!B:B)</f>
        <v>1</v>
      </c>
      <c r="AM102" s="97">
        <f ca="1">SUMIF(Состав!A:A,J102,Состав!B:B)</f>
        <v>1</v>
      </c>
      <c r="AN102" s="97">
        <f ca="1">VLOOKUP(I102,ЦветПолный!A:C,3,0)</f>
        <v>1</v>
      </c>
      <c r="AO102" s="97">
        <f ca="1">SUMIF(Цвет!A:A,Y102,Цвет!B:B)</f>
        <v>1</v>
      </c>
      <c r="AP102" s="97">
        <f ca="1">_xlfn.XLOOKUP(L102,Пол!A:A,Пол!B:B,0,0)</f>
        <v>1</v>
      </c>
      <c r="AQ102" s="97">
        <f ca="1">SUMIF(Марка!A:A,G102,Марка!B:B)</f>
        <v>1</v>
      </c>
      <c r="AR102" s="97">
        <f ca="1">SUMIF(Страна!A:A,M102,Страна!B:B)</f>
        <v>1</v>
      </c>
      <c r="AS102" s="64" t="e">
        <f ca="1">IF(VLOOKUP(V102,Товары!A:B,2,FALSE)=A102,"Есть в 1С","ERR")</f>
        <v>#N/A</v>
      </c>
      <c r="AT102" s="65" t="e">
        <f ca="1">IF(VLOOKUP(A102,Товары!B:B,1,FALSE)=A102,"Есть в 1С","ERR")</f>
        <v>#N/A</v>
      </c>
      <c r="AU102" s="96" t="e">
        <f ca="1">VLOOKUP(V102,Товары!A:B,2,FALSE)</f>
        <v>#N/A</v>
      </c>
      <c r="AV102" s="94" t="e">
        <f ca="1">VLOOKUP(V102,Товары!A:B,1,FALSE)</f>
        <v>#N/A</v>
      </c>
    </row>
    <row r="103" spans="1:48" x14ac:dyDescent="0.25">
      <c r="A103" s="110" t="str">
        <f t="shared" ca="1" si="17"/>
        <v>21-748-17</v>
      </c>
      <c r="B103" s="107" t="str">
        <f ca="1">_xlfn.LET(_xlpm.CAPS,0,_xlpm.Style,_xlfn.XLOOKUP($A103,Строчный!$A:$A,Строчный!B:B,"ERR",0),IF(_xlpm.CAPS=0,_xlpm.Style,LOWER(_xlpm.Style)))</f>
        <v>81744BH ELI</v>
      </c>
      <c r="C103" s="81" t="str">
        <f ca="1">PROPER(_xlfn.XLOOKUP($A103,Строчный!$A:$A,Строчный!C:C,"ERR",0))</f>
        <v>Шляпы</v>
      </c>
      <c r="D103" s="81" t="str">
        <f ca="1">_xlfn.LET(_xlpm.DATA,(_xlfn.XLOOKUP($A103,Строчный!$A:$A,Строчный!D:D,"ERR",0)),UPPER(MID(_xlpm.DATA,1,1))&amp;LOWER(MID(_xlpm.DATA,2,LEN(_xlpm.DATA)-1)))</f>
        <v>Шляпа федора</v>
      </c>
      <c r="E103" s="81" t="str">
        <f ca="1">PROPER(_xlfn.XLOOKUP($A103,Строчный!$A:$A,Строчный!E:E,"ERR",0))</f>
        <v>The Hollywood</v>
      </c>
      <c r="F103" s="81" t="str">
        <f ca="1">LOWER(_xlfn.XLOOKUP($A103,Строчный!$A:$A,Строчный!F:F,"ERR",0))</f>
        <v>летний</v>
      </c>
      <c r="G103" s="81" t="str">
        <f ca="1">UPPER(_xlfn.XLOOKUP($A103,Строчный!$A:$A,Строчный!G:G,"ERR",0))</f>
        <v>BAILEY</v>
      </c>
      <c r="H103" s="81" t="str">
        <f ca="1">LOWER(_xlfn.XLOOKUP($A103,Строчный!$A:$A,Строчный!H:H,"ERR",0))</f>
        <v>off white</v>
      </c>
      <c r="I103" s="81" t="str">
        <f ca="1">LOWER(_xlfn.XLOOKUP($A103,Строчный!$A:$A,Строчный!I:I,"ERR",0))</f>
        <v>белый</v>
      </c>
      <c r="J103" s="81" t="str">
        <f ca="1">SUBSTITUTE(LOWER(_xlfn.XLOOKUP($A103,Строчный!$A:$A,Строчный!J:J,"ERR",0)),"подклад","Подклад")</f>
        <v>100% полипропилен</v>
      </c>
      <c r="K103" s="81" t="str">
        <f ca="1">LOWER(_xlfn.XLOOKUP($A103,Строчный!$A:$A,Строчный!K:K,"ERR",0))</f>
        <v/>
      </c>
      <c r="L103" s="81" t="str">
        <f ca="1">PROPER(_xlfn.XLOOKUP($A103,Строчный!$A:$A,Строчный!L:L,"ERR",0))</f>
        <v>Унисекс</v>
      </c>
      <c r="M103" s="113" t="str">
        <f ca="1">PROPER(_xlfn.XLOOKUP($A103,Строчный!$A:$A,Строчный!M:M,"ERR",0))</f>
        <v>Китай</v>
      </c>
      <c r="N103" s="81" t="str">
        <f ca="1">UPPER(_xlfn.XLOOKUP($A103,Строчный!$A:$A,Строчный!O:O,"ERR",0))</f>
        <v/>
      </c>
      <c r="O103" s="107" t="str">
        <f ca="1">PROPER(_xlfn.XLOOKUP($A103,Строчный!$A:$A,Строчный!P:P,"ERR",0))</f>
        <v/>
      </c>
      <c r="P103" s="90">
        <f ca="1">VALUE(_xlfn.XLOOKUP($A103,Строчный!$A:$A,Строчный!N:N,"ERR",0))</f>
        <v>2380.9500000000003</v>
      </c>
      <c r="Q103" s="89" t="str">
        <f ca="1">_xlfn.XLOOKUP($G103,Фабрика!A:A,Фабрика!B:B,"ERR",0)</f>
        <v>Bollman Headwear Europe Ltd; 2 Merchants drive, Caelisle, Cumbria CA3 0JW, United Kingdom</v>
      </c>
      <c r="R103" s="80" t="str">
        <f ca="1">_xlfn.XLOOKUP(RIGHT(Z103,2),Размеры!D:D,Размеры!A:A,"ERR",0)</f>
        <v>57</v>
      </c>
      <c r="S103" s="80">
        <f ca="1">VALUE(_xlfn.XLOOKUP($Z103,Строчный!$R:$R,Строчный!T:T,"ERR",0))</f>
        <v>5</v>
      </c>
      <c r="T103" s="14" t="s">
        <v>265</v>
      </c>
      <c r="U103" s="101" t="str">
        <f t="shared" ca="1" si="13"/>
        <v>Шляпа BAILEY арт. 81744BH ELI (белый)</v>
      </c>
      <c r="V103" s="100" t="str">
        <f t="shared" ca="1" si="14"/>
        <v>Шляпа BAILEY арт. 81744BH ELI (белый) {off white}</v>
      </c>
      <c r="W103" s="18" t="str">
        <f t="shared" ca="1" si="15"/>
        <v>белый</v>
      </c>
      <c r="X103" s="18" t="str">
        <f t="shared" ca="1" si="16"/>
        <v>белый</v>
      </c>
      <c r="Y103" s="117" t="str">
        <f ca="1">_xlfn.LET(_xlpm.FormColors,_xlfn.XLOOKUP(A103,Строчный!A:A,Строчный!Q:Q,"",0),IF(_xlpm.FormColors=0,IFERROR(MID(I103,FIND("-",I103)+1,LEN(I103)),IFERROR(MID(I103,1,FIND("/",I103)-2),I103)),_xlpm.FormColors))</f>
        <v>белый</v>
      </c>
      <c r="Z103" s="73" t="str">
        <f ca="1"/>
        <v>21-748-17-57</v>
      </c>
      <c r="AA103" s="75" t="str">
        <f ca="1">VLOOKUP(C103,Группа!A:B,2,FALSE)</f>
        <v>Шляпа</v>
      </c>
      <c r="AB103" s="97" t="str">
        <f ca="1">IFERROR(VLOOKUP(R103,Размеры!A:C,3,FALSE),"")</f>
        <v>57 M</v>
      </c>
      <c r="AC103" s="97" t="str">
        <f ca="1">VLOOKUP(I103,ЦветПолный!A:B,2,FALSE)</f>
        <v>17</v>
      </c>
      <c r="AD103" s="97" t="str">
        <f ca="1">IFERROR(VLOOKUP(R103,Размеры!A:D,4,FALSE),"")</f>
        <v>57</v>
      </c>
      <c r="AE103" s="97">
        <f ca="1">IF(LEFT(IFERROR(VLOOKUP(LOOKUP(2,1/SEARCH(B103,Товары!A:A),Товары!A:A),Товары!A:B,2,0),""),6)=MID(Z103,1,6),1,0)</f>
        <v>1</v>
      </c>
      <c r="AG103" s="97">
        <f ca="1">SUMIF(Группа!A:A,C103,Группа!C:C)</f>
        <v>1</v>
      </c>
      <c r="AH103" s="97">
        <f ca="1">SUMIF(Группа!B:B,AA103,Группа!C:C)</f>
        <v>1</v>
      </c>
      <c r="AI103" s="97">
        <f ca="1">SUMIF(Формы!A:A,D103,Формы!B:B)</f>
        <v>1</v>
      </c>
      <c r="AJ103" s="97">
        <f ca="1">SUMIF(Материал!A:A,K103,Материал!B:B)</f>
        <v>0</v>
      </c>
      <c r="AK103" s="97">
        <f ca="1">SUMIF(Размеры!A:A,R103,Размеры!E:E)</f>
        <v>1</v>
      </c>
      <c r="AL103" s="97">
        <f ca="1">SUMIF(Сезон!A:A,F103,Сезон!B:B)</f>
        <v>1</v>
      </c>
      <c r="AM103" s="97">
        <f ca="1">SUMIF(Состав!A:A,J103,Состав!B:B)</f>
        <v>1</v>
      </c>
      <c r="AN103" s="97">
        <f ca="1">VLOOKUP(I103,ЦветПолный!A:C,3,0)</f>
        <v>1</v>
      </c>
      <c r="AO103" s="97">
        <f ca="1">SUMIF(Цвет!A:A,Y103,Цвет!B:B)</f>
        <v>1</v>
      </c>
      <c r="AP103" s="97">
        <f ca="1">_xlfn.XLOOKUP(L103,Пол!A:A,Пол!B:B,0,0)</f>
        <v>1</v>
      </c>
      <c r="AQ103" s="97">
        <f ca="1">SUMIF(Марка!A:A,G103,Марка!B:B)</f>
        <v>1</v>
      </c>
      <c r="AR103" s="97">
        <f ca="1">SUMIF(Страна!A:A,M103,Страна!B:B)</f>
        <v>1</v>
      </c>
      <c r="AS103" s="64" t="e">
        <f ca="1">IF(VLOOKUP(V103,Товары!A:B,2,FALSE)=A103,"Есть в 1С","ERR")</f>
        <v>#N/A</v>
      </c>
      <c r="AT103" s="65" t="e">
        <f ca="1">IF(VLOOKUP(A103,Товары!B:B,1,FALSE)=A103,"Есть в 1С","ERR")</f>
        <v>#N/A</v>
      </c>
      <c r="AU103" s="96" t="e">
        <f ca="1">VLOOKUP(V103,Товары!A:B,2,FALSE)</f>
        <v>#N/A</v>
      </c>
      <c r="AV103" s="94" t="e">
        <f ca="1">VLOOKUP(V103,Товары!A:B,1,FALSE)</f>
        <v>#N/A</v>
      </c>
    </row>
    <row r="104" spans="1:48" x14ac:dyDescent="0.25">
      <c r="A104" s="110" t="str">
        <f t="shared" ca="1" si="17"/>
        <v>21-748-08</v>
      </c>
      <c r="B104" s="107" t="str">
        <f ca="1">_xlfn.LET(_xlpm.CAPS,0,_xlpm.Style,_xlfn.XLOOKUP($A104,Строчный!$A:$A,Строчный!B:B,"ERR",0),IF(_xlpm.CAPS=0,_xlpm.Style,LOWER(_xlpm.Style)))</f>
        <v>81744BH ELI</v>
      </c>
      <c r="C104" s="81" t="str">
        <f ca="1">PROPER(_xlfn.XLOOKUP($A104,Строчный!$A:$A,Строчный!C:C,"ERR",0))</f>
        <v>Шляпы</v>
      </c>
      <c r="D104" s="81" t="str">
        <f ca="1">_xlfn.LET(_xlpm.DATA,(_xlfn.XLOOKUP($A104,Строчный!$A:$A,Строчный!D:D,"ERR",0)),UPPER(MID(_xlpm.DATA,1,1))&amp;LOWER(MID(_xlpm.DATA,2,LEN(_xlpm.DATA)-1)))</f>
        <v>Шляпа федора</v>
      </c>
      <c r="E104" s="81" t="str">
        <f ca="1">PROPER(_xlfn.XLOOKUP($A104,Строчный!$A:$A,Строчный!E:E,"ERR",0))</f>
        <v>The Hollywood</v>
      </c>
      <c r="F104" s="81" t="str">
        <f ca="1">LOWER(_xlfn.XLOOKUP($A104,Строчный!$A:$A,Строчный!F:F,"ERR",0))</f>
        <v>летний</v>
      </c>
      <c r="G104" s="81" t="str">
        <f ca="1">UPPER(_xlfn.XLOOKUP($A104,Строчный!$A:$A,Строчный!G:G,"ERR",0))</f>
        <v>BAILEY</v>
      </c>
      <c r="H104" s="81" t="str">
        <f ca="1">LOWER(_xlfn.XLOOKUP($A104,Строчный!$A:$A,Строчный!H:H,"ERR",0))</f>
        <v>grey</v>
      </c>
      <c r="I104" s="81" t="str">
        <f ca="1">LOWER(_xlfn.XLOOKUP($A104,Строчный!$A:$A,Строчный!I:I,"ERR",0))</f>
        <v>серый</v>
      </c>
      <c r="J104" s="81" t="str">
        <f ca="1">SUBSTITUTE(LOWER(_xlfn.XLOOKUP($A104,Строчный!$A:$A,Строчный!J:J,"ERR",0)),"подклад","Подклад")</f>
        <v>100% полипропилен</v>
      </c>
      <c r="K104" s="81" t="str">
        <f ca="1">LOWER(_xlfn.XLOOKUP($A104,Строчный!$A:$A,Строчный!K:K,"ERR",0))</f>
        <v/>
      </c>
      <c r="L104" s="81" t="str">
        <f ca="1">PROPER(_xlfn.XLOOKUP($A104,Строчный!$A:$A,Строчный!L:L,"ERR",0))</f>
        <v>Унисекс</v>
      </c>
      <c r="M104" s="113" t="str">
        <f ca="1">PROPER(_xlfn.XLOOKUP($A104,Строчный!$A:$A,Строчный!M:M,"ERR",0))</f>
        <v>Китай</v>
      </c>
      <c r="N104" s="81" t="str">
        <f ca="1">UPPER(_xlfn.XLOOKUP($A104,Строчный!$A:$A,Строчный!O:O,"ERR",0))</f>
        <v/>
      </c>
      <c r="O104" s="107" t="str">
        <f ca="1">PROPER(_xlfn.XLOOKUP($A104,Строчный!$A:$A,Строчный!P:P,"ERR",0))</f>
        <v/>
      </c>
      <c r="P104" s="90">
        <f ca="1">VALUE(_xlfn.XLOOKUP($A104,Строчный!$A:$A,Строчный!N:N,"ERR",0))</f>
        <v>2380.9500000000003</v>
      </c>
      <c r="Q104" s="89" t="str">
        <f ca="1">_xlfn.XLOOKUP($G104,Фабрика!A:A,Фабрика!B:B,"ERR",0)</f>
        <v>Bollman Headwear Europe Ltd; 2 Merchants drive, Caelisle, Cumbria CA3 0JW, United Kingdom</v>
      </c>
      <c r="R104" s="80" t="str">
        <f ca="1">_xlfn.XLOOKUP(RIGHT(Z104,2),Размеры!D:D,Размеры!A:A,"ERR",0)</f>
        <v>61</v>
      </c>
      <c r="S104" s="80">
        <f ca="1">VALUE(_xlfn.XLOOKUP($Z104,Строчный!$R:$R,Строчный!T:T,"ERR",0))</f>
        <v>5</v>
      </c>
      <c r="T104" s="14" t="s">
        <v>265</v>
      </c>
      <c r="U104" s="101" t="str">
        <f t="shared" ca="1" si="13"/>
        <v>Шляпа BAILEY арт. 81744BH ELI (серый)</v>
      </c>
      <c r="V104" s="100" t="str">
        <f t="shared" ca="1" si="14"/>
        <v>Шляпа BAILEY арт. 81744BH ELI (серый) {grey}</v>
      </c>
      <c r="W104" s="18" t="str">
        <f t="shared" ca="1" si="15"/>
        <v>серый</v>
      </c>
      <c r="X104" s="18" t="str">
        <f t="shared" ca="1" si="16"/>
        <v>серый</v>
      </c>
      <c r="Y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серый</v>
      </c>
      <c r="Z104" s="73" t="str">
        <f ca="1"/>
        <v>21-748-08-61</v>
      </c>
      <c r="AA104" s="75" t="str">
        <f ca="1">VLOOKUP(C104,Группа!A:B,2,FALSE)</f>
        <v>Шляпа</v>
      </c>
      <c r="AB104" s="97" t="str">
        <f ca="1">IFERROR(VLOOKUP(R104,Размеры!A:C,3,FALSE),"")</f>
        <v>61 XL</v>
      </c>
      <c r="AC104" s="97" t="str">
        <f ca="1">VLOOKUP(I104,ЦветПолный!A:B,2,FALSE)</f>
        <v>08</v>
      </c>
      <c r="AD104" s="97" t="str">
        <f ca="1">IFERROR(VLOOKUP(R104,Размеры!A:D,4,FALSE),"")</f>
        <v>61</v>
      </c>
      <c r="AE104" s="97">
        <f ca="1">IF(LEFT(IFERROR(VLOOKUP(LOOKUP(2,1/SEARCH(B104,Товары!A:A),Товары!A:A),Товары!A:B,2,0),""),6)=MID(Z104,1,6),1,0)</f>
        <v>1</v>
      </c>
      <c r="AG104" s="97">
        <f ca="1">SUMIF(Группа!A:A,C104,Группа!C:C)</f>
        <v>1</v>
      </c>
      <c r="AH104" s="97">
        <f ca="1">SUMIF(Группа!B:B,AA104,Группа!C:C)</f>
        <v>1</v>
      </c>
      <c r="AI104" s="97">
        <f ca="1">SUMIF(Формы!A:A,D104,Формы!B:B)</f>
        <v>1</v>
      </c>
      <c r="AJ104" s="97">
        <f ca="1">SUMIF(Материал!A:A,K104,Материал!B:B)</f>
        <v>0</v>
      </c>
      <c r="AK104" s="97">
        <f ca="1">SUMIF(Размеры!A:A,R104,Размеры!E:E)</f>
        <v>1</v>
      </c>
      <c r="AL104" s="97">
        <f ca="1">SUMIF(Сезон!A:A,F104,Сезон!B:B)</f>
        <v>1</v>
      </c>
      <c r="AM104" s="97">
        <f ca="1">SUMIF(Состав!A:A,J104,Состав!B:B)</f>
        <v>1</v>
      </c>
      <c r="AN104" s="97">
        <f ca="1">VLOOKUP(I104,ЦветПолный!A:C,3,0)</f>
        <v>1</v>
      </c>
      <c r="AO104" s="97">
        <f ca="1">SUMIF(Цвет!A:A,Y104,Цвет!B:B)</f>
        <v>1</v>
      </c>
      <c r="AP104" s="97">
        <f ca="1">_xlfn.XLOOKUP(L104,Пол!A:A,Пол!B:B,0,0)</f>
        <v>1</v>
      </c>
      <c r="AQ104" s="97">
        <f ca="1">SUMIF(Марка!A:A,G104,Марка!B:B)</f>
        <v>1</v>
      </c>
      <c r="AR104" s="97">
        <f ca="1">SUMIF(Страна!A:A,M104,Страна!B:B)</f>
        <v>1</v>
      </c>
      <c r="AS104" s="64" t="e">
        <f ca="1">IF(VLOOKUP(V104,Товары!A:B,2,FALSE)=A104,"Есть в 1С","ERR")</f>
        <v>#N/A</v>
      </c>
      <c r="AT104" s="65" t="e">
        <f ca="1">IF(VLOOKUP(A104,Товары!B:B,1,FALSE)=A104,"Есть в 1С","ERR")</f>
        <v>#N/A</v>
      </c>
      <c r="AU104" s="96" t="e">
        <f ca="1">VLOOKUP(V104,Товары!A:B,2,FALSE)</f>
        <v>#N/A</v>
      </c>
      <c r="AV104" s="94" t="e">
        <f ca="1">VLOOKUP(V104,Товары!A:B,1,FALSE)</f>
        <v>#N/A</v>
      </c>
    </row>
    <row r="105" spans="1:48" x14ac:dyDescent="0.25">
      <c r="A105" s="110" t="str">
        <f t="shared" ca="1" si="17"/>
        <v>21-748-08</v>
      </c>
      <c r="B105" s="107" t="str">
        <f ca="1">_xlfn.LET(_xlpm.CAPS,0,_xlpm.Style,_xlfn.XLOOKUP($A105,Строчный!$A:$A,Строчный!B:B,"ERR",0),IF(_xlpm.CAPS=0,_xlpm.Style,LOWER(_xlpm.Style)))</f>
        <v>81744BH ELI</v>
      </c>
      <c r="C105" s="81" t="str">
        <f ca="1">PROPER(_xlfn.XLOOKUP($A105,Строчный!$A:$A,Строчный!C:C,"ERR",0))</f>
        <v>Шляпы</v>
      </c>
      <c r="D105" s="81" t="str">
        <f ca="1">_xlfn.LET(_xlpm.DATA,(_xlfn.XLOOKUP($A105,Строчный!$A:$A,Строчный!D:D,"ERR",0)),UPPER(MID(_xlpm.DATA,1,1))&amp;LOWER(MID(_xlpm.DATA,2,LEN(_xlpm.DATA)-1)))</f>
        <v>Шляпа федора</v>
      </c>
      <c r="E105" s="81" t="str">
        <f ca="1">PROPER(_xlfn.XLOOKUP($A105,Строчный!$A:$A,Строчный!E:E,"ERR",0))</f>
        <v>The Hollywood</v>
      </c>
      <c r="F105" s="81" t="str">
        <f ca="1">LOWER(_xlfn.XLOOKUP($A105,Строчный!$A:$A,Строчный!F:F,"ERR",0))</f>
        <v>летний</v>
      </c>
      <c r="G105" s="81" t="str">
        <f ca="1">UPPER(_xlfn.XLOOKUP($A105,Строчный!$A:$A,Строчный!G:G,"ERR",0))</f>
        <v>BAILEY</v>
      </c>
      <c r="H105" s="81" t="str">
        <f ca="1">LOWER(_xlfn.XLOOKUP($A105,Строчный!$A:$A,Строчный!H:H,"ERR",0))</f>
        <v>grey</v>
      </c>
      <c r="I105" s="81" t="str">
        <f ca="1">LOWER(_xlfn.XLOOKUP($A105,Строчный!$A:$A,Строчный!I:I,"ERR",0))</f>
        <v>серый</v>
      </c>
      <c r="J105" s="81" t="str">
        <f ca="1">SUBSTITUTE(LOWER(_xlfn.XLOOKUP($A105,Строчный!$A:$A,Строчный!J:J,"ERR",0)),"подклад","Подклад")</f>
        <v>100% полипропилен</v>
      </c>
      <c r="K105" s="81" t="str">
        <f ca="1">LOWER(_xlfn.XLOOKUP($A105,Строчный!$A:$A,Строчный!K:K,"ERR",0))</f>
        <v/>
      </c>
      <c r="L105" s="81" t="str">
        <f ca="1">PROPER(_xlfn.XLOOKUP($A105,Строчный!$A:$A,Строчный!L:L,"ERR",0))</f>
        <v>Унисекс</v>
      </c>
      <c r="M105" s="113" t="str">
        <f ca="1">PROPER(_xlfn.XLOOKUP($A105,Строчный!$A:$A,Строчный!M:M,"ERR",0))</f>
        <v>Китай</v>
      </c>
      <c r="N105" s="81" t="str">
        <f ca="1">UPPER(_xlfn.XLOOKUP($A105,Строчный!$A:$A,Строчный!O:O,"ERR",0))</f>
        <v/>
      </c>
      <c r="O105" s="107" t="str">
        <f ca="1">PROPER(_xlfn.XLOOKUP($A105,Строчный!$A:$A,Строчный!P:P,"ERR",0))</f>
        <v/>
      </c>
      <c r="P105" s="90">
        <f ca="1">VALUE(_xlfn.XLOOKUP($A105,Строчный!$A:$A,Строчный!N:N,"ERR",0))</f>
        <v>2380.9500000000003</v>
      </c>
      <c r="Q105" s="89" t="str">
        <f ca="1">_xlfn.XLOOKUP($G105,Фабрика!A:A,Фабрика!B:B,"ERR",0)</f>
        <v>Bollman Headwear Europe Ltd; 2 Merchants drive, Caelisle, Cumbria CA3 0JW, United Kingdom</v>
      </c>
      <c r="R105" s="80" t="str">
        <f ca="1">_xlfn.XLOOKUP(RIGHT(Z105,2),Размеры!D:D,Размеры!A:A,"ERR",0)</f>
        <v>59</v>
      </c>
      <c r="S105" s="80">
        <f ca="1">VALUE(_xlfn.XLOOKUP($Z105,Строчный!$R:$R,Строчный!T:T,"ERR",0))</f>
        <v>9</v>
      </c>
      <c r="T105" s="14" t="s">
        <v>265</v>
      </c>
      <c r="U105" s="101" t="str">
        <f t="shared" ca="1" si="13"/>
        <v>Шляпа BAILEY арт. 81744BH ELI (серый)</v>
      </c>
      <c r="V105" s="100" t="str">
        <f t="shared" ca="1" si="14"/>
        <v>Шляпа BAILEY арт. 81744BH ELI (серый) {grey}</v>
      </c>
      <c r="W105" s="18" t="str">
        <f t="shared" ca="1" si="15"/>
        <v>серый</v>
      </c>
      <c r="X105" s="18" t="str">
        <f t="shared" ca="1" si="16"/>
        <v>серый</v>
      </c>
      <c r="Y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серый</v>
      </c>
      <c r="Z105" s="73" t="str">
        <f ca="1"/>
        <v>21-748-08-59</v>
      </c>
      <c r="AA105" s="75" t="str">
        <f ca="1">VLOOKUP(C105,Группа!A:B,2,FALSE)</f>
        <v>Шляпа</v>
      </c>
      <c r="AB105" s="97" t="str">
        <f ca="1">IFERROR(VLOOKUP(R105,Размеры!A:C,3,FALSE),"")</f>
        <v>59 L</v>
      </c>
      <c r="AC105" s="97" t="str">
        <f ca="1">VLOOKUP(I105,ЦветПолный!A:B,2,FALSE)</f>
        <v>08</v>
      </c>
      <c r="AD105" s="97" t="str">
        <f ca="1">IFERROR(VLOOKUP(R105,Размеры!A:D,4,FALSE),"")</f>
        <v>59</v>
      </c>
      <c r="AE105" s="97">
        <f ca="1">IF(LEFT(IFERROR(VLOOKUP(LOOKUP(2,1/SEARCH(B105,Товары!A:A),Товары!A:A),Товары!A:B,2,0),""),6)=MID(Z105,1,6),1,0)</f>
        <v>1</v>
      </c>
      <c r="AG105" s="97">
        <f ca="1">SUMIF(Группа!A:A,C105,Группа!C:C)</f>
        <v>1</v>
      </c>
      <c r="AH105" s="97">
        <f ca="1">SUMIF(Группа!B:B,AA105,Группа!C:C)</f>
        <v>1</v>
      </c>
      <c r="AI105" s="97">
        <f ca="1">SUMIF(Формы!A:A,D105,Формы!B:B)</f>
        <v>1</v>
      </c>
      <c r="AJ105" s="97">
        <f ca="1">SUMIF(Материал!A:A,K105,Материал!B:B)</f>
        <v>0</v>
      </c>
      <c r="AK105" s="97">
        <f ca="1">SUMIF(Размеры!A:A,R105,Размеры!E:E)</f>
        <v>1</v>
      </c>
      <c r="AL105" s="97">
        <f ca="1">SUMIF(Сезон!A:A,F105,Сезон!B:B)</f>
        <v>1</v>
      </c>
      <c r="AM105" s="97">
        <f ca="1">SUMIF(Состав!A:A,J105,Состав!B:B)</f>
        <v>1</v>
      </c>
      <c r="AN105" s="97">
        <f ca="1">VLOOKUP(I105,ЦветПолный!A:C,3,0)</f>
        <v>1</v>
      </c>
      <c r="AO105" s="97">
        <f ca="1">SUMIF(Цвет!A:A,Y105,Цвет!B:B)</f>
        <v>1</v>
      </c>
      <c r="AP105" s="97">
        <f ca="1">_xlfn.XLOOKUP(L105,Пол!A:A,Пол!B:B,0,0)</f>
        <v>1</v>
      </c>
      <c r="AQ105" s="97">
        <f ca="1">SUMIF(Марка!A:A,G105,Марка!B:B)</f>
        <v>1</v>
      </c>
      <c r="AR105" s="97">
        <f ca="1">SUMIF(Страна!A:A,M105,Страна!B:B)</f>
        <v>1</v>
      </c>
      <c r="AS105" s="64" t="e">
        <f ca="1">IF(VLOOKUP(V105,Товары!A:B,2,FALSE)=A105,"Есть в 1С","ERR")</f>
        <v>#N/A</v>
      </c>
      <c r="AT105" s="65" t="e">
        <f ca="1">IF(VLOOKUP(A105,Товары!B:B,1,FALSE)=A105,"Есть в 1С","ERR")</f>
        <v>#N/A</v>
      </c>
      <c r="AU105" s="96" t="e">
        <f ca="1">VLOOKUP(V105,Товары!A:B,2,FALSE)</f>
        <v>#N/A</v>
      </c>
      <c r="AV105" s="94" t="e">
        <f ca="1">VLOOKUP(V105,Товары!A:B,1,FALSE)</f>
        <v>#N/A</v>
      </c>
    </row>
    <row r="106" spans="1:48" x14ac:dyDescent="0.25">
      <c r="A106" s="110" t="str">
        <f t="shared" ca="1" si="17"/>
        <v>21-748-08</v>
      </c>
      <c r="B106" s="107" t="str">
        <f ca="1">_xlfn.LET(_xlpm.CAPS,0,_xlpm.Style,_xlfn.XLOOKUP($A106,Строчный!$A:$A,Строчный!B:B,"ERR",0),IF(_xlpm.CAPS=0,_xlpm.Style,LOWER(_xlpm.Style)))</f>
        <v>81744BH ELI</v>
      </c>
      <c r="C106" s="81" t="str">
        <f ca="1">PROPER(_xlfn.XLOOKUP($A106,Строчный!$A:$A,Строчный!C:C,"ERR",0))</f>
        <v>Шляпы</v>
      </c>
      <c r="D106" s="81" t="str">
        <f ca="1">_xlfn.LET(_xlpm.DATA,(_xlfn.XLOOKUP($A106,Строчный!$A:$A,Строчный!D:D,"ERR",0)),UPPER(MID(_xlpm.DATA,1,1))&amp;LOWER(MID(_xlpm.DATA,2,LEN(_xlpm.DATA)-1)))</f>
        <v>Шляпа федора</v>
      </c>
      <c r="E106" s="81" t="str">
        <f ca="1">PROPER(_xlfn.XLOOKUP($A106,Строчный!$A:$A,Строчный!E:E,"ERR",0))</f>
        <v>The Hollywood</v>
      </c>
      <c r="F106" s="81" t="str">
        <f ca="1">LOWER(_xlfn.XLOOKUP($A106,Строчный!$A:$A,Строчный!F:F,"ERR",0))</f>
        <v>летний</v>
      </c>
      <c r="G106" s="81" t="str">
        <f ca="1">UPPER(_xlfn.XLOOKUP($A106,Строчный!$A:$A,Строчный!G:G,"ERR",0))</f>
        <v>BAILEY</v>
      </c>
      <c r="H106" s="81" t="str">
        <f ca="1">LOWER(_xlfn.XLOOKUP($A106,Строчный!$A:$A,Строчный!H:H,"ERR",0))</f>
        <v>grey</v>
      </c>
      <c r="I106" s="81" t="str">
        <f ca="1">LOWER(_xlfn.XLOOKUP($A106,Строчный!$A:$A,Строчный!I:I,"ERR",0))</f>
        <v>серый</v>
      </c>
      <c r="J106" s="81" t="str">
        <f ca="1">SUBSTITUTE(LOWER(_xlfn.XLOOKUP($A106,Строчный!$A:$A,Строчный!J:J,"ERR",0)),"подклад","Подклад")</f>
        <v>100% полипропилен</v>
      </c>
      <c r="K106" s="81" t="str">
        <f ca="1">LOWER(_xlfn.XLOOKUP($A106,Строчный!$A:$A,Строчный!K:K,"ERR",0))</f>
        <v/>
      </c>
      <c r="L106" s="81" t="str">
        <f ca="1">PROPER(_xlfn.XLOOKUP($A106,Строчный!$A:$A,Строчный!L:L,"ERR",0))</f>
        <v>Унисекс</v>
      </c>
      <c r="M106" s="113" t="str">
        <f ca="1">PROPER(_xlfn.XLOOKUP($A106,Строчный!$A:$A,Строчный!M:M,"ERR",0))</f>
        <v>Китай</v>
      </c>
      <c r="N106" s="81" t="str">
        <f ca="1">UPPER(_xlfn.XLOOKUP($A106,Строчный!$A:$A,Строчный!O:O,"ERR",0))</f>
        <v/>
      </c>
      <c r="O106" s="107" t="str">
        <f ca="1">PROPER(_xlfn.XLOOKUP($A106,Строчный!$A:$A,Строчный!P:P,"ERR",0))</f>
        <v/>
      </c>
      <c r="P106" s="90">
        <f ca="1">VALUE(_xlfn.XLOOKUP($A106,Строчный!$A:$A,Строчный!N:N,"ERR",0))</f>
        <v>2380.9500000000003</v>
      </c>
      <c r="Q106" s="89" t="str">
        <f ca="1">_xlfn.XLOOKUP($G106,Фабрика!A:A,Фабрика!B:B,"ERR",0)</f>
        <v>Bollman Headwear Europe Ltd; 2 Merchants drive, Caelisle, Cumbria CA3 0JW, United Kingdom</v>
      </c>
      <c r="R106" s="80" t="str">
        <f ca="1">_xlfn.XLOOKUP(RIGHT(Z106,2),Размеры!D:D,Размеры!A:A,"ERR",0)</f>
        <v>57</v>
      </c>
      <c r="S106" s="80">
        <f ca="1">VALUE(_xlfn.XLOOKUP($Z106,Строчный!$R:$R,Строчный!T:T,"ERR",0))</f>
        <v>5</v>
      </c>
      <c r="T106" s="14" t="s">
        <v>265</v>
      </c>
      <c r="U106" s="101" t="str">
        <f t="shared" ca="1" si="13"/>
        <v>Шляпа BAILEY арт. 81744BH ELI (серый)</v>
      </c>
      <c r="V106" s="100" t="str">
        <f t="shared" ca="1" si="14"/>
        <v>Шляпа BAILEY арт. 81744BH ELI (серый) {grey}</v>
      </c>
      <c r="W106" s="18" t="str">
        <f t="shared" ca="1" si="15"/>
        <v>серый</v>
      </c>
      <c r="X106" s="18" t="str">
        <f t="shared" ca="1" si="16"/>
        <v>серый</v>
      </c>
      <c r="Y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серый</v>
      </c>
      <c r="Z106" s="73" t="str">
        <f ca="1"/>
        <v>21-748-08-57</v>
      </c>
      <c r="AA106" s="75" t="str">
        <f ca="1">VLOOKUP(C106,Группа!A:B,2,FALSE)</f>
        <v>Шляпа</v>
      </c>
      <c r="AB106" s="97" t="str">
        <f ca="1">IFERROR(VLOOKUP(R106,Размеры!A:C,3,FALSE),"")</f>
        <v>57 M</v>
      </c>
      <c r="AC106" s="97" t="str">
        <f ca="1">VLOOKUP(I106,ЦветПолный!A:B,2,FALSE)</f>
        <v>08</v>
      </c>
      <c r="AD106" s="97" t="str">
        <f ca="1">IFERROR(VLOOKUP(R106,Размеры!A:D,4,FALSE),"")</f>
        <v>57</v>
      </c>
      <c r="AE106" s="97">
        <f ca="1">IF(LEFT(IFERROR(VLOOKUP(LOOKUP(2,1/SEARCH(B106,Товары!A:A),Товары!A:A),Товары!A:B,2,0),""),6)=MID(Z106,1,6),1,0)</f>
        <v>1</v>
      </c>
      <c r="AG106" s="97">
        <f ca="1">SUMIF(Группа!A:A,C106,Группа!C:C)</f>
        <v>1</v>
      </c>
      <c r="AH106" s="97">
        <f ca="1">SUMIF(Группа!B:B,AA106,Группа!C:C)</f>
        <v>1</v>
      </c>
      <c r="AI106" s="97">
        <f ca="1">SUMIF(Формы!A:A,D106,Формы!B:B)</f>
        <v>1</v>
      </c>
      <c r="AJ106" s="97">
        <f ca="1">SUMIF(Материал!A:A,K106,Материал!B:B)</f>
        <v>0</v>
      </c>
      <c r="AK106" s="97">
        <f ca="1">SUMIF(Размеры!A:A,R106,Размеры!E:E)</f>
        <v>1</v>
      </c>
      <c r="AL106" s="97">
        <f ca="1">SUMIF(Сезон!A:A,F106,Сезон!B:B)</f>
        <v>1</v>
      </c>
      <c r="AM106" s="97">
        <f ca="1">SUMIF(Состав!A:A,J106,Состав!B:B)</f>
        <v>1</v>
      </c>
      <c r="AN106" s="97">
        <f ca="1">VLOOKUP(I106,ЦветПолный!A:C,3,0)</f>
        <v>1</v>
      </c>
      <c r="AO106" s="97">
        <f ca="1">SUMIF(Цвет!A:A,Y106,Цвет!B:B)</f>
        <v>1</v>
      </c>
      <c r="AP106" s="97">
        <f ca="1">_xlfn.XLOOKUP(L106,Пол!A:A,Пол!B:B,0,0)</f>
        <v>1</v>
      </c>
      <c r="AQ106" s="97">
        <f ca="1">SUMIF(Марка!A:A,G106,Марка!B:B)</f>
        <v>1</v>
      </c>
      <c r="AR106" s="97">
        <f ca="1">SUMIF(Страна!A:A,M106,Страна!B:B)</f>
        <v>1</v>
      </c>
      <c r="AS106" s="64" t="e">
        <f ca="1">IF(VLOOKUP(V106,Товары!A:B,2,FALSE)=A106,"Есть в 1С","ERR")</f>
        <v>#N/A</v>
      </c>
      <c r="AT106" s="65" t="e">
        <f ca="1">IF(VLOOKUP(A106,Товары!B:B,1,FALSE)=A106,"Есть в 1С","ERR")</f>
        <v>#N/A</v>
      </c>
      <c r="AU106" s="96" t="e">
        <f ca="1">VLOOKUP(V106,Товары!A:B,2,FALSE)</f>
        <v>#N/A</v>
      </c>
      <c r="AV106" s="94" t="e">
        <f ca="1">VLOOKUP(V106,Товары!A:B,1,FALSE)</f>
        <v>#N/A</v>
      </c>
    </row>
    <row r="107" spans="1:48" x14ac:dyDescent="0.25">
      <c r="A107" s="110" t="str">
        <f t="shared" ca="1" si="17"/>
        <v>21-726-14</v>
      </c>
      <c r="B107" s="107" t="str">
        <f ca="1">_xlfn.LET(_xlpm.CAPS,0,_xlpm.Style,_xlfn.XLOOKUP($A107,Строчный!$A:$A,Строчный!B:B,"ERR",0),IF(_xlpm.CAPS=0,_xlpm.Style,LOWER(_xlpm.Style)))</f>
        <v>W0604A LIGHTNING 4X</v>
      </c>
      <c r="C107" s="81" t="str">
        <f ca="1">PROPER(_xlfn.XLOOKUP($A107,Строчный!$A:$A,Строчный!C:C,"ERR",0))</f>
        <v>Шляпы</v>
      </c>
      <c r="D107" s="81" t="str">
        <f ca="1">_xlfn.LET(_xlpm.DATA,(_xlfn.XLOOKUP($A107,Строчный!$A:$A,Строчный!D:D,"ERR",0)),UPPER(MID(_xlpm.DATA,1,1))&amp;LOWER(MID(_xlpm.DATA,2,LEN(_xlpm.DATA)-1)))</f>
        <v>Шляпа ковбойская</v>
      </c>
      <c r="E107" s="81" t="str">
        <f ca="1">PROPER(_xlfn.XLOOKUP($A107,Строчный!$A:$A,Строчный!E:E,"ERR",0))</f>
        <v>The Hollywood</v>
      </c>
      <c r="F107" s="81" t="str">
        <f ca="1">LOWER(_xlfn.XLOOKUP($A107,Строчный!$A:$A,Строчный!F:F,"ERR",0))</f>
        <v>всесезон</v>
      </c>
      <c r="G107" s="81" t="str">
        <f ca="1">UPPER(_xlfn.XLOOKUP($A107,Строчный!$A:$A,Строчный!G:G,"ERR",0))</f>
        <v>BAILEY</v>
      </c>
      <c r="H107" s="81" t="str">
        <f ca="1">LOWER(_xlfn.XLOOKUP($A107,Строчный!$A:$A,Строчный!H:H,"ERR",0))</f>
        <v>rust</v>
      </c>
      <c r="I107" s="81" t="str">
        <f ca="1">LOWER(_xlfn.XLOOKUP($A107,Строчный!$A:$A,Строчный!I:I,"ERR",0))</f>
        <v>коричневый</v>
      </c>
      <c r="J107" s="81" t="str">
        <f ca="1">SUBSTITUTE(LOWER(_xlfn.XLOOKUP($A107,Строчный!$A:$A,Строчный!J:J,"ERR",0)),"подклад","Подклад")</f>
        <v>90% шерсть - 10% ангора / Подклад: 100% полиэстер</v>
      </c>
      <c r="K107" s="81" t="str">
        <f ca="1">LOWER(_xlfn.XLOOKUP($A107,Строчный!$A:$A,Строчный!K:K,"ERR",0))</f>
        <v>шерстяные</v>
      </c>
      <c r="L107" s="81" t="str">
        <f ca="1">PROPER(_xlfn.XLOOKUP($A107,Строчный!$A:$A,Строчный!L:L,"ERR",0))</f>
        <v>Унисекс</v>
      </c>
      <c r="M107" s="113" t="str">
        <f ca="1">PROPER(_xlfn.XLOOKUP($A107,Строчный!$A:$A,Строчный!M:M,"ERR",0))</f>
        <v>Соединенные Штаты</v>
      </c>
      <c r="N107" s="81" t="str">
        <f ca="1">UPPER(_xlfn.XLOOKUP($A107,Строчный!$A:$A,Строчный!O:O,"ERR",0))</f>
        <v/>
      </c>
      <c r="O107" s="107" t="str">
        <f ca="1">PROPER(_xlfn.XLOOKUP($A107,Строчный!$A:$A,Строчный!P:P,"ERR",0))</f>
        <v/>
      </c>
      <c r="P107" s="90">
        <f ca="1">VALUE(_xlfn.XLOOKUP($A107,Строчный!$A:$A,Строчный!N:N,"ERR",0))</f>
        <v>702.00000000000011</v>
      </c>
      <c r="Q107" s="89" t="str">
        <f ca="1">_xlfn.XLOOKUP($G107,Фабрика!A:A,Фабрика!B:B,"ERR",0)</f>
        <v>Bollman Headwear Europe Ltd; 2 Merchants drive, Caelisle, Cumbria CA3 0JW, United Kingdom</v>
      </c>
      <c r="R107" s="80" t="str">
        <f ca="1">_xlfn.XLOOKUP(RIGHT(Z107,2),Размеры!D:D,Размеры!A:A,"ERR",0)</f>
        <v>57</v>
      </c>
      <c r="S107" s="80">
        <f ca="1">VALUE(_xlfn.XLOOKUP($Z107,Строчный!$R:$R,Строчный!T:T,"ERR",0))</f>
        <v>1</v>
      </c>
      <c r="T107" s="14" t="s">
        <v>265</v>
      </c>
      <c r="U107" s="101" t="str">
        <f t="shared" ca="1" si="13"/>
        <v>Шляпа BAILEY арт. W0604A LIGHTNING 4X (коричневый)</v>
      </c>
      <c r="V107" s="100" t="str">
        <f t="shared" ca="1" si="14"/>
        <v>Шляпа BAILEY арт. W0604A LIGHTNING 4X (коричневый) {rust}</v>
      </c>
      <c r="W107" s="18" t="str">
        <f t="shared" ca="1" si="15"/>
        <v>коричневый</v>
      </c>
      <c r="X107" s="18" t="str">
        <f t="shared" ca="1" si="16"/>
        <v>коричневый</v>
      </c>
      <c r="Y107" s="117" t="str">
        <f ca="1">_xlfn.LET(_xlpm.FormColors,_xlfn.XLOOKUP(A107,Строчный!A:A,Строчный!Q:Q,"",0),IF(_xlpm.FormColors=0,IFERROR(MID(I107,FIND("-",I107)+1,LEN(I107)),IFERROR(MID(I107,1,FIND("/",I107)-2),I107)),_xlpm.FormColors))</f>
        <v>коричневый</v>
      </c>
      <c r="Z107" s="73" t="str">
        <f ca="1"/>
        <v>21-726-14-57</v>
      </c>
      <c r="AA107" s="75" t="str">
        <f ca="1">VLOOKUP(C107,Группа!A:B,2,FALSE)</f>
        <v>Шляпа</v>
      </c>
      <c r="AB107" s="97" t="str">
        <f ca="1">IFERROR(VLOOKUP(R107,Размеры!A:C,3,FALSE),"")</f>
        <v>57 M</v>
      </c>
      <c r="AC107" s="97" t="str">
        <f ca="1">VLOOKUP(I107,ЦветПолный!A:B,2,FALSE)</f>
        <v>14</v>
      </c>
      <c r="AD107" s="97" t="str">
        <f ca="1">IFERROR(VLOOKUP(R107,Размеры!A:D,4,FALSE),"")</f>
        <v>57</v>
      </c>
      <c r="AE107" s="97">
        <f ca="1">IF(LEFT(IFERROR(VLOOKUP(LOOKUP(2,1/SEARCH(B107,Товары!A:A),Товары!A:A),Товары!A:B,2,0),""),6)=MID(Z107,1,6),1,0)</f>
        <v>1</v>
      </c>
      <c r="AG107" s="97">
        <f ca="1">SUMIF(Группа!A:A,C107,Группа!C:C)</f>
        <v>1</v>
      </c>
      <c r="AH107" s="97">
        <f ca="1">SUMIF(Группа!B:B,AA107,Группа!C:C)</f>
        <v>1</v>
      </c>
      <c r="AI107" s="97">
        <f ca="1">SUMIF(Формы!A:A,D107,Формы!B:B)</f>
        <v>1</v>
      </c>
      <c r="AJ107" s="97">
        <f ca="1">SUMIF(Материал!A:A,K107,Материал!B:B)</f>
        <v>1</v>
      </c>
      <c r="AK107" s="97">
        <f ca="1">SUMIF(Размеры!A:A,R107,Размеры!E:E)</f>
        <v>1</v>
      </c>
      <c r="AL107" s="97">
        <f ca="1">SUMIF(Сезон!A:A,F107,Сезон!B:B)</f>
        <v>1</v>
      </c>
      <c r="AM107" s="97">
        <f ca="1">SUMIF(Состав!A:A,J107,Состав!B:B)</f>
        <v>0</v>
      </c>
      <c r="AN107" s="97">
        <f ca="1">VLOOKUP(I107,ЦветПолный!A:C,3,0)</f>
        <v>1</v>
      </c>
      <c r="AO107" s="97">
        <f ca="1">SUMIF(Цвет!A:A,Y107,Цвет!B:B)</f>
        <v>1</v>
      </c>
      <c r="AP107" s="97">
        <f ca="1">_xlfn.XLOOKUP(L107,Пол!A:A,Пол!B:B,0,0)</f>
        <v>1</v>
      </c>
      <c r="AQ107" s="97">
        <f ca="1">SUMIF(Марка!A:A,G107,Марка!B:B)</f>
        <v>1</v>
      </c>
      <c r="AR107" s="97">
        <f ca="1">SUMIF(Страна!A:A,M107,Страна!B:B)</f>
        <v>1</v>
      </c>
      <c r="AS107" s="64" t="e">
        <f ca="1">IF(VLOOKUP(V107,Товары!A:B,2,FALSE)=A107,"Есть в 1С","ERR")</f>
        <v>#N/A</v>
      </c>
      <c r="AT107" s="65" t="e">
        <f ca="1">IF(VLOOKUP(A107,Товары!B:B,1,FALSE)=A107,"Есть в 1С","ERR")</f>
        <v>#N/A</v>
      </c>
      <c r="AU107" s="96" t="e">
        <f ca="1">VLOOKUP(V107,Товары!A:B,2,FALSE)</f>
        <v>#N/A</v>
      </c>
      <c r="AV107" s="94" t="e">
        <f ca="1">VLOOKUP(V107,Товары!A:B,1,FALSE)</f>
        <v>#N/A</v>
      </c>
    </row>
    <row r="108" spans="1:48" x14ac:dyDescent="0.25">
      <c r="A108" s="110" t="str">
        <f t="shared" ca="1" si="17"/>
        <v>21-720-06</v>
      </c>
      <c r="B108" s="107" t="str">
        <f ca="1">_xlfn.LET(_xlpm.CAPS,0,_xlpm.Style,_xlfn.XLOOKUP($A108,Строчный!$A:$A,Строчный!B:B,"ERR",0),IF(_xlpm.CAPS=0,_xlpm.Style,LOWER(_xlpm.Style)))</f>
        <v>37189BH GODWIN</v>
      </c>
      <c r="C108" s="81" t="str">
        <f ca="1">PROPER(_xlfn.XLOOKUP($A108,Строчный!$A:$A,Строчный!C:C,"ERR",0))</f>
        <v>Шляпы</v>
      </c>
      <c r="D108" s="81" t="str">
        <f ca="1">_xlfn.LET(_xlpm.DATA,(_xlfn.XLOOKUP($A108,Строчный!$A:$A,Строчный!D:D,"ERR",0)),UPPER(MID(_xlpm.DATA,1,1))&amp;LOWER(MID(_xlpm.DATA,2,LEN(_xlpm.DATA)-1)))</f>
        <v>Шляпа федора</v>
      </c>
      <c r="E108" s="81" t="str">
        <f ca="1">PROPER(_xlfn.XLOOKUP($A108,Строчный!$A:$A,Строчный!E:E,"ERR",0))</f>
        <v>The Hollywood</v>
      </c>
      <c r="F108" s="81" t="str">
        <f ca="1">LOWER(_xlfn.XLOOKUP($A108,Строчный!$A:$A,Строчный!F:F,"ERR",0))</f>
        <v>всесезон</v>
      </c>
      <c r="G108" s="81" t="str">
        <f ca="1">UPPER(_xlfn.XLOOKUP($A108,Строчный!$A:$A,Строчный!G:G,"ERR",0))</f>
        <v>BAILEY</v>
      </c>
      <c r="H108" s="81" t="str">
        <f ca="1">LOWER(_xlfn.XLOOKUP($A108,Строчный!$A:$A,Строчный!H:H,"ERR",0))</f>
        <v>lazuli blue</v>
      </c>
      <c r="I108" s="81" t="str">
        <f ca="1">LOWER(_xlfn.XLOOKUP($A108,Строчный!$A:$A,Строчный!I:I,"ERR",0))</f>
        <v>синий</v>
      </c>
      <c r="J108" s="81" t="str">
        <f ca="1">SUBSTITUTE(LOWER(_xlfn.XLOOKUP($A108,Строчный!$A:$A,Строчный!J:J,"ERR",0)),"подклад","Подклад")</f>
        <v>100% шерсть</v>
      </c>
      <c r="K108" s="81" t="str">
        <f ca="1">LOWER(_xlfn.XLOOKUP($A108,Строчный!$A:$A,Строчный!K:K,"ERR",0))</f>
        <v>фетровые</v>
      </c>
      <c r="L108" s="81" t="str">
        <f ca="1">PROPER(_xlfn.XLOOKUP($A108,Строчный!$A:$A,Строчный!L:L,"ERR",0))</f>
        <v>Унисекс</v>
      </c>
      <c r="M108" s="113" t="str">
        <f ca="1">PROPER(_xlfn.XLOOKUP($A108,Строчный!$A:$A,Строчный!M:M,"ERR",0))</f>
        <v>Соединенные Штаты</v>
      </c>
      <c r="N108" s="81" t="str">
        <f ca="1">UPPER(_xlfn.XLOOKUP($A108,Строчный!$A:$A,Строчный!O:O,"ERR",0))</f>
        <v/>
      </c>
      <c r="O108" s="107" t="str">
        <f ca="1">PROPER(_xlfn.XLOOKUP($A108,Строчный!$A:$A,Строчный!P:P,"ERR",0))</f>
        <v/>
      </c>
      <c r="P108" s="90">
        <f ca="1">VALUE(_xlfn.XLOOKUP($A108,Строчный!$A:$A,Строчный!N:N,"ERR",0))</f>
        <v>702.00000000000011</v>
      </c>
      <c r="Q108" s="89" t="str">
        <f ca="1">_xlfn.XLOOKUP($G108,Фабрика!A:A,Фабрика!B:B,"ERR",0)</f>
        <v>Bollman Headwear Europe Ltd; 2 Merchants drive, Caelisle, Cumbria CA3 0JW, United Kingdom</v>
      </c>
      <c r="R108" s="80" t="str">
        <f ca="1">_xlfn.XLOOKUP(RIGHT(Z108,2),Размеры!D:D,Размеры!A:A,"ERR",0)</f>
        <v>59</v>
      </c>
      <c r="S108" s="80">
        <f ca="1">VALUE(_xlfn.XLOOKUP($Z108,Строчный!$R:$R,Строчный!T:T,"ERR",0))</f>
        <v>1</v>
      </c>
      <c r="T108" s="14" t="s">
        <v>265</v>
      </c>
      <c r="U108" s="101" t="str">
        <f t="shared" ca="1" si="13"/>
        <v>Шляпа BAILEY арт. 37189BH GODWIN (синий)</v>
      </c>
      <c r="V108" s="100" t="str">
        <f t="shared" ca="1" si="14"/>
        <v>Шляпа BAILEY арт. 37189BH GODWIN (синий) {lazuli blue}</v>
      </c>
      <c r="W108" s="18" t="str">
        <f t="shared" ca="1" si="15"/>
        <v>синий</v>
      </c>
      <c r="X108" s="18" t="str">
        <f t="shared" ca="1" si="16"/>
        <v>синий</v>
      </c>
      <c r="Y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синий</v>
      </c>
      <c r="Z108" s="73" t="str">
        <f ca="1"/>
        <v>21-720-06-59</v>
      </c>
      <c r="AA108" s="75" t="str">
        <f ca="1">VLOOKUP(C108,Группа!A:B,2,FALSE)</f>
        <v>Шляпа</v>
      </c>
      <c r="AB108" s="97" t="str">
        <f ca="1">IFERROR(VLOOKUP(R108,Размеры!A:C,3,FALSE),"")</f>
        <v>59 L</v>
      </c>
      <c r="AC108" s="97" t="str">
        <f ca="1">VLOOKUP(I108,ЦветПолный!A:B,2,FALSE)</f>
        <v>06</v>
      </c>
      <c r="AD108" s="97" t="str">
        <f ca="1">IFERROR(VLOOKUP(R108,Размеры!A:D,4,FALSE),"")</f>
        <v>59</v>
      </c>
      <c r="AE108" s="97">
        <f ca="1">IF(LEFT(IFERROR(VLOOKUP(LOOKUP(2,1/SEARCH(B108,Товары!A:A),Товары!A:A),Товары!A:B,2,0),""),6)=MID(Z108,1,6),1,0)</f>
        <v>1</v>
      </c>
      <c r="AG108" s="97">
        <f ca="1">SUMIF(Группа!A:A,C108,Группа!C:C)</f>
        <v>1</v>
      </c>
      <c r="AH108" s="97">
        <f ca="1">SUMIF(Группа!B:B,AA108,Группа!C:C)</f>
        <v>1</v>
      </c>
      <c r="AI108" s="97">
        <f ca="1">SUMIF(Формы!A:A,D108,Формы!B:B)</f>
        <v>1</v>
      </c>
      <c r="AJ108" s="97">
        <f ca="1">SUMIF(Материал!A:A,K108,Материал!B:B)</f>
        <v>1</v>
      </c>
      <c r="AK108" s="97">
        <f ca="1">SUMIF(Размеры!A:A,R108,Размеры!E:E)</f>
        <v>1</v>
      </c>
      <c r="AL108" s="97">
        <f ca="1">SUMIF(Сезон!A:A,F108,Сезон!B:B)</f>
        <v>1</v>
      </c>
      <c r="AM108" s="97">
        <f ca="1">SUMIF(Состав!A:A,J108,Состав!B:B)</f>
        <v>1</v>
      </c>
      <c r="AN108" s="97">
        <f ca="1">VLOOKUP(I108,ЦветПолный!A:C,3,0)</f>
        <v>1</v>
      </c>
      <c r="AO108" s="97">
        <f ca="1">SUMIF(Цвет!A:A,Y108,Цвет!B:B)</f>
        <v>1</v>
      </c>
      <c r="AP108" s="97">
        <f ca="1">_xlfn.XLOOKUP(L108,Пол!A:A,Пол!B:B,0,0)</f>
        <v>1</v>
      </c>
      <c r="AQ108" s="97">
        <f ca="1">SUMIF(Марка!A:A,G108,Марка!B:B)</f>
        <v>1</v>
      </c>
      <c r="AR108" s="97">
        <f ca="1">SUMIF(Страна!A:A,M108,Страна!B:B)</f>
        <v>1</v>
      </c>
      <c r="AS108" s="64" t="e">
        <f ca="1">IF(VLOOKUP(V108,Товары!A:B,2,FALSE)=A108,"Есть в 1С","ERR")</f>
        <v>#N/A</v>
      </c>
      <c r="AT108" s="65" t="e">
        <f ca="1">IF(VLOOKUP(A108,Товары!B:B,1,FALSE)=A108,"Есть в 1С","ERR")</f>
        <v>#N/A</v>
      </c>
      <c r="AU108" s="96" t="e">
        <f ca="1">VLOOKUP(V108,Товары!A:B,2,FALSE)</f>
        <v>#N/A</v>
      </c>
      <c r="AV108" s="94" t="e">
        <f ca="1">VLOOKUP(V108,Товары!A:B,1,FALSE)</f>
        <v>#N/A</v>
      </c>
    </row>
    <row r="109" spans="1:48" x14ac:dyDescent="0.25">
      <c r="A109" s="110" t="str">
        <f t="shared" ca="1" si="17"/>
        <v>21-719-17</v>
      </c>
      <c r="B109" s="107" t="str">
        <f ca="1">_xlfn.LET(_xlpm.CAPS,0,_xlpm.Style,_xlfn.XLOOKUP($A109,Строчный!$A:$A,Строчный!B:B,"ERR",0),IF(_xlpm.CAPS=0,_xlpm.Style,LOWER(_xlpm.Style)))</f>
        <v>37188BH COLBY</v>
      </c>
      <c r="C109" s="81" t="str">
        <f ca="1">PROPER(_xlfn.XLOOKUP($A109,Строчный!$A:$A,Строчный!C:C,"ERR",0))</f>
        <v>Шляпы</v>
      </c>
      <c r="D109" s="81" t="str">
        <f ca="1">_xlfn.LET(_xlpm.DATA,(_xlfn.XLOOKUP($A109,Строчный!$A:$A,Строчный!D:D,"ERR",0)),UPPER(MID(_xlpm.DATA,1,1))&amp;LOWER(MID(_xlpm.DATA,2,LEN(_xlpm.DATA)-1)))</f>
        <v>Шляпа федора</v>
      </c>
      <c r="E109" s="81" t="str">
        <f ca="1">PROPER(_xlfn.XLOOKUP($A109,Строчный!$A:$A,Строчный!E:E,"ERR",0))</f>
        <v>The Hollywood</v>
      </c>
      <c r="F109" s="81" t="str">
        <f ca="1">LOWER(_xlfn.XLOOKUP($A109,Строчный!$A:$A,Строчный!F:F,"ERR",0))</f>
        <v>всесезон</v>
      </c>
      <c r="G109" s="81" t="str">
        <f ca="1">UPPER(_xlfn.XLOOKUP($A109,Строчный!$A:$A,Строчный!G:G,"ERR",0))</f>
        <v>BAILEY</v>
      </c>
      <c r="H109" s="81" t="str">
        <f ca="1">LOWER(_xlfn.XLOOKUP($A109,Строчный!$A:$A,Строчный!H:H,"ERR",0))</f>
        <v>nickel</v>
      </c>
      <c r="I109" s="81" t="str">
        <f ca="1">LOWER(_xlfn.XLOOKUP($A109,Строчный!$A:$A,Строчный!I:I,"ERR",0))</f>
        <v>белый</v>
      </c>
      <c r="J109" s="81" t="str">
        <f ca="1">SUBSTITUTE(LOWER(_xlfn.XLOOKUP($A109,Строчный!$A:$A,Строчный!J:J,"ERR",0)),"подклад","Подклад")</f>
        <v>100% шерсть / Подклад: 100% полиэстер</v>
      </c>
      <c r="K109" s="81" t="str">
        <f ca="1">LOWER(_xlfn.XLOOKUP($A109,Строчный!$A:$A,Строчный!K:K,"ERR",0))</f>
        <v>фетровые</v>
      </c>
      <c r="L109" s="81" t="str">
        <f ca="1">PROPER(_xlfn.XLOOKUP($A109,Строчный!$A:$A,Строчный!L:L,"ERR",0))</f>
        <v>Унисекс</v>
      </c>
      <c r="M109" s="113" t="str">
        <f ca="1">PROPER(_xlfn.XLOOKUP($A109,Строчный!$A:$A,Строчный!M:M,"ERR",0))</f>
        <v>Соединенные Штаты</v>
      </c>
      <c r="N109" s="81" t="str">
        <f ca="1">UPPER(_xlfn.XLOOKUP($A109,Строчный!$A:$A,Строчный!O:O,"ERR",0))</f>
        <v/>
      </c>
      <c r="O109" s="107" t="str">
        <f ca="1">PROPER(_xlfn.XLOOKUP($A109,Строчный!$A:$A,Строчный!P:P,"ERR",0))</f>
        <v/>
      </c>
      <c r="P109" s="90">
        <f ca="1">VALUE(_xlfn.XLOOKUP($A109,Строчный!$A:$A,Строчный!N:N,"ERR",0))</f>
        <v>702.00000000000011</v>
      </c>
      <c r="Q109" s="89" t="str">
        <f ca="1">_xlfn.XLOOKUP($G109,Фабрика!A:A,Фабрика!B:B,"ERR",0)</f>
        <v>Bollman Headwear Europe Ltd; 2 Merchants drive, Caelisle, Cumbria CA3 0JW, United Kingdom</v>
      </c>
      <c r="R109" s="80" t="str">
        <f ca="1">_xlfn.XLOOKUP(RIGHT(Z109,2),Размеры!D:D,Размеры!A:A,"ERR",0)</f>
        <v>57</v>
      </c>
      <c r="S109" s="80">
        <f ca="1">VALUE(_xlfn.XLOOKUP($Z109,Строчный!$R:$R,Строчный!T:T,"ERR",0))</f>
        <v>1</v>
      </c>
      <c r="T109" s="14" t="s">
        <v>265</v>
      </c>
      <c r="U109" s="101" t="str">
        <f t="shared" ca="1" si="13"/>
        <v>Шляпа BAILEY арт. 37188BH COLBY (белый)</v>
      </c>
      <c r="V109" s="100" t="str">
        <f t="shared" ca="1" si="14"/>
        <v>Шляпа BAILEY арт. 37188BH COLBY (белый) {nickel}</v>
      </c>
      <c r="W109" s="18" t="str">
        <f t="shared" ca="1" si="15"/>
        <v>белый</v>
      </c>
      <c r="X109" s="18" t="str">
        <f t="shared" ca="1" si="16"/>
        <v>белый</v>
      </c>
      <c r="Y109" s="117" t="str">
        <f ca="1">_xlfn.LET(_xlpm.FormColors,_xlfn.XLOOKUP(A109,Строчный!A:A,Строчный!Q:Q,"",0),IF(_xlpm.FormColors=0,IFERROR(MID(I109,FIND("-",I109)+1,LEN(I109)),IFERROR(MID(I109,1,FIND("/",I109)-2),I109)),_xlpm.FormColors))</f>
        <v>белый</v>
      </c>
      <c r="Z109" s="73" t="str">
        <f ca="1"/>
        <v>21-719-17-57</v>
      </c>
      <c r="AA109" s="75" t="str">
        <f ca="1">VLOOKUP(C109,Группа!A:B,2,FALSE)</f>
        <v>Шляпа</v>
      </c>
      <c r="AB109" s="97" t="str">
        <f ca="1">IFERROR(VLOOKUP(R109,Размеры!A:C,3,FALSE),"")</f>
        <v>57 M</v>
      </c>
      <c r="AC109" s="97" t="str">
        <f ca="1">VLOOKUP(I109,ЦветПолный!A:B,2,FALSE)</f>
        <v>17</v>
      </c>
      <c r="AD109" s="97" t="str">
        <f ca="1">IFERROR(VLOOKUP(R109,Размеры!A:D,4,FALSE),"")</f>
        <v>57</v>
      </c>
      <c r="AE109" s="97">
        <f ca="1">IF(LEFT(IFERROR(VLOOKUP(LOOKUP(2,1/SEARCH(B109,Товары!A:A),Товары!A:A),Товары!A:B,2,0),""),6)=MID(Z109,1,6),1,0)</f>
        <v>1</v>
      </c>
      <c r="AG109" s="97">
        <f ca="1">SUMIF(Группа!A:A,C109,Группа!C:C)</f>
        <v>1</v>
      </c>
      <c r="AH109" s="97">
        <f ca="1">SUMIF(Группа!B:B,AA109,Группа!C:C)</f>
        <v>1</v>
      </c>
      <c r="AI109" s="97">
        <f ca="1">SUMIF(Формы!A:A,D109,Формы!B:B)</f>
        <v>1</v>
      </c>
      <c r="AJ109" s="97">
        <f ca="1">SUMIF(Материал!A:A,K109,Материал!B:B)</f>
        <v>1</v>
      </c>
      <c r="AK109" s="97">
        <f ca="1">SUMIF(Размеры!A:A,R109,Размеры!E:E)</f>
        <v>1</v>
      </c>
      <c r="AL109" s="97">
        <f ca="1">SUMIF(Сезон!A:A,F109,Сезон!B:B)</f>
        <v>1</v>
      </c>
      <c r="AM109" s="97">
        <f ca="1">SUMIF(Состав!A:A,J109,Состав!B:B)</f>
        <v>0</v>
      </c>
      <c r="AN109" s="97">
        <f ca="1">VLOOKUP(I109,ЦветПолный!A:C,3,0)</f>
        <v>1</v>
      </c>
      <c r="AO109" s="97">
        <f ca="1">SUMIF(Цвет!A:A,Y109,Цвет!B:B)</f>
        <v>1</v>
      </c>
      <c r="AP109" s="97">
        <f ca="1">_xlfn.XLOOKUP(L109,Пол!A:A,Пол!B:B,0,0)</f>
        <v>1</v>
      </c>
      <c r="AQ109" s="97">
        <f ca="1">SUMIF(Марка!A:A,G109,Марка!B:B)</f>
        <v>1</v>
      </c>
      <c r="AR109" s="97">
        <f ca="1">SUMIF(Страна!A:A,M109,Страна!B:B)</f>
        <v>1</v>
      </c>
      <c r="AS109" s="64" t="e">
        <f ca="1">IF(VLOOKUP(V109,Товары!A:B,2,FALSE)=A109,"Есть в 1С","ERR")</f>
        <v>#N/A</v>
      </c>
      <c r="AT109" s="65" t="e">
        <f ca="1">IF(VLOOKUP(A109,Товары!B:B,1,FALSE)=A109,"Есть в 1С","ERR")</f>
        <v>#N/A</v>
      </c>
      <c r="AU109" s="96" t="e">
        <f ca="1">VLOOKUP(V109,Товары!A:B,2,FALSE)</f>
        <v>#N/A</v>
      </c>
      <c r="AV109" s="94" t="e">
        <f ca="1">VLOOKUP(V109,Товары!A:B,1,FALSE)</f>
        <v>#N/A</v>
      </c>
    </row>
    <row r="110" spans="1:48" x14ac:dyDescent="0.25">
      <c r="A110" s="110" t="str">
        <f t="shared" ca="1" si="17"/>
        <v>21-710-36</v>
      </c>
      <c r="B110" s="107" t="str">
        <f ca="1">_xlfn.LET(_xlpm.CAPS,0,_xlpm.Style,_xlfn.XLOOKUP($A110,Строчный!$A:$A,Строчный!B:B,"ERR",0),IF(_xlpm.CAPS=0,_xlpm.Style,LOWER(_xlpm.Style)))</f>
        <v>81742BH LARSON</v>
      </c>
      <c r="C110" s="81" t="str">
        <f ca="1">PROPER(_xlfn.XLOOKUP($A110,Строчный!$A:$A,Строчный!C:C,"ERR",0))</f>
        <v>Шляпы</v>
      </c>
      <c r="D110" s="81" t="str">
        <f ca="1">_xlfn.LET(_xlpm.DATA,(_xlfn.XLOOKUP($A110,Строчный!$A:$A,Строчный!D:D,"ERR",0)),UPPER(MID(_xlpm.DATA,1,1))&amp;LOWER(MID(_xlpm.DATA,2,LEN(_xlpm.DATA)-1)))</f>
        <v>Шляпа федора</v>
      </c>
      <c r="E110" s="81" t="str">
        <f ca="1">PROPER(_xlfn.XLOOKUP($A110,Строчный!$A:$A,Строчный!E:E,"ERR",0))</f>
        <v>The Hollywood</v>
      </c>
      <c r="F110" s="81" t="str">
        <f ca="1">LOWER(_xlfn.XLOOKUP($A110,Строчный!$A:$A,Строчный!F:F,"ERR",0))</f>
        <v>летний</v>
      </c>
      <c r="G110" s="81" t="str">
        <f ca="1">UPPER(_xlfn.XLOOKUP($A110,Строчный!$A:$A,Строчный!G:G,"ERR",0))</f>
        <v>BAILEY</v>
      </c>
      <c r="H110" s="81" t="str">
        <f ca="1">LOWER(_xlfn.XLOOKUP($A110,Строчный!$A:$A,Строчный!H:H,"ERR",0))</f>
        <v>linen multi</v>
      </c>
      <c r="I110" s="81" t="str">
        <f ca="1">LOWER(_xlfn.XLOOKUP($A110,Строчный!$A:$A,Строчный!I:I,"ERR",0))</f>
        <v>кремовый</v>
      </c>
      <c r="J110" s="81" t="str">
        <f ca="1">SUBSTITUTE(LOWER(_xlfn.XLOOKUP($A110,Строчный!$A:$A,Строчный!J:J,"ERR",0)),"подклад","Подклад")</f>
        <v>50% бумага - 33% полипропилен - 17% полиэстер</v>
      </c>
      <c r="K110" s="81" t="str">
        <f ca="1">LOWER(_xlfn.XLOOKUP($A110,Строчный!$A:$A,Строчный!K:K,"ERR",0))</f>
        <v>бумажные</v>
      </c>
      <c r="L110" s="81" t="str">
        <f ca="1">PROPER(_xlfn.XLOOKUP($A110,Строчный!$A:$A,Строчный!L:L,"ERR",0))</f>
        <v>Унисекс</v>
      </c>
      <c r="M110" s="113" t="str">
        <f ca="1">PROPER(_xlfn.XLOOKUP($A110,Строчный!$A:$A,Строчный!M:M,"ERR",0))</f>
        <v>Китай</v>
      </c>
      <c r="N110" s="81" t="str">
        <f ca="1">UPPER(_xlfn.XLOOKUP($A110,Строчный!$A:$A,Строчный!O:O,"ERR",0))</f>
        <v/>
      </c>
      <c r="O110" s="107" t="str">
        <f ca="1">PROPER(_xlfn.XLOOKUP($A110,Строчный!$A:$A,Строчный!P:P,"ERR",0))</f>
        <v/>
      </c>
      <c r="P110" s="90">
        <f ca="1">VALUE(_xlfn.XLOOKUP($A110,Строчный!$A:$A,Строчный!N:N,"ERR",0))</f>
        <v>2380.9500000000003</v>
      </c>
      <c r="Q110" s="89" t="str">
        <f ca="1">_xlfn.XLOOKUP($G110,Фабрика!A:A,Фабрика!B:B,"ERR",0)</f>
        <v>Bollman Headwear Europe Ltd; 2 Merchants drive, Caelisle, Cumbria CA3 0JW, United Kingdom</v>
      </c>
      <c r="R110" s="80" t="str">
        <f ca="1">_xlfn.XLOOKUP(RIGHT(Z110,2),Размеры!D:D,Размеры!A:A,"ERR",0)</f>
        <v>61</v>
      </c>
      <c r="S110" s="80">
        <f ca="1">VALUE(_xlfn.XLOOKUP($Z110,Строчный!$R:$R,Строчный!T:T,"ERR",0))</f>
        <v>3</v>
      </c>
      <c r="T110" s="14" t="s">
        <v>265</v>
      </c>
      <c r="U110" s="101" t="str">
        <f t="shared" ca="1" si="13"/>
        <v>Шляпа BAILEY арт. 81742BH LARSON (кремовый)</v>
      </c>
      <c r="V110" s="100" t="str">
        <f t="shared" ca="1" si="14"/>
        <v>Шляпа BAILEY арт. 81742BH LARSON (кремовый) {linen multi}</v>
      </c>
      <c r="W110" s="18" t="str">
        <f t="shared" ca="1" si="15"/>
        <v>кремовый</v>
      </c>
      <c r="X110" s="18" t="str">
        <f t="shared" ca="1" si="16"/>
        <v>кремовый</v>
      </c>
      <c r="Y110" s="117" t="str">
        <f ca="1">_xlfn.LET(_xlpm.FormColors,_xlfn.XLOOKUP(A110,Строчный!A:A,Строчный!Q:Q,"",0),IF(_xlpm.FormColors=0,IFERROR(MID(I110,FIND("-",I110)+1,LEN(I110)),IFERROR(MID(I110,1,FIND("/",I110)-2),I110)),_xlpm.FormColors))</f>
        <v>кремовый</v>
      </c>
      <c r="Z110" s="73" t="str">
        <f ca="1"/>
        <v>21-710-36-61</v>
      </c>
      <c r="AA110" s="75" t="str">
        <f ca="1">VLOOKUP(C110,Группа!A:B,2,FALSE)</f>
        <v>Шляпа</v>
      </c>
      <c r="AB110" s="97" t="str">
        <f ca="1">IFERROR(VLOOKUP(R110,Размеры!A:C,3,FALSE),"")</f>
        <v>61 XL</v>
      </c>
      <c r="AC110" s="97" t="str">
        <f ca="1">VLOOKUP(I110,ЦветПолный!A:B,2,FALSE)</f>
        <v>36</v>
      </c>
      <c r="AD110" s="97" t="str">
        <f ca="1">IFERROR(VLOOKUP(R110,Размеры!A:D,4,FALSE),"")</f>
        <v>61</v>
      </c>
      <c r="AE110" s="97">
        <f ca="1">IF(LEFT(IFERROR(VLOOKUP(LOOKUP(2,1/SEARCH(B110,Товары!A:A),Товары!A:A),Товары!A:B,2,0),""),6)=MID(Z110,1,6),1,0)</f>
        <v>1</v>
      </c>
      <c r="AG110" s="97">
        <f ca="1">SUMIF(Группа!A:A,C110,Группа!C:C)</f>
        <v>1</v>
      </c>
      <c r="AH110" s="97">
        <f ca="1">SUMIF(Группа!B:B,AA110,Группа!C:C)</f>
        <v>1</v>
      </c>
      <c r="AI110" s="97">
        <f ca="1">SUMIF(Формы!A:A,D110,Формы!B:B)</f>
        <v>1</v>
      </c>
      <c r="AJ110" s="97">
        <f ca="1">SUMIF(Материал!A:A,K110,Материал!B:B)</f>
        <v>1</v>
      </c>
      <c r="AK110" s="97">
        <f ca="1">SUMIF(Размеры!A:A,R110,Размеры!E:E)</f>
        <v>1</v>
      </c>
      <c r="AL110" s="97">
        <f ca="1">SUMIF(Сезон!A:A,F110,Сезон!B:B)</f>
        <v>1</v>
      </c>
      <c r="AM110" s="97">
        <f ca="1">SUMIF(Состав!A:A,J110,Состав!B:B)</f>
        <v>1</v>
      </c>
      <c r="AN110" s="97">
        <f ca="1">VLOOKUP(I110,ЦветПолный!A:C,3,0)</f>
        <v>1</v>
      </c>
      <c r="AO110" s="97">
        <f ca="1">SUMIF(Цвет!A:A,Y110,Цвет!B:B)</f>
        <v>1</v>
      </c>
      <c r="AP110" s="97">
        <f ca="1">_xlfn.XLOOKUP(L110,Пол!A:A,Пол!B:B,0,0)</f>
        <v>1</v>
      </c>
      <c r="AQ110" s="97">
        <f ca="1">SUMIF(Марка!A:A,G110,Марка!B:B)</f>
        <v>1</v>
      </c>
      <c r="AR110" s="97">
        <f ca="1">SUMIF(Страна!A:A,M110,Страна!B:B)</f>
        <v>1</v>
      </c>
      <c r="AS110" s="64" t="str">
        <f ca="1">IF(VLOOKUP(V110,Товары!A:B,2,FALSE)=A110,"Есть в 1С","ERR")</f>
        <v>Есть в 1С</v>
      </c>
      <c r="AT110" s="65" t="str">
        <f ca="1">IF(VLOOKUP(A110,Товары!B:B,1,FALSE)=A110,"Есть в 1С","ERR")</f>
        <v>Есть в 1С</v>
      </c>
      <c r="AU110" s="96" t="str">
        <f ca="1">VLOOKUP(V110,Товары!A:B,2,FALSE)</f>
        <v>21-710-36</v>
      </c>
      <c r="AV110" s="94" t="str">
        <f ca="1">VLOOKUP(V110,Товары!A:B,1,FALSE)</f>
        <v>Шляпа BAILEY арт. 81742BH LARSON (кремовый) {linen multi}</v>
      </c>
    </row>
    <row r="111" spans="1:48" x14ac:dyDescent="0.25">
      <c r="A111" s="110" t="str">
        <f t="shared" ca="1" si="17"/>
        <v>21-710-36</v>
      </c>
      <c r="B111" s="107" t="str">
        <f ca="1">_xlfn.LET(_xlpm.CAPS,0,_xlpm.Style,_xlfn.XLOOKUP($A111,Строчный!$A:$A,Строчный!B:B,"ERR",0),IF(_xlpm.CAPS=0,_xlpm.Style,LOWER(_xlpm.Style)))</f>
        <v>81742BH LARSON</v>
      </c>
      <c r="C111" s="81" t="str">
        <f ca="1">PROPER(_xlfn.XLOOKUP($A111,Строчный!$A:$A,Строчный!C:C,"ERR",0))</f>
        <v>Шляпы</v>
      </c>
      <c r="D111" s="81" t="str">
        <f ca="1">_xlfn.LET(_xlpm.DATA,(_xlfn.XLOOKUP($A111,Строчный!$A:$A,Строчный!D:D,"ERR",0)),UPPER(MID(_xlpm.DATA,1,1))&amp;LOWER(MID(_xlpm.DATA,2,LEN(_xlpm.DATA)-1)))</f>
        <v>Шляпа федора</v>
      </c>
      <c r="E111" s="81" t="str">
        <f ca="1">PROPER(_xlfn.XLOOKUP($A111,Строчный!$A:$A,Строчный!E:E,"ERR",0))</f>
        <v>The Hollywood</v>
      </c>
      <c r="F111" s="81" t="str">
        <f ca="1">LOWER(_xlfn.XLOOKUP($A111,Строчный!$A:$A,Строчный!F:F,"ERR",0))</f>
        <v>летний</v>
      </c>
      <c r="G111" s="81" t="str">
        <f ca="1">UPPER(_xlfn.XLOOKUP($A111,Строчный!$A:$A,Строчный!G:G,"ERR",0))</f>
        <v>BAILEY</v>
      </c>
      <c r="H111" s="81" t="str">
        <f ca="1">LOWER(_xlfn.XLOOKUP($A111,Строчный!$A:$A,Строчный!H:H,"ERR",0))</f>
        <v>linen multi</v>
      </c>
      <c r="I111" s="81" t="str">
        <f ca="1">LOWER(_xlfn.XLOOKUP($A111,Строчный!$A:$A,Строчный!I:I,"ERR",0))</f>
        <v>кремовый</v>
      </c>
      <c r="J111" s="81" t="str">
        <f ca="1">SUBSTITUTE(LOWER(_xlfn.XLOOKUP($A111,Строчный!$A:$A,Строчный!J:J,"ERR",0)),"подклад","Подклад")</f>
        <v>50% бумага - 33% полипропилен - 17% полиэстер</v>
      </c>
      <c r="K111" s="81" t="str">
        <f ca="1">LOWER(_xlfn.XLOOKUP($A111,Строчный!$A:$A,Строчный!K:K,"ERR",0))</f>
        <v>бумажные</v>
      </c>
      <c r="L111" s="81" t="str">
        <f ca="1">PROPER(_xlfn.XLOOKUP($A111,Строчный!$A:$A,Строчный!L:L,"ERR",0))</f>
        <v>Унисекс</v>
      </c>
      <c r="M111" s="113" t="str">
        <f ca="1">PROPER(_xlfn.XLOOKUP($A111,Строчный!$A:$A,Строчный!M:M,"ERR",0))</f>
        <v>Китай</v>
      </c>
      <c r="N111" s="81" t="str">
        <f ca="1">UPPER(_xlfn.XLOOKUP($A111,Строчный!$A:$A,Строчный!O:O,"ERR",0))</f>
        <v/>
      </c>
      <c r="O111" s="107" t="str">
        <f ca="1">PROPER(_xlfn.XLOOKUP($A111,Строчный!$A:$A,Строчный!P:P,"ERR",0))</f>
        <v/>
      </c>
      <c r="P111" s="90">
        <f ca="1">VALUE(_xlfn.XLOOKUP($A111,Строчный!$A:$A,Строчный!N:N,"ERR",0))</f>
        <v>2380.9500000000003</v>
      </c>
      <c r="Q111" s="89" t="str">
        <f ca="1">_xlfn.XLOOKUP($G111,Фабрика!A:A,Фабрика!B:B,"ERR",0)</f>
        <v>Bollman Headwear Europe Ltd; 2 Merchants drive, Caelisle, Cumbria CA3 0JW, United Kingdom</v>
      </c>
      <c r="R111" s="80" t="str">
        <f ca="1">_xlfn.XLOOKUP(RIGHT(Z111,2),Размеры!D:D,Размеры!A:A,"ERR",0)</f>
        <v>59</v>
      </c>
      <c r="S111" s="80">
        <f ca="1">VALUE(_xlfn.XLOOKUP($Z111,Строчный!$R:$R,Строчный!T:T,"ERR",0))</f>
        <v>4</v>
      </c>
      <c r="T111" s="14" t="s">
        <v>265</v>
      </c>
      <c r="U111" s="101" t="str">
        <f t="shared" ca="1" si="13"/>
        <v>Шляпа BAILEY арт. 81742BH LARSON (кремовый)</v>
      </c>
      <c r="V111" s="100" t="str">
        <f t="shared" ca="1" si="14"/>
        <v>Шляпа BAILEY арт. 81742BH LARSON (кремовый) {linen multi}</v>
      </c>
      <c r="W111" s="18" t="str">
        <f t="shared" ca="1" si="15"/>
        <v>кремовый</v>
      </c>
      <c r="X111" s="18" t="str">
        <f t="shared" ca="1" si="16"/>
        <v>кремовый</v>
      </c>
      <c r="Y111" s="117" t="str">
        <f ca="1">_xlfn.LET(_xlpm.FormColors,_xlfn.XLOOKUP(A111,Строчный!A:A,Строчный!Q:Q,"",0),IF(_xlpm.FormColors=0,IFERROR(MID(I111,FIND("-",I111)+1,LEN(I111)),IFERROR(MID(I111,1,FIND("/",I111)-2),I111)),_xlpm.FormColors))</f>
        <v>кремовый</v>
      </c>
      <c r="Z111" s="73" t="str">
        <f ca="1"/>
        <v>21-710-36-59</v>
      </c>
      <c r="AA111" s="75" t="str">
        <f ca="1">VLOOKUP(C111,Группа!A:B,2,FALSE)</f>
        <v>Шляпа</v>
      </c>
      <c r="AB111" s="97" t="str">
        <f ca="1">IFERROR(VLOOKUP(R111,Размеры!A:C,3,FALSE),"")</f>
        <v>59 L</v>
      </c>
      <c r="AC111" s="97" t="str">
        <f ca="1">VLOOKUP(I111,ЦветПолный!A:B,2,FALSE)</f>
        <v>36</v>
      </c>
      <c r="AD111" s="97" t="str">
        <f ca="1">IFERROR(VLOOKUP(R111,Размеры!A:D,4,FALSE),"")</f>
        <v>59</v>
      </c>
      <c r="AE111" s="97">
        <f ca="1">IF(LEFT(IFERROR(VLOOKUP(LOOKUP(2,1/SEARCH(B111,Товары!A:A),Товары!A:A),Товары!A:B,2,0),""),6)=MID(Z111,1,6),1,0)</f>
        <v>1</v>
      </c>
      <c r="AG111" s="97">
        <f ca="1">SUMIF(Группа!A:A,C111,Группа!C:C)</f>
        <v>1</v>
      </c>
      <c r="AH111" s="97">
        <f ca="1">SUMIF(Группа!B:B,AA111,Группа!C:C)</f>
        <v>1</v>
      </c>
      <c r="AI111" s="97">
        <f ca="1">SUMIF(Формы!A:A,D111,Формы!B:B)</f>
        <v>1</v>
      </c>
      <c r="AJ111" s="97">
        <f ca="1">SUMIF(Материал!A:A,K111,Материал!B:B)</f>
        <v>1</v>
      </c>
      <c r="AK111" s="97">
        <f ca="1">SUMIF(Размеры!A:A,R111,Размеры!E:E)</f>
        <v>1</v>
      </c>
      <c r="AL111" s="97">
        <f ca="1">SUMIF(Сезон!A:A,F111,Сезон!B:B)</f>
        <v>1</v>
      </c>
      <c r="AM111" s="97">
        <f ca="1">SUMIF(Состав!A:A,J111,Состав!B:B)</f>
        <v>1</v>
      </c>
      <c r="AN111" s="97">
        <f ca="1">VLOOKUP(I111,ЦветПолный!A:C,3,0)</f>
        <v>1</v>
      </c>
      <c r="AO111" s="97">
        <f ca="1">SUMIF(Цвет!A:A,Y111,Цвет!B:B)</f>
        <v>1</v>
      </c>
      <c r="AP111" s="97">
        <f ca="1">_xlfn.XLOOKUP(L111,Пол!A:A,Пол!B:B,0,0)</f>
        <v>1</v>
      </c>
      <c r="AQ111" s="97">
        <f ca="1">SUMIF(Марка!A:A,G111,Марка!B:B)</f>
        <v>1</v>
      </c>
      <c r="AR111" s="97">
        <f ca="1">SUMIF(Страна!A:A,M111,Страна!B:B)</f>
        <v>1</v>
      </c>
      <c r="AS111" s="64" t="str">
        <f ca="1">IF(VLOOKUP(V111,Товары!A:B,2,FALSE)=A111,"Есть в 1С","ERR")</f>
        <v>Есть в 1С</v>
      </c>
      <c r="AT111" s="65" t="str">
        <f ca="1">IF(VLOOKUP(A111,Товары!B:B,1,FALSE)=A111,"Есть в 1С","ERR")</f>
        <v>Есть в 1С</v>
      </c>
      <c r="AU111" s="96" t="str">
        <f ca="1">VLOOKUP(V111,Товары!A:B,2,FALSE)</f>
        <v>21-710-36</v>
      </c>
      <c r="AV111" s="94" t="str">
        <f ca="1">VLOOKUP(V111,Товары!A:B,1,FALSE)</f>
        <v>Шляпа BAILEY арт. 81742BH LARSON (кремовый) {linen multi}</v>
      </c>
    </row>
    <row r="112" spans="1:48" x14ac:dyDescent="0.25">
      <c r="A112" s="110" t="str">
        <f t="shared" ca="1" si="17"/>
        <v>21-710-36</v>
      </c>
      <c r="B112" s="107" t="str">
        <f ca="1">_xlfn.LET(_xlpm.CAPS,0,_xlpm.Style,_xlfn.XLOOKUP($A112,Строчный!$A:$A,Строчный!B:B,"ERR",0),IF(_xlpm.CAPS=0,_xlpm.Style,LOWER(_xlpm.Style)))</f>
        <v>81742BH LARSON</v>
      </c>
      <c r="C112" s="81" t="str">
        <f ca="1">PROPER(_xlfn.XLOOKUP($A112,Строчный!$A:$A,Строчный!C:C,"ERR",0))</f>
        <v>Шляпы</v>
      </c>
      <c r="D112" s="81" t="str">
        <f ca="1">_xlfn.LET(_xlpm.DATA,(_xlfn.XLOOKUP($A112,Строчный!$A:$A,Строчный!D:D,"ERR",0)),UPPER(MID(_xlpm.DATA,1,1))&amp;LOWER(MID(_xlpm.DATA,2,LEN(_xlpm.DATA)-1)))</f>
        <v>Шляпа федора</v>
      </c>
      <c r="E112" s="81" t="str">
        <f ca="1">PROPER(_xlfn.XLOOKUP($A112,Строчный!$A:$A,Строчный!E:E,"ERR",0))</f>
        <v>The Hollywood</v>
      </c>
      <c r="F112" s="81" t="str">
        <f ca="1">LOWER(_xlfn.XLOOKUP($A112,Строчный!$A:$A,Строчный!F:F,"ERR",0))</f>
        <v>летний</v>
      </c>
      <c r="G112" s="81" t="str">
        <f ca="1">UPPER(_xlfn.XLOOKUP($A112,Строчный!$A:$A,Строчный!G:G,"ERR",0))</f>
        <v>BAILEY</v>
      </c>
      <c r="H112" s="81" t="str">
        <f ca="1">LOWER(_xlfn.XLOOKUP($A112,Строчный!$A:$A,Строчный!H:H,"ERR",0))</f>
        <v>linen multi</v>
      </c>
      <c r="I112" s="81" t="str">
        <f ca="1">LOWER(_xlfn.XLOOKUP($A112,Строчный!$A:$A,Строчный!I:I,"ERR",0))</f>
        <v>кремовый</v>
      </c>
      <c r="J112" s="81" t="str">
        <f ca="1">SUBSTITUTE(LOWER(_xlfn.XLOOKUP($A112,Строчный!$A:$A,Строчный!J:J,"ERR",0)),"подклад","Подклад")</f>
        <v>50% бумага - 33% полипропилен - 17% полиэстер</v>
      </c>
      <c r="K112" s="81" t="str">
        <f ca="1">LOWER(_xlfn.XLOOKUP($A112,Строчный!$A:$A,Строчный!K:K,"ERR",0))</f>
        <v>бумажные</v>
      </c>
      <c r="L112" s="81" t="str">
        <f ca="1">PROPER(_xlfn.XLOOKUP($A112,Строчный!$A:$A,Строчный!L:L,"ERR",0))</f>
        <v>Унисекс</v>
      </c>
      <c r="M112" s="113" t="str">
        <f ca="1">PROPER(_xlfn.XLOOKUP($A112,Строчный!$A:$A,Строчный!M:M,"ERR",0))</f>
        <v>Китай</v>
      </c>
      <c r="N112" s="81" t="str">
        <f ca="1">UPPER(_xlfn.XLOOKUP($A112,Строчный!$A:$A,Строчный!O:O,"ERR",0))</f>
        <v/>
      </c>
      <c r="O112" s="107" t="str">
        <f ca="1">PROPER(_xlfn.XLOOKUP($A112,Строчный!$A:$A,Строчный!P:P,"ERR",0))</f>
        <v/>
      </c>
      <c r="P112" s="90">
        <f ca="1">VALUE(_xlfn.XLOOKUP($A112,Строчный!$A:$A,Строчный!N:N,"ERR",0))</f>
        <v>2380.9500000000003</v>
      </c>
      <c r="Q112" s="89" t="str">
        <f ca="1">_xlfn.XLOOKUP($G112,Фабрика!A:A,Фабрика!B:B,"ERR",0)</f>
        <v>Bollman Headwear Europe Ltd; 2 Merchants drive, Caelisle, Cumbria CA3 0JW, United Kingdom</v>
      </c>
      <c r="R112" s="80" t="str">
        <f ca="1">_xlfn.XLOOKUP(RIGHT(Z112,2),Размеры!D:D,Размеры!A:A,"ERR",0)</f>
        <v>57</v>
      </c>
      <c r="S112" s="80">
        <f ca="1">VALUE(_xlfn.XLOOKUP($Z112,Строчный!$R:$R,Строчный!T:T,"ERR",0))</f>
        <v>3</v>
      </c>
      <c r="T112" s="14" t="s">
        <v>265</v>
      </c>
      <c r="U112" s="101" t="str">
        <f t="shared" ca="1" si="13"/>
        <v>Шляпа BAILEY арт. 81742BH LARSON (кремовый)</v>
      </c>
      <c r="V112" s="100" t="str">
        <f t="shared" ca="1" si="14"/>
        <v>Шляпа BAILEY арт. 81742BH LARSON (кремовый) {linen multi}</v>
      </c>
      <c r="W112" s="18" t="str">
        <f t="shared" ca="1" si="15"/>
        <v>кремовый</v>
      </c>
      <c r="X112" s="18" t="str">
        <f t="shared" ca="1" si="16"/>
        <v>кремовый</v>
      </c>
      <c r="Y112" s="117" t="str">
        <f ca="1">_xlfn.LET(_xlpm.FormColors,_xlfn.XLOOKUP(A112,Строчный!A:A,Строчный!Q:Q,"",0),IF(_xlpm.FormColors=0,IFERROR(MID(I112,FIND("-",I112)+1,LEN(I112)),IFERROR(MID(I112,1,FIND("/",I112)-2),I112)),_xlpm.FormColors))</f>
        <v>кремовый</v>
      </c>
      <c r="Z112" s="73" t="str">
        <f ca="1"/>
        <v>21-710-36-57</v>
      </c>
      <c r="AA112" s="75" t="str">
        <f ca="1">VLOOKUP(C112,Группа!A:B,2,FALSE)</f>
        <v>Шляпа</v>
      </c>
      <c r="AB112" s="97" t="str">
        <f ca="1">IFERROR(VLOOKUP(R112,Размеры!A:C,3,FALSE),"")</f>
        <v>57 M</v>
      </c>
      <c r="AC112" s="97" t="str">
        <f ca="1">VLOOKUP(I112,ЦветПолный!A:B,2,FALSE)</f>
        <v>36</v>
      </c>
      <c r="AD112" s="97" t="str">
        <f ca="1">IFERROR(VLOOKUP(R112,Размеры!A:D,4,FALSE),"")</f>
        <v>57</v>
      </c>
      <c r="AE112" s="97">
        <f ca="1">IF(LEFT(IFERROR(VLOOKUP(LOOKUP(2,1/SEARCH(B112,Товары!A:A),Товары!A:A),Товары!A:B,2,0),""),6)=MID(Z112,1,6),1,0)</f>
        <v>1</v>
      </c>
      <c r="AG112" s="97">
        <f ca="1">SUMIF(Группа!A:A,C112,Группа!C:C)</f>
        <v>1</v>
      </c>
      <c r="AH112" s="97">
        <f ca="1">SUMIF(Группа!B:B,AA112,Группа!C:C)</f>
        <v>1</v>
      </c>
      <c r="AI112" s="97">
        <f ca="1">SUMIF(Формы!A:A,D112,Формы!B:B)</f>
        <v>1</v>
      </c>
      <c r="AJ112" s="97">
        <f ca="1">SUMIF(Материал!A:A,K112,Материал!B:B)</f>
        <v>1</v>
      </c>
      <c r="AK112" s="97">
        <f ca="1">SUMIF(Размеры!A:A,R112,Размеры!E:E)</f>
        <v>1</v>
      </c>
      <c r="AL112" s="97">
        <f ca="1">SUMIF(Сезон!A:A,F112,Сезон!B:B)</f>
        <v>1</v>
      </c>
      <c r="AM112" s="97">
        <f ca="1">SUMIF(Состав!A:A,J112,Состав!B:B)</f>
        <v>1</v>
      </c>
      <c r="AN112" s="97">
        <f ca="1">VLOOKUP(I112,ЦветПолный!A:C,3,0)</f>
        <v>1</v>
      </c>
      <c r="AO112" s="97">
        <f ca="1">SUMIF(Цвет!A:A,Y112,Цвет!B:B)</f>
        <v>1</v>
      </c>
      <c r="AP112" s="97">
        <f ca="1">_xlfn.XLOOKUP(L112,Пол!A:A,Пол!B:B,0,0)</f>
        <v>1</v>
      </c>
      <c r="AQ112" s="97">
        <f ca="1">SUMIF(Марка!A:A,G112,Марка!B:B)</f>
        <v>1</v>
      </c>
      <c r="AR112" s="97">
        <f ca="1">SUMIF(Страна!A:A,M112,Страна!B:B)</f>
        <v>1</v>
      </c>
      <c r="AS112" s="64" t="str">
        <f ca="1">IF(VLOOKUP(V112,Товары!A:B,2,FALSE)=A112,"Есть в 1С","ERR")</f>
        <v>Есть в 1С</v>
      </c>
      <c r="AT112" s="65" t="str">
        <f ca="1">IF(VLOOKUP(A112,Товары!B:B,1,FALSE)=A112,"Есть в 1С","ERR")</f>
        <v>Есть в 1С</v>
      </c>
      <c r="AU112" s="96" t="str">
        <f ca="1">VLOOKUP(V112,Товары!A:B,2,FALSE)</f>
        <v>21-710-36</v>
      </c>
      <c r="AV112" s="94" t="str">
        <f ca="1">VLOOKUP(V112,Товары!A:B,1,FALSE)</f>
        <v>Шляпа BAILEY арт. 81742BH LARSON (кремовый) {linen multi}</v>
      </c>
    </row>
    <row r="113" spans="1:48" x14ac:dyDescent="0.25">
      <c r="A113" s="110" t="str">
        <f t="shared" ca="1" si="17"/>
        <v>21-709-02</v>
      </c>
      <c r="B113" s="107" t="str">
        <f ca="1">_xlfn.LET(_xlpm.CAPS,0,_xlpm.Style,_xlfn.XLOOKUP($A113,Строчный!$A:$A,Строчный!B:B,"ERR",0),IF(_xlpm.CAPS=0,_xlpm.Style,LOWER(_xlpm.Style)))</f>
        <v>81741BH WESTFIELD</v>
      </c>
      <c r="C113" s="81" t="str">
        <f ca="1">PROPER(_xlfn.XLOOKUP($A113,Строчный!$A:$A,Строчный!C:C,"ERR",0))</f>
        <v>Шляпы</v>
      </c>
      <c r="D113" s="81" t="str">
        <f ca="1">_xlfn.LET(_xlpm.DATA,(_xlfn.XLOOKUP($A113,Строчный!$A:$A,Строчный!D:D,"ERR",0)),UPPER(MID(_xlpm.DATA,1,1))&amp;LOWER(MID(_xlpm.DATA,2,LEN(_xlpm.DATA)-1)))</f>
        <v>Шляпа федора</v>
      </c>
      <c r="E113" s="81" t="str">
        <f ca="1">PROPER(_xlfn.XLOOKUP($A113,Строчный!$A:$A,Строчный!E:E,"ERR",0))</f>
        <v>The Hollywood</v>
      </c>
      <c r="F113" s="81" t="str">
        <f ca="1">LOWER(_xlfn.XLOOKUP($A113,Строчный!$A:$A,Строчный!F:F,"ERR",0))</f>
        <v>летний</v>
      </c>
      <c r="G113" s="81" t="str">
        <f ca="1">UPPER(_xlfn.XLOOKUP($A113,Строчный!$A:$A,Строчный!G:G,"ERR",0))</f>
        <v>BAILEY</v>
      </c>
      <c r="H113" s="81" t="str">
        <f ca="1">LOWER(_xlfn.XLOOKUP($A113,Строчный!$A:$A,Строчный!H:H,"ERR",0))</f>
        <v>natural</v>
      </c>
      <c r="I113" s="81" t="str">
        <f ca="1">LOWER(_xlfn.XLOOKUP($A113,Строчный!$A:$A,Строчный!I:I,"ERR",0))</f>
        <v>бежевый</v>
      </c>
      <c r="J113" s="81" t="str">
        <f ca="1">SUBSTITUTE(LOWER(_xlfn.XLOOKUP($A113,Строчный!$A:$A,Строчный!J:J,"ERR",0)),"подклад","Подклад")</f>
        <v>50% бумага - 50% полипропилен</v>
      </c>
      <c r="K113" s="81" t="str">
        <f ca="1">LOWER(_xlfn.XLOOKUP($A113,Строчный!$A:$A,Строчный!K:K,"ERR",0))</f>
        <v>бумажные</v>
      </c>
      <c r="L113" s="81" t="str">
        <f ca="1">PROPER(_xlfn.XLOOKUP($A113,Строчный!$A:$A,Строчный!L:L,"ERR",0))</f>
        <v>Унисекс</v>
      </c>
      <c r="M113" s="113" t="str">
        <f ca="1">PROPER(_xlfn.XLOOKUP($A113,Строчный!$A:$A,Строчный!M:M,"ERR",0))</f>
        <v>Китай</v>
      </c>
      <c r="N113" s="81" t="str">
        <f ca="1">UPPER(_xlfn.XLOOKUP($A113,Строчный!$A:$A,Строчный!O:O,"ERR",0))</f>
        <v/>
      </c>
      <c r="O113" s="107" t="str">
        <f ca="1">PROPER(_xlfn.XLOOKUP($A113,Строчный!$A:$A,Строчный!P:P,"ERR",0))</f>
        <v/>
      </c>
      <c r="P113" s="90">
        <f ca="1">VALUE(_xlfn.XLOOKUP($A113,Строчный!$A:$A,Строчный!N:N,"ERR",0))</f>
        <v>2263.9500000000003</v>
      </c>
      <c r="Q113" s="89" t="str">
        <f ca="1">_xlfn.XLOOKUP($G113,Фабрика!A:A,Фабрика!B:B,"ERR",0)</f>
        <v>Bollman Headwear Europe Ltd; 2 Merchants drive, Caelisle, Cumbria CA3 0JW, United Kingdom</v>
      </c>
      <c r="R113" s="80" t="str">
        <f ca="1">_xlfn.XLOOKUP(RIGHT(Z113,2),Размеры!D:D,Размеры!A:A,"ERR",0)</f>
        <v>61</v>
      </c>
      <c r="S113" s="80">
        <f ca="1">VALUE(_xlfn.XLOOKUP($Z113,Строчный!$R:$R,Строчный!T:T,"ERR",0))</f>
        <v>4</v>
      </c>
      <c r="T113" s="14" t="s">
        <v>265</v>
      </c>
      <c r="U113" s="101" t="str">
        <f t="shared" ca="1" si="13"/>
        <v>Шляпа BAILEY арт. 81741BH WESTFIELD (бежевый)</v>
      </c>
      <c r="V113" s="100" t="str">
        <f t="shared" ca="1" si="14"/>
        <v>Шляпа BAILEY арт. 81741BH WESTFIELD (бежевый) {natural}</v>
      </c>
      <c r="W113" s="18" t="str">
        <f t="shared" ca="1" si="15"/>
        <v>бежевый</v>
      </c>
      <c r="X113" s="18" t="str">
        <f t="shared" ca="1" si="16"/>
        <v>бежевый</v>
      </c>
      <c r="Y113" s="117" t="str">
        <f ca="1">_xlfn.LET(_xlpm.FormColors,_xlfn.XLOOKUP(A113,Строчный!A:A,Строчный!Q:Q,"",0),IF(_xlpm.FormColors=0,IFERROR(MID(I113,FIND("-",I113)+1,LEN(I113)),IFERROR(MID(I113,1,FIND("/",I113)-2),I113)),_xlpm.FormColors))</f>
        <v>бежевый</v>
      </c>
      <c r="Z113" s="73" t="str">
        <f ca="1"/>
        <v>21-709-02-61</v>
      </c>
      <c r="AA113" s="75" t="str">
        <f ca="1">VLOOKUP(C113,Группа!A:B,2,FALSE)</f>
        <v>Шляпа</v>
      </c>
      <c r="AB113" s="97" t="str">
        <f ca="1">IFERROR(VLOOKUP(R113,Размеры!A:C,3,FALSE),"")</f>
        <v>61 XL</v>
      </c>
      <c r="AC113" s="97" t="str">
        <f ca="1">VLOOKUP(I113,ЦветПолный!A:B,2,FALSE)</f>
        <v>02</v>
      </c>
      <c r="AD113" s="97" t="str">
        <f ca="1">IFERROR(VLOOKUP(R113,Размеры!A:D,4,FALSE),"")</f>
        <v>61</v>
      </c>
      <c r="AE113" s="97">
        <f ca="1">IF(LEFT(IFERROR(VLOOKUP(LOOKUP(2,1/SEARCH(B113,Товары!A:A),Товары!A:A),Товары!A:B,2,0),""),6)=MID(Z113,1,6),1,0)</f>
        <v>1</v>
      </c>
      <c r="AG113" s="97">
        <f ca="1">SUMIF(Группа!A:A,C113,Группа!C:C)</f>
        <v>1</v>
      </c>
      <c r="AH113" s="97">
        <f ca="1">SUMIF(Группа!B:B,AA113,Группа!C:C)</f>
        <v>1</v>
      </c>
      <c r="AI113" s="97">
        <f ca="1">SUMIF(Формы!A:A,D113,Формы!B:B)</f>
        <v>1</v>
      </c>
      <c r="AJ113" s="97">
        <f ca="1">SUMIF(Материал!A:A,K113,Материал!B:B)</f>
        <v>1</v>
      </c>
      <c r="AK113" s="97">
        <f ca="1">SUMIF(Размеры!A:A,R113,Размеры!E:E)</f>
        <v>1</v>
      </c>
      <c r="AL113" s="97">
        <f ca="1">SUMIF(Сезон!A:A,F113,Сезон!B:B)</f>
        <v>1</v>
      </c>
      <c r="AM113" s="97">
        <f ca="1">SUMIF(Состав!A:A,J113,Состав!B:B)</f>
        <v>1</v>
      </c>
      <c r="AN113" s="97">
        <f ca="1">VLOOKUP(I113,ЦветПолный!A:C,3,0)</f>
        <v>1</v>
      </c>
      <c r="AO113" s="97">
        <f ca="1">SUMIF(Цвет!A:A,Y113,Цвет!B:B)</f>
        <v>1</v>
      </c>
      <c r="AP113" s="97">
        <f ca="1">_xlfn.XLOOKUP(L113,Пол!A:A,Пол!B:B,0,0)</f>
        <v>1</v>
      </c>
      <c r="AQ113" s="97">
        <f ca="1">SUMIF(Марка!A:A,G113,Марка!B:B)</f>
        <v>1</v>
      </c>
      <c r="AR113" s="97">
        <f ca="1">SUMIF(Страна!A:A,M113,Страна!B:B)</f>
        <v>1</v>
      </c>
      <c r="AS113" s="64" t="e">
        <f ca="1">IF(VLOOKUP(V113,Товары!A:B,2,FALSE)=A113,"Есть в 1С","ERR")</f>
        <v>#N/A</v>
      </c>
      <c r="AT113" s="65" t="e">
        <f ca="1">IF(VLOOKUP(A113,Товары!B:B,1,FALSE)=A113,"Есть в 1С","ERR")</f>
        <v>#N/A</v>
      </c>
      <c r="AU113" s="96" t="e">
        <f ca="1">VLOOKUP(V113,Товары!A:B,2,FALSE)</f>
        <v>#N/A</v>
      </c>
      <c r="AV113" s="94" t="e">
        <f ca="1">VLOOKUP(V113,Товары!A:B,1,FALSE)</f>
        <v>#N/A</v>
      </c>
    </row>
    <row r="114" spans="1:48" x14ac:dyDescent="0.25">
      <c r="A114" s="110" t="str">
        <f t="shared" ca="1" si="17"/>
        <v>21-709-02</v>
      </c>
      <c r="B114" s="107" t="str">
        <f ca="1">_xlfn.LET(_xlpm.CAPS,0,_xlpm.Style,_xlfn.XLOOKUP($A114,Строчный!$A:$A,Строчный!B:B,"ERR",0),IF(_xlpm.CAPS=0,_xlpm.Style,LOWER(_xlpm.Style)))</f>
        <v>81741BH WESTFIELD</v>
      </c>
      <c r="C114" s="81" t="str">
        <f ca="1">PROPER(_xlfn.XLOOKUP($A114,Строчный!$A:$A,Строчный!C:C,"ERR",0))</f>
        <v>Шляпы</v>
      </c>
      <c r="D114" s="81" t="str">
        <f ca="1">_xlfn.LET(_xlpm.DATA,(_xlfn.XLOOKUP($A114,Строчный!$A:$A,Строчный!D:D,"ERR",0)),UPPER(MID(_xlpm.DATA,1,1))&amp;LOWER(MID(_xlpm.DATA,2,LEN(_xlpm.DATA)-1)))</f>
        <v>Шляпа федора</v>
      </c>
      <c r="E114" s="81" t="str">
        <f ca="1">PROPER(_xlfn.XLOOKUP($A114,Строчный!$A:$A,Строчный!E:E,"ERR",0))</f>
        <v>The Hollywood</v>
      </c>
      <c r="F114" s="81" t="str">
        <f ca="1">LOWER(_xlfn.XLOOKUP($A114,Строчный!$A:$A,Строчный!F:F,"ERR",0))</f>
        <v>летний</v>
      </c>
      <c r="G114" s="81" t="str">
        <f ca="1">UPPER(_xlfn.XLOOKUP($A114,Строчный!$A:$A,Строчный!G:G,"ERR",0))</f>
        <v>BAILEY</v>
      </c>
      <c r="H114" s="81" t="str">
        <f ca="1">LOWER(_xlfn.XLOOKUP($A114,Строчный!$A:$A,Строчный!H:H,"ERR",0))</f>
        <v>natural</v>
      </c>
      <c r="I114" s="81" t="str">
        <f ca="1">LOWER(_xlfn.XLOOKUP($A114,Строчный!$A:$A,Строчный!I:I,"ERR",0))</f>
        <v>бежевый</v>
      </c>
      <c r="J114" s="81" t="str">
        <f ca="1">SUBSTITUTE(LOWER(_xlfn.XLOOKUP($A114,Строчный!$A:$A,Строчный!J:J,"ERR",0)),"подклад","Подклад")</f>
        <v>50% бумага - 50% полипропилен</v>
      </c>
      <c r="K114" s="81" t="str">
        <f ca="1">LOWER(_xlfn.XLOOKUP($A114,Строчный!$A:$A,Строчный!K:K,"ERR",0))</f>
        <v>бумажные</v>
      </c>
      <c r="L114" s="81" t="str">
        <f ca="1">PROPER(_xlfn.XLOOKUP($A114,Строчный!$A:$A,Строчный!L:L,"ERR",0))</f>
        <v>Унисекс</v>
      </c>
      <c r="M114" s="113" t="str">
        <f ca="1">PROPER(_xlfn.XLOOKUP($A114,Строчный!$A:$A,Строчный!M:M,"ERR",0))</f>
        <v>Китай</v>
      </c>
      <c r="N114" s="81" t="str">
        <f ca="1">UPPER(_xlfn.XLOOKUP($A114,Строчный!$A:$A,Строчный!O:O,"ERR",0))</f>
        <v/>
      </c>
      <c r="O114" s="107" t="str">
        <f ca="1">PROPER(_xlfn.XLOOKUP($A114,Строчный!$A:$A,Строчный!P:P,"ERR",0))</f>
        <v/>
      </c>
      <c r="P114" s="90">
        <f ca="1">VALUE(_xlfn.XLOOKUP($A114,Строчный!$A:$A,Строчный!N:N,"ERR",0))</f>
        <v>2263.9500000000003</v>
      </c>
      <c r="Q114" s="89" t="str">
        <f ca="1">_xlfn.XLOOKUP($G114,Фабрика!A:A,Фабрика!B:B,"ERR",0)</f>
        <v>Bollman Headwear Europe Ltd; 2 Merchants drive, Caelisle, Cumbria CA3 0JW, United Kingdom</v>
      </c>
      <c r="R114" s="80" t="str">
        <f ca="1">_xlfn.XLOOKUP(RIGHT(Z114,2),Размеры!D:D,Размеры!A:A,"ERR",0)</f>
        <v>59</v>
      </c>
      <c r="S114" s="80">
        <f ca="1">VALUE(_xlfn.XLOOKUP($Z114,Строчный!$R:$R,Строчный!T:T,"ERR",0))</f>
        <v>7</v>
      </c>
      <c r="T114" s="14" t="s">
        <v>265</v>
      </c>
      <c r="U114" s="101" t="str">
        <f t="shared" ca="1" si="13"/>
        <v>Шляпа BAILEY арт. 81741BH WESTFIELD (бежевый)</v>
      </c>
      <c r="V114" s="100" t="str">
        <f t="shared" ca="1" si="14"/>
        <v>Шляпа BAILEY арт. 81741BH WESTFIELD (бежевый) {natural}</v>
      </c>
      <c r="W114" s="18" t="str">
        <f t="shared" ca="1" si="15"/>
        <v>бежевый</v>
      </c>
      <c r="X114" s="18" t="str">
        <f t="shared" ca="1" si="16"/>
        <v>бежевый</v>
      </c>
      <c r="Y114" s="117" t="str">
        <f ca="1">_xlfn.LET(_xlpm.FormColors,_xlfn.XLOOKUP(A114,Строчный!A:A,Строчный!Q:Q,"",0),IF(_xlpm.FormColors=0,IFERROR(MID(I114,FIND("-",I114)+1,LEN(I114)),IFERROR(MID(I114,1,FIND("/",I114)-2),I114)),_xlpm.FormColors))</f>
        <v>бежевый</v>
      </c>
      <c r="Z114" s="73" t="str">
        <f ca="1"/>
        <v>21-709-02-59</v>
      </c>
      <c r="AA114" s="75" t="str">
        <f ca="1">VLOOKUP(C114,Группа!A:B,2,FALSE)</f>
        <v>Шляпа</v>
      </c>
      <c r="AB114" s="97" t="str">
        <f ca="1">IFERROR(VLOOKUP(R114,Размеры!A:C,3,FALSE),"")</f>
        <v>59 L</v>
      </c>
      <c r="AC114" s="97" t="str">
        <f ca="1">VLOOKUP(I114,ЦветПолный!A:B,2,FALSE)</f>
        <v>02</v>
      </c>
      <c r="AD114" s="97" t="str">
        <f ca="1">IFERROR(VLOOKUP(R114,Размеры!A:D,4,FALSE),"")</f>
        <v>59</v>
      </c>
      <c r="AE114" s="97">
        <f ca="1">IF(LEFT(IFERROR(VLOOKUP(LOOKUP(2,1/SEARCH(B114,Товары!A:A),Товары!A:A),Товары!A:B,2,0),""),6)=MID(Z114,1,6),1,0)</f>
        <v>1</v>
      </c>
      <c r="AG114" s="97">
        <f ca="1">SUMIF(Группа!A:A,C114,Группа!C:C)</f>
        <v>1</v>
      </c>
      <c r="AH114" s="97">
        <f ca="1">SUMIF(Группа!B:B,AA114,Группа!C:C)</f>
        <v>1</v>
      </c>
      <c r="AI114" s="97">
        <f ca="1">SUMIF(Формы!A:A,D114,Формы!B:B)</f>
        <v>1</v>
      </c>
      <c r="AJ114" s="97">
        <f ca="1">SUMIF(Материал!A:A,K114,Материал!B:B)</f>
        <v>1</v>
      </c>
      <c r="AK114" s="97">
        <f ca="1">SUMIF(Размеры!A:A,R114,Размеры!E:E)</f>
        <v>1</v>
      </c>
      <c r="AL114" s="97">
        <f ca="1">SUMIF(Сезон!A:A,F114,Сезон!B:B)</f>
        <v>1</v>
      </c>
      <c r="AM114" s="97">
        <f ca="1">SUMIF(Состав!A:A,J114,Состав!B:B)</f>
        <v>1</v>
      </c>
      <c r="AN114" s="97">
        <f ca="1">VLOOKUP(I114,ЦветПолный!A:C,3,0)</f>
        <v>1</v>
      </c>
      <c r="AO114" s="97">
        <f ca="1">SUMIF(Цвет!A:A,Y114,Цвет!B:B)</f>
        <v>1</v>
      </c>
      <c r="AP114" s="97">
        <f ca="1">_xlfn.XLOOKUP(L114,Пол!A:A,Пол!B:B,0,0)</f>
        <v>1</v>
      </c>
      <c r="AQ114" s="97">
        <f ca="1">SUMIF(Марка!A:A,G114,Марка!B:B)</f>
        <v>1</v>
      </c>
      <c r="AR114" s="97">
        <f ca="1">SUMIF(Страна!A:A,M114,Страна!B:B)</f>
        <v>1</v>
      </c>
      <c r="AS114" s="64" t="e">
        <f ca="1">IF(VLOOKUP(V114,Товары!A:B,2,FALSE)=A114,"Есть в 1С","ERR")</f>
        <v>#N/A</v>
      </c>
      <c r="AT114" s="65" t="e">
        <f ca="1">IF(VLOOKUP(A114,Товары!B:B,1,FALSE)=A114,"Есть в 1С","ERR")</f>
        <v>#N/A</v>
      </c>
      <c r="AU114" s="96" t="e">
        <f ca="1">VLOOKUP(V114,Товары!A:B,2,FALSE)</f>
        <v>#N/A</v>
      </c>
      <c r="AV114" s="94" t="e">
        <f ca="1">VLOOKUP(V114,Товары!A:B,1,FALSE)</f>
        <v>#N/A</v>
      </c>
    </row>
    <row r="115" spans="1:48" x14ac:dyDescent="0.25">
      <c r="A115" s="110" t="str">
        <f t="shared" ca="1" si="17"/>
        <v>21-709-02</v>
      </c>
      <c r="B115" s="107" t="str">
        <f ca="1">_xlfn.LET(_xlpm.CAPS,0,_xlpm.Style,_xlfn.XLOOKUP($A115,Строчный!$A:$A,Строчный!B:B,"ERR",0),IF(_xlpm.CAPS=0,_xlpm.Style,LOWER(_xlpm.Style)))</f>
        <v>81741BH WESTFIELD</v>
      </c>
      <c r="C115" s="81" t="str">
        <f ca="1">PROPER(_xlfn.XLOOKUP($A115,Строчный!$A:$A,Строчный!C:C,"ERR",0))</f>
        <v>Шляпы</v>
      </c>
      <c r="D115" s="81" t="str">
        <f ca="1">_xlfn.LET(_xlpm.DATA,(_xlfn.XLOOKUP($A115,Строчный!$A:$A,Строчный!D:D,"ERR",0)),UPPER(MID(_xlpm.DATA,1,1))&amp;LOWER(MID(_xlpm.DATA,2,LEN(_xlpm.DATA)-1)))</f>
        <v>Шляпа федора</v>
      </c>
      <c r="E115" s="81" t="str">
        <f ca="1">PROPER(_xlfn.XLOOKUP($A115,Строчный!$A:$A,Строчный!E:E,"ERR",0))</f>
        <v>The Hollywood</v>
      </c>
      <c r="F115" s="81" t="str">
        <f ca="1">LOWER(_xlfn.XLOOKUP($A115,Строчный!$A:$A,Строчный!F:F,"ERR",0))</f>
        <v>летний</v>
      </c>
      <c r="G115" s="81" t="str">
        <f ca="1">UPPER(_xlfn.XLOOKUP($A115,Строчный!$A:$A,Строчный!G:G,"ERR",0))</f>
        <v>BAILEY</v>
      </c>
      <c r="H115" s="81" t="str">
        <f ca="1">LOWER(_xlfn.XLOOKUP($A115,Строчный!$A:$A,Строчный!H:H,"ERR",0))</f>
        <v>natural</v>
      </c>
      <c r="I115" s="81" t="str">
        <f ca="1">LOWER(_xlfn.XLOOKUP($A115,Строчный!$A:$A,Строчный!I:I,"ERR",0))</f>
        <v>бежевый</v>
      </c>
      <c r="J115" s="81" t="str">
        <f ca="1">SUBSTITUTE(LOWER(_xlfn.XLOOKUP($A115,Строчный!$A:$A,Строчный!J:J,"ERR",0)),"подклад","Подклад")</f>
        <v>50% бумага - 50% полипропилен</v>
      </c>
      <c r="K115" s="81" t="str">
        <f ca="1">LOWER(_xlfn.XLOOKUP($A115,Строчный!$A:$A,Строчный!K:K,"ERR",0))</f>
        <v>бумажные</v>
      </c>
      <c r="L115" s="81" t="str">
        <f ca="1">PROPER(_xlfn.XLOOKUP($A115,Строчный!$A:$A,Строчный!L:L,"ERR",0))</f>
        <v>Унисекс</v>
      </c>
      <c r="M115" s="113" t="str">
        <f ca="1">PROPER(_xlfn.XLOOKUP($A115,Строчный!$A:$A,Строчный!M:M,"ERR",0))</f>
        <v>Китай</v>
      </c>
      <c r="N115" s="81" t="str">
        <f ca="1">UPPER(_xlfn.XLOOKUP($A115,Строчный!$A:$A,Строчный!O:O,"ERR",0))</f>
        <v/>
      </c>
      <c r="O115" s="107" t="str">
        <f ca="1">PROPER(_xlfn.XLOOKUP($A115,Строчный!$A:$A,Строчный!P:P,"ERR",0))</f>
        <v/>
      </c>
      <c r="P115" s="90">
        <f ca="1">VALUE(_xlfn.XLOOKUP($A115,Строчный!$A:$A,Строчный!N:N,"ERR",0))</f>
        <v>2263.9500000000003</v>
      </c>
      <c r="Q115" s="89" t="str">
        <f ca="1">_xlfn.XLOOKUP($G115,Фабрика!A:A,Фабрика!B:B,"ERR",0)</f>
        <v>Bollman Headwear Europe Ltd; 2 Merchants drive, Caelisle, Cumbria CA3 0JW, United Kingdom</v>
      </c>
      <c r="R115" s="80" t="str">
        <f ca="1">_xlfn.XLOOKUP(RIGHT(Z115,2),Размеры!D:D,Размеры!A:A,"ERR",0)</f>
        <v>57</v>
      </c>
      <c r="S115" s="80">
        <f ca="1">VALUE(_xlfn.XLOOKUP($Z115,Строчный!$R:$R,Строчный!T:T,"ERR",0))</f>
        <v>5</v>
      </c>
      <c r="T115" s="14" t="s">
        <v>265</v>
      </c>
      <c r="U115" s="101" t="str">
        <f t="shared" ca="1" si="13"/>
        <v>Шляпа BAILEY арт. 81741BH WESTFIELD (бежевый)</v>
      </c>
      <c r="V115" s="100" t="str">
        <f t="shared" ca="1" si="14"/>
        <v>Шляпа BAILEY арт. 81741BH WESTFIELD (бежевый) {natural}</v>
      </c>
      <c r="W115" s="18" t="str">
        <f t="shared" ca="1" si="15"/>
        <v>бежевый</v>
      </c>
      <c r="X115" s="18" t="str">
        <f t="shared" ca="1" si="16"/>
        <v>бежевый</v>
      </c>
      <c r="Y115" s="117" t="str">
        <f ca="1">_xlfn.LET(_xlpm.FormColors,_xlfn.XLOOKUP(A115,Строчный!A:A,Строчный!Q:Q,"",0),IF(_xlpm.FormColors=0,IFERROR(MID(I115,FIND("-",I115)+1,LEN(I115)),IFERROR(MID(I115,1,FIND("/",I115)-2),I115)),_xlpm.FormColors))</f>
        <v>бежевый</v>
      </c>
      <c r="Z115" s="73" t="str">
        <f ca="1"/>
        <v>21-709-02-57</v>
      </c>
      <c r="AA115" s="75" t="str">
        <f ca="1">VLOOKUP(C115,Группа!A:B,2,FALSE)</f>
        <v>Шляпа</v>
      </c>
      <c r="AB115" s="97" t="str">
        <f ca="1">IFERROR(VLOOKUP(R115,Размеры!A:C,3,FALSE),"")</f>
        <v>57 M</v>
      </c>
      <c r="AC115" s="97" t="str">
        <f ca="1">VLOOKUP(I115,ЦветПолный!A:B,2,FALSE)</f>
        <v>02</v>
      </c>
      <c r="AD115" s="97" t="str">
        <f ca="1">IFERROR(VLOOKUP(R115,Размеры!A:D,4,FALSE),"")</f>
        <v>57</v>
      </c>
      <c r="AE115" s="97">
        <f ca="1">IF(LEFT(IFERROR(VLOOKUP(LOOKUP(2,1/SEARCH(B115,Товары!A:A),Товары!A:A),Товары!A:B,2,0),""),6)=MID(Z115,1,6),1,0)</f>
        <v>1</v>
      </c>
      <c r="AG115" s="97">
        <f ca="1">SUMIF(Группа!A:A,C115,Группа!C:C)</f>
        <v>1</v>
      </c>
      <c r="AH115" s="97">
        <f ca="1">SUMIF(Группа!B:B,AA115,Группа!C:C)</f>
        <v>1</v>
      </c>
      <c r="AI115" s="97">
        <f ca="1">SUMIF(Формы!A:A,D115,Формы!B:B)</f>
        <v>1</v>
      </c>
      <c r="AJ115" s="97">
        <f ca="1">SUMIF(Материал!A:A,K115,Материал!B:B)</f>
        <v>1</v>
      </c>
      <c r="AK115" s="97">
        <f ca="1">SUMIF(Размеры!A:A,R115,Размеры!E:E)</f>
        <v>1</v>
      </c>
      <c r="AL115" s="97">
        <f ca="1">SUMIF(Сезон!A:A,F115,Сезон!B:B)</f>
        <v>1</v>
      </c>
      <c r="AM115" s="97">
        <f ca="1">SUMIF(Состав!A:A,J115,Состав!B:B)</f>
        <v>1</v>
      </c>
      <c r="AN115" s="97">
        <f ca="1">VLOOKUP(I115,ЦветПолный!A:C,3,0)</f>
        <v>1</v>
      </c>
      <c r="AO115" s="97">
        <f ca="1">SUMIF(Цвет!A:A,Y115,Цвет!B:B)</f>
        <v>1</v>
      </c>
      <c r="AP115" s="97">
        <f ca="1">_xlfn.XLOOKUP(L115,Пол!A:A,Пол!B:B,0,0)</f>
        <v>1</v>
      </c>
      <c r="AQ115" s="97">
        <f ca="1">SUMIF(Марка!A:A,G115,Марка!B:B)</f>
        <v>1</v>
      </c>
      <c r="AR115" s="97">
        <f ca="1">SUMIF(Страна!A:A,M115,Страна!B:B)</f>
        <v>1</v>
      </c>
      <c r="AS115" s="64" t="e">
        <f ca="1">IF(VLOOKUP(V115,Товары!A:B,2,FALSE)=A115,"Есть в 1С","ERR")</f>
        <v>#N/A</v>
      </c>
      <c r="AT115" s="65" t="e">
        <f ca="1">IF(VLOOKUP(A115,Товары!B:B,1,FALSE)=A115,"Есть в 1С","ERR")</f>
        <v>#N/A</v>
      </c>
      <c r="AU115" s="96" t="e">
        <f ca="1">VLOOKUP(V115,Товары!A:B,2,FALSE)</f>
        <v>#N/A</v>
      </c>
      <c r="AV115" s="94" t="e">
        <f ca="1">VLOOKUP(V115,Товары!A:B,1,FALSE)</f>
        <v>#N/A</v>
      </c>
    </row>
    <row r="116" spans="1:48" x14ac:dyDescent="0.25">
      <c r="A116" s="110" t="str">
        <f t="shared" ca="1" si="17"/>
        <v>21-708-02</v>
      </c>
      <c r="B116" s="107" t="str">
        <f ca="1">_xlfn.LET(_xlpm.CAPS,0,_xlpm.Style,_xlfn.XLOOKUP($A116,Строчный!$A:$A,Строчный!B:B,"ERR",0),IF(_xlpm.CAPS=0,_xlpm.Style,LOWER(_xlpm.Style)))</f>
        <v>81739BH CARVER</v>
      </c>
      <c r="C116" s="81" t="str">
        <f ca="1">PROPER(_xlfn.XLOOKUP($A116,Строчный!$A:$A,Строчный!C:C,"ERR",0))</f>
        <v>Шляпы</v>
      </c>
      <c r="D116" s="81" t="str">
        <f ca="1">_xlfn.LET(_xlpm.DATA,(_xlfn.XLOOKUP($A116,Строчный!$A:$A,Строчный!D:D,"ERR",0)),UPPER(MID(_xlpm.DATA,1,1))&amp;LOWER(MID(_xlpm.DATA,2,LEN(_xlpm.DATA)-1)))</f>
        <v>Шляпа поркпай</v>
      </c>
      <c r="E116" s="81" t="str">
        <f ca="1">PROPER(_xlfn.XLOOKUP($A116,Строчный!$A:$A,Строчный!E:E,"ERR",0))</f>
        <v>The Hollywood</v>
      </c>
      <c r="F116" s="81" t="str">
        <f ca="1">LOWER(_xlfn.XLOOKUP($A116,Строчный!$A:$A,Строчный!F:F,"ERR",0))</f>
        <v>летний</v>
      </c>
      <c r="G116" s="81" t="str">
        <f ca="1">UPPER(_xlfn.XLOOKUP($A116,Строчный!$A:$A,Строчный!G:G,"ERR",0))</f>
        <v>BAILEY</v>
      </c>
      <c r="H116" s="81" t="str">
        <f ca="1">LOWER(_xlfn.XLOOKUP($A116,Строчный!$A:$A,Строчный!H:H,"ERR",0))</f>
        <v>natural</v>
      </c>
      <c r="I116" s="81" t="str">
        <f ca="1">LOWER(_xlfn.XLOOKUP($A116,Строчный!$A:$A,Строчный!I:I,"ERR",0))</f>
        <v>бежевый</v>
      </c>
      <c r="J116" s="81" t="str">
        <f ca="1">SUBSTITUTE(LOWER(_xlfn.XLOOKUP($A116,Строчный!$A:$A,Строчный!J:J,"ERR",0)),"подклад","Подклад")</f>
        <v>50% бумага - 50% полипропилен</v>
      </c>
      <c r="K116" s="81" t="str">
        <f ca="1">LOWER(_xlfn.XLOOKUP($A116,Строчный!$A:$A,Строчный!K:K,"ERR",0))</f>
        <v>бумажные</v>
      </c>
      <c r="L116" s="81" t="str">
        <f ca="1">PROPER(_xlfn.XLOOKUP($A116,Строчный!$A:$A,Строчный!L:L,"ERR",0))</f>
        <v>Унисекс</v>
      </c>
      <c r="M116" s="113" t="str">
        <f ca="1">PROPER(_xlfn.XLOOKUP($A116,Строчный!$A:$A,Строчный!M:M,"ERR",0))</f>
        <v>Китай</v>
      </c>
      <c r="N116" s="81" t="str">
        <f ca="1">UPPER(_xlfn.XLOOKUP($A116,Строчный!$A:$A,Строчный!O:O,"ERR",0))</f>
        <v/>
      </c>
      <c r="O116" s="107" t="str">
        <f ca="1">PROPER(_xlfn.XLOOKUP($A116,Строчный!$A:$A,Строчный!P:P,"ERR",0))</f>
        <v/>
      </c>
      <c r="P116" s="90">
        <f ca="1">VALUE(_xlfn.XLOOKUP($A116,Строчный!$A:$A,Строчный!N:N,"ERR",0))</f>
        <v>2380.9500000000003</v>
      </c>
      <c r="Q116" s="89" t="str">
        <f ca="1">_xlfn.XLOOKUP($G116,Фабрика!A:A,Фабрика!B:B,"ERR",0)</f>
        <v>Bollman Headwear Europe Ltd; 2 Merchants drive, Caelisle, Cumbria CA3 0JW, United Kingdom</v>
      </c>
      <c r="R116" s="80" t="str">
        <f ca="1">_xlfn.XLOOKUP(RIGHT(Z116,2),Размеры!D:D,Размеры!A:A,"ERR",0)</f>
        <v>61</v>
      </c>
      <c r="S116" s="80">
        <f ca="1">VALUE(_xlfn.XLOOKUP($Z116,Строчный!$R:$R,Строчный!T:T,"ERR",0))</f>
        <v>3</v>
      </c>
      <c r="T116" s="14" t="s">
        <v>265</v>
      </c>
      <c r="U116" s="101" t="str">
        <f t="shared" ca="1" si="13"/>
        <v>Шляпа BAILEY арт. 81739BH CARVER (бежевый)</v>
      </c>
      <c r="V116" s="100" t="str">
        <f t="shared" ca="1" si="14"/>
        <v>Шляпа BAILEY арт. 81739BH CARVER (бежевый) {natural}</v>
      </c>
      <c r="W116" s="18" t="str">
        <f t="shared" ca="1" si="15"/>
        <v>бежевый</v>
      </c>
      <c r="X116" s="18" t="str">
        <f t="shared" ca="1" si="16"/>
        <v>бежевый</v>
      </c>
      <c r="Y116" s="117" t="str">
        <f ca="1">_xlfn.LET(_xlpm.FormColors,_xlfn.XLOOKUP(A116,Строчный!A:A,Строчный!Q:Q,"",0),IF(_xlpm.FormColors=0,IFERROR(MID(I116,FIND("-",I116)+1,LEN(I116)),IFERROR(MID(I116,1,FIND("/",I116)-2),I116)),_xlpm.FormColors))</f>
        <v>бежевый</v>
      </c>
      <c r="Z116" s="73" t="str">
        <f ca="1"/>
        <v>21-708-02-61</v>
      </c>
      <c r="AA116" s="75" t="str">
        <f ca="1">VLOOKUP(C116,Группа!A:B,2,FALSE)</f>
        <v>Шляпа</v>
      </c>
      <c r="AB116" s="97" t="str">
        <f ca="1">IFERROR(VLOOKUP(R116,Размеры!A:C,3,FALSE),"")</f>
        <v>61 XL</v>
      </c>
      <c r="AC116" s="97" t="str">
        <f ca="1">VLOOKUP(I116,ЦветПолный!A:B,2,FALSE)</f>
        <v>02</v>
      </c>
      <c r="AD116" s="97" t="str">
        <f ca="1">IFERROR(VLOOKUP(R116,Размеры!A:D,4,FALSE),"")</f>
        <v>61</v>
      </c>
      <c r="AE116" s="97">
        <f ca="1">IF(LEFT(IFERROR(VLOOKUP(LOOKUP(2,1/SEARCH(B116,Товары!A:A),Товары!A:A),Товары!A:B,2,0),""),6)=MID(Z116,1,6),1,0)</f>
        <v>1</v>
      </c>
      <c r="AG116" s="97">
        <f ca="1">SUMIF(Группа!A:A,C116,Группа!C:C)</f>
        <v>1</v>
      </c>
      <c r="AH116" s="97">
        <f ca="1">SUMIF(Группа!B:B,AA116,Группа!C:C)</f>
        <v>1</v>
      </c>
      <c r="AI116" s="97">
        <f ca="1">SUMIF(Формы!A:A,D116,Формы!B:B)</f>
        <v>1</v>
      </c>
      <c r="AJ116" s="97">
        <f ca="1">SUMIF(Материал!A:A,K116,Материал!B:B)</f>
        <v>1</v>
      </c>
      <c r="AK116" s="97">
        <f ca="1">SUMIF(Размеры!A:A,R116,Размеры!E:E)</f>
        <v>1</v>
      </c>
      <c r="AL116" s="97">
        <f ca="1">SUMIF(Сезон!A:A,F116,Сезон!B:B)</f>
        <v>1</v>
      </c>
      <c r="AM116" s="97">
        <f ca="1">SUMIF(Состав!A:A,J116,Состав!B:B)</f>
        <v>1</v>
      </c>
      <c r="AN116" s="97">
        <f ca="1">VLOOKUP(I116,ЦветПолный!A:C,3,0)</f>
        <v>1</v>
      </c>
      <c r="AO116" s="97">
        <f ca="1">SUMIF(Цвет!A:A,Y116,Цвет!B:B)</f>
        <v>1</v>
      </c>
      <c r="AP116" s="97">
        <f ca="1">_xlfn.XLOOKUP(L116,Пол!A:A,Пол!B:B,0,0)</f>
        <v>1</v>
      </c>
      <c r="AQ116" s="97">
        <f ca="1">SUMIF(Марка!A:A,G116,Марка!B:B)</f>
        <v>1</v>
      </c>
      <c r="AR116" s="97">
        <f ca="1">SUMIF(Страна!A:A,M116,Страна!B:B)</f>
        <v>1</v>
      </c>
      <c r="AS116" s="64" t="e">
        <f ca="1">IF(VLOOKUP(V116,Товары!A:B,2,FALSE)=A116,"Есть в 1С","ERR")</f>
        <v>#N/A</v>
      </c>
      <c r="AT116" s="65" t="e">
        <f ca="1">IF(VLOOKUP(A116,Товары!B:B,1,FALSE)=A116,"Есть в 1С","ERR")</f>
        <v>#N/A</v>
      </c>
      <c r="AU116" s="96" t="e">
        <f ca="1">VLOOKUP(V116,Товары!A:B,2,FALSE)</f>
        <v>#N/A</v>
      </c>
      <c r="AV116" s="94" t="e">
        <f ca="1">VLOOKUP(V116,Товары!A:B,1,FALSE)</f>
        <v>#N/A</v>
      </c>
    </row>
    <row r="117" spans="1:48" x14ac:dyDescent="0.25">
      <c r="A117" s="110" t="str">
        <f t="shared" ca="1" si="17"/>
        <v>21-708-02</v>
      </c>
      <c r="B117" s="107" t="str">
        <f ca="1">_xlfn.LET(_xlpm.CAPS,0,_xlpm.Style,_xlfn.XLOOKUP($A117,Строчный!$A:$A,Строчный!B:B,"ERR",0),IF(_xlpm.CAPS=0,_xlpm.Style,LOWER(_xlpm.Style)))</f>
        <v>81739BH CARVER</v>
      </c>
      <c r="C117" s="81" t="str">
        <f ca="1">PROPER(_xlfn.XLOOKUP($A117,Строчный!$A:$A,Строчный!C:C,"ERR",0))</f>
        <v>Шляпы</v>
      </c>
      <c r="D117" s="81" t="str">
        <f ca="1">_xlfn.LET(_xlpm.DATA,(_xlfn.XLOOKUP($A117,Строчный!$A:$A,Строчный!D:D,"ERR",0)),UPPER(MID(_xlpm.DATA,1,1))&amp;LOWER(MID(_xlpm.DATA,2,LEN(_xlpm.DATA)-1)))</f>
        <v>Шляпа поркпай</v>
      </c>
      <c r="E117" s="81" t="str">
        <f ca="1">PROPER(_xlfn.XLOOKUP($A117,Строчный!$A:$A,Строчный!E:E,"ERR",0))</f>
        <v>The Hollywood</v>
      </c>
      <c r="F117" s="81" t="str">
        <f ca="1">LOWER(_xlfn.XLOOKUP($A117,Строчный!$A:$A,Строчный!F:F,"ERR",0))</f>
        <v>летний</v>
      </c>
      <c r="G117" s="81" t="str">
        <f ca="1">UPPER(_xlfn.XLOOKUP($A117,Строчный!$A:$A,Строчный!G:G,"ERR",0))</f>
        <v>BAILEY</v>
      </c>
      <c r="H117" s="81" t="str">
        <f ca="1">LOWER(_xlfn.XLOOKUP($A117,Строчный!$A:$A,Строчный!H:H,"ERR",0))</f>
        <v>natural</v>
      </c>
      <c r="I117" s="81" t="str">
        <f ca="1">LOWER(_xlfn.XLOOKUP($A117,Строчный!$A:$A,Строчный!I:I,"ERR",0))</f>
        <v>бежевый</v>
      </c>
      <c r="J117" s="81" t="str">
        <f ca="1">SUBSTITUTE(LOWER(_xlfn.XLOOKUP($A117,Строчный!$A:$A,Строчный!J:J,"ERR",0)),"подклад","Подклад")</f>
        <v>50% бумага - 50% полипропилен</v>
      </c>
      <c r="K117" s="81" t="str">
        <f ca="1">LOWER(_xlfn.XLOOKUP($A117,Строчный!$A:$A,Строчный!K:K,"ERR",0))</f>
        <v>бумажные</v>
      </c>
      <c r="L117" s="81" t="str">
        <f ca="1">PROPER(_xlfn.XLOOKUP($A117,Строчный!$A:$A,Строчный!L:L,"ERR",0))</f>
        <v>Унисекс</v>
      </c>
      <c r="M117" s="113" t="str">
        <f ca="1">PROPER(_xlfn.XLOOKUP($A117,Строчный!$A:$A,Строчный!M:M,"ERR",0))</f>
        <v>Китай</v>
      </c>
      <c r="N117" s="81" t="str">
        <f ca="1">UPPER(_xlfn.XLOOKUP($A117,Строчный!$A:$A,Строчный!O:O,"ERR",0))</f>
        <v/>
      </c>
      <c r="O117" s="107" t="str">
        <f ca="1">PROPER(_xlfn.XLOOKUP($A117,Строчный!$A:$A,Строчный!P:P,"ERR",0))</f>
        <v/>
      </c>
      <c r="P117" s="90">
        <f ca="1">VALUE(_xlfn.XLOOKUP($A117,Строчный!$A:$A,Строчный!N:N,"ERR",0))</f>
        <v>2380.9500000000003</v>
      </c>
      <c r="Q117" s="89" t="str">
        <f ca="1">_xlfn.XLOOKUP($G117,Фабрика!A:A,Фабрика!B:B,"ERR",0)</f>
        <v>Bollman Headwear Europe Ltd; 2 Merchants drive, Caelisle, Cumbria CA3 0JW, United Kingdom</v>
      </c>
      <c r="R117" s="80" t="str">
        <f ca="1">_xlfn.XLOOKUP(RIGHT(Z117,2),Размеры!D:D,Размеры!A:A,"ERR",0)</f>
        <v>59</v>
      </c>
      <c r="S117" s="80">
        <f ca="1">VALUE(_xlfn.XLOOKUP($Z117,Строчный!$R:$R,Строчный!T:T,"ERR",0))</f>
        <v>6</v>
      </c>
      <c r="T117" s="14" t="s">
        <v>265</v>
      </c>
      <c r="U117" s="101" t="str">
        <f t="shared" ca="1" si="13"/>
        <v>Шляпа BAILEY арт. 81739BH CARVER (бежевый)</v>
      </c>
      <c r="V117" s="100" t="str">
        <f t="shared" ca="1" si="14"/>
        <v>Шляпа BAILEY арт. 81739BH CARVER (бежевый) {natural}</v>
      </c>
      <c r="W117" s="18" t="str">
        <f t="shared" ca="1" si="15"/>
        <v>бежевый</v>
      </c>
      <c r="X117" s="18" t="str">
        <f t="shared" ca="1" si="16"/>
        <v>бежевый</v>
      </c>
      <c r="Y117" s="117" t="str">
        <f ca="1">_xlfn.LET(_xlpm.FormColors,_xlfn.XLOOKUP(A117,Строчный!A:A,Строчный!Q:Q,"",0),IF(_xlpm.FormColors=0,IFERROR(MID(I117,FIND("-",I117)+1,LEN(I117)),IFERROR(MID(I117,1,FIND("/",I117)-2),I117)),_xlpm.FormColors))</f>
        <v>бежевый</v>
      </c>
      <c r="Z117" s="73" t="str">
        <f ca="1"/>
        <v>21-708-02-59</v>
      </c>
      <c r="AA117" s="75" t="str">
        <f ca="1">VLOOKUP(C117,Группа!A:B,2,FALSE)</f>
        <v>Шляпа</v>
      </c>
      <c r="AB117" s="97" t="str">
        <f ca="1">IFERROR(VLOOKUP(R117,Размеры!A:C,3,FALSE),"")</f>
        <v>59 L</v>
      </c>
      <c r="AC117" s="97" t="str">
        <f ca="1">VLOOKUP(I117,ЦветПолный!A:B,2,FALSE)</f>
        <v>02</v>
      </c>
      <c r="AD117" s="97" t="str">
        <f ca="1">IFERROR(VLOOKUP(R117,Размеры!A:D,4,FALSE),"")</f>
        <v>59</v>
      </c>
      <c r="AE117" s="97">
        <f ca="1">IF(LEFT(IFERROR(VLOOKUP(LOOKUP(2,1/SEARCH(B117,Товары!A:A),Товары!A:A),Товары!A:B,2,0),""),6)=MID(Z117,1,6),1,0)</f>
        <v>1</v>
      </c>
      <c r="AG117" s="97">
        <f ca="1">SUMIF(Группа!A:A,C117,Группа!C:C)</f>
        <v>1</v>
      </c>
      <c r="AH117" s="97">
        <f ca="1">SUMIF(Группа!B:B,AA117,Группа!C:C)</f>
        <v>1</v>
      </c>
      <c r="AI117" s="97">
        <f ca="1">SUMIF(Формы!A:A,D117,Формы!B:B)</f>
        <v>1</v>
      </c>
      <c r="AJ117" s="97">
        <f ca="1">SUMIF(Материал!A:A,K117,Материал!B:B)</f>
        <v>1</v>
      </c>
      <c r="AK117" s="97">
        <f ca="1">SUMIF(Размеры!A:A,R117,Размеры!E:E)</f>
        <v>1</v>
      </c>
      <c r="AL117" s="97">
        <f ca="1">SUMIF(Сезон!A:A,F117,Сезон!B:B)</f>
        <v>1</v>
      </c>
      <c r="AM117" s="97">
        <f ca="1">SUMIF(Состав!A:A,J117,Состав!B:B)</f>
        <v>1</v>
      </c>
      <c r="AN117" s="97">
        <f ca="1">VLOOKUP(I117,ЦветПолный!A:C,3,0)</f>
        <v>1</v>
      </c>
      <c r="AO117" s="97">
        <f ca="1">SUMIF(Цвет!A:A,Y117,Цвет!B:B)</f>
        <v>1</v>
      </c>
      <c r="AP117" s="97">
        <f ca="1">_xlfn.XLOOKUP(L117,Пол!A:A,Пол!B:B,0,0)</f>
        <v>1</v>
      </c>
      <c r="AQ117" s="97">
        <f ca="1">SUMIF(Марка!A:A,G117,Марка!B:B)</f>
        <v>1</v>
      </c>
      <c r="AR117" s="97">
        <f ca="1">SUMIF(Страна!A:A,M117,Страна!B:B)</f>
        <v>1</v>
      </c>
      <c r="AS117" s="64" t="e">
        <f ca="1">IF(VLOOKUP(V117,Товары!A:B,2,FALSE)=A117,"Есть в 1С","ERR")</f>
        <v>#N/A</v>
      </c>
      <c r="AT117" s="65" t="e">
        <f ca="1">IF(VLOOKUP(A117,Товары!B:B,1,FALSE)=A117,"Есть в 1С","ERR")</f>
        <v>#N/A</v>
      </c>
      <c r="AU117" s="96" t="e">
        <f ca="1">VLOOKUP(V117,Товары!A:B,2,FALSE)</f>
        <v>#N/A</v>
      </c>
      <c r="AV117" s="94" t="e">
        <f ca="1">VLOOKUP(V117,Товары!A:B,1,FALSE)</f>
        <v>#N/A</v>
      </c>
    </row>
    <row r="118" spans="1:48" x14ac:dyDescent="0.25">
      <c r="A118" s="110" t="str">
        <f t="shared" ca="1" si="17"/>
        <v>21-708-02</v>
      </c>
      <c r="B118" s="107" t="str">
        <f ca="1">_xlfn.LET(_xlpm.CAPS,0,_xlpm.Style,_xlfn.XLOOKUP($A118,Строчный!$A:$A,Строчный!B:B,"ERR",0),IF(_xlpm.CAPS=0,_xlpm.Style,LOWER(_xlpm.Style)))</f>
        <v>81739BH CARVER</v>
      </c>
      <c r="C118" s="81" t="str">
        <f ca="1">PROPER(_xlfn.XLOOKUP($A118,Строчный!$A:$A,Строчный!C:C,"ERR",0))</f>
        <v>Шляпы</v>
      </c>
      <c r="D118" s="81" t="str">
        <f ca="1">_xlfn.LET(_xlpm.DATA,(_xlfn.XLOOKUP($A118,Строчный!$A:$A,Строчный!D:D,"ERR",0)),UPPER(MID(_xlpm.DATA,1,1))&amp;LOWER(MID(_xlpm.DATA,2,LEN(_xlpm.DATA)-1)))</f>
        <v>Шляпа поркпай</v>
      </c>
      <c r="E118" s="81" t="str">
        <f ca="1">PROPER(_xlfn.XLOOKUP($A118,Строчный!$A:$A,Строчный!E:E,"ERR",0))</f>
        <v>The Hollywood</v>
      </c>
      <c r="F118" s="81" t="str">
        <f ca="1">LOWER(_xlfn.XLOOKUP($A118,Строчный!$A:$A,Строчный!F:F,"ERR",0))</f>
        <v>летний</v>
      </c>
      <c r="G118" s="81" t="str">
        <f ca="1">UPPER(_xlfn.XLOOKUP($A118,Строчный!$A:$A,Строчный!G:G,"ERR",0))</f>
        <v>BAILEY</v>
      </c>
      <c r="H118" s="81" t="str">
        <f ca="1">LOWER(_xlfn.XLOOKUP($A118,Строчный!$A:$A,Строчный!H:H,"ERR",0))</f>
        <v>natural</v>
      </c>
      <c r="I118" s="81" t="str">
        <f ca="1">LOWER(_xlfn.XLOOKUP($A118,Строчный!$A:$A,Строчный!I:I,"ERR",0))</f>
        <v>бежевый</v>
      </c>
      <c r="J118" s="81" t="str">
        <f ca="1">SUBSTITUTE(LOWER(_xlfn.XLOOKUP($A118,Строчный!$A:$A,Строчный!J:J,"ERR",0)),"подклад","Подклад")</f>
        <v>50% бумага - 50% полипропилен</v>
      </c>
      <c r="K118" s="81" t="str">
        <f ca="1">LOWER(_xlfn.XLOOKUP($A118,Строчный!$A:$A,Строчный!K:K,"ERR",0))</f>
        <v>бумажные</v>
      </c>
      <c r="L118" s="81" t="str">
        <f ca="1">PROPER(_xlfn.XLOOKUP($A118,Строчный!$A:$A,Строчный!L:L,"ERR",0))</f>
        <v>Унисекс</v>
      </c>
      <c r="M118" s="113" t="str">
        <f ca="1">PROPER(_xlfn.XLOOKUP($A118,Строчный!$A:$A,Строчный!M:M,"ERR",0))</f>
        <v>Китай</v>
      </c>
      <c r="N118" s="81" t="str">
        <f ca="1">UPPER(_xlfn.XLOOKUP($A118,Строчный!$A:$A,Строчный!O:O,"ERR",0))</f>
        <v/>
      </c>
      <c r="O118" s="107" t="str">
        <f ca="1">PROPER(_xlfn.XLOOKUP($A118,Строчный!$A:$A,Строчный!P:P,"ERR",0))</f>
        <v/>
      </c>
      <c r="P118" s="90">
        <f ca="1">VALUE(_xlfn.XLOOKUP($A118,Строчный!$A:$A,Строчный!N:N,"ERR",0))</f>
        <v>2380.9500000000003</v>
      </c>
      <c r="Q118" s="89" t="str">
        <f ca="1">_xlfn.XLOOKUP($G118,Фабрика!A:A,Фабрика!B:B,"ERR",0)</f>
        <v>Bollman Headwear Europe Ltd; 2 Merchants drive, Caelisle, Cumbria CA3 0JW, United Kingdom</v>
      </c>
      <c r="R118" s="80" t="str">
        <f ca="1">_xlfn.XLOOKUP(RIGHT(Z118,2),Размеры!D:D,Размеры!A:A,"ERR",0)</f>
        <v>57</v>
      </c>
      <c r="S118" s="80">
        <f ca="1">VALUE(_xlfn.XLOOKUP($Z118,Строчный!$R:$R,Строчный!T:T,"ERR",0))</f>
        <v>4</v>
      </c>
      <c r="T118" s="14" t="s">
        <v>265</v>
      </c>
      <c r="U118" s="101" t="str">
        <f t="shared" ref="U118:U181" ca="1" si="18">CONCATENATE(AA118," ",G118," арт. ",B118," (",I118,")")</f>
        <v>Шляпа BAILEY арт. 81739BH CARVER (бежевый)</v>
      </c>
      <c r="V118" s="100" t="str">
        <f t="shared" ref="V118:V181" ca="1" si="19">CONCATENATE(AA118," ",G118," арт. ",B118," (",I118,") {",H118,"}")</f>
        <v>Шляпа BAILEY арт. 81739BH CARVER (бежевый) {natural}</v>
      </c>
      <c r="W118" s="18" t="str">
        <f t="shared" ref="W118:W181" ca="1" si="20">IFERROR(MID(I118,FIND("-",I118)+1,LEN(I118)),IFERROR(MID(I118,1,FIND("/",I118)-2),I118))</f>
        <v>бежевый</v>
      </c>
      <c r="X118" s="18" t="str">
        <f t="shared" ref="X118:X181" ca="1" si="21">IFERROR(MID(I118,FIND("-",I118)+1,LEN(I118)),IFERROR(MID(I118,FIND("/",I118)+2,LEN(I118)),I118))</f>
        <v>бежевый</v>
      </c>
      <c r="Y118" s="117" t="str">
        <f ca="1">_xlfn.LET(_xlpm.FormColors,_xlfn.XLOOKUP(A118,Строчный!A:A,Строчный!Q:Q,"",0),IF(_xlpm.FormColors=0,IFERROR(MID(I118,FIND("-",I118)+1,LEN(I118)),IFERROR(MID(I118,1,FIND("/",I118)-2),I118)),_xlpm.FormColors))</f>
        <v>бежевый</v>
      </c>
      <c r="Z118" s="73" t="str">
        <f ca="1"/>
        <v>21-708-02-57</v>
      </c>
      <c r="AA118" s="75" t="str">
        <f ca="1">VLOOKUP(C118,Группа!A:B,2,FALSE)</f>
        <v>Шляпа</v>
      </c>
      <c r="AB118" s="97" t="str">
        <f ca="1">IFERROR(VLOOKUP(R118,Размеры!A:C,3,FALSE),"")</f>
        <v>57 M</v>
      </c>
      <c r="AC118" s="97" t="str">
        <f ca="1">VLOOKUP(I118,ЦветПолный!A:B,2,FALSE)</f>
        <v>02</v>
      </c>
      <c r="AD118" s="97" t="str">
        <f ca="1">IFERROR(VLOOKUP(R118,Размеры!A:D,4,FALSE),"")</f>
        <v>57</v>
      </c>
      <c r="AE118" s="97">
        <f ca="1">IF(LEFT(IFERROR(VLOOKUP(LOOKUP(2,1/SEARCH(B118,Товары!A:A),Товары!A:A),Товары!A:B,2,0),""),6)=MID(Z118,1,6),1,0)</f>
        <v>1</v>
      </c>
      <c r="AG118" s="97">
        <f ca="1">SUMIF(Группа!A:A,C118,Группа!C:C)</f>
        <v>1</v>
      </c>
      <c r="AH118" s="97">
        <f ca="1">SUMIF(Группа!B:B,AA118,Группа!C:C)</f>
        <v>1</v>
      </c>
      <c r="AI118" s="97">
        <f ca="1">SUMIF(Формы!A:A,D118,Формы!B:B)</f>
        <v>1</v>
      </c>
      <c r="AJ118" s="97">
        <f ca="1">SUMIF(Материал!A:A,K118,Материал!B:B)</f>
        <v>1</v>
      </c>
      <c r="AK118" s="97">
        <f ca="1">SUMIF(Размеры!A:A,R118,Размеры!E:E)</f>
        <v>1</v>
      </c>
      <c r="AL118" s="97">
        <f ca="1">SUMIF(Сезон!A:A,F118,Сезон!B:B)</f>
        <v>1</v>
      </c>
      <c r="AM118" s="97">
        <f ca="1">SUMIF(Состав!A:A,J118,Состав!B:B)</f>
        <v>1</v>
      </c>
      <c r="AN118" s="97">
        <f ca="1">VLOOKUP(I118,ЦветПолный!A:C,3,0)</f>
        <v>1</v>
      </c>
      <c r="AO118" s="97">
        <f ca="1">SUMIF(Цвет!A:A,Y118,Цвет!B:B)</f>
        <v>1</v>
      </c>
      <c r="AP118" s="97">
        <f ca="1">_xlfn.XLOOKUP(L118,Пол!A:A,Пол!B:B,0,0)</f>
        <v>1</v>
      </c>
      <c r="AQ118" s="97">
        <f ca="1">SUMIF(Марка!A:A,G118,Марка!B:B)</f>
        <v>1</v>
      </c>
      <c r="AR118" s="97">
        <f ca="1">SUMIF(Страна!A:A,M118,Страна!B:B)</f>
        <v>1</v>
      </c>
      <c r="AS118" s="64" t="e">
        <f ca="1">IF(VLOOKUP(V118,Товары!A:B,2,FALSE)=A118,"Есть в 1С","ERR")</f>
        <v>#N/A</v>
      </c>
      <c r="AT118" s="65" t="e">
        <f ca="1">IF(VLOOKUP(A118,Товары!B:B,1,FALSE)=A118,"Есть в 1С","ERR")</f>
        <v>#N/A</v>
      </c>
      <c r="AU118" s="96" t="e">
        <f ca="1">VLOOKUP(V118,Товары!A:B,2,FALSE)</f>
        <v>#N/A</v>
      </c>
      <c r="AV118" s="94" t="e">
        <f ca="1">VLOOKUP(V118,Товары!A:B,1,FALSE)</f>
        <v>#N/A</v>
      </c>
    </row>
    <row r="119" spans="1:48" x14ac:dyDescent="0.25">
      <c r="A119" s="110" t="str">
        <f t="shared" ca="1" si="17"/>
        <v>21-708-02</v>
      </c>
      <c r="B119" s="107" t="str">
        <f ca="1">_xlfn.LET(_xlpm.CAPS,0,_xlpm.Style,_xlfn.XLOOKUP($A119,Строчный!$A:$A,Строчный!B:B,"ERR",0),IF(_xlpm.CAPS=0,_xlpm.Style,LOWER(_xlpm.Style)))</f>
        <v>81739BH CARVER</v>
      </c>
      <c r="C119" s="81" t="str">
        <f ca="1">PROPER(_xlfn.XLOOKUP($A119,Строчный!$A:$A,Строчный!C:C,"ERR",0))</f>
        <v>Шляпы</v>
      </c>
      <c r="D119" s="81" t="str">
        <f ca="1">_xlfn.LET(_xlpm.DATA,(_xlfn.XLOOKUP($A119,Строчный!$A:$A,Строчный!D:D,"ERR",0)),UPPER(MID(_xlpm.DATA,1,1))&amp;LOWER(MID(_xlpm.DATA,2,LEN(_xlpm.DATA)-1)))</f>
        <v>Шляпа поркпай</v>
      </c>
      <c r="E119" s="81" t="str">
        <f ca="1">PROPER(_xlfn.XLOOKUP($A119,Строчный!$A:$A,Строчный!E:E,"ERR",0))</f>
        <v>The Hollywood</v>
      </c>
      <c r="F119" s="81" t="str">
        <f ca="1">LOWER(_xlfn.XLOOKUP($A119,Строчный!$A:$A,Строчный!F:F,"ERR",0))</f>
        <v>летний</v>
      </c>
      <c r="G119" s="81" t="str">
        <f ca="1">UPPER(_xlfn.XLOOKUP($A119,Строчный!$A:$A,Строчный!G:G,"ERR",0))</f>
        <v>BAILEY</v>
      </c>
      <c r="H119" s="81" t="str">
        <f ca="1">LOWER(_xlfn.XLOOKUP($A119,Строчный!$A:$A,Строчный!H:H,"ERR",0))</f>
        <v>natural</v>
      </c>
      <c r="I119" s="81" t="str">
        <f ca="1">LOWER(_xlfn.XLOOKUP($A119,Строчный!$A:$A,Строчный!I:I,"ERR",0))</f>
        <v>бежевый</v>
      </c>
      <c r="J119" s="81" t="str">
        <f ca="1">SUBSTITUTE(LOWER(_xlfn.XLOOKUP($A119,Строчный!$A:$A,Строчный!J:J,"ERR",0)),"подклад","Подклад")</f>
        <v>50% бумага - 50% полипропилен</v>
      </c>
      <c r="K119" s="81" t="str">
        <f ca="1">LOWER(_xlfn.XLOOKUP($A119,Строчный!$A:$A,Строчный!K:K,"ERR",0))</f>
        <v>бумажные</v>
      </c>
      <c r="L119" s="81" t="str">
        <f ca="1">PROPER(_xlfn.XLOOKUP($A119,Строчный!$A:$A,Строчный!L:L,"ERR",0))</f>
        <v>Унисекс</v>
      </c>
      <c r="M119" s="113" t="str">
        <f ca="1">PROPER(_xlfn.XLOOKUP($A119,Строчный!$A:$A,Строчный!M:M,"ERR",0))</f>
        <v>Китай</v>
      </c>
      <c r="N119" s="81" t="str">
        <f ca="1">UPPER(_xlfn.XLOOKUP($A119,Строчный!$A:$A,Строчный!O:O,"ERR",0))</f>
        <v/>
      </c>
      <c r="O119" s="107" t="str">
        <f ca="1">PROPER(_xlfn.XLOOKUP($A119,Строчный!$A:$A,Строчный!P:P,"ERR",0))</f>
        <v/>
      </c>
      <c r="P119" s="90">
        <f ca="1">VALUE(_xlfn.XLOOKUP($A119,Строчный!$A:$A,Строчный!N:N,"ERR",0))</f>
        <v>2380.9500000000003</v>
      </c>
      <c r="Q119" s="89" t="str">
        <f ca="1">_xlfn.XLOOKUP($G119,Фабрика!A:A,Фабрика!B:B,"ERR",0)</f>
        <v>Bollman Headwear Europe Ltd; 2 Merchants drive, Caelisle, Cumbria CA3 0JW, United Kingdom</v>
      </c>
      <c r="R119" s="80" t="str">
        <f ca="1">_xlfn.XLOOKUP(RIGHT(Z119,2),Размеры!D:D,Размеры!A:A,"ERR",0)</f>
        <v>55</v>
      </c>
      <c r="S119" s="80">
        <f ca="1">VALUE(_xlfn.XLOOKUP($Z119,Строчный!$R:$R,Строчный!T:T,"ERR",0))</f>
        <v>1</v>
      </c>
      <c r="T119" s="14" t="s">
        <v>265</v>
      </c>
      <c r="U119" s="101" t="str">
        <f t="shared" ca="1" si="18"/>
        <v>Шляпа BAILEY арт. 81739BH CARVER (бежевый)</v>
      </c>
      <c r="V119" s="100" t="str">
        <f t="shared" ca="1" si="19"/>
        <v>Шляпа BAILEY арт. 81739BH CARVER (бежевый) {natural}</v>
      </c>
      <c r="W119" s="18" t="str">
        <f t="shared" ca="1" si="20"/>
        <v>бежевый</v>
      </c>
      <c r="X119" s="18" t="str">
        <f t="shared" ca="1" si="21"/>
        <v>бежевый</v>
      </c>
      <c r="Y119" s="117" t="str">
        <f ca="1">_xlfn.LET(_xlpm.FormColors,_xlfn.XLOOKUP(A119,Строчный!A:A,Строчный!Q:Q,"",0),IF(_xlpm.FormColors=0,IFERROR(MID(I119,FIND("-",I119)+1,LEN(I119)),IFERROR(MID(I119,1,FIND("/",I119)-2),I119)),_xlpm.FormColors))</f>
        <v>бежевый</v>
      </c>
      <c r="Z119" s="73" t="str">
        <f ca="1"/>
        <v>21-708-02-55</v>
      </c>
      <c r="AA119" s="75" t="str">
        <f ca="1">VLOOKUP(C119,Группа!A:B,2,FALSE)</f>
        <v>Шляпа</v>
      </c>
      <c r="AB119" s="97" t="str">
        <f ca="1">IFERROR(VLOOKUP(R119,Размеры!A:C,3,FALSE),"")</f>
        <v>55 S</v>
      </c>
      <c r="AC119" s="97" t="str">
        <f ca="1">VLOOKUP(I119,ЦветПолный!A:B,2,FALSE)</f>
        <v>02</v>
      </c>
      <c r="AD119" s="97" t="str">
        <f ca="1">IFERROR(VLOOKUP(R119,Размеры!A:D,4,FALSE),"")</f>
        <v>55</v>
      </c>
      <c r="AE119" s="97">
        <f ca="1">IF(LEFT(IFERROR(VLOOKUP(LOOKUP(2,1/SEARCH(B119,Товары!A:A),Товары!A:A),Товары!A:B,2,0),""),6)=MID(Z119,1,6),1,0)</f>
        <v>1</v>
      </c>
      <c r="AG119" s="97">
        <f ca="1">SUMIF(Группа!A:A,C119,Группа!C:C)</f>
        <v>1</v>
      </c>
      <c r="AH119" s="97">
        <f ca="1">SUMIF(Группа!B:B,AA119,Группа!C:C)</f>
        <v>1</v>
      </c>
      <c r="AI119" s="97">
        <f ca="1">SUMIF(Формы!A:A,D119,Формы!B:B)</f>
        <v>1</v>
      </c>
      <c r="AJ119" s="97">
        <f ca="1">SUMIF(Материал!A:A,K119,Материал!B:B)</f>
        <v>1</v>
      </c>
      <c r="AK119" s="97">
        <f ca="1">SUMIF(Размеры!A:A,R119,Размеры!E:E)</f>
        <v>1</v>
      </c>
      <c r="AL119" s="97">
        <f ca="1">SUMIF(Сезон!A:A,F119,Сезон!B:B)</f>
        <v>1</v>
      </c>
      <c r="AM119" s="97">
        <f ca="1">SUMIF(Состав!A:A,J119,Состав!B:B)</f>
        <v>1</v>
      </c>
      <c r="AN119" s="97">
        <f ca="1">VLOOKUP(I119,ЦветПолный!A:C,3,0)</f>
        <v>1</v>
      </c>
      <c r="AO119" s="97">
        <f ca="1">SUMIF(Цвет!A:A,Y119,Цвет!B:B)</f>
        <v>1</v>
      </c>
      <c r="AP119" s="97">
        <f ca="1">_xlfn.XLOOKUP(L119,Пол!A:A,Пол!B:B,0,0)</f>
        <v>1</v>
      </c>
      <c r="AQ119" s="97">
        <f ca="1">SUMIF(Марка!A:A,G119,Марка!B:B)</f>
        <v>1</v>
      </c>
      <c r="AR119" s="97">
        <f ca="1">SUMIF(Страна!A:A,M119,Страна!B:B)</f>
        <v>1</v>
      </c>
      <c r="AS119" s="64" t="e">
        <f ca="1">IF(VLOOKUP(V119,Товары!A:B,2,FALSE)=A119,"Есть в 1С","ERR")</f>
        <v>#N/A</v>
      </c>
      <c r="AT119" s="65" t="e">
        <f ca="1">IF(VLOOKUP(A119,Товары!B:B,1,FALSE)=A119,"Есть в 1С","ERR")</f>
        <v>#N/A</v>
      </c>
      <c r="AU119" s="96" t="e">
        <f ca="1">VLOOKUP(V119,Товары!A:B,2,FALSE)</f>
        <v>#N/A</v>
      </c>
      <c r="AV119" s="94" t="e">
        <f ca="1">VLOOKUP(V119,Товары!A:B,1,FALSE)</f>
        <v>#N/A</v>
      </c>
    </row>
    <row r="120" spans="1:48" x14ac:dyDescent="0.25">
      <c r="A120" s="110" t="str">
        <f t="shared" ca="1" si="17"/>
        <v>21-676-08</v>
      </c>
      <c r="B120" s="107" t="str">
        <f ca="1">_xlfn.LET(_xlpm.CAPS,0,_xlpm.Style,_xlfn.XLOOKUP($A120,Строчный!$A:$A,Строчный!B:B,"ERR",0),IF(_xlpm.CAPS=0,_xlpm.Style,LOWER(_xlpm.Style)))</f>
        <v>37185BH ELLETT</v>
      </c>
      <c r="C120" s="81" t="str">
        <f ca="1">PROPER(_xlfn.XLOOKUP($A120,Строчный!$A:$A,Строчный!C:C,"ERR",0))</f>
        <v>Шляпы</v>
      </c>
      <c r="D120" s="81" t="str">
        <f ca="1">_xlfn.LET(_xlpm.DATA,(_xlfn.XLOOKUP($A120,Строчный!$A:$A,Строчный!D:D,"ERR",0)),UPPER(MID(_xlpm.DATA,1,1))&amp;LOWER(MID(_xlpm.DATA,2,LEN(_xlpm.DATA)-1)))</f>
        <v>Шляпа федора</v>
      </c>
      <c r="E120" s="81" t="str">
        <f ca="1">PROPER(_xlfn.XLOOKUP($A120,Строчный!$A:$A,Строчный!E:E,"ERR",0))</f>
        <v>The Hollywood</v>
      </c>
      <c r="F120" s="81" t="str">
        <f ca="1">LOWER(_xlfn.XLOOKUP($A120,Строчный!$A:$A,Строчный!F:F,"ERR",0))</f>
        <v>всесезон</v>
      </c>
      <c r="G120" s="81" t="str">
        <f ca="1">UPPER(_xlfn.XLOOKUP($A120,Строчный!$A:$A,Строчный!G:G,"ERR",0))</f>
        <v>BAILEY</v>
      </c>
      <c r="H120" s="81" t="str">
        <f ca="1">LOWER(_xlfn.XLOOKUP($A120,Строчный!$A:$A,Строчный!H:H,"ERR",0))</f>
        <v>avion</v>
      </c>
      <c r="I120" s="81" t="str">
        <f ca="1">LOWER(_xlfn.XLOOKUP($A120,Строчный!$A:$A,Строчный!I:I,"ERR",0))</f>
        <v>серый</v>
      </c>
      <c r="J120" s="81" t="str">
        <f ca="1">SUBSTITUTE(LOWER(_xlfn.XLOOKUP($A120,Строчный!$A:$A,Строчный!J:J,"ERR",0)),"подклад","Подклад")</f>
        <v>100% шерсть</v>
      </c>
      <c r="K120" s="81" t="str">
        <f ca="1">LOWER(_xlfn.XLOOKUP($A120,Строчный!$A:$A,Строчный!K:K,"ERR",0))</f>
        <v>фетровые</v>
      </c>
      <c r="L120" s="81" t="str">
        <f ca="1">PROPER(_xlfn.XLOOKUP($A120,Строчный!$A:$A,Строчный!L:L,"ERR",0))</f>
        <v>Унисекс</v>
      </c>
      <c r="M120" s="113" t="str">
        <f ca="1">PROPER(_xlfn.XLOOKUP($A120,Строчный!$A:$A,Строчный!M:M,"ERR",0))</f>
        <v>Соединенные Штаты</v>
      </c>
      <c r="N120" s="81" t="str">
        <f ca="1">UPPER(_xlfn.XLOOKUP($A120,Строчный!$A:$A,Строчный!O:O,"ERR",0))</f>
        <v/>
      </c>
      <c r="O120" s="107" t="str">
        <f ca="1">PROPER(_xlfn.XLOOKUP($A120,Строчный!$A:$A,Строчный!P:P,"ERR",0))</f>
        <v/>
      </c>
      <c r="P120" s="90">
        <f ca="1">VALUE(_xlfn.XLOOKUP($A120,Строчный!$A:$A,Строчный!N:N,"ERR",0))</f>
        <v>702.00000000000011</v>
      </c>
      <c r="Q120" s="89" t="str">
        <f ca="1">_xlfn.XLOOKUP($G120,Фабрика!A:A,Фабрика!B:B,"ERR",0)</f>
        <v>Bollman Headwear Europe Ltd; 2 Merchants drive, Caelisle, Cumbria CA3 0JW, United Kingdom</v>
      </c>
      <c r="R120" s="80" t="str">
        <f ca="1">_xlfn.XLOOKUP(RIGHT(Z120,2),Размеры!D:D,Размеры!A:A,"ERR",0)</f>
        <v>57</v>
      </c>
      <c r="S120" s="80">
        <f ca="1">VALUE(_xlfn.XLOOKUP($Z120,Строчный!$R:$R,Строчный!T:T,"ERR",0))</f>
        <v>1</v>
      </c>
      <c r="T120" s="14" t="s">
        <v>265</v>
      </c>
      <c r="U120" s="101" t="str">
        <f t="shared" ca="1" si="18"/>
        <v>Шляпа BAILEY арт. 37185BH ELLETT (серый)</v>
      </c>
      <c r="V120" s="100" t="str">
        <f t="shared" ca="1" si="19"/>
        <v>Шляпа BAILEY арт. 37185BH ELLETT (серый) {avion}</v>
      </c>
      <c r="W120" s="18" t="str">
        <f t="shared" ca="1" si="20"/>
        <v>серый</v>
      </c>
      <c r="X120" s="18" t="str">
        <f t="shared" ca="1" si="21"/>
        <v>серый</v>
      </c>
      <c r="Y120" s="117" t="str">
        <f ca="1">_xlfn.LET(_xlpm.FormColors,_xlfn.XLOOKUP(A120,Строчный!A:A,Строчный!Q:Q,"",0),IF(_xlpm.FormColors=0,IFERROR(MID(I120,FIND("-",I120)+1,LEN(I120)),IFERROR(MID(I120,1,FIND("/",I120)-2),I120)),_xlpm.FormColors))</f>
        <v>серый</v>
      </c>
      <c r="Z120" s="73" t="str">
        <f ca="1"/>
        <v>21-676-08-57</v>
      </c>
      <c r="AA120" s="75" t="str">
        <f ca="1">VLOOKUP(C120,Группа!A:B,2,FALSE)</f>
        <v>Шляпа</v>
      </c>
      <c r="AB120" s="97" t="str">
        <f ca="1">IFERROR(VLOOKUP(R120,Размеры!A:C,3,FALSE),"")</f>
        <v>57 M</v>
      </c>
      <c r="AC120" s="97" t="str">
        <f ca="1">VLOOKUP(I120,ЦветПолный!A:B,2,FALSE)</f>
        <v>08</v>
      </c>
      <c r="AD120" s="97" t="str">
        <f ca="1">IFERROR(VLOOKUP(R120,Размеры!A:D,4,FALSE),"")</f>
        <v>57</v>
      </c>
      <c r="AE120" s="97">
        <f ca="1">IF(LEFT(IFERROR(VLOOKUP(LOOKUP(2,1/SEARCH(B120,Товары!A:A),Товары!A:A),Товары!A:B,2,0),""),6)=MID(Z120,1,6),1,0)</f>
        <v>1</v>
      </c>
      <c r="AG120" s="97">
        <f ca="1">SUMIF(Группа!A:A,C120,Группа!C:C)</f>
        <v>1</v>
      </c>
      <c r="AH120" s="97">
        <f ca="1">SUMIF(Группа!B:B,AA120,Группа!C:C)</f>
        <v>1</v>
      </c>
      <c r="AI120" s="97">
        <f ca="1">SUMIF(Формы!A:A,D120,Формы!B:B)</f>
        <v>1</v>
      </c>
      <c r="AJ120" s="97">
        <f ca="1">SUMIF(Материал!A:A,K120,Материал!B:B)</f>
        <v>1</v>
      </c>
      <c r="AK120" s="97">
        <f ca="1">SUMIF(Размеры!A:A,R120,Размеры!E:E)</f>
        <v>1</v>
      </c>
      <c r="AL120" s="97">
        <f ca="1">SUMIF(Сезон!A:A,F120,Сезон!B:B)</f>
        <v>1</v>
      </c>
      <c r="AM120" s="97">
        <f ca="1">SUMIF(Состав!A:A,J120,Состав!B:B)</f>
        <v>1</v>
      </c>
      <c r="AN120" s="97">
        <f ca="1">VLOOKUP(I120,ЦветПолный!A:C,3,0)</f>
        <v>1</v>
      </c>
      <c r="AO120" s="97">
        <f ca="1">SUMIF(Цвет!A:A,Y120,Цвет!B:B)</f>
        <v>1</v>
      </c>
      <c r="AP120" s="97">
        <f ca="1">_xlfn.XLOOKUP(L120,Пол!A:A,Пол!B:B,0,0)</f>
        <v>1</v>
      </c>
      <c r="AQ120" s="97">
        <f ca="1">SUMIF(Марка!A:A,G120,Марка!B:B)</f>
        <v>1</v>
      </c>
      <c r="AR120" s="97">
        <f ca="1">SUMIF(Страна!A:A,M120,Страна!B:B)</f>
        <v>1</v>
      </c>
      <c r="AS120" s="64" t="e">
        <f ca="1">IF(VLOOKUP(V120,Товары!A:B,2,FALSE)=A120,"Есть в 1С","ERR")</f>
        <v>#N/A</v>
      </c>
      <c r="AT120" s="65" t="e">
        <f ca="1">IF(VLOOKUP(A120,Товары!B:B,1,FALSE)=A120,"Есть в 1С","ERR")</f>
        <v>#N/A</v>
      </c>
      <c r="AU120" s="96" t="e">
        <f ca="1">VLOOKUP(V120,Товары!A:B,2,FALSE)</f>
        <v>#N/A</v>
      </c>
      <c r="AV120" s="94" t="e">
        <f ca="1">VLOOKUP(V120,Товары!A:B,1,FALSE)</f>
        <v>#N/A</v>
      </c>
    </row>
    <row r="121" spans="1:48" x14ac:dyDescent="0.25">
      <c r="A121" s="110" t="str">
        <f t="shared" ca="1" si="17"/>
        <v>21-632-36</v>
      </c>
      <c r="B121" s="107" t="str">
        <f ca="1">_xlfn.LET(_xlpm.CAPS,0,_xlpm.Style,_xlfn.XLOOKUP($A121,Строчный!$A:$A,Строчный!B:B,"ERR",0),IF(_xlpm.CAPS=0,_xlpm.Style,LOWER(_xlpm.Style)))</f>
        <v>22794BH JANSEN</v>
      </c>
      <c r="C121" s="81" t="str">
        <f ca="1">PROPER(_xlfn.XLOOKUP($A121,Строчный!$A:$A,Строчный!C:C,"ERR",0))</f>
        <v>Шляпы</v>
      </c>
      <c r="D121" s="81" t="str">
        <f ca="1">_xlfn.LET(_xlpm.DATA,(_xlfn.XLOOKUP($A121,Строчный!$A:$A,Строчный!D:D,"ERR",0)),UPPER(MID(_xlpm.DATA,1,1))&amp;LOWER(MID(_xlpm.DATA,2,LEN(_xlpm.DATA)-1)))</f>
        <v>Шляпа федора</v>
      </c>
      <c r="E121" s="81" t="str">
        <f ca="1">PROPER(_xlfn.XLOOKUP($A121,Строчный!$A:$A,Строчный!E:E,"ERR",0))</f>
        <v>The Hollywood</v>
      </c>
      <c r="F121" s="81" t="str">
        <f ca="1">LOWER(_xlfn.XLOOKUP($A121,Строчный!$A:$A,Строчный!F:F,"ERR",0))</f>
        <v>летний</v>
      </c>
      <c r="G121" s="81" t="str">
        <f ca="1">UPPER(_xlfn.XLOOKUP($A121,Строчный!$A:$A,Строчный!G:G,"ERR",0))</f>
        <v>BAILEY</v>
      </c>
      <c r="H121" s="81" t="str">
        <f ca="1">LOWER(_xlfn.XLOOKUP($A121,Строчный!$A:$A,Строчный!H:H,"ERR",0))</f>
        <v>natural/black</v>
      </c>
      <c r="I121" s="81" t="str">
        <f ca="1">LOWER(_xlfn.XLOOKUP($A121,Строчный!$A:$A,Строчный!I:I,"ERR",0))</f>
        <v>кремовый</v>
      </c>
      <c r="J121" s="81" t="str">
        <f ca="1">SUBSTITUTE(LOWER(_xlfn.XLOOKUP($A121,Строчный!$A:$A,Строчный!J:J,"ERR",0)),"подклад","Подклад")</f>
        <v>100% солома</v>
      </c>
      <c r="K121" s="81" t="str">
        <f ca="1">LOWER(_xlfn.XLOOKUP($A121,Строчный!$A:$A,Строчный!K:K,"ERR",0))</f>
        <v>соломенные</v>
      </c>
      <c r="L121" s="81" t="str">
        <f ca="1">PROPER(_xlfn.XLOOKUP($A121,Строчный!$A:$A,Строчный!L:L,"ERR",0))</f>
        <v>Унисекс</v>
      </c>
      <c r="M121" s="113" t="str">
        <f ca="1">PROPER(_xlfn.XLOOKUP($A121,Строчный!$A:$A,Строчный!M:M,"ERR",0))</f>
        <v>Соединенные Штаты</v>
      </c>
      <c r="N121" s="81" t="str">
        <f ca="1">UPPER(_xlfn.XLOOKUP($A121,Строчный!$A:$A,Строчный!O:O,"ERR",0))</f>
        <v/>
      </c>
      <c r="O121" s="107" t="str">
        <f ca="1">PROPER(_xlfn.XLOOKUP($A121,Строчный!$A:$A,Строчный!P:P,"ERR",0))</f>
        <v/>
      </c>
      <c r="P121" s="90">
        <f ca="1">VALUE(_xlfn.XLOOKUP($A121,Строчный!$A:$A,Строчный!N:N,"ERR",0))</f>
        <v>6259.5</v>
      </c>
      <c r="Q121" s="89" t="str">
        <f ca="1">_xlfn.XLOOKUP($G121,Фабрика!A:A,Фабрика!B:B,"ERR",0)</f>
        <v>Bollman Headwear Europe Ltd; 2 Merchants drive, Caelisle, Cumbria CA3 0JW, United Kingdom</v>
      </c>
      <c r="R121" s="80" t="str">
        <f ca="1">_xlfn.XLOOKUP(RIGHT(Z121,2),Размеры!D:D,Размеры!A:A,"ERR",0)</f>
        <v>59</v>
      </c>
      <c r="S121" s="80">
        <f ca="1">VALUE(_xlfn.XLOOKUP($Z121,Строчный!$R:$R,Строчный!T:T,"ERR",0))</f>
        <v>1</v>
      </c>
      <c r="T121" s="14" t="s">
        <v>265</v>
      </c>
      <c r="U121" s="101" t="str">
        <f t="shared" ca="1" si="18"/>
        <v>Шляпа BAILEY арт. 22794BH JANSEN (кремовый)</v>
      </c>
      <c r="V121" s="100" t="str">
        <f t="shared" ca="1" si="19"/>
        <v>Шляпа BAILEY арт. 22794BH JANSEN (кремовый) {natural/black}</v>
      </c>
      <c r="W121" s="18" t="str">
        <f t="shared" ca="1" si="20"/>
        <v>кремовый</v>
      </c>
      <c r="X121" s="18" t="str">
        <f t="shared" ca="1" si="21"/>
        <v>кремовый</v>
      </c>
      <c r="Y121" s="117" t="str">
        <f ca="1">_xlfn.LET(_xlpm.FormColors,_xlfn.XLOOKUP(A121,Строчный!A:A,Строчный!Q:Q,"",0),IF(_xlpm.FormColors=0,IFERROR(MID(I121,FIND("-",I121)+1,LEN(I121)),IFERROR(MID(I121,1,FIND("/",I121)-2),I121)),_xlpm.FormColors))</f>
        <v>кремовый</v>
      </c>
      <c r="Z121" s="73" t="str">
        <f ca="1"/>
        <v>21-632-36-59</v>
      </c>
      <c r="AA121" s="75" t="str">
        <f ca="1">VLOOKUP(C121,Группа!A:B,2,FALSE)</f>
        <v>Шляпа</v>
      </c>
      <c r="AB121" s="97" t="str">
        <f ca="1">IFERROR(VLOOKUP(R121,Размеры!A:C,3,FALSE),"")</f>
        <v>59 L</v>
      </c>
      <c r="AC121" s="97" t="str">
        <f ca="1">VLOOKUP(I121,ЦветПолный!A:B,2,FALSE)</f>
        <v>36</v>
      </c>
      <c r="AD121" s="97" t="str">
        <f ca="1">IFERROR(VLOOKUP(R121,Размеры!A:D,4,FALSE),"")</f>
        <v>59</v>
      </c>
      <c r="AE121" s="97">
        <f ca="1">IF(LEFT(IFERROR(VLOOKUP(LOOKUP(2,1/SEARCH(B121,Товары!A:A),Товары!A:A),Товары!A:B,2,0),""),6)=MID(Z121,1,6),1,0)</f>
        <v>1</v>
      </c>
      <c r="AG121" s="97">
        <f ca="1">SUMIF(Группа!A:A,C121,Группа!C:C)</f>
        <v>1</v>
      </c>
      <c r="AH121" s="97">
        <f ca="1">SUMIF(Группа!B:B,AA121,Группа!C:C)</f>
        <v>1</v>
      </c>
      <c r="AI121" s="97">
        <f ca="1">SUMIF(Формы!A:A,D121,Формы!B:B)</f>
        <v>1</v>
      </c>
      <c r="AJ121" s="97">
        <f ca="1">SUMIF(Материал!A:A,K121,Материал!B:B)</f>
        <v>1</v>
      </c>
      <c r="AK121" s="97">
        <f ca="1">SUMIF(Размеры!A:A,R121,Размеры!E:E)</f>
        <v>1</v>
      </c>
      <c r="AL121" s="97">
        <f ca="1">SUMIF(Сезон!A:A,F121,Сезон!B:B)</f>
        <v>1</v>
      </c>
      <c r="AM121" s="97">
        <f ca="1">SUMIF(Состав!A:A,J121,Состав!B:B)</f>
        <v>1</v>
      </c>
      <c r="AN121" s="97">
        <f ca="1">VLOOKUP(I121,ЦветПолный!A:C,3,0)</f>
        <v>1</v>
      </c>
      <c r="AO121" s="97">
        <f ca="1">SUMIF(Цвет!A:A,Y121,Цвет!B:B)</f>
        <v>1</v>
      </c>
      <c r="AP121" s="97">
        <f ca="1">_xlfn.XLOOKUP(L121,Пол!A:A,Пол!B:B,0,0)</f>
        <v>1</v>
      </c>
      <c r="AQ121" s="97">
        <f ca="1">SUMIF(Марка!A:A,G121,Марка!B:B)</f>
        <v>1</v>
      </c>
      <c r="AR121" s="97">
        <f ca="1">SUMIF(Страна!A:A,M121,Страна!B:B)</f>
        <v>1</v>
      </c>
      <c r="AS121" s="64" t="str">
        <f ca="1">IF(VLOOKUP(V121,Товары!A:B,2,FALSE)=A121,"Есть в 1С","ERR")</f>
        <v>Есть в 1С</v>
      </c>
      <c r="AT121" s="65" t="str">
        <f ca="1">IF(VLOOKUP(A121,Товары!B:B,1,FALSE)=A121,"Есть в 1С","ERR")</f>
        <v>Есть в 1С</v>
      </c>
      <c r="AU121" s="96" t="str">
        <f ca="1">VLOOKUP(V121,Товары!A:B,2,FALSE)</f>
        <v>21-632-36</v>
      </c>
      <c r="AV121" s="94" t="str">
        <f ca="1">VLOOKUP(V121,Товары!A:B,1,FALSE)</f>
        <v>Шляпа BAILEY арт. 22794BH JANSEN (кремовый) {natural/black}</v>
      </c>
    </row>
    <row r="122" spans="1:48" x14ac:dyDescent="0.25">
      <c r="A122" s="110" t="str">
        <f t="shared" ca="1" si="17"/>
        <v>21-602-19</v>
      </c>
      <c r="B122" s="107" t="str">
        <f ca="1">_xlfn.LET(_xlpm.CAPS,0,_xlpm.Style,_xlfn.XLOOKUP($A122,Строчный!$A:$A,Строчный!B:B,"ERR",0),IF(_xlpm.CAPS=0,_xlpm.Style,LOWER(_xlpm.Style)))</f>
        <v>90119BH GANEY</v>
      </c>
      <c r="C122" s="81" t="str">
        <f ca="1">PROPER(_xlfn.XLOOKUP($A122,Строчный!$A:$A,Строчный!C:C,"ERR",0))</f>
        <v>Кепки</v>
      </c>
      <c r="D122" s="81" t="str">
        <f ca="1">_xlfn.LET(_xlpm.DATA,(_xlfn.XLOOKUP($A122,Строчный!$A:$A,Строчный!D:D,"ERR",0)),UPPER(MID(_xlpm.DATA,1,1))&amp;LOWER(MID(_xlpm.DATA,2,LEN(_xlpm.DATA)-1)))</f>
        <v>Кепка плоская</v>
      </c>
      <c r="E122" s="81" t="str">
        <f ca="1">PROPER(_xlfn.XLOOKUP($A122,Строчный!$A:$A,Строчный!E:E,"ERR",0))</f>
        <v>The Hollywood</v>
      </c>
      <c r="F122" s="81" t="str">
        <f ca="1">LOWER(_xlfn.XLOOKUP($A122,Строчный!$A:$A,Строчный!F:F,"ERR",0))</f>
        <v>летний</v>
      </c>
      <c r="G122" s="81" t="str">
        <f ca="1">UPPER(_xlfn.XLOOKUP($A122,Строчный!$A:$A,Строчный!G:G,"ERR",0))</f>
        <v>BAILEY</v>
      </c>
      <c r="H122" s="81" t="str">
        <f ca="1">LOWER(_xlfn.XLOOKUP($A122,Строчный!$A:$A,Строчный!H:H,"ERR",0))</f>
        <v>sky</v>
      </c>
      <c r="I122" s="81" t="str">
        <f ca="1">LOWER(_xlfn.XLOOKUP($A122,Строчный!$A:$A,Строчный!I:I,"ERR",0))</f>
        <v>голубой</v>
      </c>
      <c r="J122" s="81" t="str">
        <f ca="1">SUBSTITUTE(LOWER(_xlfn.XLOOKUP($A122,Строчный!$A:$A,Строчный!J:J,"ERR",0)),"подклад","Подклад")</f>
        <v>100% хлопок / Подклад: 100% полиэстер</v>
      </c>
      <c r="K122" s="81" t="str">
        <f ca="1">LOWER(_xlfn.XLOOKUP($A122,Строчный!$A:$A,Строчный!K:K,"ERR",0))</f>
        <v>хлопковые</v>
      </c>
      <c r="L122" s="81" t="str">
        <f ca="1">PROPER(_xlfn.XLOOKUP($A122,Строчный!$A:$A,Строчный!L:L,"ERR",0))</f>
        <v>Унисекс</v>
      </c>
      <c r="M122" s="113" t="str">
        <f ca="1">PROPER(_xlfn.XLOOKUP($A122,Строчный!$A:$A,Строчный!M:M,"ERR",0))</f>
        <v>Китай</v>
      </c>
      <c r="N122" s="81" t="str">
        <f ca="1">UPPER(_xlfn.XLOOKUP($A122,Строчный!$A:$A,Строчный!O:O,"ERR",0))</f>
        <v/>
      </c>
      <c r="O122" s="107" t="str">
        <f ca="1">PROPER(_xlfn.XLOOKUP($A122,Строчный!$A:$A,Строчный!P:P,"ERR",0))</f>
        <v/>
      </c>
      <c r="P122" s="90">
        <f ca="1">VALUE(_xlfn.XLOOKUP($A122,Строчный!$A:$A,Строчный!N:N,"ERR",0))</f>
        <v>1749.1499999999999</v>
      </c>
      <c r="Q122" s="89" t="str">
        <f ca="1">_xlfn.XLOOKUP($G122,Фабрика!A:A,Фабрика!B:B,"ERR",0)</f>
        <v>Bollman Headwear Europe Ltd; 2 Merchants drive, Caelisle, Cumbria CA3 0JW, United Kingdom</v>
      </c>
      <c r="R122" s="80" t="str">
        <f ca="1">_xlfn.XLOOKUP(RIGHT(Z122,2),Размеры!D:D,Размеры!A:A,"ERR",0)</f>
        <v>61</v>
      </c>
      <c r="S122" s="80">
        <f ca="1">VALUE(_xlfn.XLOOKUP($Z122,Строчный!$R:$R,Строчный!T:T,"ERR",0))</f>
        <v>4</v>
      </c>
      <c r="T122" s="14" t="s">
        <v>265</v>
      </c>
      <c r="U122" s="101" t="str">
        <f t="shared" ca="1" si="18"/>
        <v>Кепка BAILEY арт. 90119BH GANEY (голубой)</v>
      </c>
      <c r="V122" s="100" t="str">
        <f t="shared" ca="1" si="19"/>
        <v>Кепка BAILEY арт. 90119BH GANEY (голубой) {sky}</v>
      </c>
      <c r="W122" s="18" t="str">
        <f t="shared" ca="1" si="20"/>
        <v>голубой</v>
      </c>
      <c r="X122" s="18" t="str">
        <f t="shared" ca="1" si="21"/>
        <v>голубой</v>
      </c>
      <c r="Y122" s="117" t="str">
        <f ca="1">_xlfn.LET(_xlpm.FormColors,_xlfn.XLOOKUP(A122,Строчный!A:A,Строчный!Q:Q,"",0),IF(_xlpm.FormColors=0,IFERROR(MID(I122,FIND("-",I122)+1,LEN(I122)),IFERROR(MID(I122,1,FIND("/",I122)-2),I122)),_xlpm.FormColors))</f>
        <v>голубой</v>
      </c>
      <c r="Z122" s="73" t="str">
        <f ca="1"/>
        <v>21-602-19-61</v>
      </c>
      <c r="AA122" s="75" t="str">
        <f ca="1">VLOOKUP(C122,Группа!A:B,2,FALSE)</f>
        <v>Кепка</v>
      </c>
      <c r="AB122" s="97" t="str">
        <f ca="1">IFERROR(VLOOKUP(R122,Размеры!A:C,3,FALSE),"")</f>
        <v>61 XL</v>
      </c>
      <c r="AC122" s="97" t="str">
        <f ca="1">VLOOKUP(I122,ЦветПолный!A:B,2,FALSE)</f>
        <v>19</v>
      </c>
      <c r="AD122" s="97" t="str">
        <f ca="1">IFERROR(VLOOKUP(R122,Размеры!A:D,4,FALSE),"")</f>
        <v>61</v>
      </c>
      <c r="AE122" s="97">
        <f ca="1">IF(LEFT(IFERROR(VLOOKUP(LOOKUP(2,1/SEARCH(B122,Товары!A:A),Товары!A:A),Товары!A:B,2,0),""),6)=MID(Z122,1,6),1,0)</f>
        <v>1</v>
      </c>
      <c r="AG122" s="97">
        <f ca="1">SUMIF(Группа!A:A,C122,Группа!C:C)</f>
        <v>1</v>
      </c>
      <c r="AH122" s="97">
        <f ca="1">SUMIF(Группа!B:B,AA122,Группа!C:C)</f>
        <v>1</v>
      </c>
      <c r="AI122" s="97">
        <f ca="1">SUMIF(Формы!A:A,D122,Формы!B:B)</f>
        <v>1</v>
      </c>
      <c r="AJ122" s="97">
        <f ca="1">SUMIF(Материал!A:A,K122,Материал!B:B)</f>
        <v>1</v>
      </c>
      <c r="AK122" s="97">
        <f ca="1">SUMIF(Размеры!A:A,R122,Размеры!E:E)</f>
        <v>1</v>
      </c>
      <c r="AL122" s="97">
        <f ca="1">SUMIF(Сезон!A:A,F122,Сезон!B:B)</f>
        <v>1</v>
      </c>
      <c r="AM122" s="97">
        <f ca="1">SUMIF(Состав!A:A,J122,Состав!B:B)</f>
        <v>0</v>
      </c>
      <c r="AN122" s="97">
        <f ca="1">VLOOKUP(I122,ЦветПолный!A:C,3,0)</f>
        <v>1</v>
      </c>
      <c r="AO122" s="97">
        <f ca="1">SUMIF(Цвет!A:A,Y122,Цвет!B:B)</f>
        <v>1</v>
      </c>
      <c r="AP122" s="97">
        <f ca="1">_xlfn.XLOOKUP(L122,Пол!A:A,Пол!B:B,0,0)</f>
        <v>1</v>
      </c>
      <c r="AQ122" s="97">
        <f ca="1">SUMIF(Марка!A:A,G122,Марка!B:B)</f>
        <v>1</v>
      </c>
      <c r="AR122" s="97">
        <f ca="1">SUMIF(Страна!A:A,M122,Страна!B:B)</f>
        <v>1</v>
      </c>
      <c r="AS122" s="64" t="str">
        <f ca="1">IF(VLOOKUP(V122,Товары!A:B,2,FALSE)=A122,"Есть в 1С","ERR")</f>
        <v>Есть в 1С</v>
      </c>
      <c r="AT122" s="65" t="str">
        <f ca="1">IF(VLOOKUP(A122,Товары!B:B,1,FALSE)=A122,"Есть в 1С","ERR")</f>
        <v>Есть в 1С</v>
      </c>
      <c r="AU122" s="96" t="str">
        <f ca="1">VLOOKUP(V122,Товары!A:B,2,FALSE)</f>
        <v>21-602-19</v>
      </c>
      <c r="AV122" s="94" t="str">
        <f ca="1">VLOOKUP(V122,Товары!A:B,1,FALSE)</f>
        <v>Кепка BAILEY арт. 90119BH GANEY (голубой) {sky}</v>
      </c>
    </row>
    <row r="123" spans="1:48" x14ac:dyDescent="0.25">
      <c r="A123" s="110" t="str">
        <f t="shared" ca="1" si="17"/>
        <v>21-602-19</v>
      </c>
      <c r="B123" s="107" t="str">
        <f ca="1">_xlfn.LET(_xlpm.CAPS,0,_xlpm.Style,_xlfn.XLOOKUP($A123,Строчный!$A:$A,Строчный!B:B,"ERR",0),IF(_xlpm.CAPS=0,_xlpm.Style,LOWER(_xlpm.Style)))</f>
        <v>90119BH GANEY</v>
      </c>
      <c r="C123" s="81" t="str">
        <f ca="1">PROPER(_xlfn.XLOOKUP($A123,Строчный!$A:$A,Строчный!C:C,"ERR",0))</f>
        <v>Кепки</v>
      </c>
      <c r="D123" s="81" t="str">
        <f ca="1">_xlfn.LET(_xlpm.DATA,(_xlfn.XLOOKUP($A123,Строчный!$A:$A,Строчный!D:D,"ERR",0)),UPPER(MID(_xlpm.DATA,1,1))&amp;LOWER(MID(_xlpm.DATA,2,LEN(_xlpm.DATA)-1)))</f>
        <v>Кепка плоская</v>
      </c>
      <c r="E123" s="81" t="str">
        <f ca="1">PROPER(_xlfn.XLOOKUP($A123,Строчный!$A:$A,Строчный!E:E,"ERR",0))</f>
        <v>The Hollywood</v>
      </c>
      <c r="F123" s="81" t="str">
        <f ca="1">LOWER(_xlfn.XLOOKUP($A123,Строчный!$A:$A,Строчный!F:F,"ERR",0))</f>
        <v>летний</v>
      </c>
      <c r="G123" s="81" t="str">
        <f ca="1">UPPER(_xlfn.XLOOKUP($A123,Строчный!$A:$A,Строчный!G:G,"ERR",0))</f>
        <v>BAILEY</v>
      </c>
      <c r="H123" s="81" t="str">
        <f ca="1">LOWER(_xlfn.XLOOKUP($A123,Строчный!$A:$A,Строчный!H:H,"ERR",0))</f>
        <v>sky</v>
      </c>
      <c r="I123" s="81" t="str">
        <f ca="1">LOWER(_xlfn.XLOOKUP($A123,Строчный!$A:$A,Строчный!I:I,"ERR",0))</f>
        <v>голубой</v>
      </c>
      <c r="J123" s="81" t="str">
        <f ca="1">SUBSTITUTE(LOWER(_xlfn.XLOOKUP($A123,Строчный!$A:$A,Строчный!J:J,"ERR",0)),"подклад","Подклад")</f>
        <v>100% хлопок / Подклад: 100% полиэстер</v>
      </c>
      <c r="K123" s="81" t="str">
        <f ca="1">LOWER(_xlfn.XLOOKUP($A123,Строчный!$A:$A,Строчный!K:K,"ERR",0))</f>
        <v>хлопковые</v>
      </c>
      <c r="L123" s="81" t="str">
        <f ca="1">PROPER(_xlfn.XLOOKUP($A123,Строчный!$A:$A,Строчный!L:L,"ERR",0))</f>
        <v>Унисекс</v>
      </c>
      <c r="M123" s="113" t="str">
        <f ca="1">PROPER(_xlfn.XLOOKUP($A123,Строчный!$A:$A,Строчный!M:M,"ERR",0))</f>
        <v>Китай</v>
      </c>
      <c r="N123" s="81" t="str">
        <f ca="1">UPPER(_xlfn.XLOOKUP($A123,Строчный!$A:$A,Строчный!O:O,"ERR",0))</f>
        <v/>
      </c>
      <c r="O123" s="107" t="str">
        <f ca="1">PROPER(_xlfn.XLOOKUP($A123,Строчный!$A:$A,Строчный!P:P,"ERR",0))</f>
        <v/>
      </c>
      <c r="P123" s="90">
        <f ca="1">VALUE(_xlfn.XLOOKUP($A123,Строчный!$A:$A,Строчный!N:N,"ERR",0))</f>
        <v>1749.1499999999999</v>
      </c>
      <c r="Q123" s="89" t="str">
        <f ca="1">_xlfn.XLOOKUP($G123,Фабрика!A:A,Фабрика!B:B,"ERR",0)</f>
        <v>Bollman Headwear Europe Ltd; 2 Merchants drive, Caelisle, Cumbria CA3 0JW, United Kingdom</v>
      </c>
      <c r="R123" s="80" t="str">
        <f ca="1">_xlfn.XLOOKUP(RIGHT(Z123,2),Размеры!D:D,Размеры!A:A,"ERR",0)</f>
        <v>59</v>
      </c>
      <c r="S123" s="80">
        <f ca="1">VALUE(_xlfn.XLOOKUP($Z123,Строчный!$R:$R,Строчный!T:T,"ERR",0))</f>
        <v>5</v>
      </c>
      <c r="T123" s="14" t="s">
        <v>265</v>
      </c>
      <c r="U123" s="101" t="str">
        <f t="shared" ca="1" si="18"/>
        <v>Кепка BAILEY арт. 90119BH GANEY (голубой)</v>
      </c>
      <c r="V123" s="100" t="str">
        <f t="shared" ca="1" si="19"/>
        <v>Кепка BAILEY арт. 90119BH GANEY (голубой) {sky}</v>
      </c>
      <c r="W123" s="18" t="str">
        <f t="shared" ca="1" si="20"/>
        <v>голубой</v>
      </c>
      <c r="X123" s="18" t="str">
        <f t="shared" ca="1" si="21"/>
        <v>голубой</v>
      </c>
      <c r="Y123" s="117" t="str">
        <f ca="1">_xlfn.LET(_xlpm.FormColors,_xlfn.XLOOKUP(A123,Строчный!A:A,Строчный!Q:Q,"",0),IF(_xlpm.FormColors=0,IFERROR(MID(I123,FIND("-",I123)+1,LEN(I123)),IFERROR(MID(I123,1,FIND("/",I123)-2),I123)),_xlpm.FormColors))</f>
        <v>голубой</v>
      </c>
      <c r="Z123" s="73" t="str">
        <f ca="1"/>
        <v>21-602-19-59</v>
      </c>
      <c r="AA123" s="75" t="str">
        <f ca="1">VLOOKUP(C123,Группа!A:B,2,FALSE)</f>
        <v>Кепка</v>
      </c>
      <c r="AB123" s="97" t="str">
        <f ca="1">IFERROR(VLOOKUP(R123,Размеры!A:C,3,FALSE),"")</f>
        <v>59 L</v>
      </c>
      <c r="AC123" s="97" t="str">
        <f ca="1">VLOOKUP(I123,ЦветПолный!A:B,2,FALSE)</f>
        <v>19</v>
      </c>
      <c r="AD123" s="97" t="str">
        <f ca="1">IFERROR(VLOOKUP(R123,Размеры!A:D,4,FALSE),"")</f>
        <v>59</v>
      </c>
      <c r="AE123" s="97">
        <f ca="1">IF(LEFT(IFERROR(VLOOKUP(LOOKUP(2,1/SEARCH(B123,Товары!A:A),Товары!A:A),Товары!A:B,2,0),""),6)=MID(Z123,1,6),1,0)</f>
        <v>1</v>
      </c>
      <c r="AG123" s="97">
        <f ca="1">SUMIF(Группа!A:A,C123,Группа!C:C)</f>
        <v>1</v>
      </c>
      <c r="AH123" s="97">
        <f ca="1">SUMIF(Группа!B:B,AA123,Группа!C:C)</f>
        <v>1</v>
      </c>
      <c r="AI123" s="97">
        <f ca="1">SUMIF(Формы!A:A,D123,Формы!B:B)</f>
        <v>1</v>
      </c>
      <c r="AJ123" s="97">
        <f ca="1">SUMIF(Материал!A:A,K123,Материал!B:B)</f>
        <v>1</v>
      </c>
      <c r="AK123" s="97">
        <f ca="1">SUMIF(Размеры!A:A,R123,Размеры!E:E)</f>
        <v>1</v>
      </c>
      <c r="AL123" s="97">
        <f ca="1">SUMIF(Сезон!A:A,F123,Сезон!B:B)</f>
        <v>1</v>
      </c>
      <c r="AM123" s="97">
        <f ca="1">SUMIF(Состав!A:A,J123,Состав!B:B)</f>
        <v>0</v>
      </c>
      <c r="AN123" s="97">
        <f ca="1">VLOOKUP(I123,ЦветПолный!A:C,3,0)</f>
        <v>1</v>
      </c>
      <c r="AO123" s="97">
        <f ca="1">SUMIF(Цвет!A:A,Y123,Цвет!B:B)</f>
        <v>1</v>
      </c>
      <c r="AP123" s="97">
        <f ca="1">_xlfn.XLOOKUP(L123,Пол!A:A,Пол!B:B,0,0)</f>
        <v>1</v>
      </c>
      <c r="AQ123" s="97">
        <f ca="1">SUMIF(Марка!A:A,G123,Марка!B:B)</f>
        <v>1</v>
      </c>
      <c r="AR123" s="97">
        <f ca="1">SUMIF(Страна!A:A,M123,Страна!B:B)</f>
        <v>1</v>
      </c>
      <c r="AS123" s="64" t="str">
        <f ca="1">IF(VLOOKUP(V123,Товары!A:B,2,FALSE)=A123,"Есть в 1С","ERR")</f>
        <v>Есть в 1С</v>
      </c>
      <c r="AT123" s="65" t="str">
        <f ca="1">IF(VLOOKUP(A123,Товары!B:B,1,FALSE)=A123,"Есть в 1С","ERR")</f>
        <v>Есть в 1С</v>
      </c>
      <c r="AU123" s="96" t="str">
        <f ca="1">VLOOKUP(V123,Товары!A:B,2,FALSE)</f>
        <v>21-602-19</v>
      </c>
      <c r="AV123" s="94" t="str">
        <f ca="1">VLOOKUP(V123,Товары!A:B,1,FALSE)</f>
        <v>Кепка BAILEY арт. 90119BH GANEY (голубой) {sky}</v>
      </c>
    </row>
    <row r="124" spans="1:48" x14ac:dyDescent="0.25">
      <c r="A124" s="110" t="str">
        <f t="shared" ca="1" si="17"/>
        <v>21-602-19</v>
      </c>
      <c r="B124" s="107" t="str">
        <f ca="1">_xlfn.LET(_xlpm.CAPS,0,_xlpm.Style,_xlfn.XLOOKUP($A124,Строчный!$A:$A,Строчный!B:B,"ERR",0),IF(_xlpm.CAPS=0,_xlpm.Style,LOWER(_xlpm.Style)))</f>
        <v>90119BH GANEY</v>
      </c>
      <c r="C124" s="81" t="str">
        <f ca="1">PROPER(_xlfn.XLOOKUP($A124,Строчный!$A:$A,Строчный!C:C,"ERR",0))</f>
        <v>Кепки</v>
      </c>
      <c r="D124" s="81" t="str">
        <f ca="1">_xlfn.LET(_xlpm.DATA,(_xlfn.XLOOKUP($A124,Строчный!$A:$A,Строчный!D:D,"ERR",0)),UPPER(MID(_xlpm.DATA,1,1))&amp;LOWER(MID(_xlpm.DATA,2,LEN(_xlpm.DATA)-1)))</f>
        <v>Кепка плоская</v>
      </c>
      <c r="E124" s="81" t="str">
        <f ca="1">PROPER(_xlfn.XLOOKUP($A124,Строчный!$A:$A,Строчный!E:E,"ERR",0))</f>
        <v>The Hollywood</v>
      </c>
      <c r="F124" s="81" t="str">
        <f ca="1">LOWER(_xlfn.XLOOKUP($A124,Строчный!$A:$A,Строчный!F:F,"ERR",0))</f>
        <v>летний</v>
      </c>
      <c r="G124" s="81" t="str">
        <f ca="1">UPPER(_xlfn.XLOOKUP($A124,Строчный!$A:$A,Строчный!G:G,"ERR",0))</f>
        <v>BAILEY</v>
      </c>
      <c r="H124" s="81" t="str">
        <f ca="1">LOWER(_xlfn.XLOOKUP($A124,Строчный!$A:$A,Строчный!H:H,"ERR",0))</f>
        <v>sky</v>
      </c>
      <c r="I124" s="81" t="str">
        <f ca="1">LOWER(_xlfn.XLOOKUP($A124,Строчный!$A:$A,Строчный!I:I,"ERR",0))</f>
        <v>голубой</v>
      </c>
      <c r="J124" s="81" t="str">
        <f ca="1">SUBSTITUTE(LOWER(_xlfn.XLOOKUP($A124,Строчный!$A:$A,Строчный!J:J,"ERR",0)),"подклад","Подклад")</f>
        <v>100% хлопок / Подклад: 100% полиэстер</v>
      </c>
      <c r="K124" s="81" t="str">
        <f ca="1">LOWER(_xlfn.XLOOKUP($A124,Строчный!$A:$A,Строчный!K:K,"ERR",0))</f>
        <v>хлопковые</v>
      </c>
      <c r="L124" s="81" t="str">
        <f ca="1">PROPER(_xlfn.XLOOKUP($A124,Строчный!$A:$A,Строчный!L:L,"ERR",0))</f>
        <v>Унисекс</v>
      </c>
      <c r="M124" s="113" t="str">
        <f ca="1">PROPER(_xlfn.XLOOKUP($A124,Строчный!$A:$A,Строчный!M:M,"ERR",0))</f>
        <v>Китай</v>
      </c>
      <c r="N124" s="81" t="str">
        <f ca="1">UPPER(_xlfn.XLOOKUP($A124,Строчный!$A:$A,Строчный!O:O,"ERR",0))</f>
        <v/>
      </c>
      <c r="O124" s="107" t="str">
        <f ca="1">PROPER(_xlfn.XLOOKUP($A124,Строчный!$A:$A,Строчный!P:P,"ERR",0))</f>
        <v/>
      </c>
      <c r="P124" s="90">
        <f ca="1">VALUE(_xlfn.XLOOKUP($A124,Строчный!$A:$A,Строчный!N:N,"ERR",0))</f>
        <v>1749.1499999999999</v>
      </c>
      <c r="Q124" s="89" t="str">
        <f ca="1">_xlfn.XLOOKUP($G124,Фабрика!A:A,Фабрика!B:B,"ERR",0)</f>
        <v>Bollman Headwear Europe Ltd; 2 Merchants drive, Caelisle, Cumbria CA3 0JW, United Kingdom</v>
      </c>
      <c r="R124" s="80" t="str">
        <f ca="1">_xlfn.XLOOKUP(RIGHT(Z124,2),Размеры!D:D,Размеры!A:A,"ERR",0)</f>
        <v>57</v>
      </c>
      <c r="S124" s="80">
        <f ca="1">VALUE(_xlfn.XLOOKUP($Z124,Строчный!$R:$R,Строчный!T:T,"ERR",0))</f>
        <v>3</v>
      </c>
      <c r="T124" s="14" t="s">
        <v>265</v>
      </c>
      <c r="U124" s="101" t="str">
        <f t="shared" ca="1" si="18"/>
        <v>Кепка BAILEY арт. 90119BH GANEY (голубой)</v>
      </c>
      <c r="V124" s="100" t="str">
        <f t="shared" ca="1" si="19"/>
        <v>Кепка BAILEY арт. 90119BH GANEY (голубой) {sky}</v>
      </c>
      <c r="W124" s="18" t="str">
        <f t="shared" ca="1" si="20"/>
        <v>голубой</v>
      </c>
      <c r="X124" s="18" t="str">
        <f t="shared" ca="1" si="21"/>
        <v>голубой</v>
      </c>
      <c r="Y124" s="117" t="str">
        <f ca="1">_xlfn.LET(_xlpm.FormColors,_xlfn.XLOOKUP(A124,Строчный!A:A,Строчный!Q:Q,"",0),IF(_xlpm.FormColors=0,IFERROR(MID(I124,FIND("-",I124)+1,LEN(I124)),IFERROR(MID(I124,1,FIND("/",I124)-2),I124)),_xlpm.FormColors))</f>
        <v>голубой</v>
      </c>
      <c r="Z124" s="73" t="str">
        <f ca="1"/>
        <v>21-602-19-57</v>
      </c>
      <c r="AA124" s="75" t="str">
        <f ca="1">VLOOKUP(C124,Группа!A:B,2,FALSE)</f>
        <v>Кепка</v>
      </c>
      <c r="AB124" s="97" t="str">
        <f ca="1">IFERROR(VLOOKUP(R124,Размеры!A:C,3,FALSE),"")</f>
        <v>57 M</v>
      </c>
      <c r="AC124" s="97" t="str">
        <f ca="1">VLOOKUP(I124,ЦветПолный!A:B,2,FALSE)</f>
        <v>19</v>
      </c>
      <c r="AD124" s="97" t="str">
        <f ca="1">IFERROR(VLOOKUP(R124,Размеры!A:D,4,FALSE),"")</f>
        <v>57</v>
      </c>
      <c r="AE124" s="97">
        <f ca="1">IF(LEFT(IFERROR(VLOOKUP(LOOKUP(2,1/SEARCH(B124,Товары!A:A),Товары!A:A),Товары!A:B,2,0),""),6)=MID(Z124,1,6),1,0)</f>
        <v>1</v>
      </c>
      <c r="AG124" s="97">
        <f ca="1">SUMIF(Группа!A:A,C124,Группа!C:C)</f>
        <v>1</v>
      </c>
      <c r="AH124" s="97">
        <f ca="1">SUMIF(Группа!B:B,AA124,Группа!C:C)</f>
        <v>1</v>
      </c>
      <c r="AI124" s="97">
        <f ca="1">SUMIF(Формы!A:A,D124,Формы!B:B)</f>
        <v>1</v>
      </c>
      <c r="AJ124" s="97">
        <f ca="1">SUMIF(Материал!A:A,K124,Материал!B:B)</f>
        <v>1</v>
      </c>
      <c r="AK124" s="97">
        <f ca="1">SUMIF(Размеры!A:A,R124,Размеры!E:E)</f>
        <v>1</v>
      </c>
      <c r="AL124" s="97">
        <f ca="1">SUMIF(Сезон!A:A,F124,Сезон!B:B)</f>
        <v>1</v>
      </c>
      <c r="AM124" s="97">
        <f ca="1">SUMIF(Состав!A:A,J124,Состав!B:B)</f>
        <v>0</v>
      </c>
      <c r="AN124" s="97">
        <f ca="1">VLOOKUP(I124,ЦветПолный!A:C,3,0)</f>
        <v>1</v>
      </c>
      <c r="AO124" s="97">
        <f ca="1">SUMIF(Цвет!A:A,Y124,Цвет!B:B)</f>
        <v>1</v>
      </c>
      <c r="AP124" s="97">
        <f ca="1">_xlfn.XLOOKUP(L124,Пол!A:A,Пол!B:B,0,0)</f>
        <v>1</v>
      </c>
      <c r="AQ124" s="97">
        <f ca="1">SUMIF(Марка!A:A,G124,Марка!B:B)</f>
        <v>1</v>
      </c>
      <c r="AR124" s="97">
        <f ca="1">SUMIF(Страна!A:A,M124,Страна!B:B)</f>
        <v>1</v>
      </c>
      <c r="AS124" s="64" t="str">
        <f ca="1">IF(VLOOKUP(V124,Товары!A:B,2,FALSE)=A124,"Есть в 1С","ERR")</f>
        <v>Есть в 1С</v>
      </c>
      <c r="AT124" s="65" t="str">
        <f ca="1">IF(VLOOKUP(A124,Товары!B:B,1,FALSE)=A124,"Есть в 1С","ERR")</f>
        <v>Есть в 1С</v>
      </c>
      <c r="AU124" s="96" t="str">
        <f ca="1">VLOOKUP(V124,Товары!A:B,2,FALSE)</f>
        <v>21-602-19</v>
      </c>
      <c r="AV124" s="94" t="str">
        <f ca="1">VLOOKUP(V124,Товары!A:B,1,FALSE)</f>
        <v>Кепка BAILEY арт. 90119BH GANEY (голубой) {sky}</v>
      </c>
    </row>
    <row r="125" spans="1:48" x14ac:dyDescent="0.25">
      <c r="A125" s="110" t="str">
        <f t="shared" ca="1" si="17"/>
        <v>21-602-19</v>
      </c>
      <c r="B125" s="107" t="str">
        <f ca="1">_xlfn.LET(_xlpm.CAPS,0,_xlpm.Style,_xlfn.XLOOKUP($A125,Строчный!$A:$A,Строчный!B:B,"ERR",0),IF(_xlpm.CAPS=0,_xlpm.Style,LOWER(_xlpm.Style)))</f>
        <v>90119BH GANEY</v>
      </c>
      <c r="C125" s="81" t="str">
        <f ca="1">PROPER(_xlfn.XLOOKUP($A125,Строчный!$A:$A,Строчный!C:C,"ERR",0))</f>
        <v>Кепки</v>
      </c>
      <c r="D125" s="81" t="str">
        <f ca="1">_xlfn.LET(_xlpm.DATA,(_xlfn.XLOOKUP($A125,Строчный!$A:$A,Строчный!D:D,"ERR",0)),UPPER(MID(_xlpm.DATA,1,1))&amp;LOWER(MID(_xlpm.DATA,2,LEN(_xlpm.DATA)-1)))</f>
        <v>Кепка плоская</v>
      </c>
      <c r="E125" s="81" t="str">
        <f ca="1">PROPER(_xlfn.XLOOKUP($A125,Строчный!$A:$A,Строчный!E:E,"ERR",0))</f>
        <v>The Hollywood</v>
      </c>
      <c r="F125" s="81" t="str">
        <f ca="1">LOWER(_xlfn.XLOOKUP($A125,Строчный!$A:$A,Строчный!F:F,"ERR",0))</f>
        <v>летний</v>
      </c>
      <c r="G125" s="81" t="str">
        <f ca="1">UPPER(_xlfn.XLOOKUP($A125,Строчный!$A:$A,Строчный!G:G,"ERR",0))</f>
        <v>BAILEY</v>
      </c>
      <c r="H125" s="81" t="str">
        <f ca="1">LOWER(_xlfn.XLOOKUP($A125,Строчный!$A:$A,Строчный!H:H,"ERR",0))</f>
        <v>sky</v>
      </c>
      <c r="I125" s="81" t="str">
        <f ca="1">LOWER(_xlfn.XLOOKUP($A125,Строчный!$A:$A,Строчный!I:I,"ERR",0))</f>
        <v>голубой</v>
      </c>
      <c r="J125" s="81" t="str">
        <f ca="1">SUBSTITUTE(LOWER(_xlfn.XLOOKUP($A125,Строчный!$A:$A,Строчный!J:J,"ERR",0)),"подклад","Подклад")</f>
        <v>100% хлопок / Подклад: 100% полиэстер</v>
      </c>
      <c r="K125" s="81" t="str">
        <f ca="1">LOWER(_xlfn.XLOOKUP($A125,Строчный!$A:$A,Строчный!K:K,"ERR",0))</f>
        <v>хлопковые</v>
      </c>
      <c r="L125" s="81" t="str">
        <f ca="1">PROPER(_xlfn.XLOOKUP($A125,Строчный!$A:$A,Строчный!L:L,"ERR",0))</f>
        <v>Унисекс</v>
      </c>
      <c r="M125" s="113" t="str">
        <f ca="1">PROPER(_xlfn.XLOOKUP($A125,Строчный!$A:$A,Строчный!M:M,"ERR",0))</f>
        <v>Китай</v>
      </c>
      <c r="N125" s="81" t="str">
        <f ca="1">UPPER(_xlfn.XLOOKUP($A125,Строчный!$A:$A,Строчный!O:O,"ERR",0))</f>
        <v/>
      </c>
      <c r="O125" s="107" t="str">
        <f ca="1">PROPER(_xlfn.XLOOKUP($A125,Строчный!$A:$A,Строчный!P:P,"ERR",0))</f>
        <v/>
      </c>
      <c r="P125" s="90">
        <f ca="1">VALUE(_xlfn.XLOOKUP($A125,Строчный!$A:$A,Строчный!N:N,"ERR",0))</f>
        <v>1749.1499999999999</v>
      </c>
      <c r="Q125" s="89" t="str">
        <f ca="1">_xlfn.XLOOKUP($G125,Фабрика!A:A,Фабрика!B:B,"ERR",0)</f>
        <v>Bollman Headwear Europe Ltd; 2 Merchants drive, Caelisle, Cumbria CA3 0JW, United Kingdom</v>
      </c>
      <c r="R125" s="80" t="str">
        <f ca="1">_xlfn.XLOOKUP(RIGHT(Z125,2),Размеры!D:D,Размеры!A:A,"ERR",0)</f>
        <v>55</v>
      </c>
      <c r="S125" s="80">
        <f ca="1">VALUE(_xlfn.XLOOKUP($Z125,Строчный!$R:$R,Строчный!T:T,"ERR",0))</f>
        <v>1</v>
      </c>
      <c r="T125" s="14" t="s">
        <v>265</v>
      </c>
      <c r="U125" s="101" t="str">
        <f t="shared" ca="1" si="18"/>
        <v>Кепка BAILEY арт. 90119BH GANEY (голубой)</v>
      </c>
      <c r="V125" s="100" t="str">
        <f t="shared" ca="1" si="19"/>
        <v>Кепка BAILEY арт. 90119BH GANEY (голубой) {sky}</v>
      </c>
      <c r="W125" s="18" t="str">
        <f t="shared" ca="1" si="20"/>
        <v>голубой</v>
      </c>
      <c r="X125" s="18" t="str">
        <f t="shared" ca="1" si="21"/>
        <v>голубой</v>
      </c>
      <c r="Y125" s="117" t="str">
        <f ca="1">_xlfn.LET(_xlpm.FormColors,_xlfn.XLOOKUP(A125,Строчный!A:A,Строчный!Q:Q,"",0),IF(_xlpm.FormColors=0,IFERROR(MID(I125,FIND("-",I125)+1,LEN(I125)),IFERROR(MID(I125,1,FIND("/",I125)-2),I125)),_xlpm.FormColors))</f>
        <v>голубой</v>
      </c>
      <c r="Z125" s="73" t="str">
        <f ca="1"/>
        <v>21-602-19-55</v>
      </c>
      <c r="AA125" s="75" t="str">
        <f ca="1">VLOOKUP(C125,Группа!A:B,2,FALSE)</f>
        <v>Кепка</v>
      </c>
      <c r="AB125" s="97" t="str">
        <f ca="1">IFERROR(VLOOKUP(R125,Размеры!A:C,3,FALSE),"")</f>
        <v>55 S</v>
      </c>
      <c r="AC125" s="97" t="str">
        <f ca="1">VLOOKUP(I125,ЦветПолный!A:B,2,FALSE)</f>
        <v>19</v>
      </c>
      <c r="AD125" s="97" t="str">
        <f ca="1">IFERROR(VLOOKUP(R125,Размеры!A:D,4,FALSE),"")</f>
        <v>55</v>
      </c>
      <c r="AE125" s="97">
        <f ca="1">IF(LEFT(IFERROR(VLOOKUP(LOOKUP(2,1/SEARCH(B125,Товары!A:A),Товары!A:A),Товары!A:B,2,0),""),6)=MID(Z125,1,6),1,0)</f>
        <v>1</v>
      </c>
      <c r="AG125" s="97">
        <f ca="1">SUMIF(Группа!A:A,C125,Группа!C:C)</f>
        <v>1</v>
      </c>
      <c r="AH125" s="97">
        <f ca="1">SUMIF(Группа!B:B,AA125,Группа!C:C)</f>
        <v>1</v>
      </c>
      <c r="AI125" s="97">
        <f ca="1">SUMIF(Формы!A:A,D125,Формы!B:B)</f>
        <v>1</v>
      </c>
      <c r="AJ125" s="97">
        <f ca="1">SUMIF(Материал!A:A,K125,Материал!B:B)</f>
        <v>1</v>
      </c>
      <c r="AK125" s="97">
        <f ca="1">SUMIF(Размеры!A:A,R125,Размеры!E:E)</f>
        <v>1</v>
      </c>
      <c r="AL125" s="97">
        <f ca="1">SUMIF(Сезон!A:A,F125,Сезон!B:B)</f>
        <v>1</v>
      </c>
      <c r="AM125" s="97">
        <f ca="1">SUMIF(Состав!A:A,J125,Состав!B:B)</f>
        <v>0</v>
      </c>
      <c r="AN125" s="97">
        <f ca="1">VLOOKUP(I125,ЦветПолный!A:C,3,0)</f>
        <v>1</v>
      </c>
      <c r="AO125" s="97">
        <f ca="1">SUMIF(Цвет!A:A,Y125,Цвет!B:B)</f>
        <v>1</v>
      </c>
      <c r="AP125" s="97">
        <f ca="1">_xlfn.XLOOKUP(L125,Пол!A:A,Пол!B:B,0,0)</f>
        <v>1</v>
      </c>
      <c r="AQ125" s="97">
        <f ca="1">SUMIF(Марка!A:A,G125,Марка!B:B)</f>
        <v>1</v>
      </c>
      <c r="AR125" s="97">
        <f ca="1">SUMIF(Страна!A:A,M125,Страна!B:B)</f>
        <v>1</v>
      </c>
      <c r="AS125" s="64" t="str">
        <f ca="1">IF(VLOOKUP(V125,Товары!A:B,2,FALSE)=A125,"Есть в 1С","ERR")</f>
        <v>Есть в 1С</v>
      </c>
      <c r="AT125" s="65" t="str">
        <f ca="1">IF(VLOOKUP(A125,Товары!B:B,1,FALSE)=A125,"Есть в 1С","ERR")</f>
        <v>Есть в 1С</v>
      </c>
      <c r="AU125" s="96" t="str">
        <f ca="1">VLOOKUP(V125,Товары!A:B,2,FALSE)</f>
        <v>21-602-19</v>
      </c>
      <c r="AV125" s="94" t="str">
        <f ca="1">VLOOKUP(V125,Товары!A:B,1,FALSE)</f>
        <v>Кепка BAILEY арт. 90119BH GANEY (голубой) {sky}</v>
      </c>
    </row>
    <row r="126" spans="1:48" x14ac:dyDescent="0.25">
      <c r="A126" s="110" t="str">
        <f t="shared" ca="1" si="17"/>
        <v>21-602-02</v>
      </c>
      <c r="B126" s="107" t="str">
        <f ca="1">_xlfn.LET(_xlpm.CAPS,0,_xlpm.Style,_xlfn.XLOOKUP($A126,Строчный!$A:$A,Строчный!B:B,"ERR",0),IF(_xlpm.CAPS=0,_xlpm.Style,LOWER(_xlpm.Style)))</f>
        <v>90119BH GANEY</v>
      </c>
      <c r="C126" s="81" t="str">
        <f ca="1">PROPER(_xlfn.XLOOKUP($A126,Строчный!$A:$A,Строчный!C:C,"ERR",0))</f>
        <v>Кепки</v>
      </c>
      <c r="D126" s="81" t="str">
        <f ca="1">_xlfn.LET(_xlpm.DATA,(_xlfn.XLOOKUP($A126,Строчный!$A:$A,Строчный!D:D,"ERR",0)),UPPER(MID(_xlpm.DATA,1,1))&amp;LOWER(MID(_xlpm.DATA,2,LEN(_xlpm.DATA)-1)))</f>
        <v>Кепка плоская</v>
      </c>
      <c r="E126" s="81" t="str">
        <f ca="1">PROPER(_xlfn.XLOOKUP($A126,Строчный!$A:$A,Строчный!E:E,"ERR",0))</f>
        <v>The Hollywood</v>
      </c>
      <c r="F126" s="81" t="str">
        <f ca="1">LOWER(_xlfn.XLOOKUP($A126,Строчный!$A:$A,Строчный!F:F,"ERR",0))</f>
        <v>летний</v>
      </c>
      <c r="G126" s="81" t="str">
        <f ca="1">UPPER(_xlfn.XLOOKUP($A126,Строчный!$A:$A,Строчный!G:G,"ERR",0))</f>
        <v>BAILEY</v>
      </c>
      <c r="H126" s="81" t="str">
        <f ca="1">LOWER(_xlfn.XLOOKUP($A126,Строчный!$A:$A,Строчный!H:H,"ERR",0))</f>
        <v>sand</v>
      </c>
      <c r="I126" s="81" t="str">
        <f ca="1">LOWER(_xlfn.XLOOKUP($A126,Строчный!$A:$A,Строчный!I:I,"ERR",0))</f>
        <v>бежевый</v>
      </c>
      <c r="J126" s="81" t="str">
        <f ca="1">SUBSTITUTE(LOWER(_xlfn.XLOOKUP($A126,Строчный!$A:$A,Строчный!J:J,"ERR",0)),"подклад","Подклад")</f>
        <v>100% хлопок / Подклад: 100% полиэстер</v>
      </c>
      <c r="K126" s="81" t="str">
        <f ca="1">LOWER(_xlfn.XLOOKUP($A126,Строчный!$A:$A,Строчный!K:K,"ERR",0))</f>
        <v>хлопковые</v>
      </c>
      <c r="L126" s="81" t="str">
        <f ca="1">PROPER(_xlfn.XLOOKUP($A126,Строчный!$A:$A,Строчный!L:L,"ERR",0))</f>
        <v>Унисекс</v>
      </c>
      <c r="M126" s="113" t="str">
        <f ca="1">PROPER(_xlfn.XLOOKUP($A126,Строчный!$A:$A,Строчный!M:M,"ERR",0))</f>
        <v>Китай</v>
      </c>
      <c r="N126" s="81" t="str">
        <f ca="1">UPPER(_xlfn.XLOOKUP($A126,Строчный!$A:$A,Строчный!O:O,"ERR",0))</f>
        <v/>
      </c>
      <c r="O126" s="107" t="str">
        <f ca="1">PROPER(_xlfn.XLOOKUP($A126,Строчный!$A:$A,Строчный!P:P,"ERR",0))</f>
        <v/>
      </c>
      <c r="P126" s="90">
        <f ca="1">VALUE(_xlfn.XLOOKUP($A126,Строчный!$A:$A,Строчный!N:N,"ERR",0))</f>
        <v>1749.1499999999999</v>
      </c>
      <c r="Q126" s="89" t="str">
        <f ca="1">_xlfn.XLOOKUP($G126,Фабрика!A:A,Фабрика!B:B,"ERR",0)</f>
        <v>Bollman Headwear Europe Ltd; 2 Merchants drive, Caelisle, Cumbria CA3 0JW, United Kingdom</v>
      </c>
      <c r="R126" s="80" t="str">
        <f ca="1">_xlfn.XLOOKUP(RIGHT(Z126,2),Размеры!D:D,Размеры!A:A,"ERR",0)</f>
        <v>61</v>
      </c>
      <c r="S126" s="80">
        <f ca="1">VALUE(_xlfn.XLOOKUP($Z126,Строчный!$R:$R,Строчный!T:T,"ERR",0))</f>
        <v>3</v>
      </c>
      <c r="T126" s="14" t="s">
        <v>265</v>
      </c>
      <c r="U126" s="101" t="str">
        <f t="shared" ca="1" si="18"/>
        <v>Кепка BAILEY арт. 90119BH GANEY (бежевый)</v>
      </c>
      <c r="V126" s="100" t="str">
        <f t="shared" ca="1" si="19"/>
        <v>Кепка BAILEY арт. 90119BH GANEY (бежевый) {sand}</v>
      </c>
      <c r="W126" s="18" t="str">
        <f t="shared" ca="1" si="20"/>
        <v>бежевый</v>
      </c>
      <c r="X126" s="18" t="str">
        <f t="shared" ca="1" si="21"/>
        <v>бежевый</v>
      </c>
      <c r="Y126" s="117" t="str">
        <f ca="1">_xlfn.LET(_xlpm.FormColors,_xlfn.XLOOKUP(A126,Строчный!A:A,Строчный!Q:Q,"",0),IF(_xlpm.FormColors=0,IFERROR(MID(I126,FIND("-",I126)+1,LEN(I126)),IFERROR(MID(I126,1,FIND("/",I126)-2),I126)),_xlpm.FormColors))</f>
        <v>бежевый</v>
      </c>
      <c r="Z126" s="73" t="str">
        <f ca="1"/>
        <v>21-602-02-61</v>
      </c>
      <c r="AA126" s="75" t="str">
        <f ca="1">VLOOKUP(C126,Группа!A:B,2,FALSE)</f>
        <v>Кепка</v>
      </c>
      <c r="AB126" s="97" t="str">
        <f ca="1">IFERROR(VLOOKUP(R126,Размеры!A:C,3,FALSE),"")</f>
        <v>61 XL</v>
      </c>
      <c r="AC126" s="97" t="str">
        <f ca="1">VLOOKUP(I126,ЦветПолный!A:B,2,FALSE)</f>
        <v>02</v>
      </c>
      <c r="AD126" s="97" t="str">
        <f ca="1">IFERROR(VLOOKUP(R126,Размеры!A:D,4,FALSE),"")</f>
        <v>61</v>
      </c>
      <c r="AE126" s="97">
        <f ca="1">IF(LEFT(IFERROR(VLOOKUP(LOOKUP(2,1/SEARCH(B126,Товары!A:A),Товары!A:A),Товары!A:B,2,0),""),6)=MID(Z126,1,6),1,0)</f>
        <v>1</v>
      </c>
      <c r="AG126" s="97">
        <f ca="1">SUMIF(Группа!A:A,C126,Группа!C:C)</f>
        <v>1</v>
      </c>
      <c r="AH126" s="97">
        <f ca="1">SUMIF(Группа!B:B,AA126,Группа!C:C)</f>
        <v>1</v>
      </c>
      <c r="AI126" s="97">
        <f ca="1">SUMIF(Формы!A:A,D126,Формы!B:B)</f>
        <v>1</v>
      </c>
      <c r="AJ126" s="97">
        <f ca="1">SUMIF(Материал!A:A,K126,Материал!B:B)</f>
        <v>1</v>
      </c>
      <c r="AK126" s="97">
        <f ca="1">SUMIF(Размеры!A:A,R126,Размеры!E:E)</f>
        <v>1</v>
      </c>
      <c r="AL126" s="97">
        <f ca="1">SUMIF(Сезон!A:A,F126,Сезон!B:B)</f>
        <v>1</v>
      </c>
      <c r="AM126" s="97">
        <f ca="1">SUMIF(Состав!A:A,J126,Состав!B:B)</f>
        <v>0</v>
      </c>
      <c r="AN126" s="97">
        <f ca="1">VLOOKUP(I126,ЦветПолный!A:C,3,0)</f>
        <v>1</v>
      </c>
      <c r="AO126" s="97">
        <f ca="1">SUMIF(Цвет!A:A,Y126,Цвет!B:B)</f>
        <v>1</v>
      </c>
      <c r="AP126" s="97">
        <f ca="1">_xlfn.XLOOKUP(L126,Пол!A:A,Пол!B:B,0,0)</f>
        <v>1</v>
      </c>
      <c r="AQ126" s="97">
        <f ca="1">SUMIF(Марка!A:A,G126,Марка!B:B)</f>
        <v>1</v>
      </c>
      <c r="AR126" s="97">
        <f ca="1">SUMIF(Страна!A:A,M126,Страна!B:B)</f>
        <v>1</v>
      </c>
      <c r="AS126" s="64" t="str">
        <f ca="1">IF(VLOOKUP(V126,Товары!A:B,2,FALSE)=A126,"Есть в 1С","ERR")</f>
        <v>Есть в 1С</v>
      </c>
      <c r="AT126" s="65" t="str">
        <f ca="1">IF(VLOOKUP(A126,Товары!B:B,1,FALSE)=A126,"Есть в 1С","ERR")</f>
        <v>Есть в 1С</v>
      </c>
      <c r="AU126" s="96" t="str">
        <f ca="1">VLOOKUP(V126,Товары!A:B,2,FALSE)</f>
        <v>21-602-02</v>
      </c>
      <c r="AV126" s="94" t="str">
        <f ca="1">VLOOKUP(V126,Товары!A:B,1,FALSE)</f>
        <v>Кепка BAILEY арт. 90119BH GANEY (бежевый) {sand}</v>
      </c>
    </row>
    <row r="127" spans="1:48" x14ac:dyDescent="0.25">
      <c r="A127" s="110" t="str">
        <f t="shared" ca="1" si="17"/>
        <v>21-602-02</v>
      </c>
      <c r="B127" s="107" t="str">
        <f ca="1">_xlfn.LET(_xlpm.CAPS,0,_xlpm.Style,_xlfn.XLOOKUP($A127,Строчный!$A:$A,Строчный!B:B,"ERR",0),IF(_xlpm.CAPS=0,_xlpm.Style,LOWER(_xlpm.Style)))</f>
        <v>90119BH GANEY</v>
      </c>
      <c r="C127" s="81" t="str">
        <f ca="1">PROPER(_xlfn.XLOOKUP($A127,Строчный!$A:$A,Строчный!C:C,"ERR",0))</f>
        <v>Кепки</v>
      </c>
      <c r="D127" s="81" t="str">
        <f ca="1">_xlfn.LET(_xlpm.DATA,(_xlfn.XLOOKUP($A127,Строчный!$A:$A,Строчный!D:D,"ERR",0)),UPPER(MID(_xlpm.DATA,1,1))&amp;LOWER(MID(_xlpm.DATA,2,LEN(_xlpm.DATA)-1)))</f>
        <v>Кепка плоская</v>
      </c>
      <c r="E127" s="81" t="str">
        <f ca="1">PROPER(_xlfn.XLOOKUP($A127,Строчный!$A:$A,Строчный!E:E,"ERR",0))</f>
        <v>The Hollywood</v>
      </c>
      <c r="F127" s="81" t="str">
        <f ca="1">LOWER(_xlfn.XLOOKUP($A127,Строчный!$A:$A,Строчный!F:F,"ERR",0))</f>
        <v>летний</v>
      </c>
      <c r="G127" s="81" t="str">
        <f ca="1">UPPER(_xlfn.XLOOKUP($A127,Строчный!$A:$A,Строчный!G:G,"ERR",0))</f>
        <v>BAILEY</v>
      </c>
      <c r="H127" s="81" t="str">
        <f ca="1">LOWER(_xlfn.XLOOKUP($A127,Строчный!$A:$A,Строчный!H:H,"ERR",0))</f>
        <v>sand</v>
      </c>
      <c r="I127" s="81" t="str">
        <f ca="1">LOWER(_xlfn.XLOOKUP($A127,Строчный!$A:$A,Строчный!I:I,"ERR",0))</f>
        <v>бежевый</v>
      </c>
      <c r="J127" s="81" t="str">
        <f ca="1">SUBSTITUTE(LOWER(_xlfn.XLOOKUP($A127,Строчный!$A:$A,Строчный!J:J,"ERR",0)),"подклад","Подклад")</f>
        <v>100% хлопок / Подклад: 100% полиэстер</v>
      </c>
      <c r="K127" s="81" t="str">
        <f ca="1">LOWER(_xlfn.XLOOKUP($A127,Строчный!$A:$A,Строчный!K:K,"ERR",0))</f>
        <v>хлопковые</v>
      </c>
      <c r="L127" s="81" t="str">
        <f ca="1">PROPER(_xlfn.XLOOKUP($A127,Строчный!$A:$A,Строчный!L:L,"ERR",0))</f>
        <v>Унисекс</v>
      </c>
      <c r="M127" s="113" t="str">
        <f ca="1">PROPER(_xlfn.XLOOKUP($A127,Строчный!$A:$A,Строчный!M:M,"ERR",0))</f>
        <v>Китай</v>
      </c>
      <c r="N127" s="81" t="str">
        <f ca="1">UPPER(_xlfn.XLOOKUP($A127,Строчный!$A:$A,Строчный!O:O,"ERR",0))</f>
        <v/>
      </c>
      <c r="O127" s="107" t="str">
        <f ca="1">PROPER(_xlfn.XLOOKUP($A127,Строчный!$A:$A,Строчный!P:P,"ERR",0))</f>
        <v/>
      </c>
      <c r="P127" s="90">
        <f ca="1">VALUE(_xlfn.XLOOKUP($A127,Строчный!$A:$A,Строчный!N:N,"ERR",0))</f>
        <v>1749.1499999999999</v>
      </c>
      <c r="Q127" s="89" t="str">
        <f ca="1">_xlfn.XLOOKUP($G127,Фабрика!A:A,Фабрика!B:B,"ERR",0)</f>
        <v>Bollman Headwear Europe Ltd; 2 Merchants drive, Caelisle, Cumbria CA3 0JW, United Kingdom</v>
      </c>
      <c r="R127" s="80" t="str">
        <f ca="1">_xlfn.XLOOKUP(RIGHT(Z127,2),Размеры!D:D,Размеры!A:A,"ERR",0)</f>
        <v>59</v>
      </c>
      <c r="S127" s="80">
        <f ca="1">VALUE(_xlfn.XLOOKUP($Z127,Строчный!$R:$R,Строчный!T:T,"ERR",0))</f>
        <v>5</v>
      </c>
      <c r="T127" s="14" t="s">
        <v>265</v>
      </c>
      <c r="U127" s="101" t="str">
        <f t="shared" ca="1" si="18"/>
        <v>Кепка BAILEY арт. 90119BH GANEY (бежевый)</v>
      </c>
      <c r="V127" s="100" t="str">
        <f t="shared" ca="1" si="19"/>
        <v>Кепка BAILEY арт. 90119BH GANEY (бежевый) {sand}</v>
      </c>
      <c r="W127" s="18" t="str">
        <f t="shared" ca="1" si="20"/>
        <v>бежевый</v>
      </c>
      <c r="X127" s="18" t="str">
        <f t="shared" ca="1" si="21"/>
        <v>бежевый</v>
      </c>
      <c r="Y127" s="117" t="str">
        <f ca="1">_xlfn.LET(_xlpm.FormColors,_xlfn.XLOOKUP(A127,Строчный!A:A,Строчный!Q:Q,"",0),IF(_xlpm.FormColors=0,IFERROR(MID(I127,FIND("-",I127)+1,LEN(I127)),IFERROR(MID(I127,1,FIND("/",I127)-2),I127)),_xlpm.FormColors))</f>
        <v>бежевый</v>
      </c>
      <c r="Z127" s="73" t="str">
        <f ca="1"/>
        <v>21-602-02-59</v>
      </c>
      <c r="AA127" s="75" t="str">
        <f ca="1">VLOOKUP(C127,Группа!A:B,2,FALSE)</f>
        <v>Кепка</v>
      </c>
      <c r="AB127" s="97" t="str">
        <f ca="1">IFERROR(VLOOKUP(R127,Размеры!A:C,3,FALSE),"")</f>
        <v>59 L</v>
      </c>
      <c r="AC127" s="97" t="str">
        <f ca="1">VLOOKUP(I127,ЦветПолный!A:B,2,FALSE)</f>
        <v>02</v>
      </c>
      <c r="AD127" s="97" t="str">
        <f ca="1">IFERROR(VLOOKUP(R127,Размеры!A:D,4,FALSE),"")</f>
        <v>59</v>
      </c>
      <c r="AE127" s="97">
        <f ca="1">IF(LEFT(IFERROR(VLOOKUP(LOOKUP(2,1/SEARCH(B127,Товары!A:A),Товары!A:A),Товары!A:B,2,0),""),6)=MID(Z127,1,6),1,0)</f>
        <v>1</v>
      </c>
      <c r="AG127" s="97">
        <f ca="1">SUMIF(Группа!A:A,C127,Группа!C:C)</f>
        <v>1</v>
      </c>
      <c r="AH127" s="97">
        <f ca="1">SUMIF(Группа!B:B,AA127,Группа!C:C)</f>
        <v>1</v>
      </c>
      <c r="AI127" s="97">
        <f ca="1">SUMIF(Формы!A:A,D127,Формы!B:B)</f>
        <v>1</v>
      </c>
      <c r="AJ127" s="97">
        <f ca="1">SUMIF(Материал!A:A,K127,Материал!B:B)</f>
        <v>1</v>
      </c>
      <c r="AK127" s="97">
        <f ca="1">SUMIF(Размеры!A:A,R127,Размеры!E:E)</f>
        <v>1</v>
      </c>
      <c r="AL127" s="97">
        <f ca="1">SUMIF(Сезон!A:A,F127,Сезон!B:B)</f>
        <v>1</v>
      </c>
      <c r="AM127" s="97">
        <f ca="1">SUMIF(Состав!A:A,J127,Состав!B:B)</f>
        <v>0</v>
      </c>
      <c r="AN127" s="97">
        <f ca="1">VLOOKUP(I127,ЦветПолный!A:C,3,0)</f>
        <v>1</v>
      </c>
      <c r="AO127" s="97">
        <f ca="1">SUMIF(Цвет!A:A,Y127,Цвет!B:B)</f>
        <v>1</v>
      </c>
      <c r="AP127" s="97">
        <f ca="1">_xlfn.XLOOKUP(L127,Пол!A:A,Пол!B:B,0,0)</f>
        <v>1</v>
      </c>
      <c r="AQ127" s="97">
        <f ca="1">SUMIF(Марка!A:A,G127,Марка!B:B)</f>
        <v>1</v>
      </c>
      <c r="AR127" s="97">
        <f ca="1">SUMIF(Страна!A:A,M127,Страна!B:B)</f>
        <v>1</v>
      </c>
      <c r="AS127" s="64" t="str">
        <f ca="1">IF(VLOOKUP(V127,Товары!A:B,2,FALSE)=A127,"Есть в 1С","ERR")</f>
        <v>Есть в 1С</v>
      </c>
      <c r="AT127" s="65" t="str">
        <f ca="1">IF(VLOOKUP(A127,Товары!B:B,1,FALSE)=A127,"Есть в 1С","ERR")</f>
        <v>Есть в 1С</v>
      </c>
      <c r="AU127" s="96" t="str">
        <f ca="1">VLOOKUP(V127,Товары!A:B,2,FALSE)</f>
        <v>21-602-02</v>
      </c>
      <c r="AV127" s="94" t="str">
        <f ca="1">VLOOKUP(V127,Товары!A:B,1,FALSE)</f>
        <v>Кепка BAILEY арт. 90119BH GANEY (бежевый) {sand}</v>
      </c>
    </row>
    <row r="128" spans="1:48" x14ac:dyDescent="0.25">
      <c r="A128" s="110" t="str">
        <f t="shared" ca="1" si="17"/>
        <v>21-602-02</v>
      </c>
      <c r="B128" s="107" t="str">
        <f ca="1">_xlfn.LET(_xlpm.CAPS,0,_xlpm.Style,_xlfn.XLOOKUP($A128,Строчный!$A:$A,Строчный!B:B,"ERR",0),IF(_xlpm.CAPS=0,_xlpm.Style,LOWER(_xlpm.Style)))</f>
        <v>90119BH GANEY</v>
      </c>
      <c r="C128" s="81" t="str">
        <f ca="1">PROPER(_xlfn.XLOOKUP($A128,Строчный!$A:$A,Строчный!C:C,"ERR",0))</f>
        <v>Кепки</v>
      </c>
      <c r="D128" s="81" t="str">
        <f ca="1">_xlfn.LET(_xlpm.DATA,(_xlfn.XLOOKUP($A128,Строчный!$A:$A,Строчный!D:D,"ERR",0)),UPPER(MID(_xlpm.DATA,1,1))&amp;LOWER(MID(_xlpm.DATA,2,LEN(_xlpm.DATA)-1)))</f>
        <v>Кепка плоская</v>
      </c>
      <c r="E128" s="81" t="str">
        <f ca="1">PROPER(_xlfn.XLOOKUP($A128,Строчный!$A:$A,Строчный!E:E,"ERR",0))</f>
        <v>The Hollywood</v>
      </c>
      <c r="F128" s="81" t="str">
        <f ca="1">LOWER(_xlfn.XLOOKUP($A128,Строчный!$A:$A,Строчный!F:F,"ERR",0))</f>
        <v>летний</v>
      </c>
      <c r="G128" s="81" t="str">
        <f ca="1">UPPER(_xlfn.XLOOKUP($A128,Строчный!$A:$A,Строчный!G:G,"ERR",0))</f>
        <v>BAILEY</v>
      </c>
      <c r="H128" s="81" t="str">
        <f ca="1">LOWER(_xlfn.XLOOKUP($A128,Строчный!$A:$A,Строчный!H:H,"ERR",0))</f>
        <v>sand</v>
      </c>
      <c r="I128" s="81" t="str">
        <f ca="1">LOWER(_xlfn.XLOOKUP($A128,Строчный!$A:$A,Строчный!I:I,"ERR",0))</f>
        <v>бежевый</v>
      </c>
      <c r="J128" s="81" t="str">
        <f ca="1">SUBSTITUTE(LOWER(_xlfn.XLOOKUP($A128,Строчный!$A:$A,Строчный!J:J,"ERR",0)),"подклад","Подклад")</f>
        <v>100% хлопок / Подклад: 100% полиэстер</v>
      </c>
      <c r="K128" s="81" t="str">
        <f ca="1">LOWER(_xlfn.XLOOKUP($A128,Строчный!$A:$A,Строчный!K:K,"ERR",0))</f>
        <v>хлопковые</v>
      </c>
      <c r="L128" s="81" t="str">
        <f ca="1">PROPER(_xlfn.XLOOKUP($A128,Строчный!$A:$A,Строчный!L:L,"ERR",0))</f>
        <v>Унисекс</v>
      </c>
      <c r="M128" s="113" t="str">
        <f ca="1">PROPER(_xlfn.XLOOKUP($A128,Строчный!$A:$A,Строчный!M:M,"ERR",0))</f>
        <v>Китай</v>
      </c>
      <c r="N128" s="81" t="str">
        <f ca="1">UPPER(_xlfn.XLOOKUP($A128,Строчный!$A:$A,Строчный!O:O,"ERR",0))</f>
        <v/>
      </c>
      <c r="O128" s="107" t="str">
        <f ca="1">PROPER(_xlfn.XLOOKUP($A128,Строчный!$A:$A,Строчный!P:P,"ERR",0))</f>
        <v/>
      </c>
      <c r="P128" s="90">
        <f ca="1">VALUE(_xlfn.XLOOKUP($A128,Строчный!$A:$A,Строчный!N:N,"ERR",0))</f>
        <v>1749.1499999999999</v>
      </c>
      <c r="Q128" s="89" t="str">
        <f ca="1">_xlfn.XLOOKUP($G128,Фабрика!A:A,Фабрика!B:B,"ERR",0)</f>
        <v>Bollman Headwear Europe Ltd; 2 Merchants drive, Caelisle, Cumbria CA3 0JW, United Kingdom</v>
      </c>
      <c r="R128" s="80" t="str">
        <f ca="1">_xlfn.XLOOKUP(RIGHT(Z128,2),Размеры!D:D,Размеры!A:A,"ERR",0)</f>
        <v>57</v>
      </c>
      <c r="S128" s="80">
        <f ca="1">VALUE(_xlfn.XLOOKUP($Z128,Строчный!$R:$R,Строчный!T:T,"ERR",0))</f>
        <v>3</v>
      </c>
      <c r="T128" s="14" t="s">
        <v>265</v>
      </c>
      <c r="U128" s="101" t="str">
        <f t="shared" ca="1" si="18"/>
        <v>Кепка BAILEY арт. 90119BH GANEY (бежевый)</v>
      </c>
      <c r="V128" s="100" t="str">
        <f t="shared" ca="1" si="19"/>
        <v>Кепка BAILEY арт. 90119BH GANEY (бежевый) {sand}</v>
      </c>
      <c r="W128" s="18" t="str">
        <f t="shared" ca="1" si="20"/>
        <v>бежевый</v>
      </c>
      <c r="X128" s="18" t="str">
        <f t="shared" ca="1" si="21"/>
        <v>бежевый</v>
      </c>
      <c r="Y128" s="117" t="str">
        <f ca="1">_xlfn.LET(_xlpm.FormColors,_xlfn.XLOOKUP(A128,Строчный!A:A,Строчный!Q:Q,"",0),IF(_xlpm.FormColors=0,IFERROR(MID(I128,FIND("-",I128)+1,LEN(I128)),IFERROR(MID(I128,1,FIND("/",I128)-2),I128)),_xlpm.FormColors))</f>
        <v>бежевый</v>
      </c>
      <c r="Z128" s="73" t="str">
        <f ca="1"/>
        <v>21-602-02-57</v>
      </c>
      <c r="AA128" s="75" t="str">
        <f ca="1">VLOOKUP(C128,Группа!A:B,2,FALSE)</f>
        <v>Кепка</v>
      </c>
      <c r="AB128" s="97" t="str">
        <f ca="1">IFERROR(VLOOKUP(R128,Размеры!A:C,3,FALSE),"")</f>
        <v>57 M</v>
      </c>
      <c r="AC128" s="97" t="str">
        <f ca="1">VLOOKUP(I128,ЦветПолный!A:B,2,FALSE)</f>
        <v>02</v>
      </c>
      <c r="AD128" s="97" t="str">
        <f ca="1">IFERROR(VLOOKUP(R128,Размеры!A:D,4,FALSE),"")</f>
        <v>57</v>
      </c>
      <c r="AE128" s="97">
        <f ca="1">IF(LEFT(IFERROR(VLOOKUP(LOOKUP(2,1/SEARCH(B128,Товары!A:A),Товары!A:A),Товары!A:B,2,0),""),6)=MID(Z128,1,6),1,0)</f>
        <v>1</v>
      </c>
      <c r="AG128" s="97">
        <f ca="1">SUMIF(Группа!A:A,C128,Группа!C:C)</f>
        <v>1</v>
      </c>
      <c r="AH128" s="97">
        <f ca="1">SUMIF(Группа!B:B,AA128,Группа!C:C)</f>
        <v>1</v>
      </c>
      <c r="AI128" s="97">
        <f ca="1">SUMIF(Формы!A:A,D128,Формы!B:B)</f>
        <v>1</v>
      </c>
      <c r="AJ128" s="97">
        <f ca="1">SUMIF(Материал!A:A,K128,Материал!B:B)</f>
        <v>1</v>
      </c>
      <c r="AK128" s="97">
        <f ca="1">SUMIF(Размеры!A:A,R128,Размеры!E:E)</f>
        <v>1</v>
      </c>
      <c r="AL128" s="97">
        <f ca="1">SUMIF(Сезон!A:A,F128,Сезон!B:B)</f>
        <v>1</v>
      </c>
      <c r="AM128" s="97">
        <f ca="1">SUMIF(Состав!A:A,J128,Состав!B:B)</f>
        <v>0</v>
      </c>
      <c r="AN128" s="97">
        <f ca="1">VLOOKUP(I128,ЦветПолный!A:C,3,0)</f>
        <v>1</v>
      </c>
      <c r="AO128" s="97">
        <f ca="1">SUMIF(Цвет!A:A,Y128,Цвет!B:B)</f>
        <v>1</v>
      </c>
      <c r="AP128" s="97">
        <f ca="1">_xlfn.XLOOKUP(L128,Пол!A:A,Пол!B:B,0,0)</f>
        <v>1</v>
      </c>
      <c r="AQ128" s="97">
        <f ca="1">SUMIF(Марка!A:A,G128,Марка!B:B)</f>
        <v>1</v>
      </c>
      <c r="AR128" s="97">
        <f ca="1">SUMIF(Страна!A:A,M128,Страна!B:B)</f>
        <v>1</v>
      </c>
      <c r="AS128" s="64" t="str">
        <f ca="1">IF(VLOOKUP(V128,Товары!A:B,2,FALSE)=A128,"Есть в 1С","ERR")</f>
        <v>Есть в 1С</v>
      </c>
      <c r="AT128" s="65" t="str">
        <f ca="1">IF(VLOOKUP(A128,Товары!B:B,1,FALSE)=A128,"Есть в 1С","ERR")</f>
        <v>Есть в 1С</v>
      </c>
      <c r="AU128" s="96" t="str">
        <f ca="1">VLOOKUP(V128,Товары!A:B,2,FALSE)</f>
        <v>21-602-02</v>
      </c>
      <c r="AV128" s="94" t="str">
        <f ca="1">VLOOKUP(V128,Товары!A:B,1,FALSE)</f>
        <v>Кепка BAILEY арт. 90119BH GANEY (бежевый) {sand}</v>
      </c>
    </row>
    <row r="129" spans="1:48" x14ac:dyDescent="0.25">
      <c r="A129" s="110" t="str">
        <f t="shared" ca="1" si="17"/>
        <v>21-602-02</v>
      </c>
      <c r="B129" s="107" t="str">
        <f ca="1">_xlfn.LET(_xlpm.CAPS,0,_xlpm.Style,_xlfn.XLOOKUP($A129,Строчный!$A:$A,Строчный!B:B,"ERR",0),IF(_xlpm.CAPS=0,_xlpm.Style,LOWER(_xlpm.Style)))</f>
        <v>90119BH GANEY</v>
      </c>
      <c r="C129" s="81" t="str">
        <f ca="1">PROPER(_xlfn.XLOOKUP($A129,Строчный!$A:$A,Строчный!C:C,"ERR",0))</f>
        <v>Кепки</v>
      </c>
      <c r="D129" s="81" t="str">
        <f ca="1">_xlfn.LET(_xlpm.DATA,(_xlfn.XLOOKUP($A129,Строчный!$A:$A,Строчный!D:D,"ERR",0)),UPPER(MID(_xlpm.DATA,1,1))&amp;LOWER(MID(_xlpm.DATA,2,LEN(_xlpm.DATA)-1)))</f>
        <v>Кепка плоская</v>
      </c>
      <c r="E129" s="81" t="str">
        <f ca="1">PROPER(_xlfn.XLOOKUP($A129,Строчный!$A:$A,Строчный!E:E,"ERR",0))</f>
        <v>The Hollywood</v>
      </c>
      <c r="F129" s="81" t="str">
        <f ca="1">LOWER(_xlfn.XLOOKUP($A129,Строчный!$A:$A,Строчный!F:F,"ERR",0))</f>
        <v>летний</v>
      </c>
      <c r="G129" s="81" t="str">
        <f ca="1">UPPER(_xlfn.XLOOKUP($A129,Строчный!$A:$A,Строчный!G:G,"ERR",0))</f>
        <v>BAILEY</v>
      </c>
      <c r="H129" s="81" t="str">
        <f ca="1">LOWER(_xlfn.XLOOKUP($A129,Строчный!$A:$A,Строчный!H:H,"ERR",0))</f>
        <v>sand</v>
      </c>
      <c r="I129" s="81" t="str">
        <f ca="1">LOWER(_xlfn.XLOOKUP($A129,Строчный!$A:$A,Строчный!I:I,"ERR",0))</f>
        <v>бежевый</v>
      </c>
      <c r="J129" s="81" t="str">
        <f ca="1">SUBSTITUTE(LOWER(_xlfn.XLOOKUP($A129,Строчный!$A:$A,Строчный!J:J,"ERR",0)),"подклад","Подклад")</f>
        <v>100% хлопок / Подклад: 100% полиэстер</v>
      </c>
      <c r="K129" s="81" t="str">
        <f ca="1">LOWER(_xlfn.XLOOKUP($A129,Строчный!$A:$A,Строчный!K:K,"ERR",0))</f>
        <v>хлопковые</v>
      </c>
      <c r="L129" s="81" t="str">
        <f ca="1">PROPER(_xlfn.XLOOKUP($A129,Строчный!$A:$A,Строчный!L:L,"ERR",0))</f>
        <v>Унисекс</v>
      </c>
      <c r="M129" s="113" t="str">
        <f ca="1">PROPER(_xlfn.XLOOKUP($A129,Строчный!$A:$A,Строчный!M:M,"ERR",0))</f>
        <v>Китай</v>
      </c>
      <c r="N129" s="81" t="str">
        <f ca="1">UPPER(_xlfn.XLOOKUP($A129,Строчный!$A:$A,Строчный!O:O,"ERR",0))</f>
        <v/>
      </c>
      <c r="O129" s="107" t="str">
        <f ca="1">PROPER(_xlfn.XLOOKUP($A129,Строчный!$A:$A,Строчный!P:P,"ERR",0))</f>
        <v/>
      </c>
      <c r="P129" s="90">
        <f ca="1">VALUE(_xlfn.XLOOKUP($A129,Строчный!$A:$A,Строчный!N:N,"ERR",0))</f>
        <v>1749.1499999999999</v>
      </c>
      <c r="Q129" s="89" t="str">
        <f ca="1">_xlfn.XLOOKUP($G129,Фабрика!A:A,Фабрика!B:B,"ERR",0)</f>
        <v>Bollman Headwear Europe Ltd; 2 Merchants drive, Caelisle, Cumbria CA3 0JW, United Kingdom</v>
      </c>
      <c r="R129" s="80" t="str">
        <f ca="1">_xlfn.XLOOKUP(RIGHT(Z129,2),Размеры!D:D,Размеры!A:A,"ERR",0)</f>
        <v>55</v>
      </c>
      <c r="S129" s="80">
        <f ca="1">VALUE(_xlfn.XLOOKUP($Z129,Строчный!$R:$R,Строчный!T:T,"ERR",0))</f>
        <v>1</v>
      </c>
      <c r="T129" s="14" t="s">
        <v>265</v>
      </c>
      <c r="U129" s="101" t="str">
        <f t="shared" ca="1" si="18"/>
        <v>Кепка BAILEY арт. 90119BH GANEY (бежевый)</v>
      </c>
      <c r="V129" s="100" t="str">
        <f t="shared" ca="1" si="19"/>
        <v>Кепка BAILEY арт. 90119BH GANEY (бежевый) {sand}</v>
      </c>
      <c r="W129" s="18" t="str">
        <f t="shared" ca="1" si="20"/>
        <v>бежевый</v>
      </c>
      <c r="X129" s="18" t="str">
        <f t="shared" ca="1" si="21"/>
        <v>бежевый</v>
      </c>
      <c r="Y129" s="117" t="str">
        <f ca="1">_xlfn.LET(_xlpm.FormColors,_xlfn.XLOOKUP(A129,Строчный!A:A,Строчный!Q:Q,"",0),IF(_xlpm.FormColors=0,IFERROR(MID(I129,FIND("-",I129)+1,LEN(I129)),IFERROR(MID(I129,1,FIND("/",I129)-2),I129)),_xlpm.FormColors))</f>
        <v>бежевый</v>
      </c>
      <c r="Z129" s="73" t="str">
        <f ca="1"/>
        <v>21-602-02-55</v>
      </c>
      <c r="AA129" s="75" t="str">
        <f ca="1">VLOOKUP(C129,Группа!A:B,2,FALSE)</f>
        <v>Кепка</v>
      </c>
      <c r="AB129" s="97" t="str">
        <f ca="1">IFERROR(VLOOKUP(R129,Размеры!A:C,3,FALSE),"")</f>
        <v>55 S</v>
      </c>
      <c r="AC129" s="97" t="str">
        <f ca="1">VLOOKUP(I129,ЦветПолный!A:B,2,FALSE)</f>
        <v>02</v>
      </c>
      <c r="AD129" s="97" t="str">
        <f ca="1">IFERROR(VLOOKUP(R129,Размеры!A:D,4,FALSE),"")</f>
        <v>55</v>
      </c>
      <c r="AE129" s="97">
        <f ca="1">IF(LEFT(IFERROR(VLOOKUP(LOOKUP(2,1/SEARCH(B129,Товары!A:A),Товары!A:A),Товары!A:B,2,0),""),6)=MID(Z129,1,6),1,0)</f>
        <v>1</v>
      </c>
      <c r="AG129" s="97">
        <f ca="1">SUMIF(Группа!A:A,C129,Группа!C:C)</f>
        <v>1</v>
      </c>
      <c r="AH129" s="97">
        <f ca="1">SUMIF(Группа!B:B,AA129,Группа!C:C)</f>
        <v>1</v>
      </c>
      <c r="AI129" s="97">
        <f ca="1">SUMIF(Формы!A:A,D129,Формы!B:B)</f>
        <v>1</v>
      </c>
      <c r="AJ129" s="97">
        <f ca="1">SUMIF(Материал!A:A,K129,Материал!B:B)</f>
        <v>1</v>
      </c>
      <c r="AK129" s="97">
        <f ca="1">SUMIF(Размеры!A:A,R129,Размеры!E:E)</f>
        <v>1</v>
      </c>
      <c r="AL129" s="97">
        <f ca="1">SUMIF(Сезон!A:A,F129,Сезон!B:B)</f>
        <v>1</v>
      </c>
      <c r="AM129" s="97">
        <f ca="1">SUMIF(Состав!A:A,J129,Состав!B:B)</f>
        <v>0</v>
      </c>
      <c r="AN129" s="97">
        <f ca="1">VLOOKUP(I129,ЦветПолный!A:C,3,0)</f>
        <v>1</v>
      </c>
      <c r="AO129" s="97">
        <f ca="1">SUMIF(Цвет!A:A,Y129,Цвет!B:B)</f>
        <v>1</v>
      </c>
      <c r="AP129" s="97">
        <f ca="1">_xlfn.XLOOKUP(L129,Пол!A:A,Пол!B:B,0,0)</f>
        <v>1</v>
      </c>
      <c r="AQ129" s="97">
        <f ca="1">SUMIF(Марка!A:A,G129,Марка!B:B)</f>
        <v>1</v>
      </c>
      <c r="AR129" s="97">
        <f ca="1">SUMIF(Страна!A:A,M129,Страна!B:B)</f>
        <v>1</v>
      </c>
      <c r="AS129" s="64" t="str">
        <f ca="1">IF(VLOOKUP(V129,Товары!A:B,2,FALSE)=A129,"Есть в 1С","ERR")</f>
        <v>Есть в 1С</v>
      </c>
      <c r="AT129" s="65" t="str">
        <f ca="1">IF(VLOOKUP(A129,Товары!B:B,1,FALSE)=A129,"Есть в 1С","ERR")</f>
        <v>Есть в 1С</v>
      </c>
      <c r="AU129" s="96" t="str">
        <f ca="1">VLOOKUP(V129,Товары!A:B,2,FALSE)</f>
        <v>21-602-02</v>
      </c>
      <c r="AV129" s="94" t="str">
        <f ca="1">VLOOKUP(V129,Товары!A:B,1,FALSE)</f>
        <v>Кепка BAILEY арт. 90119BH GANEY (бежевый) {sand}</v>
      </c>
    </row>
    <row r="130" spans="1:48" x14ac:dyDescent="0.25">
      <c r="A130" s="110" t="str">
        <f t="shared" ca="1" si="17"/>
        <v>21-602-01</v>
      </c>
      <c r="B130" s="107" t="str">
        <f ca="1">_xlfn.LET(_xlpm.CAPS,0,_xlpm.Style,_xlfn.XLOOKUP($A130,Строчный!$A:$A,Строчный!B:B,"ERR",0),IF(_xlpm.CAPS=0,_xlpm.Style,LOWER(_xlpm.Style)))</f>
        <v>90119BH GANEY</v>
      </c>
      <c r="C130" s="81" t="str">
        <f ca="1">PROPER(_xlfn.XLOOKUP($A130,Строчный!$A:$A,Строчный!C:C,"ERR",0))</f>
        <v>Кепки</v>
      </c>
      <c r="D130" s="81" t="str">
        <f ca="1">_xlfn.LET(_xlpm.DATA,(_xlfn.XLOOKUP($A130,Строчный!$A:$A,Строчный!D:D,"ERR",0)),UPPER(MID(_xlpm.DATA,1,1))&amp;LOWER(MID(_xlpm.DATA,2,LEN(_xlpm.DATA)-1)))</f>
        <v>Кепка плоская</v>
      </c>
      <c r="E130" s="81" t="str">
        <f ca="1">PROPER(_xlfn.XLOOKUP($A130,Строчный!$A:$A,Строчный!E:E,"ERR",0))</f>
        <v>The Hollywood</v>
      </c>
      <c r="F130" s="81" t="str">
        <f ca="1">LOWER(_xlfn.XLOOKUP($A130,Строчный!$A:$A,Строчный!F:F,"ERR",0))</f>
        <v>летний</v>
      </c>
      <c r="G130" s="81" t="str">
        <f ca="1">UPPER(_xlfn.XLOOKUP($A130,Строчный!$A:$A,Строчный!G:G,"ERR",0))</f>
        <v>BAILEY</v>
      </c>
      <c r="H130" s="81" t="str">
        <f ca="1">LOWER(_xlfn.XLOOKUP($A130,Строчный!$A:$A,Строчный!H:H,"ERR",0))</f>
        <v>charcoal</v>
      </c>
      <c r="I130" s="81" t="str">
        <f ca="1">LOWER(_xlfn.XLOOKUP($A130,Строчный!$A:$A,Строчный!I:I,"ERR",0))</f>
        <v>светло-серый</v>
      </c>
      <c r="J130" s="81" t="str">
        <f ca="1">SUBSTITUTE(LOWER(_xlfn.XLOOKUP($A130,Строчный!$A:$A,Строчный!J:J,"ERR",0)),"подклад","Подклад")</f>
        <v>100% хлопок / Подклад: 100% полиэстер</v>
      </c>
      <c r="K130" s="81" t="str">
        <f ca="1">LOWER(_xlfn.XLOOKUP($A130,Строчный!$A:$A,Строчный!K:K,"ERR",0))</f>
        <v>хлопковые</v>
      </c>
      <c r="L130" s="81" t="str">
        <f ca="1">PROPER(_xlfn.XLOOKUP($A130,Строчный!$A:$A,Строчный!L:L,"ERR",0))</f>
        <v>Унисекс</v>
      </c>
      <c r="M130" s="113" t="str">
        <f ca="1">PROPER(_xlfn.XLOOKUP($A130,Строчный!$A:$A,Строчный!M:M,"ERR",0))</f>
        <v>Китай</v>
      </c>
      <c r="N130" s="81" t="str">
        <f ca="1">UPPER(_xlfn.XLOOKUP($A130,Строчный!$A:$A,Строчный!O:O,"ERR",0))</f>
        <v/>
      </c>
      <c r="O130" s="107" t="str">
        <f ca="1">PROPER(_xlfn.XLOOKUP($A130,Строчный!$A:$A,Строчный!P:P,"ERR",0))</f>
        <v/>
      </c>
      <c r="P130" s="90">
        <f ca="1">VALUE(_xlfn.XLOOKUP($A130,Строчный!$A:$A,Строчный!N:N,"ERR",0))</f>
        <v>1749.1499999999999</v>
      </c>
      <c r="Q130" s="89" t="str">
        <f ca="1">_xlfn.XLOOKUP($G130,Фабрика!A:A,Фабрика!B:B,"ERR",0)</f>
        <v>Bollman Headwear Europe Ltd; 2 Merchants drive, Caelisle, Cumbria CA3 0JW, United Kingdom</v>
      </c>
      <c r="R130" s="80" t="str">
        <f ca="1">_xlfn.XLOOKUP(RIGHT(Z130,2),Размеры!D:D,Размеры!A:A,"ERR",0)</f>
        <v>61</v>
      </c>
      <c r="S130" s="80">
        <f ca="1">VALUE(_xlfn.XLOOKUP($Z130,Строчный!$R:$R,Строчный!T:T,"ERR",0))</f>
        <v>4</v>
      </c>
      <c r="T130" s="14" t="s">
        <v>265</v>
      </c>
      <c r="U130" s="101" t="str">
        <f t="shared" ca="1" si="18"/>
        <v>Кепка BAILEY арт. 90119BH GANEY (светло-серый)</v>
      </c>
      <c r="V130" s="100" t="str">
        <f t="shared" ca="1" si="19"/>
        <v>Кепка BAILEY арт. 90119BH GANEY (светло-серый) {charcoal}</v>
      </c>
      <c r="W130" s="18" t="str">
        <f t="shared" ca="1" si="20"/>
        <v>серый</v>
      </c>
      <c r="X130" s="18" t="str">
        <f t="shared" ca="1" si="21"/>
        <v>серый</v>
      </c>
      <c r="Y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серый</v>
      </c>
      <c r="Z130" s="73" t="str">
        <f ca="1"/>
        <v>21-602-01-61</v>
      </c>
      <c r="AA130" s="75" t="str">
        <f ca="1">VLOOKUP(C130,Группа!A:B,2,FALSE)</f>
        <v>Кепка</v>
      </c>
      <c r="AB130" s="97" t="str">
        <f ca="1">IFERROR(VLOOKUP(R130,Размеры!A:C,3,FALSE),"")</f>
        <v>61 XL</v>
      </c>
      <c r="AC130" s="97" t="str">
        <f ca="1">VLOOKUP(I130,ЦветПолный!A:B,2,FALSE)</f>
        <v>01</v>
      </c>
      <c r="AD130" s="97" t="str">
        <f ca="1">IFERROR(VLOOKUP(R130,Размеры!A:D,4,FALSE),"")</f>
        <v>61</v>
      </c>
      <c r="AE130" s="97">
        <f ca="1">IF(LEFT(IFERROR(VLOOKUP(LOOKUP(2,1/SEARCH(B130,Товары!A:A),Товары!A:A),Товары!A:B,2,0),""),6)=MID(Z130,1,6),1,0)</f>
        <v>1</v>
      </c>
      <c r="AG130" s="97">
        <f ca="1">SUMIF(Группа!A:A,C130,Группа!C:C)</f>
        <v>1</v>
      </c>
      <c r="AH130" s="97">
        <f ca="1">SUMIF(Группа!B:B,AA130,Группа!C:C)</f>
        <v>1</v>
      </c>
      <c r="AI130" s="97">
        <f ca="1">SUMIF(Формы!A:A,D130,Формы!B:B)</f>
        <v>1</v>
      </c>
      <c r="AJ130" s="97">
        <f ca="1">SUMIF(Материал!A:A,K130,Материал!B:B)</f>
        <v>1</v>
      </c>
      <c r="AK130" s="97">
        <f ca="1">SUMIF(Размеры!A:A,R130,Размеры!E:E)</f>
        <v>1</v>
      </c>
      <c r="AL130" s="97">
        <f ca="1">SUMIF(Сезон!A:A,F130,Сезон!B:B)</f>
        <v>1</v>
      </c>
      <c r="AM130" s="97">
        <f ca="1">SUMIF(Состав!A:A,J130,Состав!B:B)</f>
        <v>0</v>
      </c>
      <c r="AN130" s="97">
        <f ca="1">VLOOKUP(I130,ЦветПолный!A:C,3,0)</f>
        <v>1</v>
      </c>
      <c r="AO130" s="97">
        <f ca="1">SUMIF(Цвет!A:A,Y130,Цвет!B:B)</f>
        <v>1</v>
      </c>
      <c r="AP130" s="97">
        <f ca="1">_xlfn.XLOOKUP(L130,Пол!A:A,Пол!B:B,0,0)</f>
        <v>1</v>
      </c>
      <c r="AQ130" s="97">
        <f ca="1">SUMIF(Марка!A:A,G130,Марка!B:B)</f>
        <v>1</v>
      </c>
      <c r="AR130" s="97">
        <f ca="1">SUMIF(Страна!A:A,M130,Страна!B:B)</f>
        <v>1</v>
      </c>
      <c r="AS130" s="64" t="str">
        <f ca="1">IF(VLOOKUP(V130,Товары!A:B,2,FALSE)=A130,"Есть в 1С","ERR")</f>
        <v>Есть в 1С</v>
      </c>
      <c r="AT130" s="65" t="str">
        <f ca="1">IF(VLOOKUP(A130,Товары!B:B,1,FALSE)=A130,"Есть в 1С","ERR")</f>
        <v>Есть в 1С</v>
      </c>
      <c r="AU130" s="96" t="str">
        <f ca="1">VLOOKUP(V130,Товары!A:B,2,FALSE)</f>
        <v>21-602-01</v>
      </c>
      <c r="AV130" s="94" t="str">
        <f ca="1">VLOOKUP(V130,Товары!A:B,1,FALSE)</f>
        <v>Кепка BAILEY арт. 90119BH GANEY (светло-серый) {charcoal}</v>
      </c>
    </row>
    <row r="131" spans="1:48" x14ac:dyDescent="0.25">
      <c r="A131" s="110" t="str">
        <f t="shared" ref="A131:A194" ca="1" si="22">LEFT(Z131,9)</f>
        <v>21-602-01</v>
      </c>
      <c r="B131" s="107" t="str">
        <f ca="1">_xlfn.LET(_xlpm.CAPS,0,_xlpm.Style,_xlfn.XLOOKUP($A131,Строчный!$A:$A,Строчный!B:B,"ERR",0),IF(_xlpm.CAPS=0,_xlpm.Style,LOWER(_xlpm.Style)))</f>
        <v>90119BH GANEY</v>
      </c>
      <c r="C131" s="81" t="str">
        <f ca="1">PROPER(_xlfn.XLOOKUP($A131,Строчный!$A:$A,Строчный!C:C,"ERR",0))</f>
        <v>Кепки</v>
      </c>
      <c r="D131" s="81" t="str">
        <f ca="1">_xlfn.LET(_xlpm.DATA,(_xlfn.XLOOKUP($A131,Строчный!$A:$A,Строчный!D:D,"ERR",0)),UPPER(MID(_xlpm.DATA,1,1))&amp;LOWER(MID(_xlpm.DATA,2,LEN(_xlpm.DATA)-1)))</f>
        <v>Кепка плоская</v>
      </c>
      <c r="E131" s="81" t="str">
        <f ca="1">PROPER(_xlfn.XLOOKUP($A131,Строчный!$A:$A,Строчный!E:E,"ERR",0))</f>
        <v>The Hollywood</v>
      </c>
      <c r="F131" s="81" t="str">
        <f ca="1">LOWER(_xlfn.XLOOKUP($A131,Строчный!$A:$A,Строчный!F:F,"ERR",0))</f>
        <v>летний</v>
      </c>
      <c r="G131" s="81" t="str">
        <f ca="1">UPPER(_xlfn.XLOOKUP($A131,Строчный!$A:$A,Строчный!G:G,"ERR",0))</f>
        <v>BAILEY</v>
      </c>
      <c r="H131" s="81" t="str">
        <f ca="1">LOWER(_xlfn.XLOOKUP($A131,Строчный!$A:$A,Строчный!H:H,"ERR",0))</f>
        <v>charcoal</v>
      </c>
      <c r="I131" s="81" t="str">
        <f ca="1">LOWER(_xlfn.XLOOKUP($A131,Строчный!$A:$A,Строчный!I:I,"ERR",0))</f>
        <v>светло-серый</v>
      </c>
      <c r="J131" s="81" t="str">
        <f ca="1">SUBSTITUTE(LOWER(_xlfn.XLOOKUP($A131,Строчный!$A:$A,Строчный!J:J,"ERR",0)),"подклад","Подклад")</f>
        <v>100% хлопок / Подклад: 100% полиэстер</v>
      </c>
      <c r="K131" s="81" t="str">
        <f ca="1">LOWER(_xlfn.XLOOKUP($A131,Строчный!$A:$A,Строчный!K:K,"ERR",0))</f>
        <v>хлопковые</v>
      </c>
      <c r="L131" s="81" t="str">
        <f ca="1">PROPER(_xlfn.XLOOKUP($A131,Строчный!$A:$A,Строчный!L:L,"ERR",0))</f>
        <v>Унисекс</v>
      </c>
      <c r="M131" s="113" t="str">
        <f ca="1">PROPER(_xlfn.XLOOKUP($A131,Строчный!$A:$A,Строчный!M:M,"ERR",0))</f>
        <v>Китай</v>
      </c>
      <c r="N131" s="81" t="str">
        <f ca="1">UPPER(_xlfn.XLOOKUP($A131,Строчный!$A:$A,Строчный!O:O,"ERR",0))</f>
        <v/>
      </c>
      <c r="O131" s="107" t="str">
        <f ca="1">PROPER(_xlfn.XLOOKUP($A131,Строчный!$A:$A,Строчный!P:P,"ERR",0))</f>
        <v/>
      </c>
      <c r="P131" s="90">
        <f ca="1">VALUE(_xlfn.XLOOKUP($A131,Строчный!$A:$A,Строчный!N:N,"ERR",0))</f>
        <v>1749.1499999999999</v>
      </c>
      <c r="Q131" s="89" t="str">
        <f ca="1">_xlfn.XLOOKUP($G131,Фабрика!A:A,Фабрика!B:B,"ERR",0)</f>
        <v>Bollman Headwear Europe Ltd; 2 Merchants drive, Caelisle, Cumbria CA3 0JW, United Kingdom</v>
      </c>
      <c r="R131" s="80" t="str">
        <f ca="1">_xlfn.XLOOKUP(RIGHT(Z131,2),Размеры!D:D,Размеры!A:A,"ERR",0)</f>
        <v>59</v>
      </c>
      <c r="S131" s="80">
        <f ca="1">VALUE(_xlfn.XLOOKUP($Z131,Строчный!$R:$R,Строчный!T:T,"ERR",0))</f>
        <v>7</v>
      </c>
      <c r="T131" s="14" t="s">
        <v>265</v>
      </c>
      <c r="U131" s="101" t="str">
        <f t="shared" ca="1" si="18"/>
        <v>Кепка BAILEY арт. 90119BH GANEY (светло-серый)</v>
      </c>
      <c r="V131" s="100" t="str">
        <f t="shared" ca="1" si="19"/>
        <v>Кепка BAILEY арт. 90119BH GANEY (светло-серый) {charcoal}</v>
      </c>
      <c r="W131" s="18" t="str">
        <f t="shared" ca="1" si="20"/>
        <v>серый</v>
      </c>
      <c r="X131" s="18" t="str">
        <f t="shared" ca="1" si="21"/>
        <v>серый</v>
      </c>
      <c r="Y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серый</v>
      </c>
      <c r="Z131" s="73" t="str">
        <f ca="1"/>
        <v>21-602-01-59</v>
      </c>
      <c r="AA131" s="75" t="str">
        <f ca="1">VLOOKUP(C131,Группа!A:B,2,FALSE)</f>
        <v>Кепка</v>
      </c>
      <c r="AB131" s="97" t="str">
        <f ca="1">IFERROR(VLOOKUP(R131,Размеры!A:C,3,FALSE),"")</f>
        <v>59 L</v>
      </c>
      <c r="AC131" s="97" t="str">
        <f ca="1">VLOOKUP(I131,ЦветПолный!A:B,2,FALSE)</f>
        <v>01</v>
      </c>
      <c r="AD131" s="97" t="str">
        <f ca="1">IFERROR(VLOOKUP(R131,Размеры!A:D,4,FALSE),"")</f>
        <v>59</v>
      </c>
      <c r="AE131" s="97">
        <f ca="1">IF(LEFT(IFERROR(VLOOKUP(LOOKUP(2,1/SEARCH(B131,Товары!A:A),Товары!A:A),Товары!A:B,2,0),""),6)=MID(Z131,1,6),1,0)</f>
        <v>1</v>
      </c>
      <c r="AG131" s="97">
        <f ca="1">SUMIF(Группа!A:A,C131,Группа!C:C)</f>
        <v>1</v>
      </c>
      <c r="AH131" s="97">
        <f ca="1">SUMIF(Группа!B:B,AA131,Группа!C:C)</f>
        <v>1</v>
      </c>
      <c r="AI131" s="97">
        <f ca="1">SUMIF(Формы!A:A,D131,Формы!B:B)</f>
        <v>1</v>
      </c>
      <c r="AJ131" s="97">
        <f ca="1">SUMIF(Материал!A:A,K131,Материал!B:B)</f>
        <v>1</v>
      </c>
      <c r="AK131" s="97">
        <f ca="1">SUMIF(Размеры!A:A,R131,Размеры!E:E)</f>
        <v>1</v>
      </c>
      <c r="AL131" s="97">
        <f ca="1">SUMIF(Сезон!A:A,F131,Сезон!B:B)</f>
        <v>1</v>
      </c>
      <c r="AM131" s="97">
        <f ca="1">SUMIF(Состав!A:A,J131,Состав!B:B)</f>
        <v>0</v>
      </c>
      <c r="AN131" s="97">
        <f ca="1">VLOOKUP(I131,ЦветПолный!A:C,3,0)</f>
        <v>1</v>
      </c>
      <c r="AO131" s="97">
        <f ca="1">SUMIF(Цвет!A:A,Y131,Цвет!B:B)</f>
        <v>1</v>
      </c>
      <c r="AP131" s="97">
        <f ca="1">_xlfn.XLOOKUP(L131,Пол!A:A,Пол!B:B,0,0)</f>
        <v>1</v>
      </c>
      <c r="AQ131" s="97">
        <f ca="1">SUMIF(Марка!A:A,G131,Марка!B:B)</f>
        <v>1</v>
      </c>
      <c r="AR131" s="97">
        <f ca="1">SUMIF(Страна!A:A,M131,Страна!B:B)</f>
        <v>1</v>
      </c>
      <c r="AS131" s="64" t="str">
        <f ca="1">IF(VLOOKUP(V131,Товары!A:B,2,FALSE)=A131,"Есть в 1С","ERR")</f>
        <v>Есть в 1С</v>
      </c>
      <c r="AT131" s="65" t="str">
        <f ca="1">IF(VLOOKUP(A131,Товары!B:B,1,FALSE)=A131,"Есть в 1С","ERR")</f>
        <v>Есть в 1С</v>
      </c>
      <c r="AU131" s="96" t="str">
        <f ca="1">VLOOKUP(V131,Товары!A:B,2,FALSE)</f>
        <v>21-602-01</v>
      </c>
      <c r="AV131" s="94" t="str">
        <f ca="1">VLOOKUP(V131,Товары!A:B,1,FALSE)</f>
        <v>Кепка BAILEY арт. 90119BH GANEY (светло-серый) {charcoal}</v>
      </c>
    </row>
    <row r="132" spans="1:48" x14ac:dyDescent="0.25">
      <c r="A132" s="110" t="str">
        <f t="shared" ca="1" si="22"/>
        <v>21-602-01</v>
      </c>
      <c r="B132" s="107" t="str">
        <f ca="1">_xlfn.LET(_xlpm.CAPS,0,_xlpm.Style,_xlfn.XLOOKUP($A132,Строчный!$A:$A,Строчный!B:B,"ERR",0),IF(_xlpm.CAPS=0,_xlpm.Style,LOWER(_xlpm.Style)))</f>
        <v>90119BH GANEY</v>
      </c>
      <c r="C132" s="81" t="str">
        <f ca="1">PROPER(_xlfn.XLOOKUP($A132,Строчный!$A:$A,Строчный!C:C,"ERR",0))</f>
        <v>Кепки</v>
      </c>
      <c r="D132" s="81" t="str">
        <f ca="1">_xlfn.LET(_xlpm.DATA,(_xlfn.XLOOKUP($A132,Строчный!$A:$A,Строчный!D:D,"ERR",0)),UPPER(MID(_xlpm.DATA,1,1))&amp;LOWER(MID(_xlpm.DATA,2,LEN(_xlpm.DATA)-1)))</f>
        <v>Кепка плоская</v>
      </c>
      <c r="E132" s="81" t="str">
        <f ca="1">PROPER(_xlfn.XLOOKUP($A132,Строчный!$A:$A,Строчный!E:E,"ERR",0))</f>
        <v>The Hollywood</v>
      </c>
      <c r="F132" s="81" t="str">
        <f ca="1">LOWER(_xlfn.XLOOKUP($A132,Строчный!$A:$A,Строчный!F:F,"ERR",0))</f>
        <v>летний</v>
      </c>
      <c r="G132" s="81" t="str">
        <f ca="1">UPPER(_xlfn.XLOOKUP($A132,Строчный!$A:$A,Строчный!G:G,"ERR",0))</f>
        <v>BAILEY</v>
      </c>
      <c r="H132" s="81" t="str">
        <f ca="1">LOWER(_xlfn.XLOOKUP($A132,Строчный!$A:$A,Строчный!H:H,"ERR",0))</f>
        <v>charcoal</v>
      </c>
      <c r="I132" s="81" t="str">
        <f ca="1">LOWER(_xlfn.XLOOKUP($A132,Строчный!$A:$A,Строчный!I:I,"ERR",0))</f>
        <v>светло-серый</v>
      </c>
      <c r="J132" s="81" t="str">
        <f ca="1">SUBSTITUTE(LOWER(_xlfn.XLOOKUP($A132,Строчный!$A:$A,Строчный!J:J,"ERR",0)),"подклад","Подклад")</f>
        <v>100% хлопок / Подклад: 100% полиэстер</v>
      </c>
      <c r="K132" s="81" t="str">
        <f ca="1">LOWER(_xlfn.XLOOKUP($A132,Строчный!$A:$A,Строчный!K:K,"ERR",0))</f>
        <v>хлопковые</v>
      </c>
      <c r="L132" s="81" t="str">
        <f ca="1">PROPER(_xlfn.XLOOKUP($A132,Строчный!$A:$A,Строчный!L:L,"ERR",0))</f>
        <v>Унисекс</v>
      </c>
      <c r="M132" s="113" t="str">
        <f ca="1">PROPER(_xlfn.XLOOKUP($A132,Строчный!$A:$A,Строчный!M:M,"ERR",0))</f>
        <v>Китай</v>
      </c>
      <c r="N132" s="81" t="str">
        <f ca="1">UPPER(_xlfn.XLOOKUP($A132,Строчный!$A:$A,Строчный!O:O,"ERR",0))</f>
        <v/>
      </c>
      <c r="O132" s="107" t="str">
        <f ca="1">PROPER(_xlfn.XLOOKUP($A132,Строчный!$A:$A,Строчный!P:P,"ERR",0))</f>
        <v/>
      </c>
      <c r="P132" s="90">
        <f ca="1">VALUE(_xlfn.XLOOKUP($A132,Строчный!$A:$A,Строчный!N:N,"ERR",0))</f>
        <v>1749.1499999999999</v>
      </c>
      <c r="Q132" s="89" t="str">
        <f ca="1">_xlfn.XLOOKUP($G132,Фабрика!A:A,Фабрика!B:B,"ERR",0)</f>
        <v>Bollman Headwear Europe Ltd; 2 Merchants drive, Caelisle, Cumbria CA3 0JW, United Kingdom</v>
      </c>
      <c r="R132" s="80" t="str">
        <f ca="1">_xlfn.XLOOKUP(RIGHT(Z132,2),Размеры!D:D,Размеры!A:A,"ERR",0)</f>
        <v>57</v>
      </c>
      <c r="S132" s="80">
        <f ca="1">VALUE(_xlfn.XLOOKUP($Z132,Строчный!$R:$R,Строчный!T:T,"ERR",0))</f>
        <v>4</v>
      </c>
      <c r="T132" s="14" t="s">
        <v>265</v>
      </c>
      <c r="U132" s="101" t="str">
        <f t="shared" ca="1" si="18"/>
        <v>Кепка BAILEY арт. 90119BH GANEY (светло-серый)</v>
      </c>
      <c r="V132" s="100" t="str">
        <f t="shared" ca="1" si="19"/>
        <v>Кепка BAILEY арт. 90119BH GANEY (светло-серый) {charcoal}</v>
      </c>
      <c r="W132" s="18" t="str">
        <f t="shared" ca="1" si="20"/>
        <v>серый</v>
      </c>
      <c r="X132" s="18" t="str">
        <f t="shared" ca="1" si="21"/>
        <v>серый</v>
      </c>
      <c r="Y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серый</v>
      </c>
      <c r="Z132" s="73" t="str">
        <f ca="1"/>
        <v>21-602-01-57</v>
      </c>
      <c r="AA132" s="75" t="str">
        <f ca="1">VLOOKUP(C132,Группа!A:B,2,FALSE)</f>
        <v>Кепка</v>
      </c>
      <c r="AB132" s="97" t="str">
        <f ca="1">IFERROR(VLOOKUP(R132,Размеры!A:C,3,FALSE),"")</f>
        <v>57 M</v>
      </c>
      <c r="AC132" s="97" t="str">
        <f ca="1">VLOOKUP(I132,ЦветПолный!A:B,2,FALSE)</f>
        <v>01</v>
      </c>
      <c r="AD132" s="97" t="str">
        <f ca="1">IFERROR(VLOOKUP(R132,Размеры!A:D,4,FALSE),"")</f>
        <v>57</v>
      </c>
      <c r="AE132" s="97">
        <f ca="1">IF(LEFT(IFERROR(VLOOKUP(LOOKUP(2,1/SEARCH(B132,Товары!A:A),Товары!A:A),Товары!A:B,2,0),""),6)=MID(Z132,1,6),1,0)</f>
        <v>1</v>
      </c>
      <c r="AG132" s="97">
        <f ca="1">SUMIF(Группа!A:A,C132,Группа!C:C)</f>
        <v>1</v>
      </c>
      <c r="AH132" s="97">
        <f ca="1">SUMIF(Группа!B:B,AA132,Группа!C:C)</f>
        <v>1</v>
      </c>
      <c r="AI132" s="97">
        <f ca="1">SUMIF(Формы!A:A,D132,Формы!B:B)</f>
        <v>1</v>
      </c>
      <c r="AJ132" s="97">
        <f ca="1">SUMIF(Материал!A:A,K132,Материал!B:B)</f>
        <v>1</v>
      </c>
      <c r="AK132" s="97">
        <f ca="1">SUMIF(Размеры!A:A,R132,Размеры!E:E)</f>
        <v>1</v>
      </c>
      <c r="AL132" s="97">
        <f ca="1">SUMIF(Сезон!A:A,F132,Сезон!B:B)</f>
        <v>1</v>
      </c>
      <c r="AM132" s="97">
        <f ca="1">SUMIF(Состав!A:A,J132,Состав!B:B)</f>
        <v>0</v>
      </c>
      <c r="AN132" s="97">
        <f ca="1">VLOOKUP(I132,ЦветПолный!A:C,3,0)</f>
        <v>1</v>
      </c>
      <c r="AO132" s="97">
        <f ca="1">SUMIF(Цвет!A:A,Y132,Цвет!B:B)</f>
        <v>1</v>
      </c>
      <c r="AP132" s="97">
        <f ca="1">_xlfn.XLOOKUP(L132,Пол!A:A,Пол!B:B,0,0)</f>
        <v>1</v>
      </c>
      <c r="AQ132" s="97">
        <f ca="1">SUMIF(Марка!A:A,G132,Марка!B:B)</f>
        <v>1</v>
      </c>
      <c r="AR132" s="97">
        <f ca="1">SUMIF(Страна!A:A,M132,Страна!B:B)</f>
        <v>1</v>
      </c>
      <c r="AS132" s="64" t="str">
        <f ca="1">IF(VLOOKUP(V132,Товары!A:B,2,FALSE)=A132,"Есть в 1С","ERR")</f>
        <v>Есть в 1С</v>
      </c>
      <c r="AT132" s="65" t="str">
        <f ca="1">IF(VLOOKUP(A132,Товары!B:B,1,FALSE)=A132,"Есть в 1С","ERR")</f>
        <v>Есть в 1С</v>
      </c>
      <c r="AU132" s="96" t="str">
        <f ca="1">VLOOKUP(V132,Товары!A:B,2,FALSE)</f>
        <v>21-602-01</v>
      </c>
      <c r="AV132" s="94" t="str">
        <f ca="1">VLOOKUP(V132,Товары!A:B,1,FALSE)</f>
        <v>Кепка BAILEY арт. 90119BH GANEY (светло-серый) {charcoal}</v>
      </c>
    </row>
    <row r="133" spans="1:48" x14ac:dyDescent="0.25">
      <c r="A133" s="110" t="str">
        <f t="shared" ca="1" si="22"/>
        <v>21-602-01</v>
      </c>
      <c r="B133" s="107" t="str">
        <f ca="1">_xlfn.LET(_xlpm.CAPS,0,_xlpm.Style,_xlfn.XLOOKUP($A133,Строчный!$A:$A,Строчный!B:B,"ERR",0),IF(_xlpm.CAPS=0,_xlpm.Style,LOWER(_xlpm.Style)))</f>
        <v>90119BH GANEY</v>
      </c>
      <c r="C133" s="81" t="str">
        <f ca="1">PROPER(_xlfn.XLOOKUP($A133,Строчный!$A:$A,Строчный!C:C,"ERR",0))</f>
        <v>Кепки</v>
      </c>
      <c r="D133" s="81" t="str">
        <f ca="1">_xlfn.LET(_xlpm.DATA,(_xlfn.XLOOKUP($A133,Строчный!$A:$A,Строчный!D:D,"ERR",0)),UPPER(MID(_xlpm.DATA,1,1))&amp;LOWER(MID(_xlpm.DATA,2,LEN(_xlpm.DATA)-1)))</f>
        <v>Кепка плоская</v>
      </c>
      <c r="E133" s="81" t="str">
        <f ca="1">PROPER(_xlfn.XLOOKUP($A133,Строчный!$A:$A,Строчный!E:E,"ERR",0))</f>
        <v>The Hollywood</v>
      </c>
      <c r="F133" s="81" t="str">
        <f ca="1">LOWER(_xlfn.XLOOKUP($A133,Строчный!$A:$A,Строчный!F:F,"ERR",0))</f>
        <v>летний</v>
      </c>
      <c r="G133" s="81" t="str">
        <f ca="1">UPPER(_xlfn.XLOOKUP($A133,Строчный!$A:$A,Строчный!G:G,"ERR",0))</f>
        <v>BAILEY</v>
      </c>
      <c r="H133" s="81" t="str">
        <f ca="1">LOWER(_xlfn.XLOOKUP($A133,Строчный!$A:$A,Строчный!H:H,"ERR",0))</f>
        <v>charcoal</v>
      </c>
      <c r="I133" s="81" t="str">
        <f ca="1">LOWER(_xlfn.XLOOKUP($A133,Строчный!$A:$A,Строчный!I:I,"ERR",0))</f>
        <v>светло-серый</v>
      </c>
      <c r="J133" s="81" t="str">
        <f ca="1">SUBSTITUTE(LOWER(_xlfn.XLOOKUP($A133,Строчный!$A:$A,Строчный!J:J,"ERR",0)),"подклад","Подклад")</f>
        <v>100% хлопок / Подклад: 100% полиэстер</v>
      </c>
      <c r="K133" s="81" t="str">
        <f ca="1">LOWER(_xlfn.XLOOKUP($A133,Строчный!$A:$A,Строчный!K:K,"ERR",0))</f>
        <v>хлопковые</v>
      </c>
      <c r="L133" s="81" t="str">
        <f ca="1">PROPER(_xlfn.XLOOKUP($A133,Строчный!$A:$A,Строчный!L:L,"ERR",0))</f>
        <v>Унисекс</v>
      </c>
      <c r="M133" s="113" t="str">
        <f ca="1">PROPER(_xlfn.XLOOKUP($A133,Строчный!$A:$A,Строчный!M:M,"ERR",0))</f>
        <v>Китай</v>
      </c>
      <c r="N133" s="81" t="str">
        <f ca="1">UPPER(_xlfn.XLOOKUP($A133,Строчный!$A:$A,Строчный!O:O,"ERR",0))</f>
        <v/>
      </c>
      <c r="O133" s="107" t="str">
        <f ca="1">PROPER(_xlfn.XLOOKUP($A133,Строчный!$A:$A,Строчный!P:P,"ERR",0))</f>
        <v/>
      </c>
      <c r="P133" s="90">
        <f ca="1">VALUE(_xlfn.XLOOKUP($A133,Строчный!$A:$A,Строчный!N:N,"ERR",0))</f>
        <v>1749.1499999999999</v>
      </c>
      <c r="Q133" s="89" t="str">
        <f ca="1">_xlfn.XLOOKUP($G133,Фабрика!A:A,Фабрика!B:B,"ERR",0)</f>
        <v>Bollman Headwear Europe Ltd; 2 Merchants drive, Caelisle, Cumbria CA3 0JW, United Kingdom</v>
      </c>
      <c r="R133" s="80" t="str">
        <f ca="1">_xlfn.XLOOKUP(RIGHT(Z133,2),Размеры!D:D,Размеры!A:A,"ERR",0)</f>
        <v>55</v>
      </c>
      <c r="S133" s="80">
        <f ca="1">VALUE(_xlfn.XLOOKUP($Z133,Строчный!$R:$R,Строчный!T:T,"ERR",0))</f>
        <v>1</v>
      </c>
      <c r="T133" s="14" t="s">
        <v>265</v>
      </c>
      <c r="U133" s="101" t="str">
        <f t="shared" ca="1" si="18"/>
        <v>Кепка BAILEY арт. 90119BH GANEY (светло-серый)</v>
      </c>
      <c r="V133" s="100" t="str">
        <f t="shared" ca="1" si="19"/>
        <v>Кепка BAILEY арт. 90119BH GANEY (светло-серый) {charcoal}</v>
      </c>
      <c r="W133" s="18" t="str">
        <f t="shared" ca="1" si="20"/>
        <v>серый</v>
      </c>
      <c r="X133" s="18" t="str">
        <f t="shared" ca="1" si="21"/>
        <v>серый</v>
      </c>
      <c r="Y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серый</v>
      </c>
      <c r="Z133" s="73" t="str">
        <f ca="1"/>
        <v>21-602-01-55</v>
      </c>
      <c r="AA133" s="75" t="str">
        <f ca="1">VLOOKUP(C133,Группа!A:B,2,FALSE)</f>
        <v>Кепка</v>
      </c>
      <c r="AB133" s="97" t="str">
        <f ca="1">IFERROR(VLOOKUP(R133,Размеры!A:C,3,FALSE),"")</f>
        <v>55 S</v>
      </c>
      <c r="AC133" s="97" t="str">
        <f ca="1">VLOOKUP(I133,ЦветПолный!A:B,2,FALSE)</f>
        <v>01</v>
      </c>
      <c r="AD133" s="97" t="str">
        <f ca="1">IFERROR(VLOOKUP(R133,Размеры!A:D,4,FALSE),"")</f>
        <v>55</v>
      </c>
      <c r="AE133" s="97">
        <f ca="1">IF(LEFT(IFERROR(VLOOKUP(LOOKUP(2,1/SEARCH(B133,Товары!A:A),Товары!A:A),Товары!A:B,2,0),""),6)=MID(Z133,1,6),1,0)</f>
        <v>1</v>
      </c>
      <c r="AG133" s="97">
        <f ca="1">SUMIF(Группа!A:A,C133,Группа!C:C)</f>
        <v>1</v>
      </c>
      <c r="AH133" s="97">
        <f ca="1">SUMIF(Группа!B:B,AA133,Группа!C:C)</f>
        <v>1</v>
      </c>
      <c r="AI133" s="97">
        <f ca="1">SUMIF(Формы!A:A,D133,Формы!B:B)</f>
        <v>1</v>
      </c>
      <c r="AJ133" s="97">
        <f ca="1">SUMIF(Материал!A:A,K133,Материал!B:B)</f>
        <v>1</v>
      </c>
      <c r="AK133" s="97">
        <f ca="1">SUMIF(Размеры!A:A,R133,Размеры!E:E)</f>
        <v>1</v>
      </c>
      <c r="AL133" s="97">
        <f ca="1">SUMIF(Сезон!A:A,F133,Сезон!B:B)</f>
        <v>1</v>
      </c>
      <c r="AM133" s="97">
        <f ca="1">SUMIF(Состав!A:A,J133,Состав!B:B)</f>
        <v>0</v>
      </c>
      <c r="AN133" s="97">
        <f ca="1">VLOOKUP(I133,ЦветПолный!A:C,3,0)</f>
        <v>1</v>
      </c>
      <c r="AO133" s="97">
        <f ca="1">SUMIF(Цвет!A:A,Y133,Цвет!B:B)</f>
        <v>1</v>
      </c>
      <c r="AP133" s="97">
        <f ca="1">_xlfn.XLOOKUP(L133,Пол!A:A,Пол!B:B,0,0)</f>
        <v>1</v>
      </c>
      <c r="AQ133" s="97">
        <f ca="1">SUMIF(Марка!A:A,G133,Марка!B:B)</f>
        <v>1</v>
      </c>
      <c r="AR133" s="97">
        <f ca="1">SUMIF(Страна!A:A,M133,Страна!B:B)</f>
        <v>1</v>
      </c>
      <c r="AS133" s="64" t="str">
        <f ca="1">IF(VLOOKUP(V133,Товары!A:B,2,FALSE)=A133,"Есть в 1С","ERR")</f>
        <v>Есть в 1С</v>
      </c>
      <c r="AT133" s="65" t="str">
        <f ca="1">IF(VLOOKUP(A133,Товары!B:B,1,FALSE)=A133,"Есть в 1С","ERR")</f>
        <v>Есть в 1С</v>
      </c>
      <c r="AU133" s="96" t="str">
        <f ca="1">VLOOKUP(V133,Товары!A:B,2,FALSE)</f>
        <v>21-602-01</v>
      </c>
      <c r="AV133" s="94" t="str">
        <f ca="1">VLOOKUP(V133,Товары!A:B,1,FALSE)</f>
        <v>Кепка BAILEY арт. 90119BH GANEY (светло-серый) {charcoal}</v>
      </c>
    </row>
    <row r="134" spans="1:48" x14ac:dyDescent="0.25">
      <c r="A134" s="110" t="str">
        <f t="shared" ca="1" si="22"/>
        <v>21-600-09</v>
      </c>
      <c r="B134" s="107" t="str">
        <f ca="1">_xlfn.LET(_xlpm.CAPS,0,_xlpm.Style,_xlfn.XLOOKUP($A134,Строчный!$A:$A,Строчный!B:B,"ERR",0),IF(_xlpm.CAPS=0,_xlpm.Style,LOWER(_xlpm.Style)))</f>
        <v>81727BH DENNEY</v>
      </c>
      <c r="C134" s="81" t="str">
        <f ca="1">PROPER(_xlfn.XLOOKUP($A134,Строчный!$A:$A,Строчный!C:C,"ERR",0))</f>
        <v>Шляпы</v>
      </c>
      <c r="D134" s="81" t="str">
        <f ca="1">_xlfn.LET(_xlpm.DATA,(_xlfn.XLOOKUP($A134,Строчный!$A:$A,Строчный!D:D,"ERR",0)),UPPER(MID(_xlpm.DATA,1,1))&amp;LOWER(MID(_xlpm.DATA,2,LEN(_xlpm.DATA)-1)))</f>
        <v>Шляпа федора</v>
      </c>
      <c r="E134" s="81" t="str">
        <f ca="1">PROPER(_xlfn.XLOOKUP($A134,Строчный!$A:$A,Строчный!E:E,"ERR",0))</f>
        <v>The Hollywood</v>
      </c>
      <c r="F134" s="81" t="str">
        <f ca="1">LOWER(_xlfn.XLOOKUP($A134,Строчный!$A:$A,Строчный!F:F,"ERR",0))</f>
        <v>летний</v>
      </c>
      <c r="G134" s="81" t="str">
        <f ca="1">UPPER(_xlfn.XLOOKUP($A134,Строчный!$A:$A,Строчный!G:G,"ERR",0))</f>
        <v>BAILEY</v>
      </c>
      <c r="H134" s="81" t="str">
        <f ca="1">LOWER(_xlfn.XLOOKUP($A134,Строчный!$A:$A,Строчный!H:H,"ERR",0))</f>
        <v>black</v>
      </c>
      <c r="I134" s="81" t="str">
        <f ca="1">LOWER(_xlfn.XLOOKUP($A134,Строчный!$A:$A,Строчный!I:I,"ERR",0))</f>
        <v>черный</v>
      </c>
      <c r="J134" s="81" t="str">
        <f ca="1">SUBSTITUTE(LOWER(_xlfn.XLOOKUP($A134,Строчный!$A:$A,Строчный!J:J,"ERR",0)),"подклад","Подклад")</f>
        <v>55% бумага - 45% полиэстер</v>
      </c>
      <c r="K134" s="81" t="str">
        <f ca="1">LOWER(_xlfn.XLOOKUP($A134,Строчный!$A:$A,Строчный!K:K,"ERR",0))</f>
        <v>бумажные</v>
      </c>
      <c r="L134" s="81" t="str">
        <f ca="1">PROPER(_xlfn.XLOOKUP($A134,Строчный!$A:$A,Строчный!L:L,"ERR",0))</f>
        <v>Унисекс</v>
      </c>
      <c r="M134" s="113" t="str">
        <f ca="1">PROPER(_xlfn.XLOOKUP($A134,Строчный!$A:$A,Строчный!M:M,"ERR",0))</f>
        <v>Китай</v>
      </c>
      <c r="N134" s="81" t="str">
        <f ca="1">UPPER(_xlfn.XLOOKUP($A134,Строчный!$A:$A,Строчный!O:O,"ERR",0))</f>
        <v/>
      </c>
      <c r="O134" s="107" t="str">
        <f ca="1">PROPER(_xlfn.XLOOKUP($A134,Строчный!$A:$A,Строчный!P:P,"ERR",0))</f>
        <v/>
      </c>
      <c r="P134" s="90">
        <f ca="1">VALUE(_xlfn.XLOOKUP($A134,Строчный!$A:$A,Строчный!N:N,"ERR",0))</f>
        <v>2106</v>
      </c>
      <c r="Q134" s="89" t="str">
        <f ca="1">_xlfn.XLOOKUP($G134,Фабрика!A:A,Фабрика!B:B,"ERR",0)</f>
        <v>Bollman Headwear Europe Ltd; 2 Merchants drive, Caelisle, Cumbria CA3 0JW, United Kingdom</v>
      </c>
      <c r="R134" s="80" t="str">
        <f ca="1">_xlfn.XLOOKUP(RIGHT(Z134,2),Размеры!D:D,Размеры!A:A,"ERR",0)</f>
        <v>61</v>
      </c>
      <c r="S134" s="80">
        <f ca="1">VALUE(_xlfn.XLOOKUP($Z134,Строчный!$R:$R,Строчный!T:T,"ERR",0))</f>
        <v>3</v>
      </c>
      <c r="T134" s="14" t="s">
        <v>265</v>
      </c>
      <c r="U134" s="101" t="str">
        <f t="shared" ca="1" si="18"/>
        <v>Шляпа BAILEY арт. 81727BH DENNEY (черный)</v>
      </c>
      <c r="V134" s="100" t="str">
        <f t="shared" ca="1" si="19"/>
        <v>Шляпа BAILEY арт. 81727BH DENNEY (черный) {black}</v>
      </c>
      <c r="W134" s="18" t="str">
        <f t="shared" ca="1" si="20"/>
        <v>черный</v>
      </c>
      <c r="X134" s="18" t="str">
        <f t="shared" ca="1" si="21"/>
        <v>черный</v>
      </c>
      <c r="Y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Z134" s="73" t="str">
        <f ca="1"/>
        <v>21-600-09-61</v>
      </c>
      <c r="AA134" s="75" t="str">
        <f ca="1">VLOOKUP(C134,Группа!A:B,2,FALSE)</f>
        <v>Шляпа</v>
      </c>
      <c r="AB134" s="97" t="str">
        <f ca="1">IFERROR(VLOOKUP(R134,Размеры!A:C,3,FALSE),"")</f>
        <v>61 XL</v>
      </c>
      <c r="AC134" s="97" t="str">
        <f ca="1">VLOOKUP(I134,ЦветПолный!A:B,2,FALSE)</f>
        <v>09</v>
      </c>
      <c r="AD134" s="97" t="str">
        <f ca="1">IFERROR(VLOOKUP(R134,Размеры!A:D,4,FALSE),"")</f>
        <v>61</v>
      </c>
      <c r="AE134" s="97">
        <f ca="1">IF(LEFT(IFERROR(VLOOKUP(LOOKUP(2,1/SEARCH(B134,Товары!A:A),Товары!A:A),Товары!A:B,2,0),""),6)=MID(Z134,1,6),1,0)</f>
        <v>1</v>
      </c>
      <c r="AG134" s="97">
        <f ca="1">SUMIF(Группа!A:A,C134,Группа!C:C)</f>
        <v>1</v>
      </c>
      <c r="AH134" s="97">
        <f ca="1">SUMIF(Группа!B:B,AA134,Группа!C:C)</f>
        <v>1</v>
      </c>
      <c r="AI134" s="97">
        <f ca="1">SUMIF(Формы!A:A,D134,Формы!B:B)</f>
        <v>1</v>
      </c>
      <c r="AJ134" s="97">
        <f ca="1">SUMIF(Материал!A:A,K134,Материал!B:B)</f>
        <v>1</v>
      </c>
      <c r="AK134" s="97">
        <f ca="1">SUMIF(Размеры!A:A,R134,Размеры!E:E)</f>
        <v>1</v>
      </c>
      <c r="AL134" s="97">
        <f ca="1">SUMIF(Сезон!A:A,F134,Сезон!B:B)</f>
        <v>1</v>
      </c>
      <c r="AM134" s="97">
        <f ca="1">SUMIF(Состав!A:A,J134,Состав!B:B)</f>
        <v>1</v>
      </c>
      <c r="AN134" s="97">
        <f ca="1">VLOOKUP(I134,ЦветПолный!A:C,3,0)</f>
        <v>1</v>
      </c>
      <c r="AO134" s="97">
        <f ca="1">SUMIF(Цвет!A:A,Y134,Цвет!B:B)</f>
        <v>1</v>
      </c>
      <c r="AP134" s="97">
        <f ca="1">_xlfn.XLOOKUP(L134,Пол!A:A,Пол!B:B,0,0)</f>
        <v>1</v>
      </c>
      <c r="AQ134" s="97">
        <f ca="1">SUMIF(Марка!A:A,G134,Марка!B:B)</f>
        <v>1</v>
      </c>
      <c r="AR134" s="97">
        <f ca="1">SUMIF(Страна!A:A,M134,Страна!B:B)</f>
        <v>1</v>
      </c>
      <c r="AS134" s="64" t="str">
        <f ca="1">IF(VLOOKUP(V134,Товары!A:B,2,FALSE)=A134,"Есть в 1С","ERR")</f>
        <v>Есть в 1С</v>
      </c>
      <c r="AT134" s="65" t="str">
        <f ca="1">IF(VLOOKUP(A134,Товары!B:B,1,FALSE)=A134,"Есть в 1С","ERR")</f>
        <v>Есть в 1С</v>
      </c>
      <c r="AU134" s="96" t="str">
        <f ca="1">VLOOKUP(V134,Товары!A:B,2,FALSE)</f>
        <v>21-600-09</v>
      </c>
      <c r="AV134" s="94" t="str">
        <f ca="1">VLOOKUP(V134,Товары!A:B,1,FALSE)</f>
        <v>Шляпа BAILEY арт. 81727BH DENNEY (черный) {black}</v>
      </c>
    </row>
    <row r="135" spans="1:48" x14ac:dyDescent="0.25">
      <c r="A135" s="110" t="str">
        <f t="shared" ca="1" si="22"/>
        <v>21-600-09</v>
      </c>
      <c r="B135" s="107" t="str">
        <f ca="1">_xlfn.LET(_xlpm.CAPS,0,_xlpm.Style,_xlfn.XLOOKUP($A135,Строчный!$A:$A,Строчный!B:B,"ERR",0),IF(_xlpm.CAPS=0,_xlpm.Style,LOWER(_xlpm.Style)))</f>
        <v>81727BH DENNEY</v>
      </c>
      <c r="C135" s="81" t="str">
        <f ca="1">PROPER(_xlfn.XLOOKUP($A135,Строчный!$A:$A,Строчный!C:C,"ERR",0))</f>
        <v>Шляпы</v>
      </c>
      <c r="D135" s="81" t="str">
        <f ca="1">_xlfn.LET(_xlpm.DATA,(_xlfn.XLOOKUP($A135,Строчный!$A:$A,Строчный!D:D,"ERR",0)),UPPER(MID(_xlpm.DATA,1,1))&amp;LOWER(MID(_xlpm.DATA,2,LEN(_xlpm.DATA)-1)))</f>
        <v>Шляпа федора</v>
      </c>
      <c r="E135" s="81" t="str">
        <f ca="1">PROPER(_xlfn.XLOOKUP($A135,Строчный!$A:$A,Строчный!E:E,"ERR",0))</f>
        <v>The Hollywood</v>
      </c>
      <c r="F135" s="81" t="str">
        <f ca="1">LOWER(_xlfn.XLOOKUP($A135,Строчный!$A:$A,Строчный!F:F,"ERR",0))</f>
        <v>летний</v>
      </c>
      <c r="G135" s="81" t="str">
        <f ca="1">UPPER(_xlfn.XLOOKUP($A135,Строчный!$A:$A,Строчный!G:G,"ERR",0))</f>
        <v>BAILEY</v>
      </c>
      <c r="H135" s="81" t="str">
        <f ca="1">LOWER(_xlfn.XLOOKUP($A135,Строчный!$A:$A,Строчный!H:H,"ERR",0))</f>
        <v>black</v>
      </c>
      <c r="I135" s="81" t="str">
        <f ca="1">LOWER(_xlfn.XLOOKUP($A135,Строчный!$A:$A,Строчный!I:I,"ERR",0))</f>
        <v>черный</v>
      </c>
      <c r="J135" s="81" t="str">
        <f ca="1">SUBSTITUTE(LOWER(_xlfn.XLOOKUP($A135,Строчный!$A:$A,Строчный!J:J,"ERR",0)),"подклад","Подклад")</f>
        <v>55% бумага - 45% полиэстер</v>
      </c>
      <c r="K135" s="81" t="str">
        <f ca="1">LOWER(_xlfn.XLOOKUP($A135,Строчный!$A:$A,Строчный!K:K,"ERR",0))</f>
        <v>бумажные</v>
      </c>
      <c r="L135" s="81" t="str">
        <f ca="1">PROPER(_xlfn.XLOOKUP($A135,Строчный!$A:$A,Строчный!L:L,"ERR",0))</f>
        <v>Унисекс</v>
      </c>
      <c r="M135" s="113" t="str">
        <f ca="1">PROPER(_xlfn.XLOOKUP($A135,Строчный!$A:$A,Строчный!M:M,"ERR",0))</f>
        <v>Китай</v>
      </c>
      <c r="N135" s="81" t="str">
        <f ca="1">UPPER(_xlfn.XLOOKUP($A135,Строчный!$A:$A,Строчный!O:O,"ERR",0))</f>
        <v/>
      </c>
      <c r="O135" s="107" t="str">
        <f ca="1">PROPER(_xlfn.XLOOKUP($A135,Строчный!$A:$A,Строчный!P:P,"ERR",0))</f>
        <v/>
      </c>
      <c r="P135" s="90">
        <f ca="1">VALUE(_xlfn.XLOOKUP($A135,Строчный!$A:$A,Строчный!N:N,"ERR",0))</f>
        <v>2106</v>
      </c>
      <c r="Q135" s="89" t="str">
        <f ca="1">_xlfn.XLOOKUP($G135,Фабрика!A:A,Фабрика!B:B,"ERR",0)</f>
        <v>Bollman Headwear Europe Ltd; 2 Merchants drive, Caelisle, Cumbria CA3 0JW, United Kingdom</v>
      </c>
      <c r="R135" s="80" t="str">
        <f ca="1">_xlfn.XLOOKUP(RIGHT(Z135,2),Размеры!D:D,Размеры!A:A,"ERR",0)</f>
        <v>59</v>
      </c>
      <c r="S135" s="80">
        <f ca="1">VALUE(_xlfn.XLOOKUP($Z135,Строчный!$R:$R,Строчный!T:T,"ERR",0))</f>
        <v>5</v>
      </c>
      <c r="T135" s="14" t="s">
        <v>265</v>
      </c>
      <c r="U135" s="101" t="str">
        <f t="shared" ca="1" si="18"/>
        <v>Шляпа BAILEY арт. 81727BH DENNEY (черный)</v>
      </c>
      <c r="V135" s="100" t="str">
        <f t="shared" ca="1" si="19"/>
        <v>Шляпа BAILEY арт. 81727BH DENNEY (черный) {black}</v>
      </c>
      <c r="W135" s="18" t="str">
        <f t="shared" ca="1" si="20"/>
        <v>черный</v>
      </c>
      <c r="X135" s="18" t="str">
        <f t="shared" ca="1" si="21"/>
        <v>черный</v>
      </c>
      <c r="Y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черный</v>
      </c>
      <c r="Z135" s="73" t="str">
        <f ca="1"/>
        <v>21-600-09-59</v>
      </c>
      <c r="AA135" s="75" t="str">
        <f ca="1">VLOOKUP(C135,Группа!A:B,2,FALSE)</f>
        <v>Шляпа</v>
      </c>
      <c r="AB135" s="97" t="str">
        <f ca="1">IFERROR(VLOOKUP(R135,Размеры!A:C,3,FALSE),"")</f>
        <v>59 L</v>
      </c>
      <c r="AC135" s="97" t="str">
        <f ca="1">VLOOKUP(I135,ЦветПолный!A:B,2,FALSE)</f>
        <v>09</v>
      </c>
      <c r="AD135" s="97" t="str">
        <f ca="1">IFERROR(VLOOKUP(R135,Размеры!A:D,4,FALSE),"")</f>
        <v>59</v>
      </c>
      <c r="AE135" s="97">
        <f ca="1">IF(LEFT(IFERROR(VLOOKUP(LOOKUP(2,1/SEARCH(B135,Товары!A:A),Товары!A:A),Товары!A:B,2,0),""),6)=MID(Z135,1,6),1,0)</f>
        <v>1</v>
      </c>
      <c r="AG135" s="97">
        <f ca="1">SUMIF(Группа!A:A,C135,Группа!C:C)</f>
        <v>1</v>
      </c>
      <c r="AH135" s="97">
        <f ca="1">SUMIF(Группа!B:B,AA135,Группа!C:C)</f>
        <v>1</v>
      </c>
      <c r="AI135" s="97">
        <f ca="1">SUMIF(Формы!A:A,D135,Формы!B:B)</f>
        <v>1</v>
      </c>
      <c r="AJ135" s="97">
        <f ca="1">SUMIF(Материал!A:A,K135,Материал!B:B)</f>
        <v>1</v>
      </c>
      <c r="AK135" s="97">
        <f ca="1">SUMIF(Размеры!A:A,R135,Размеры!E:E)</f>
        <v>1</v>
      </c>
      <c r="AL135" s="97">
        <f ca="1">SUMIF(Сезон!A:A,F135,Сезон!B:B)</f>
        <v>1</v>
      </c>
      <c r="AM135" s="97">
        <f ca="1">SUMIF(Состав!A:A,J135,Состав!B:B)</f>
        <v>1</v>
      </c>
      <c r="AN135" s="97">
        <f ca="1">VLOOKUP(I135,ЦветПолный!A:C,3,0)</f>
        <v>1</v>
      </c>
      <c r="AO135" s="97">
        <f ca="1">SUMIF(Цвет!A:A,Y135,Цвет!B:B)</f>
        <v>1</v>
      </c>
      <c r="AP135" s="97">
        <f ca="1">_xlfn.XLOOKUP(L135,Пол!A:A,Пол!B:B,0,0)</f>
        <v>1</v>
      </c>
      <c r="AQ135" s="97">
        <f ca="1">SUMIF(Марка!A:A,G135,Марка!B:B)</f>
        <v>1</v>
      </c>
      <c r="AR135" s="97">
        <f ca="1">SUMIF(Страна!A:A,M135,Страна!B:B)</f>
        <v>1</v>
      </c>
      <c r="AS135" s="64" t="str">
        <f ca="1">IF(VLOOKUP(V135,Товары!A:B,2,FALSE)=A135,"Есть в 1С","ERR")</f>
        <v>Есть в 1С</v>
      </c>
      <c r="AT135" s="65" t="str">
        <f ca="1">IF(VLOOKUP(A135,Товары!B:B,1,FALSE)=A135,"Есть в 1С","ERR")</f>
        <v>Есть в 1С</v>
      </c>
      <c r="AU135" s="96" t="str">
        <f ca="1">VLOOKUP(V135,Товары!A:B,2,FALSE)</f>
        <v>21-600-09</v>
      </c>
      <c r="AV135" s="94" t="str">
        <f ca="1">VLOOKUP(V135,Товары!A:B,1,FALSE)</f>
        <v>Шляпа BAILEY арт. 81727BH DENNEY (черный) {black}</v>
      </c>
    </row>
    <row r="136" spans="1:48" x14ac:dyDescent="0.25">
      <c r="A136" s="110" t="str">
        <f t="shared" ca="1" si="22"/>
        <v>21-600-09</v>
      </c>
      <c r="B136" s="107" t="str">
        <f ca="1">_xlfn.LET(_xlpm.CAPS,0,_xlpm.Style,_xlfn.XLOOKUP($A136,Строчный!$A:$A,Строчный!B:B,"ERR",0),IF(_xlpm.CAPS=0,_xlpm.Style,LOWER(_xlpm.Style)))</f>
        <v>81727BH DENNEY</v>
      </c>
      <c r="C136" s="81" t="str">
        <f ca="1">PROPER(_xlfn.XLOOKUP($A136,Строчный!$A:$A,Строчный!C:C,"ERR",0))</f>
        <v>Шляпы</v>
      </c>
      <c r="D136" s="81" t="str">
        <f ca="1">_xlfn.LET(_xlpm.DATA,(_xlfn.XLOOKUP($A136,Строчный!$A:$A,Строчный!D:D,"ERR",0)),UPPER(MID(_xlpm.DATA,1,1))&amp;LOWER(MID(_xlpm.DATA,2,LEN(_xlpm.DATA)-1)))</f>
        <v>Шляпа федора</v>
      </c>
      <c r="E136" s="81" t="str">
        <f ca="1">PROPER(_xlfn.XLOOKUP($A136,Строчный!$A:$A,Строчный!E:E,"ERR",0))</f>
        <v>The Hollywood</v>
      </c>
      <c r="F136" s="81" t="str">
        <f ca="1">LOWER(_xlfn.XLOOKUP($A136,Строчный!$A:$A,Строчный!F:F,"ERR",0))</f>
        <v>летний</v>
      </c>
      <c r="G136" s="81" t="str">
        <f ca="1">UPPER(_xlfn.XLOOKUP($A136,Строчный!$A:$A,Строчный!G:G,"ERR",0))</f>
        <v>BAILEY</v>
      </c>
      <c r="H136" s="81" t="str">
        <f ca="1">LOWER(_xlfn.XLOOKUP($A136,Строчный!$A:$A,Строчный!H:H,"ERR",0))</f>
        <v>black</v>
      </c>
      <c r="I136" s="81" t="str">
        <f ca="1">LOWER(_xlfn.XLOOKUP($A136,Строчный!$A:$A,Строчный!I:I,"ERR",0))</f>
        <v>черный</v>
      </c>
      <c r="J136" s="81" t="str">
        <f ca="1">SUBSTITUTE(LOWER(_xlfn.XLOOKUP($A136,Строчный!$A:$A,Строчный!J:J,"ERR",0)),"подклад","Подклад")</f>
        <v>55% бумага - 45% полиэстер</v>
      </c>
      <c r="K136" s="81" t="str">
        <f ca="1">LOWER(_xlfn.XLOOKUP($A136,Строчный!$A:$A,Строчный!K:K,"ERR",0))</f>
        <v>бумажные</v>
      </c>
      <c r="L136" s="81" t="str">
        <f ca="1">PROPER(_xlfn.XLOOKUP($A136,Строчный!$A:$A,Строчный!L:L,"ERR",0))</f>
        <v>Унисекс</v>
      </c>
      <c r="M136" s="113" t="str">
        <f ca="1">PROPER(_xlfn.XLOOKUP($A136,Строчный!$A:$A,Строчный!M:M,"ERR",0))</f>
        <v>Китай</v>
      </c>
      <c r="N136" s="81" t="str">
        <f ca="1">UPPER(_xlfn.XLOOKUP($A136,Строчный!$A:$A,Строчный!O:O,"ERR",0))</f>
        <v/>
      </c>
      <c r="O136" s="107" t="str">
        <f ca="1">PROPER(_xlfn.XLOOKUP($A136,Строчный!$A:$A,Строчный!P:P,"ERR",0))</f>
        <v/>
      </c>
      <c r="P136" s="90">
        <f ca="1">VALUE(_xlfn.XLOOKUP($A136,Строчный!$A:$A,Строчный!N:N,"ERR",0))</f>
        <v>2106</v>
      </c>
      <c r="Q136" s="89" t="str">
        <f ca="1">_xlfn.XLOOKUP($G136,Фабрика!A:A,Фабрика!B:B,"ERR",0)</f>
        <v>Bollman Headwear Europe Ltd; 2 Merchants drive, Caelisle, Cumbria CA3 0JW, United Kingdom</v>
      </c>
      <c r="R136" s="80" t="str">
        <f ca="1">_xlfn.XLOOKUP(RIGHT(Z136,2),Размеры!D:D,Размеры!A:A,"ERR",0)</f>
        <v>57</v>
      </c>
      <c r="S136" s="80">
        <f ca="1">VALUE(_xlfn.XLOOKUP($Z136,Строчный!$R:$R,Строчный!T:T,"ERR",0))</f>
        <v>3</v>
      </c>
      <c r="T136" s="14" t="s">
        <v>265</v>
      </c>
      <c r="U136" s="101" t="str">
        <f t="shared" ca="1" si="18"/>
        <v>Шляпа BAILEY арт. 81727BH DENNEY (черный)</v>
      </c>
      <c r="V136" s="100" t="str">
        <f t="shared" ca="1" si="19"/>
        <v>Шляпа BAILEY арт. 81727BH DENNEY (черный) {black}</v>
      </c>
      <c r="W136" s="18" t="str">
        <f t="shared" ca="1" si="20"/>
        <v>черный</v>
      </c>
      <c r="X136" s="18" t="str">
        <f t="shared" ca="1" si="21"/>
        <v>черный</v>
      </c>
      <c r="Y136" s="117" t="str">
        <f ca="1">_xlfn.LET(_xlpm.FormColors,_xlfn.XLOOKUP(A136,Строчный!A:A,Строчный!Q:Q,"",0),IF(_xlpm.FormColors=0,IFERROR(MID(I136,FIND("-",I136)+1,LEN(I136)),IFERROR(MID(I136,1,FIND("/",I136)-2),I136)),_xlpm.FormColors))</f>
        <v>черный</v>
      </c>
      <c r="Z136" s="73" t="str">
        <f ca="1"/>
        <v>21-600-09-57</v>
      </c>
      <c r="AA136" s="75" t="str">
        <f ca="1">VLOOKUP(C136,Группа!A:B,2,FALSE)</f>
        <v>Шляпа</v>
      </c>
      <c r="AB136" s="97" t="str">
        <f ca="1">IFERROR(VLOOKUP(R136,Размеры!A:C,3,FALSE),"")</f>
        <v>57 M</v>
      </c>
      <c r="AC136" s="97" t="str">
        <f ca="1">VLOOKUP(I136,ЦветПолный!A:B,2,FALSE)</f>
        <v>09</v>
      </c>
      <c r="AD136" s="97" t="str">
        <f ca="1">IFERROR(VLOOKUP(R136,Размеры!A:D,4,FALSE),"")</f>
        <v>57</v>
      </c>
      <c r="AE136" s="97">
        <f ca="1">IF(LEFT(IFERROR(VLOOKUP(LOOKUP(2,1/SEARCH(B136,Товары!A:A),Товары!A:A),Товары!A:B,2,0),""),6)=MID(Z136,1,6),1,0)</f>
        <v>1</v>
      </c>
      <c r="AG136" s="97">
        <f ca="1">SUMIF(Группа!A:A,C136,Группа!C:C)</f>
        <v>1</v>
      </c>
      <c r="AH136" s="97">
        <f ca="1">SUMIF(Группа!B:B,AA136,Группа!C:C)</f>
        <v>1</v>
      </c>
      <c r="AI136" s="97">
        <f ca="1">SUMIF(Формы!A:A,D136,Формы!B:B)</f>
        <v>1</v>
      </c>
      <c r="AJ136" s="97">
        <f ca="1">SUMIF(Материал!A:A,K136,Материал!B:B)</f>
        <v>1</v>
      </c>
      <c r="AK136" s="97">
        <f ca="1">SUMIF(Размеры!A:A,R136,Размеры!E:E)</f>
        <v>1</v>
      </c>
      <c r="AL136" s="97">
        <f ca="1">SUMIF(Сезон!A:A,F136,Сезон!B:B)</f>
        <v>1</v>
      </c>
      <c r="AM136" s="97">
        <f ca="1">SUMIF(Состав!A:A,J136,Состав!B:B)</f>
        <v>1</v>
      </c>
      <c r="AN136" s="97">
        <f ca="1">VLOOKUP(I136,ЦветПолный!A:C,3,0)</f>
        <v>1</v>
      </c>
      <c r="AO136" s="97">
        <f ca="1">SUMIF(Цвет!A:A,Y136,Цвет!B:B)</f>
        <v>1</v>
      </c>
      <c r="AP136" s="97">
        <f ca="1">_xlfn.XLOOKUP(L136,Пол!A:A,Пол!B:B,0,0)</f>
        <v>1</v>
      </c>
      <c r="AQ136" s="97">
        <f ca="1">SUMIF(Марка!A:A,G136,Марка!B:B)</f>
        <v>1</v>
      </c>
      <c r="AR136" s="97">
        <f ca="1">SUMIF(Страна!A:A,M136,Страна!B:B)</f>
        <v>1</v>
      </c>
      <c r="AS136" s="64" t="str">
        <f ca="1">IF(VLOOKUP(V136,Товары!A:B,2,FALSE)=A136,"Есть в 1С","ERR")</f>
        <v>Есть в 1С</v>
      </c>
      <c r="AT136" s="65" t="str">
        <f ca="1">IF(VLOOKUP(A136,Товары!B:B,1,FALSE)=A136,"Есть в 1С","ERR")</f>
        <v>Есть в 1С</v>
      </c>
      <c r="AU136" s="96" t="str">
        <f ca="1">VLOOKUP(V136,Товары!A:B,2,FALSE)</f>
        <v>21-600-09</v>
      </c>
      <c r="AV136" s="94" t="str">
        <f ca="1">VLOOKUP(V136,Товары!A:B,1,FALSE)</f>
        <v>Шляпа BAILEY арт. 81727BH DENNEY (черный) {black}</v>
      </c>
    </row>
    <row r="137" spans="1:48" x14ac:dyDescent="0.25">
      <c r="A137" s="110" t="str">
        <f t="shared" ca="1" si="22"/>
        <v>21-600-02</v>
      </c>
      <c r="B137" s="107" t="str">
        <f ca="1">_xlfn.LET(_xlpm.CAPS,0,_xlpm.Style,_xlfn.XLOOKUP($A137,Строчный!$A:$A,Строчный!B:B,"ERR",0),IF(_xlpm.CAPS=0,_xlpm.Style,LOWER(_xlpm.Style)))</f>
        <v>81727BH DENNEY</v>
      </c>
      <c r="C137" s="81" t="str">
        <f ca="1">PROPER(_xlfn.XLOOKUP($A137,Строчный!$A:$A,Строчный!C:C,"ERR",0))</f>
        <v>Шляпы</v>
      </c>
      <c r="D137" s="81" t="str">
        <f ca="1">_xlfn.LET(_xlpm.DATA,(_xlfn.XLOOKUP($A137,Строчный!$A:$A,Строчный!D:D,"ERR",0)),UPPER(MID(_xlpm.DATA,1,1))&amp;LOWER(MID(_xlpm.DATA,2,LEN(_xlpm.DATA)-1)))</f>
        <v>Шляпа федора</v>
      </c>
      <c r="E137" s="81" t="str">
        <f ca="1">PROPER(_xlfn.XLOOKUP($A137,Строчный!$A:$A,Строчный!E:E,"ERR",0))</f>
        <v>The Hollywood</v>
      </c>
      <c r="F137" s="81" t="str">
        <f ca="1">LOWER(_xlfn.XLOOKUP($A137,Строчный!$A:$A,Строчный!F:F,"ERR",0))</f>
        <v>летний</v>
      </c>
      <c r="G137" s="81" t="str">
        <f ca="1">UPPER(_xlfn.XLOOKUP($A137,Строчный!$A:$A,Строчный!G:G,"ERR",0))</f>
        <v>BAILEY</v>
      </c>
      <c r="H137" s="81" t="str">
        <f ca="1">LOWER(_xlfn.XLOOKUP($A137,Строчный!$A:$A,Строчный!H:H,"ERR",0))</f>
        <v>latte</v>
      </c>
      <c r="I137" s="81" t="str">
        <f ca="1">LOWER(_xlfn.XLOOKUP($A137,Строчный!$A:$A,Строчный!I:I,"ERR",0))</f>
        <v>бежевый</v>
      </c>
      <c r="J137" s="81" t="str">
        <f ca="1">SUBSTITUTE(LOWER(_xlfn.XLOOKUP($A137,Строчный!$A:$A,Строчный!J:J,"ERR",0)),"подклад","Подклад")</f>
        <v>55% бумага - 45% полиэстер</v>
      </c>
      <c r="K137" s="81" t="str">
        <f ca="1">LOWER(_xlfn.XLOOKUP($A137,Строчный!$A:$A,Строчный!K:K,"ERR",0))</f>
        <v>бумажные</v>
      </c>
      <c r="L137" s="81" t="str">
        <f ca="1">PROPER(_xlfn.XLOOKUP($A137,Строчный!$A:$A,Строчный!L:L,"ERR",0))</f>
        <v>Унисекс</v>
      </c>
      <c r="M137" s="113" t="str">
        <f ca="1">PROPER(_xlfn.XLOOKUP($A137,Строчный!$A:$A,Строчный!M:M,"ERR",0))</f>
        <v>Китай</v>
      </c>
      <c r="N137" s="81" t="str">
        <f ca="1">UPPER(_xlfn.XLOOKUP($A137,Строчный!$A:$A,Строчный!O:O,"ERR",0))</f>
        <v/>
      </c>
      <c r="O137" s="107" t="str">
        <f ca="1">PROPER(_xlfn.XLOOKUP($A137,Строчный!$A:$A,Строчный!P:P,"ERR",0))</f>
        <v/>
      </c>
      <c r="P137" s="90">
        <f ca="1">VALUE(_xlfn.XLOOKUP($A137,Строчный!$A:$A,Строчный!N:N,"ERR",0))</f>
        <v>2106</v>
      </c>
      <c r="Q137" s="89" t="str">
        <f ca="1">_xlfn.XLOOKUP($G137,Фабрика!A:A,Фабрика!B:B,"ERR",0)</f>
        <v>Bollman Headwear Europe Ltd; 2 Merchants drive, Caelisle, Cumbria CA3 0JW, United Kingdom</v>
      </c>
      <c r="R137" s="80" t="str">
        <f ca="1">_xlfn.XLOOKUP(RIGHT(Z137,2),Размеры!D:D,Размеры!A:A,"ERR",0)</f>
        <v>61</v>
      </c>
      <c r="S137" s="80">
        <f ca="1">VALUE(_xlfn.XLOOKUP($Z137,Строчный!$R:$R,Строчный!T:T,"ERR",0))</f>
        <v>3</v>
      </c>
      <c r="T137" s="14" t="s">
        <v>265</v>
      </c>
      <c r="U137" s="101" t="str">
        <f t="shared" ca="1" si="18"/>
        <v>Шляпа BAILEY арт. 81727BH DENNEY (бежевый)</v>
      </c>
      <c r="V137" s="100" t="str">
        <f t="shared" ca="1" si="19"/>
        <v>Шляпа BAILEY арт. 81727BH DENNEY (бежевый) {latte}</v>
      </c>
      <c r="W137" s="18" t="str">
        <f t="shared" ca="1" si="20"/>
        <v>бежевый</v>
      </c>
      <c r="X137" s="18" t="str">
        <f t="shared" ca="1" si="21"/>
        <v>бежевый</v>
      </c>
      <c r="Y137" s="117" t="str">
        <f ca="1">_xlfn.LET(_xlpm.FormColors,_xlfn.XLOOKUP(A137,Строчный!A:A,Строчный!Q:Q,"",0),IF(_xlpm.FormColors=0,IFERROR(MID(I137,FIND("-",I137)+1,LEN(I137)),IFERROR(MID(I137,1,FIND("/",I137)-2),I137)),_xlpm.FormColors))</f>
        <v>бежевый</v>
      </c>
      <c r="Z137" s="73" t="str">
        <f ca="1"/>
        <v>21-600-02-61</v>
      </c>
      <c r="AA137" s="75" t="str">
        <f ca="1">VLOOKUP(C137,Группа!A:B,2,FALSE)</f>
        <v>Шляпа</v>
      </c>
      <c r="AB137" s="97" t="str">
        <f ca="1">IFERROR(VLOOKUP(R137,Размеры!A:C,3,FALSE),"")</f>
        <v>61 XL</v>
      </c>
      <c r="AC137" s="97" t="str">
        <f ca="1">VLOOKUP(I137,ЦветПолный!A:B,2,FALSE)</f>
        <v>02</v>
      </c>
      <c r="AD137" s="97" t="str">
        <f ca="1">IFERROR(VLOOKUP(R137,Размеры!A:D,4,FALSE),"")</f>
        <v>61</v>
      </c>
      <c r="AE137" s="97">
        <f ca="1">IF(LEFT(IFERROR(VLOOKUP(LOOKUP(2,1/SEARCH(B137,Товары!A:A),Товары!A:A),Товары!A:B,2,0),""),6)=MID(Z137,1,6),1,0)</f>
        <v>1</v>
      </c>
      <c r="AG137" s="97">
        <f ca="1">SUMIF(Группа!A:A,C137,Группа!C:C)</f>
        <v>1</v>
      </c>
      <c r="AH137" s="97">
        <f ca="1">SUMIF(Группа!B:B,AA137,Группа!C:C)</f>
        <v>1</v>
      </c>
      <c r="AI137" s="97">
        <f ca="1">SUMIF(Формы!A:A,D137,Формы!B:B)</f>
        <v>1</v>
      </c>
      <c r="AJ137" s="97">
        <f ca="1">SUMIF(Материал!A:A,K137,Материал!B:B)</f>
        <v>1</v>
      </c>
      <c r="AK137" s="97">
        <f ca="1">SUMIF(Размеры!A:A,R137,Размеры!E:E)</f>
        <v>1</v>
      </c>
      <c r="AL137" s="97">
        <f ca="1">SUMIF(Сезон!A:A,F137,Сезон!B:B)</f>
        <v>1</v>
      </c>
      <c r="AM137" s="97">
        <f ca="1">SUMIF(Состав!A:A,J137,Состав!B:B)</f>
        <v>1</v>
      </c>
      <c r="AN137" s="97">
        <f ca="1">VLOOKUP(I137,ЦветПолный!A:C,3,0)</f>
        <v>1</v>
      </c>
      <c r="AO137" s="97">
        <f ca="1">SUMIF(Цвет!A:A,Y137,Цвет!B:B)</f>
        <v>1</v>
      </c>
      <c r="AP137" s="97">
        <f ca="1">_xlfn.XLOOKUP(L137,Пол!A:A,Пол!B:B,0,0)</f>
        <v>1</v>
      </c>
      <c r="AQ137" s="97">
        <f ca="1">SUMIF(Марка!A:A,G137,Марка!B:B)</f>
        <v>1</v>
      </c>
      <c r="AR137" s="97">
        <f ca="1">SUMIF(Страна!A:A,M137,Страна!B:B)</f>
        <v>1</v>
      </c>
      <c r="AS137" s="64" t="str">
        <f ca="1">IF(VLOOKUP(V137,Товары!A:B,2,FALSE)=A137,"Есть в 1С","ERR")</f>
        <v>Есть в 1С</v>
      </c>
      <c r="AT137" s="65" t="str">
        <f ca="1">IF(VLOOKUP(A137,Товары!B:B,1,FALSE)=A137,"Есть в 1С","ERR")</f>
        <v>Есть в 1С</v>
      </c>
      <c r="AU137" s="96" t="str">
        <f ca="1">VLOOKUP(V137,Товары!A:B,2,FALSE)</f>
        <v>21-600-02</v>
      </c>
      <c r="AV137" s="94" t="str">
        <f ca="1">VLOOKUP(V137,Товары!A:B,1,FALSE)</f>
        <v>Шляпа BAILEY арт. 81727BH DENNEY (бежевый) {latte}</v>
      </c>
    </row>
    <row r="138" spans="1:48" x14ac:dyDescent="0.25">
      <c r="A138" s="110" t="str">
        <f t="shared" ca="1" si="22"/>
        <v>21-600-02</v>
      </c>
      <c r="B138" s="107" t="str">
        <f ca="1">_xlfn.LET(_xlpm.CAPS,0,_xlpm.Style,_xlfn.XLOOKUP($A138,Строчный!$A:$A,Строчный!B:B,"ERR",0),IF(_xlpm.CAPS=0,_xlpm.Style,LOWER(_xlpm.Style)))</f>
        <v>81727BH DENNEY</v>
      </c>
      <c r="C138" s="81" t="str">
        <f ca="1">PROPER(_xlfn.XLOOKUP($A138,Строчный!$A:$A,Строчный!C:C,"ERR",0))</f>
        <v>Шляпы</v>
      </c>
      <c r="D138" s="81" t="str">
        <f ca="1">_xlfn.LET(_xlpm.DATA,(_xlfn.XLOOKUP($A138,Строчный!$A:$A,Строчный!D:D,"ERR",0)),UPPER(MID(_xlpm.DATA,1,1))&amp;LOWER(MID(_xlpm.DATA,2,LEN(_xlpm.DATA)-1)))</f>
        <v>Шляпа федора</v>
      </c>
      <c r="E138" s="81" t="str">
        <f ca="1">PROPER(_xlfn.XLOOKUP($A138,Строчный!$A:$A,Строчный!E:E,"ERR",0))</f>
        <v>The Hollywood</v>
      </c>
      <c r="F138" s="81" t="str">
        <f ca="1">LOWER(_xlfn.XLOOKUP($A138,Строчный!$A:$A,Строчный!F:F,"ERR",0))</f>
        <v>летний</v>
      </c>
      <c r="G138" s="81" t="str">
        <f ca="1">UPPER(_xlfn.XLOOKUP($A138,Строчный!$A:$A,Строчный!G:G,"ERR",0))</f>
        <v>BAILEY</v>
      </c>
      <c r="H138" s="81" t="str">
        <f ca="1">LOWER(_xlfn.XLOOKUP($A138,Строчный!$A:$A,Строчный!H:H,"ERR",0))</f>
        <v>latte</v>
      </c>
      <c r="I138" s="81" t="str">
        <f ca="1">LOWER(_xlfn.XLOOKUP($A138,Строчный!$A:$A,Строчный!I:I,"ERR",0))</f>
        <v>бежевый</v>
      </c>
      <c r="J138" s="81" t="str">
        <f ca="1">SUBSTITUTE(LOWER(_xlfn.XLOOKUP($A138,Строчный!$A:$A,Строчный!J:J,"ERR",0)),"подклад","Подклад")</f>
        <v>55% бумага - 45% полиэстер</v>
      </c>
      <c r="K138" s="81" t="str">
        <f ca="1">LOWER(_xlfn.XLOOKUP($A138,Строчный!$A:$A,Строчный!K:K,"ERR",0))</f>
        <v>бумажные</v>
      </c>
      <c r="L138" s="81" t="str">
        <f ca="1">PROPER(_xlfn.XLOOKUP($A138,Строчный!$A:$A,Строчный!L:L,"ERR",0))</f>
        <v>Унисекс</v>
      </c>
      <c r="M138" s="113" t="str">
        <f ca="1">PROPER(_xlfn.XLOOKUP($A138,Строчный!$A:$A,Строчный!M:M,"ERR",0))</f>
        <v>Китай</v>
      </c>
      <c r="N138" s="81" t="str">
        <f ca="1">UPPER(_xlfn.XLOOKUP($A138,Строчный!$A:$A,Строчный!O:O,"ERR",0))</f>
        <v/>
      </c>
      <c r="O138" s="107" t="str">
        <f ca="1">PROPER(_xlfn.XLOOKUP($A138,Строчный!$A:$A,Строчный!P:P,"ERR",0))</f>
        <v/>
      </c>
      <c r="P138" s="90">
        <f ca="1">VALUE(_xlfn.XLOOKUP($A138,Строчный!$A:$A,Строчный!N:N,"ERR",0))</f>
        <v>2106</v>
      </c>
      <c r="Q138" s="89" t="str">
        <f ca="1">_xlfn.XLOOKUP($G138,Фабрика!A:A,Фабрика!B:B,"ERR",0)</f>
        <v>Bollman Headwear Europe Ltd; 2 Merchants drive, Caelisle, Cumbria CA3 0JW, United Kingdom</v>
      </c>
      <c r="R138" s="80" t="str">
        <f ca="1">_xlfn.XLOOKUP(RIGHT(Z138,2),Размеры!D:D,Размеры!A:A,"ERR",0)</f>
        <v>59</v>
      </c>
      <c r="S138" s="80">
        <f ca="1">VALUE(_xlfn.XLOOKUP($Z138,Строчный!$R:$R,Строчный!T:T,"ERR",0))</f>
        <v>4</v>
      </c>
      <c r="T138" s="14" t="s">
        <v>265</v>
      </c>
      <c r="U138" s="101" t="str">
        <f t="shared" ca="1" si="18"/>
        <v>Шляпа BAILEY арт. 81727BH DENNEY (бежевый)</v>
      </c>
      <c r="V138" s="100" t="str">
        <f t="shared" ca="1" si="19"/>
        <v>Шляпа BAILEY арт. 81727BH DENNEY (бежевый) {latte}</v>
      </c>
      <c r="W138" s="18" t="str">
        <f t="shared" ca="1" si="20"/>
        <v>бежевый</v>
      </c>
      <c r="X138" s="18" t="str">
        <f t="shared" ca="1" si="21"/>
        <v>бежевый</v>
      </c>
      <c r="Y138" s="117" t="str">
        <f ca="1">_xlfn.LET(_xlpm.FormColors,_xlfn.XLOOKUP(A138,Строчный!A:A,Строчный!Q:Q,"",0),IF(_xlpm.FormColors=0,IFERROR(MID(I138,FIND("-",I138)+1,LEN(I138)),IFERROR(MID(I138,1,FIND("/",I138)-2),I138)),_xlpm.FormColors))</f>
        <v>бежевый</v>
      </c>
      <c r="Z138" s="73" t="str">
        <f ca="1"/>
        <v>21-600-02-59</v>
      </c>
      <c r="AA138" s="75" t="str">
        <f ca="1">VLOOKUP(C138,Группа!A:B,2,FALSE)</f>
        <v>Шляпа</v>
      </c>
      <c r="AB138" s="97" t="str">
        <f ca="1">IFERROR(VLOOKUP(R138,Размеры!A:C,3,FALSE),"")</f>
        <v>59 L</v>
      </c>
      <c r="AC138" s="97" t="str">
        <f ca="1">VLOOKUP(I138,ЦветПолный!A:B,2,FALSE)</f>
        <v>02</v>
      </c>
      <c r="AD138" s="97" t="str">
        <f ca="1">IFERROR(VLOOKUP(R138,Размеры!A:D,4,FALSE),"")</f>
        <v>59</v>
      </c>
      <c r="AE138" s="97">
        <f ca="1">IF(LEFT(IFERROR(VLOOKUP(LOOKUP(2,1/SEARCH(B138,Товары!A:A),Товары!A:A),Товары!A:B,2,0),""),6)=MID(Z138,1,6),1,0)</f>
        <v>1</v>
      </c>
      <c r="AG138" s="97">
        <f ca="1">SUMIF(Группа!A:A,C138,Группа!C:C)</f>
        <v>1</v>
      </c>
      <c r="AH138" s="97">
        <f ca="1">SUMIF(Группа!B:B,AA138,Группа!C:C)</f>
        <v>1</v>
      </c>
      <c r="AI138" s="97">
        <f ca="1">SUMIF(Формы!A:A,D138,Формы!B:B)</f>
        <v>1</v>
      </c>
      <c r="AJ138" s="97">
        <f ca="1">SUMIF(Материал!A:A,K138,Материал!B:B)</f>
        <v>1</v>
      </c>
      <c r="AK138" s="97">
        <f ca="1">SUMIF(Размеры!A:A,R138,Размеры!E:E)</f>
        <v>1</v>
      </c>
      <c r="AL138" s="97">
        <f ca="1">SUMIF(Сезон!A:A,F138,Сезон!B:B)</f>
        <v>1</v>
      </c>
      <c r="AM138" s="97">
        <f ca="1">SUMIF(Состав!A:A,J138,Состав!B:B)</f>
        <v>1</v>
      </c>
      <c r="AN138" s="97">
        <f ca="1">VLOOKUP(I138,ЦветПолный!A:C,3,0)</f>
        <v>1</v>
      </c>
      <c r="AO138" s="97">
        <f ca="1">SUMIF(Цвет!A:A,Y138,Цвет!B:B)</f>
        <v>1</v>
      </c>
      <c r="AP138" s="97">
        <f ca="1">_xlfn.XLOOKUP(L138,Пол!A:A,Пол!B:B,0,0)</f>
        <v>1</v>
      </c>
      <c r="AQ138" s="97">
        <f ca="1">SUMIF(Марка!A:A,G138,Марка!B:B)</f>
        <v>1</v>
      </c>
      <c r="AR138" s="97">
        <f ca="1">SUMIF(Страна!A:A,M138,Страна!B:B)</f>
        <v>1</v>
      </c>
      <c r="AS138" s="64" t="str">
        <f ca="1">IF(VLOOKUP(V138,Товары!A:B,2,FALSE)=A138,"Есть в 1С","ERR")</f>
        <v>Есть в 1С</v>
      </c>
      <c r="AT138" s="65" t="str">
        <f ca="1">IF(VLOOKUP(A138,Товары!B:B,1,FALSE)=A138,"Есть в 1С","ERR")</f>
        <v>Есть в 1С</v>
      </c>
      <c r="AU138" s="96" t="str">
        <f ca="1">VLOOKUP(V138,Товары!A:B,2,FALSE)</f>
        <v>21-600-02</v>
      </c>
      <c r="AV138" s="94" t="str">
        <f ca="1">VLOOKUP(V138,Товары!A:B,1,FALSE)</f>
        <v>Шляпа BAILEY арт. 81727BH DENNEY (бежевый) {latte}</v>
      </c>
    </row>
    <row r="139" spans="1:48" x14ac:dyDescent="0.25">
      <c r="A139" s="110" t="str">
        <f t="shared" ca="1" si="22"/>
        <v>21-600-02</v>
      </c>
      <c r="B139" s="107" t="str">
        <f ca="1">_xlfn.LET(_xlpm.CAPS,0,_xlpm.Style,_xlfn.XLOOKUP($A139,Строчный!$A:$A,Строчный!B:B,"ERR",0),IF(_xlpm.CAPS=0,_xlpm.Style,LOWER(_xlpm.Style)))</f>
        <v>81727BH DENNEY</v>
      </c>
      <c r="C139" s="81" t="str">
        <f ca="1">PROPER(_xlfn.XLOOKUP($A139,Строчный!$A:$A,Строчный!C:C,"ERR",0))</f>
        <v>Шляпы</v>
      </c>
      <c r="D139" s="81" t="str">
        <f ca="1">_xlfn.LET(_xlpm.DATA,(_xlfn.XLOOKUP($A139,Строчный!$A:$A,Строчный!D:D,"ERR",0)),UPPER(MID(_xlpm.DATA,1,1))&amp;LOWER(MID(_xlpm.DATA,2,LEN(_xlpm.DATA)-1)))</f>
        <v>Шляпа федора</v>
      </c>
      <c r="E139" s="81" t="str">
        <f ca="1">PROPER(_xlfn.XLOOKUP($A139,Строчный!$A:$A,Строчный!E:E,"ERR",0))</f>
        <v>The Hollywood</v>
      </c>
      <c r="F139" s="81" t="str">
        <f ca="1">LOWER(_xlfn.XLOOKUP($A139,Строчный!$A:$A,Строчный!F:F,"ERR",0))</f>
        <v>летний</v>
      </c>
      <c r="G139" s="81" t="str">
        <f ca="1">UPPER(_xlfn.XLOOKUP($A139,Строчный!$A:$A,Строчный!G:G,"ERR",0))</f>
        <v>BAILEY</v>
      </c>
      <c r="H139" s="81" t="str">
        <f ca="1">LOWER(_xlfn.XLOOKUP($A139,Строчный!$A:$A,Строчный!H:H,"ERR",0))</f>
        <v>latte</v>
      </c>
      <c r="I139" s="81" t="str">
        <f ca="1">LOWER(_xlfn.XLOOKUP($A139,Строчный!$A:$A,Строчный!I:I,"ERR",0))</f>
        <v>бежевый</v>
      </c>
      <c r="J139" s="81" t="str">
        <f ca="1">SUBSTITUTE(LOWER(_xlfn.XLOOKUP($A139,Строчный!$A:$A,Строчный!J:J,"ERR",0)),"подклад","Подклад")</f>
        <v>55% бумага - 45% полиэстер</v>
      </c>
      <c r="K139" s="81" t="str">
        <f ca="1">LOWER(_xlfn.XLOOKUP($A139,Строчный!$A:$A,Строчный!K:K,"ERR",0))</f>
        <v>бумажные</v>
      </c>
      <c r="L139" s="81" t="str">
        <f ca="1">PROPER(_xlfn.XLOOKUP($A139,Строчный!$A:$A,Строчный!L:L,"ERR",0))</f>
        <v>Унисекс</v>
      </c>
      <c r="M139" s="113" t="str">
        <f ca="1">PROPER(_xlfn.XLOOKUP($A139,Строчный!$A:$A,Строчный!M:M,"ERR",0))</f>
        <v>Китай</v>
      </c>
      <c r="N139" s="81" t="str">
        <f ca="1">UPPER(_xlfn.XLOOKUP($A139,Строчный!$A:$A,Строчный!O:O,"ERR",0))</f>
        <v/>
      </c>
      <c r="O139" s="107" t="str">
        <f ca="1">PROPER(_xlfn.XLOOKUP($A139,Строчный!$A:$A,Строчный!P:P,"ERR",0))</f>
        <v/>
      </c>
      <c r="P139" s="90">
        <f ca="1">VALUE(_xlfn.XLOOKUP($A139,Строчный!$A:$A,Строчный!N:N,"ERR",0))</f>
        <v>2106</v>
      </c>
      <c r="Q139" s="89" t="str">
        <f ca="1">_xlfn.XLOOKUP($G139,Фабрика!A:A,Фабрика!B:B,"ERR",0)</f>
        <v>Bollman Headwear Europe Ltd; 2 Merchants drive, Caelisle, Cumbria CA3 0JW, United Kingdom</v>
      </c>
      <c r="R139" s="80" t="str">
        <f ca="1">_xlfn.XLOOKUP(RIGHT(Z139,2),Размеры!D:D,Размеры!A:A,"ERR",0)</f>
        <v>57</v>
      </c>
      <c r="S139" s="80">
        <f ca="1">VALUE(_xlfn.XLOOKUP($Z139,Строчный!$R:$R,Строчный!T:T,"ERR",0))</f>
        <v>1</v>
      </c>
      <c r="T139" s="14" t="s">
        <v>265</v>
      </c>
      <c r="U139" s="101" t="str">
        <f t="shared" ca="1" si="18"/>
        <v>Шляпа BAILEY арт. 81727BH DENNEY (бежевый)</v>
      </c>
      <c r="V139" s="100" t="str">
        <f t="shared" ca="1" si="19"/>
        <v>Шляпа BAILEY арт. 81727BH DENNEY (бежевый) {latte}</v>
      </c>
      <c r="W139" s="18" t="str">
        <f t="shared" ca="1" si="20"/>
        <v>бежевый</v>
      </c>
      <c r="X139" s="18" t="str">
        <f t="shared" ca="1" si="21"/>
        <v>бежевый</v>
      </c>
      <c r="Y139" s="117" t="str">
        <f ca="1">_xlfn.LET(_xlpm.FormColors,_xlfn.XLOOKUP(A139,Строчный!A:A,Строчный!Q:Q,"",0),IF(_xlpm.FormColors=0,IFERROR(MID(I139,FIND("-",I139)+1,LEN(I139)),IFERROR(MID(I139,1,FIND("/",I139)-2),I139)),_xlpm.FormColors))</f>
        <v>бежевый</v>
      </c>
      <c r="Z139" s="73" t="str">
        <f ca="1"/>
        <v>21-600-02-57</v>
      </c>
      <c r="AA139" s="75" t="str">
        <f ca="1">VLOOKUP(C139,Группа!A:B,2,FALSE)</f>
        <v>Шляпа</v>
      </c>
      <c r="AB139" s="97" t="str">
        <f ca="1">IFERROR(VLOOKUP(R139,Размеры!A:C,3,FALSE),"")</f>
        <v>57 M</v>
      </c>
      <c r="AC139" s="97" t="str">
        <f ca="1">VLOOKUP(I139,ЦветПолный!A:B,2,FALSE)</f>
        <v>02</v>
      </c>
      <c r="AD139" s="97" t="str">
        <f ca="1">IFERROR(VLOOKUP(R139,Размеры!A:D,4,FALSE),"")</f>
        <v>57</v>
      </c>
      <c r="AE139" s="97">
        <f ca="1">IF(LEFT(IFERROR(VLOOKUP(LOOKUP(2,1/SEARCH(B139,Товары!A:A),Товары!A:A),Товары!A:B,2,0),""),6)=MID(Z139,1,6),1,0)</f>
        <v>1</v>
      </c>
      <c r="AG139" s="97">
        <f ca="1">SUMIF(Группа!A:A,C139,Группа!C:C)</f>
        <v>1</v>
      </c>
      <c r="AH139" s="97">
        <f ca="1">SUMIF(Группа!B:B,AA139,Группа!C:C)</f>
        <v>1</v>
      </c>
      <c r="AI139" s="97">
        <f ca="1">SUMIF(Формы!A:A,D139,Формы!B:B)</f>
        <v>1</v>
      </c>
      <c r="AJ139" s="97">
        <f ca="1">SUMIF(Материал!A:A,K139,Материал!B:B)</f>
        <v>1</v>
      </c>
      <c r="AK139" s="97">
        <f ca="1">SUMIF(Размеры!A:A,R139,Размеры!E:E)</f>
        <v>1</v>
      </c>
      <c r="AL139" s="97">
        <f ca="1">SUMIF(Сезон!A:A,F139,Сезон!B:B)</f>
        <v>1</v>
      </c>
      <c r="AM139" s="97">
        <f ca="1">SUMIF(Состав!A:A,J139,Состав!B:B)</f>
        <v>1</v>
      </c>
      <c r="AN139" s="97">
        <f ca="1">VLOOKUP(I139,ЦветПолный!A:C,3,0)</f>
        <v>1</v>
      </c>
      <c r="AO139" s="97">
        <f ca="1">SUMIF(Цвет!A:A,Y139,Цвет!B:B)</f>
        <v>1</v>
      </c>
      <c r="AP139" s="97">
        <f ca="1">_xlfn.XLOOKUP(L139,Пол!A:A,Пол!B:B,0,0)</f>
        <v>1</v>
      </c>
      <c r="AQ139" s="97">
        <f ca="1">SUMIF(Марка!A:A,G139,Марка!B:B)</f>
        <v>1</v>
      </c>
      <c r="AR139" s="97">
        <f ca="1">SUMIF(Страна!A:A,M139,Страна!B:B)</f>
        <v>1</v>
      </c>
      <c r="AS139" s="64" t="str">
        <f ca="1">IF(VLOOKUP(V139,Товары!A:B,2,FALSE)=A139,"Есть в 1С","ERR")</f>
        <v>Есть в 1С</v>
      </c>
      <c r="AT139" s="65" t="str">
        <f ca="1">IF(VLOOKUP(A139,Товары!B:B,1,FALSE)=A139,"Есть в 1С","ERR")</f>
        <v>Есть в 1С</v>
      </c>
      <c r="AU139" s="96" t="str">
        <f ca="1">VLOOKUP(V139,Товары!A:B,2,FALSE)</f>
        <v>21-600-02</v>
      </c>
      <c r="AV139" s="94" t="str">
        <f ca="1">VLOOKUP(V139,Товары!A:B,1,FALSE)</f>
        <v>Шляпа BAILEY арт. 81727BH DENNEY (бежевый) {latte}</v>
      </c>
    </row>
    <row r="140" spans="1:48" x14ac:dyDescent="0.25">
      <c r="A140" s="110" t="str">
        <f t="shared" ca="1" si="22"/>
        <v>21-599-79</v>
      </c>
      <c r="B140" s="107" t="str">
        <f ca="1">_xlfn.LET(_xlpm.CAPS,0,_xlpm.Style,_xlfn.XLOOKUP($A140,Строчный!$A:$A,Строчный!B:B,"ERR",0),IF(_xlpm.CAPS=0,_xlpm.Style,LOWER(_xlpm.Style)))</f>
        <v>81726BH HESTER</v>
      </c>
      <c r="C140" s="81" t="str">
        <f ca="1">PROPER(_xlfn.XLOOKUP($A140,Строчный!$A:$A,Строчный!C:C,"ERR",0))</f>
        <v>Шляпы</v>
      </c>
      <c r="D140" s="81" t="str">
        <f ca="1">_xlfn.LET(_xlpm.DATA,(_xlfn.XLOOKUP($A140,Строчный!$A:$A,Строчный!D:D,"ERR",0)),UPPER(MID(_xlpm.DATA,1,1))&amp;LOWER(MID(_xlpm.DATA,2,LEN(_xlpm.DATA)-1)))</f>
        <v>Шляпа федора</v>
      </c>
      <c r="E140" s="81" t="str">
        <f ca="1">PROPER(_xlfn.XLOOKUP($A140,Строчный!$A:$A,Строчный!E:E,"ERR",0))</f>
        <v>The Hollywood</v>
      </c>
      <c r="F140" s="81" t="str">
        <f ca="1">LOWER(_xlfn.XLOOKUP($A140,Строчный!$A:$A,Строчный!F:F,"ERR",0))</f>
        <v>летний</v>
      </c>
      <c r="G140" s="81" t="str">
        <f ca="1">UPPER(_xlfn.XLOOKUP($A140,Строчный!$A:$A,Строчный!G:G,"ERR",0))</f>
        <v>BAILEY</v>
      </c>
      <c r="H140" s="81" t="str">
        <f ca="1">LOWER(_xlfn.XLOOKUP($A140,Строчный!$A:$A,Строчный!H:H,"ERR",0))</f>
        <v>sand</v>
      </c>
      <c r="I140" s="81" t="str">
        <f ca="1">LOWER(_xlfn.XLOOKUP($A140,Строчный!$A:$A,Строчный!I:I,"ERR",0))</f>
        <v>светло-бежевый</v>
      </c>
      <c r="J140" s="81" t="str">
        <f ca="1">SUBSTITUTE(LOWER(_xlfn.XLOOKUP($A140,Строчный!$A:$A,Строчный!J:J,"ERR",0)),"подклад","Подклад")</f>
        <v>50% бумага - 50% полипропилен</v>
      </c>
      <c r="K140" s="81" t="str">
        <f ca="1">LOWER(_xlfn.XLOOKUP($A140,Строчный!$A:$A,Строчный!K:K,"ERR",0))</f>
        <v>бумажные</v>
      </c>
      <c r="L140" s="81" t="str">
        <f ca="1">PROPER(_xlfn.XLOOKUP($A140,Строчный!$A:$A,Строчный!L:L,"ERR",0))</f>
        <v>Унисекс</v>
      </c>
      <c r="M140" s="113" t="str">
        <f ca="1">PROPER(_xlfn.XLOOKUP($A140,Строчный!$A:$A,Строчный!M:M,"ERR",0))</f>
        <v>Китай</v>
      </c>
      <c r="N140" s="81" t="str">
        <f ca="1">UPPER(_xlfn.XLOOKUP($A140,Строчный!$A:$A,Строчный!O:O,"ERR",0))</f>
        <v/>
      </c>
      <c r="O140" s="107" t="str">
        <f ca="1">PROPER(_xlfn.XLOOKUP($A140,Строчный!$A:$A,Строчный!P:P,"ERR",0))</f>
        <v/>
      </c>
      <c r="P140" s="90">
        <f ca="1">VALUE(_xlfn.XLOOKUP($A140,Строчный!$A:$A,Строчный!N:N,"ERR",0))</f>
        <v>2263.9500000000003</v>
      </c>
      <c r="Q140" s="89" t="str">
        <f ca="1">_xlfn.XLOOKUP($G140,Фабрика!A:A,Фабрика!B:B,"ERR",0)</f>
        <v>Bollman Headwear Europe Ltd; 2 Merchants drive, Caelisle, Cumbria CA3 0JW, United Kingdom</v>
      </c>
      <c r="R140" s="80" t="str">
        <f ca="1">_xlfn.XLOOKUP(RIGHT(Z140,2),Размеры!D:D,Размеры!A:A,"ERR",0)</f>
        <v>61</v>
      </c>
      <c r="S140" s="80">
        <f ca="1">VALUE(_xlfn.XLOOKUP($Z140,Строчный!$R:$R,Строчный!T:T,"ERR",0))</f>
        <v>12</v>
      </c>
      <c r="T140" s="14" t="s">
        <v>265</v>
      </c>
      <c r="U140" s="101" t="str">
        <f t="shared" ca="1" si="18"/>
        <v>Шляпа BAILEY арт. 81726BH HESTER (светло-бежевый)</v>
      </c>
      <c r="V140" s="100" t="str">
        <f t="shared" ca="1" si="19"/>
        <v>Шляпа BAILEY арт. 81726BH HESTER (светло-бежевый) {sand}</v>
      </c>
      <c r="W140" s="18" t="str">
        <f t="shared" ca="1" si="20"/>
        <v>бежевый</v>
      </c>
      <c r="X140" s="18" t="str">
        <f t="shared" ca="1" si="21"/>
        <v>бежевый</v>
      </c>
      <c r="Y140" s="117" t="str">
        <f ca="1">_xlfn.LET(_xlpm.FormColors,_xlfn.XLOOKUP(A140,Строчный!A:A,Строчный!Q:Q,"",0),IF(_xlpm.FormColors=0,IFERROR(MID(I140,FIND("-",I140)+1,LEN(I140)),IFERROR(MID(I140,1,FIND("/",I140)-2),I140)),_xlpm.FormColors))</f>
        <v>бежевый</v>
      </c>
      <c r="Z140" s="73" t="str">
        <f ca="1"/>
        <v>21-599-79-61</v>
      </c>
      <c r="AA140" s="75" t="str">
        <f ca="1">VLOOKUP(C140,Группа!A:B,2,FALSE)</f>
        <v>Шляпа</v>
      </c>
      <c r="AB140" s="97" t="str">
        <f ca="1">IFERROR(VLOOKUP(R140,Размеры!A:C,3,FALSE),"")</f>
        <v>61 XL</v>
      </c>
      <c r="AC140" s="97" t="str">
        <f ca="1">VLOOKUP(I140,ЦветПолный!A:B,2,FALSE)</f>
        <v>83</v>
      </c>
      <c r="AD140" s="97" t="str">
        <f ca="1">IFERROR(VLOOKUP(R140,Размеры!A:D,4,FALSE),"")</f>
        <v>61</v>
      </c>
      <c r="AE140" s="97">
        <f ca="1">IF(LEFT(IFERROR(VLOOKUP(LOOKUP(2,1/SEARCH(B140,Товары!A:A),Товары!A:A),Товары!A:B,2,0),""),6)=MID(Z140,1,6),1,0)</f>
        <v>1</v>
      </c>
      <c r="AG140" s="97">
        <f ca="1">SUMIF(Группа!A:A,C140,Группа!C:C)</f>
        <v>1</v>
      </c>
      <c r="AH140" s="97">
        <f ca="1">SUMIF(Группа!B:B,AA140,Группа!C:C)</f>
        <v>1</v>
      </c>
      <c r="AI140" s="97">
        <f ca="1">SUMIF(Формы!A:A,D140,Формы!B:B)</f>
        <v>1</v>
      </c>
      <c r="AJ140" s="97">
        <f ca="1">SUMIF(Материал!A:A,K140,Материал!B:B)</f>
        <v>1</v>
      </c>
      <c r="AK140" s="97">
        <f ca="1">SUMIF(Размеры!A:A,R140,Размеры!E:E)</f>
        <v>1</v>
      </c>
      <c r="AL140" s="97">
        <f ca="1">SUMIF(Сезон!A:A,F140,Сезон!B:B)</f>
        <v>1</v>
      </c>
      <c r="AM140" s="97">
        <f ca="1">SUMIF(Состав!A:A,J140,Состав!B:B)</f>
        <v>1</v>
      </c>
      <c r="AN140" s="97">
        <f ca="1">VLOOKUP(I140,ЦветПолный!A:C,3,0)</f>
        <v>1</v>
      </c>
      <c r="AO140" s="97">
        <f ca="1">SUMIF(Цвет!A:A,Y140,Цвет!B:B)</f>
        <v>1</v>
      </c>
      <c r="AP140" s="97">
        <f ca="1">_xlfn.XLOOKUP(L140,Пол!A:A,Пол!B:B,0,0)</f>
        <v>1</v>
      </c>
      <c r="AQ140" s="97">
        <f ca="1">SUMIF(Марка!A:A,G140,Марка!B:B)</f>
        <v>1</v>
      </c>
      <c r="AR140" s="97">
        <f ca="1">SUMIF(Страна!A:A,M140,Страна!B:B)</f>
        <v>1</v>
      </c>
      <c r="AS140" s="64" t="str">
        <f ca="1">IF(VLOOKUP(V140,Товары!A:B,2,FALSE)=A140,"Есть в 1С","ERR")</f>
        <v>Есть в 1С</v>
      </c>
      <c r="AT140" s="65" t="str">
        <f ca="1">IF(VLOOKUP(A140,Товары!B:B,1,FALSE)=A140,"Есть в 1С","ERR")</f>
        <v>Есть в 1С</v>
      </c>
      <c r="AU140" s="96" t="str">
        <f ca="1">VLOOKUP(V140,Товары!A:B,2,FALSE)</f>
        <v>21-599-79</v>
      </c>
      <c r="AV140" s="94" t="str">
        <f ca="1">VLOOKUP(V140,Товары!A:B,1,FALSE)</f>
        <v>Шляпа BAILEY арт. 81726BH HESTER (светло-бежевый) {sand}</v>
      </c>
    </row>
    <row r="141" spans="1:48" x14ac:dyDescent="0.25">
      <c r="A141" s="110" t="str">
        <f t="shared" ca="1" si="22"/>
        <v>21-599-79</v>
      </c>
      <c r="B141" s="107" t="str">
        <f ca="1">_xlfn.LET(_xlpm.CAPS,0,_xlpm.Style,_xlfn.XLOOKUP($A141,Строчный!$A:$A,Строчный!B:B,"ERR",0),IF(_xlpm.CAPS=0,_xlpm.Style,LOWER(_xlpm.Style)))</f>
        <v>81726BH HESTER</v>
      </c>
      <c r="C141" s="81" t="str">
        <f ca="1">PROPER(_xlfn.XLOOKUP($A141,Строчный!$A:$A,Строчный!C:C,"ERR",0))</f>
        <v>Шляпы</v>
      </c>
      <c r="D141" s="81" t="str">
        <f ca="1">_xlfn.LET(_xlpm.DATA,(_xlfn.XLOOKUP($A141,Строчный!$A:$A,Строчный!D:D,"ERR",0)),UPPER(MID(_xlpm.DATA,1,1))&amp;LOWER(MID(_xlpm.DATA,2,LEN(_xlpm.DATA)-1)))</f>
        <v>Шляпа федора</v>
      </c>
      <c r="E141" s="81" t="str">
        <f ca="1">PROPER(_xlfn.XLOOKUP($A141,Строчный!$A:$A,Строчный!E:E,"ERR",0))</f>
        <v>The Hollywood</v>
      </c>
      <c r="F141" s="81" t="str">
        <f ca="1">LOWER(_xlfn.XLOOKUP($A141,Строчный!$A:$A,Строчный!F:F,"ERR",0))</f>
        <v>летний</v>
      </c>
      <c r="G141" s="81" t="str">
        <f ca="1">UPPER(_xlfn.XLOOKUP($A141,Строчный!$A:$A,Строчный!G:G,"ERR",0))</f>
        <v>BAILEY</v>
      </c>
      <c r="H141" s="81" t="str">
        <f ca="1">LOWER(_xlfn.XLOOKUP($A141,Строчный!$A:$A,Строчный!H:H,"ERR",0))</f>
        <v>sand</v>
      </c>
      <c r="I141" s="81" t="str">
        <f ca="1">LOWER(_xlfn.XLOOKUP($A141,Строчный!$A:$A,Строчный!I:I,"ERR",0))</f>
        <v>светло-бежевый</v>
      </c>
      <c r="J141" s="81" t="str">
        <f ca="1">SUBSTITUTE(LOWER(_xlfn.XLOOKUP($A141,Строчный!$A:$A,Строчный!J:J,"ERR",0)),"подклад","Подклад")</f>
        <v>50% бумага - 50% полипропилен</v>
      </c>
      <c r="K141" s="81" t="str">
        <f ca="1">LOWER(_xlfn.XLOOKUP($A141,Строчный!$A:$A,Строчный!K:K,"ERR",0))</f>
        <v>бумажные</v>
      </c>
      <c r="L141" s="81" t="str">
        <f ca="1">PROPER(_xlfn.XLOOKUP($A141,Строчный!$A:$A,Строчный!L:L,"ERR",0))</f>
        <v>Унисекс</v>
      </c>
      <c r="M141" s="113" t="str">
        <f ca="1">PROPER(_xlfn.XLOOKUP($A141,Строчный!$A:$A,Строчный!M:M,"ERR",0))</f>
        <v>Китай</v>
      </c>
      <c r="N141" s="81" t="str">
        <f ca="1">UPPER(_xlfn.XLOOKUP($A141,Строчный!$A:$A,Строчный!O:O,"ERR",0))</f>
        <v/>
      </c>
      <c r="O141" s="107" t="str">
        <f ca="1">PROPER(_xlfn.XLOOKUP($A141,Строчный!$A:$A,Строчный!P:P,"ERR",0))</f>
        <v/>
      </c>
      <c r="P141" s="90">
        <f ca="1">VALUE(_xlfn.XLOOKUP($A141,Строчный!$A:$A,Строчный!N:N,"ERR",0))</f>
        <v>2263.9500000000003</v>
      </c>
      <c r="Q141" s="89" t="str">
        <f ca="1">_xlfn.XLOOKUP($G141,Фабрика!A:A,Фабрика!B:B,"ERR",0)</f>
        <v>Bollman Headwear Europe Ltd; 2 Merchants drive, Caelisle, Cumbria CA3 0JW, United Kingdom</v>
      </c>
      <c r="R141" s="80" t="str">
        <f ca="1">_xlfn.XLOOKUP(RIGHT(Z141,2),Размеры!D:D,Размеры!A:A,"ERR",0)</f>
        <v>59</v>
      </c>
      <c r="S141" s="80">
        <f ca="1">VALUE(_xlfn.XLOOKUP($Z141,Строчный!$R:$R,Строчный!T:T,"ERR",0))</f>
        <v>20</v>
      </c>
      <c r="T141" s="14" t="s">
        <v>265</v>
      </c>
      <c r="U141" s="101" t="str">
        <f t="shared" ca="1" si="18"/>
        <v>Шляпа BAILEY арт. 81726BH HESTER (светло-бежевый)</v>
      </c>
      <c r="V141" s="100" t="str">
        <f t="shared" ca="1" si="19"/>
        <v>Шляпа BAILEY арт. 81726BH HESTER (светло-бежевый) {sand}</v>
      </c>
      <c r="W141" s="18" t="str">
        <f t="shared" ca="1" si="20"/>
        <v>бежевый</v>
      </c>
      <c r="X141" s="18" t="str">
        <f t="shared" ca="1" si="21"/>
        <v>бежевый</v>
      </c>
      <c r="Y141" s="117" t="str">
        <f ca="1">_xlfn.LET(_xlpm.FormColors,_xlfn.XLOOKUP(A141,Строчный!A:A,Строчный!Q:Q,"",0),IF(_xlpm.FormColors=0,IFERROR(MID(I141,FIND("-",I141)+1,LEN(I141)),IFERROR(MID(I141,1,FIND("/",I141)-2),I141)),_xlpm.FormColors))</f>
        <v>бежевый</v>
      </c>
      <c r="Z141" s="73" t="str">
        <f ca="1"/>
        <v>21-599-79-59</v>
      </c>
      <c r="AA141" s="75" t="str">
        <f ca="1">VLOOKUP(C141,Группа!A:B,2,FALSE)</f>
        <v>Шляпа</v>
      </c>
      <c r="AB141" s="97" t="str">
        <f ca="1">IFERROR(VLOOKUP(R141,Размеры!A:C,3,FALSE),"")</f>
        <v>59 L</v>
      </c>
      <c r="AC141" s="97" t="str">
        <f ca="1">VLOOKUP(I141,ЦветПолный!A:B,2,FALSE)</f>
        <v>83</v>
      </c>
      <c r="AD141" s="97" t="str">
        <f ca="1">IFERROR(VLOOKUP(R141,Размеры!A:D,4,FALSE),"")</f>
        <v>59</v>
      </c>
      <c r="AE141" s="97">
        <f ca="1">IF(LEFT(IFERROR(VLOOKUP(LOOKUP(2,1/SEARCH(B141,Товары!A:A),Товары!A:A),Товары!A:B,2,0),""),6)=MID(Z141,1,6),1,0)</f>
        <v>1</v>
      </c>
      <c r="AG141" s="97">
        <f ca="1">SUMIF(Группа!A:A,C141,Группа!C:C)</f>
        <v>1</v>
      </c>
      <c r="AH141" s="97">
        <f ca="1">SUMIF(Группа!B:B,AA141,Группа!C:C)</f>
        <v>1</v>
      </c>
      <c r="AI141" s="97">
        <f ca="1">SUMIF(Формы!A:A,D141,Формы!B:B)</f>
        <v>1</v>
      </c>
      <c r="AJ141" s="97">
        <f ca="1">SUMIF(Материал!A:A,K141,Материал!B:B)</f>
        <v>1</v>
      </c>
      <c r="AK141" s="97">
        <f ca="1">SUMIF(Размеры!A:A,R141,Размеры!E:E)</f>
        <v>1</v>
      </c>
      <c r="AL141" s="97">
        <f ca="1">SUMIF(Сезон!A:A,F141,Сезон!B:B)</f>
        <v>1</v>
      </c>
      <c r="AM141" s="97">
        <f ca="1">SUMIF(Состав!A:A,J141,Состав!B:B)</f>
        <v>1</v>
      </c>
      <c r="AN141" s="97">
        <f ca="1">VLOOKUP(I141,ЦветПолный!A:C,3,0)</f>
        <v>1</v>
      </c>
      <c r="AO141" s="97">
        <f ca="1">SUMIF(Цвет!A:A,Y141,Цвет!B:B)</f>
        <v>1</v>
      </c>
      <c r="AP141" s="97">
        <f ca="1">_xlfn.XLOOKUP(L141,Пол!A:A,Пол!B:B,0,0)</f>
        <v>1</v>
      </c>
      <c r="AQ141" s="97">
        <f ca="1">SUMIF(Марка!A:A,G141,Марка!B:B)</f>
        <v>1</v>
      </c>
      <c r="AR141" s="97">
        <f ca="1">SUMIF(Страна!A:A,M141,Страна!B:B)</f>
        <v>1</v>
      </c>
      <c r="AS141" s="64" t="str">
        <f ca="1">IF(VLOOKUP(V141,Товары!A:B,2,FALSE)=A141,"Есть в 1С","ERR")</f>
        <v>Есть в 1С</v>
      </c>
      <c r="AT141" s="65" t="str">
        <f ca="1">IF(VLOOKUP(A141,Товары!B:B,1,FALSE)=A141,"Есть в 1С","ERR")</f>
        <v>Есть в 1С</v>
      </c>
      <c r="AU141" s="96" t="str">
        <f ca="1">VLOOKUP(V141,Товары!A:B,2,FALSE)</f>
        <v>21-599-79</v>
      </c>
      <c r="AV141" s="94" t="str">
        <f ca="1">VLOOKUP(V141,Товары!A:B,1,FALSE)</f>
        <v>Шляпа BAILEY арт. 81726BH HESTER (светло-бежевый) {sand}</v>
      </c>
    </row>
    <row r="142" spans="1:48" x14ac:dyDescent="0.25">
      <c r="A142" s="110" t="str">
        <f t="shared" ca="1" si="22"/>
        <v>21-599-79</v>
      </c>
      <c r="B142" s="107" t="str">
        <f ca="1">_xlfn.LET(_xlpm.CAPS,0,_xlpm.Style,_xlfn.XLOOKUP($A142,Строчный!$A:$A,Строчный!B:B,"ERR",0),IF(_xlpm.CAPS=0,_xlpm.Style,LOWER(_xlpm.Style)))</f>
        <v>81726BH HESTER</v>
      </c>
      <c r="C142" s="81" t="str">
        <f ca="1">PROPER(_xlfn.XLOOKUP($A142,Строчный!$A:$A,Строчный!C:C,"ERR",0))</f>
        <v>Шляпы</v>
      </c>
      <c r="D142" s="81" t="str">
        <f ca="1">_xlfn.LET(_xlpm.DATA,(_xlfn.XLOOKUP($A142,Строчный!$A:$A,Строчный!D:D,"ERR",0)),UPPER(MID(_xlpm.DATA,1,1))&amp;LOWER(MID(_xlpm.DATA,2,LEN(_xlpm.DATA)-1)))</f>
        <v>Шляпа федора</v>
      </c>
      <c r="E142" s="81" t="str">
        <f ca="1">PROPER(_xlfn.XLOOKUP($A142,Строчный!$A:$A,Строчный!E:E,"ERR",0))</f>
        <v>The Hollywood</v>
      </c>
      <c r="F142" s="81" t="str">
        <f ca="1">LOWER(_xlfn.XLOOKUP($A142,Строчный!$A:$A,Строчный!F:F,"ERR",0))</f>
        <v>летний</v>
      </c>
      <c r="G142" s="81" t="str">
        <f ca="1">UPPER(_xlfn.XLOOKUP($A142,Строчный!$A:$A,Строчный!G:G,"ERR",0))</f>
        <v>BAILEY</v>
      </c>
      <c r="H142" s="81" t="str">
        <f ca="1">LOWER(_xlfn.XLOOKUP($A142,Строчный!$A:$A,Строчный!H:H,"ERR",0))</f>
        <v>sand</v>
      </c>
      <c r="I142" s="81" t="str">
        <f ca="1">LOWER(_xlfn.XLOOKUP($A142,Строчный!$A:$A,Строчный!I:I,"ERR",0))</f>
        <v>светло-бежевый</v>
      </c>
      <c r="J142" s="81" t="str">
        <f ca="1">SUBSTITUTE(LOWER(_xlfn.XLOOKUP($A142,Строчный!$A:$A,Строчный!J:J,"ERR",0)),"подклад","Подклад")</f>
        <v>50% бумага - 50% полипропилен</v>
      </c>
      <c r="K142" s="81" t="str">
        <f ca="1">LOWER(_xlfn.XLOOKUP($A142,Строчный!$A:$A,Строчный!K:K,"ERR",0))</f>
        <v>бумажные</v>
      </c>
      <c r="L142" s="81" t="str">
        <f ca="1">PROPER(_xlfn.XLOOKUP($A142,Строчный!$A:$A,Строчный!L:L,"ERR",0))</f>
        <v>Унисекс</v>
      </c>
      <c r="M142" s="113" t="str">
        <f ca="1">PROPER(_xlfn.XLOOKUP($A142,Строчный!$A:$A,Строчный!M:M,"ERR",0))</f>
        <v>Китай</v>
      </c>
      <c r="N142" s="81" t="str">
        <f ca="1">UPPER(_xlfn.XLOOKUP($A142,Строчный!$A:$A,Строчный!O:O,"ERR",0))</f>
        <v/>
      </c>
      <c r="O142" s="107" t="str">
        <f ca="1">PROPER(_xlfn.XLOOKUP($A142,Строчный!$A:$A,Строчный!P:P,"ERR",0))</f>
        <v/>
      </c>
      <c r="P142" s="90">
        <f ca="1">VALUE(_xlfn.XLOOKUP($A142,Строчный!$A:$A,Строчный!N:N,"ERR",0))</f>
        <v>2263.9500000000003</v>
      </c>
      <c r="Q142" s="89" t="str">
        <f ca="1">_xlfn.XLOOKUP($G142,Фабрика!A:A,Фабрика!B:B,"ERR",0)</f>
        <v>Bollman Headwear Europe Ltd; 2 Merchants drive, Caelisle, Cumbria CA3 0JW, United Kingdom</v>
      </c>
      <c r="R142" s="80" t="str">
        <f ca="1">_xlfn.XLOOKUP(RIGHT(Z142,2),Размеры!D:D,Размеры!A:A,"ERR",0)</f>
        <v>57</v>
      </c>
      <c r="S142" s="80">
        <f ca="1">VALUE(_xlfn.XLOOKUP($Z142,Строчный!$R:$R,Строчный!T:T,"ERR",0))</f>
        <v>12</v>
      </c>
      <c r="T142" s="14" t="s">
        <v>265</v>
      </c>
      <c r="U142" s="101" t="str">
        <f t="shared" ca="1" si="18"/>
        <v>Шляпа BAILEY арт. 81726BH HESTER (светло-бежевый)</v>
      </c>
      <c r="V142" s="100" t="str">
        <f t="shared" ca="1" si="19"/>
        <v>Шляпа BAILEY арт. 81726BH HESTER (светло-бежевый) {sand}</v>
      </c>
      <c r="W142" s="18" t="str">
        <f t="shared" ca="1" si="20"/>
        <v>бежевый</v>
      </c>
      <c r="X142" s="18" t="str">
        <f t="shared" ca="1" si="21"/>
        <v>бежевый</v>
      </c>
      <c r="Y142" s="117" t="str">
        <f ca="1">_xlfn.LET(_xlpm.FormColors,_xlfn.XLOOKUP(A142,Строчный!A:A,Строчный!Q:Q,"",0),IF(_xlpm.FormColors=0,IFERROR(MID(I142,FIND("-",I142)+1,LEN(I142)),IFERROR(MID(I142,1,FIND("/",I142)-2),I142)),_xlpm.FormColors))</f>
        <v>бежевый</v>
      </c>
      <c r="Z142" s="73" t="str">
        <f ca="1"/>
        <v>21-599-79-57</v>
      </c>
      <c r="AA142" s="75" t="str">
        <f ca="1">VLOOKUP(C142,Группа!A:B,2,FALSE)</f>
        <v>Шляпа</v>
      </c>
      <c r="AB142" s="97" t="str">
        <f ca="1">IFERROR(VLOOKUP(R142,Размеры!A:C,3,FALSE),"")</f>
        <v>57 M</v>
      </c>
      <c r="AC142" s="97" t="str">
        <f ca="1">VLOOKUP(I142,ЦветПолный!A:B,2,FALSE)</f>
        <v>83</v>
      </c>
      <c r="AD142" s="97" t="str">
        <f ca="1">IFERROR(VLOOKUP(R142,Размеры!A:D,4,FALSE),"")</f>
        <v>57</v>
      </c>
      <c r="AE142" s="97">
        <f ca="1">IF(LEFT(IFERROR(VLOOKUP(LOOKUP(2,1/SEARCH(B142,Товары!A:A),Товары!A:A),Товары!A:B,2,0),""),6)=MID(Z142,1,6),1,0)</f>
        <v>1</v>
      </c>
      <c r="AG142" s="97">
        <f ca="1">SUMIF(Группа!A:A,C142,Группа!C:C)</f>
        <v>1</v>
      </c>
      <c r="AH142" s="97">
        <f ca="1">SUMIF(Группа!B:B,AA142,Группа!C:C)</f>
        <v>1</v>
      </c>
      <c r="AI142" s="97">
        <f ca="1">SUMIF(Формы!A:A,D142,Формы!B:B)</f>
        <v>1</v>
      </c>
      <c r="AJ142" s="97">
        <f ca="1">SUMIF(Материал!A:A,K142,Материал!B:B)</f>
        <v>1</v>
      </c>
      <c r="AK142" s="97">
        <f ca="1">SUMIF(Размеры!A:A,R142,Размеры!E:E)</f>
        <v>1</v>
      </c>
      <c r="AL142" s="97">
        <f ca="1">SUMIF(Сезон!A:A,F142,Сезон!B:B)</f>
        <v>1</v>
      </c>
      <c r="AM142" s="97">
        <f ca="1">SUMIF(Состав!A:A,J142,Состав!B:B)</f>
        <v>1</v>
      </c>
      <c r="AN142" s="97">
        <f ca="1">VLOOKUP(I142,ЦветПолный!A:C,3,0)</f>
        <v>1</v>
      </c>
      <c r="AO142" s="97">
        <f ca="1">SUMIF(Цвет!A:A,Y142,Цвет!B:B)</f>
        <v>1</v>
      </c>
      <c r="AP142" s="97">
        <f ca="1">_xlfn.XLOOKUP(L142,Пол!A:A,Пол!B:B,0,0)</f>
        <v>1</v>
      </c>
      <c r="AQ142" s="97">
        <f ca="1">SUMIF(Марка!A:A,G142,Марка!B:B)</f>
        <v>1</v>
      </c>
      <c r="AR142" s="97">
        <f ca="1">SUMIF(Страна!A:A,M142,Страна!B:B)</f>
        <v>1</v>
      </c>
      <c r="AS142" s="64" t="str">
        <f ca="1">IF(VLOOKUP(V142,Товары!A:B,2,FALSE)=A142,"Есть в 1С","ERR")</f>
        <v>Есть в 1С</v>
      </c>
      <c r="AT142" s="65" t="str">
        <f ca="1">IF(VLOOKUP(A142,Товары!B:B,1,FALSE)=A142,"Есть в 1С","ERR")</f>
        <v>Есть в 1С</v>
      </c>
      <c r="AU142" s="96" t="str">
        <f ca="1">VLOOKUP(V142,Товары!A:B,2,FALSE)</f>
        <v>21-599-79</v>
      </c>
      <c r="AV142" s="94" t="str">
        <f ca="1">VLOOKUP(V142,Товары!A:B,1,FALSE)</f>
        <v>Шляпа BAILEY арт. 81726BH HESTER (светло-бежевый) {sand}</v>
      </c>
    </row>
    <row r="143" spans="1:48" x14ac:dyDescent="0.25">
      <c r="A143" s="110" t="str">
        <f t="shared" ca="1" si="22"/>
        <v>21-599-79</v>
      </c>
      <c r="B143" s="107" t="str">
        <f ca="1">_xlfn.LET(_xlpm.CAPS,0,_xlpm.Style,_xlfn.XLOOKUP($A143,Строчный!$A:$A,Строчный!B:B,"ERR",0),IF(_xlpm.CAPS=0,_xlpm.Style,LOWER(_xlpm.Style)))</f>
        <v>81726BH HESTER</v>
      </c>
      <c r="C143" s="81" t="str">
        <f ca="1">PROPER(_xlfn.XLOOKUP($A143,Строчный!$A:$A,Строчный!C:C,"ERR",0))</f>
        <v>Шляпы</v>
      </c>
      <c r="D143" s="81" t="str">
        <f ca="1">_xlfn.LET(_xlpm.DATA,(_xlfn.XLOOKUP($A143,Строчный!$A:$A,Строчный!D:D,"ERR",0)),UPPER(MID(_xlpm.DATA,1,1))&amp;LOWER(MID(_xlpm.DATA,2,LEN(_xlpm.DATA)-1)))</f>
        <v>Шляпа федора</v>
      </c>
      <c r="E143" s="81" t="str">
        <f ca="1">PROPER(_xlfn.XLOOKUP($A143,Строчный!$A:$A,Строчный!E:E,"ERR",0))</f>
        <v>The Hollywood</v>
      </c>
      <c r="F143" s="81" t="str">
        <f ca="1">LOWER(_xlfn.XLOOKUP($A143,Строчный!$A:$A,Строчный!F:F,"ERR",0))</f>
        <v>летний</v>
      </c>
      <c r="G143" s="81" t="str">
        <f ca="1">UPPER(_xlfn.XLOOKUP($A143,Строчный!$A:$A,Строчный!G:G,"ERR",0))</f>
        <v>BAILEY</v>
      </c>
      <c r="H143" s="81" t="str">
        <f ca="1">LOWER(_xlfn.XLOOKUP($A143,Строчный!$A:$A,Строчный!H:H,"ERR",0))</f>
        <v>sand</v>
      </c>
      <c r="I143" s="81" t="str">
        <f ca="1">LOWER(_xlfn.XLOOKUP($A143,Строчный!$A:$A,Строчный!I:I,"ERR",0))</f>
        <v>светло-бежевый</v>
      </c>
      <c r="J143" s="81" t="str">
        <f ca="1">SUBSTITUTE(LOWER(_xlfn.XLOOKUP($A143,Строчный!$A:$A,Строчный!J:J,"ERR",0)),"подклад","Подклад")</f>
        <v>50% бумага - 50% полипропилен</v>
      </c>
      <c r="K143" s="81" t="str">
        <f ca="1">LOWER(_xlfn.XLOOKUP($A143,Строчный!$A:$A,Строчный!K:K,"ERR",0))</f>
        <v>бумажные</v>
      </c>
      <c r="L143" s="81" t="str">
        <f ca="1">PROPER(_xlfn.XLOOKUP($A143,Строчный!$A:$A,Строчный!L:L,"ERR",0))</f>
        <v>Унисекс</v>
      </c>
      <c r="M143" s="113" t="str">
        <f ca="1">PROPER(_xlfn.XLOOKUP($A143,Строчный!$A:$A,Строчный!M:M,"ERR",0))</f>
        <v>Китай</v>
      </c>
      <c r="N143" s="81" t="str">
        <f ca="1">UPPER(_xlfn.XLOOKUP($A143,Строчный!$A:$A,Строчный!O:O,"ERR",0))</f>
        <v/>
      </c>
      <c r="O143" s="107" t="str">
        <f ca="1">PROPER(_xlfn.XLOOKUP($A143,Строчный!$A:$A,Строчный!P:P,"ERR",0))</f>
        <v/>
      </c>
      <c r="P143" s="90">
        <f ca="1">VALUE(_xlfn.XLOOKUP($A143,Строчный!$A:$A,Строчный!N:N,"ERR",0))</f>
        <v>2263.9500000000003</v>
      </c>
      <c r="Q143" s="89" t="str">
        <f ca="1">_xlfn.XLOOKUP($G143,Фабрика!A:A,Фабрика!B:B,"ERR",0)</f>
        <v>Bollman Headwear Europe Ltd; 2 Merchants drive, Caelisle, Cumbria CA3 0JW, United Kingdom</v>
      </c>
      <c r="R143" s="80" t="str">
        <f ca="1">_xlfn.XLOOKUP(RIGHT(Z143,2),Размеры!D:D,Размеры!A:A,"ERR",0)</f>
        <v>55</v>
      </c>
      <c r="S143" s="80">
        <f ca="1">VALUE(_xlfn.XLOOKUP($Z143,Строчный!$R:$R,Строчный!T:T,"ERR",0))</f>
        <v>4</v>
      </c>
      <c r="T143" s="14" t="s">
        <v>265</v>
      </c>
      <c r="U143" s="101" t="str">
        <f t="shared" ca="1" si="18"/>
        <v>Шляпа BAILEY арт. 81726BH HESTER (светло-бежевый)</v>
      </c>
      <c r="V143" s="100" t="str">
        <f t="shared" ca="1" si="19"/>
        <v>Шляпа BAILEY арт. 81726BH HESTER (светло-бежевый) {sand}</v>
      </c>
      <c r="W143" s="18" t="str">
        <f t="shared" ca="1" si="20"/>
        <v>бежевый</v>
      </c>
      <c r="X143" s="18" t="str">
        <f t="shared" ca="1" si="21"/>
        <v>бежевый</v>
      </c>
      <c r="Y143" s="117" t="str">
        <f ca="1">_xlfn.LET(_xlpm.FormColors,_xlfn.XLOOKUP(A143,Строчный!A:A,Строчный!Q:Q,"",0),IF(_xlpm.FormColors=0,IFERROR(MID(I143,FIND("-",I143)+1,LEN(I143)),IFERROR(MID(I143,1,FIND("/",I143)-2),I143)),_xlpm.FormColors))</f>
        <v>бежевый</v>
      </c>
      <c r="Z143" s="73" t="str">
        <f ca="1"/>
        <v>21-599-79-55</v>
      </c>
      <c r="AA143" s="75" t="str">
        <f ca="1">VLOOKUP(C143,Группа!A:B,2,FALSE)</f>
        <v>Шляпа</v>
      </c>
      <c r="AB143" s="97" t="str">
        <f ca="1">IFERROR(VLOOKUP(R143,Размеры!A:C,3,FALSE),"")</f>
        <v>55 S</v>
      </c>
      <c r="AC143" s="97" t="str">
        <f ca="1">VLOOKUP(I143,ЦветПолный!A:B,2,FALSE)</f>
        <v>83</v>
      </c>
      <c r="AD143" s="97" t="str">
        <f ca="1">IFERROR(VLOOKUP(R143,Размеры!A:D,4,FALSE),"")</f>
        <v>55</v>
      </c>
      <c r="AE143" s="97">
        <f ca="1">IF(LEFT(IFERROR(VLOOKUP(LOOKUP(2,1/SEARCH(B143,Товары!A:A),Товары!A:A),Товары!A:B,2,0),""),6)=MID(Z143,1,6),1,0)</f>
        <v>1</v>
      </c>
      <c r="AG143" s="97">
        <f ca="1">SUMIF(Группа!A:A,C143,Группа!C:C)</f>
        <v>1</v>
      </c>
      <c r="AH143" s="97">
        <f ca="1">SUMIF(Группа!B:B,AA143,Группа!C:C)</f>
        <v>1</v>
      </c>
      <c r="AI143" s="97">
        <f ca="1">SUMIF(Формы!A:A,D143,Формы!B:B)</f>
        <v>1</v>
      </c>
      <c r="AJ143" s="97">
        <f ca="1">SUMIF(Материал!A:A,K143,Материал!B:B)</f>
        <v>1</v>
      </c>
      <c r="AK143" s="97">
        <f ca="1">SUMIF(Размеры!A:A,R143,Размеры!E:E)</f>
        <v>1</v>
      </c>
      <c r="AL143" s="97">
        <f ca="1">SUMIF(Сезон!A:A,F143,Сезон!B:B)</f>
        <v>1</v>
      </c>
      <c r="AM143" s="97">
        <f ca="1">SUMIF(Состав!A:A,J143,Состав!B:B)</f>
        <v>1</v>
      </c>
      <c r="AN143" s="97">
        <f ca="1">VLOOKUP(I143,ЦветПолный!A:C,3,0)</f>
        <v>1</v>
      </c>
      <c r="AO143" s="97">
        <f ca="1">SUMIF(Цвет!A:A,Y143,Цвет!B:B)</f>
        <v>1</v>
      </c>
      <c r="AP143" s="97">
        <f ca="1">_xlfn.XLOOKUP(L143,Пол!A:A,Пол!B:B,0,0)</f>
        <v>1</v>
      </c>
      <c r="AQ143" s="97">
        <f ca="1">SUMIF(Марка!A:A,G143,Марка!B:B)</f>
        <v>1</v>
      </c>
      <c r="AR143" s="97">
        <f ca="1">SUMIF(Страна!A:A,M143,Страна!B:B)</f>
        <v>1</v>
      </c>
      <c r="AS143" s="64" t="str">
        <f ca="1">IF(VLOOKUP(V143,Товары!A:B,2,FALSE)=A143,"Есть в 1С","ERR")</f>
        <v>Есть в 1С</v>
      </c>
      <c r="AT143" s="65" t="str">
        <f ca="1">IF(VLOOKUP(A143,Товары!B:B,1,FALSE)=A143,"Есть в 1С","ERR")</f>
        <v>Есть в 1С</v>
      </c>
      <c r="AU143" s="96" t="str">
        <f ca="1">VLOOKUP(V143,Товары!A:B,2,FALSE)</f>
        <v>21-599-79</v>
      </c>
      <c r="AV143" s="94" t="str">
        <f ca="1">VLOOKUP(V143,Товары!A:B,1,FALSE)</f>
        <v>Шляпа BAILEY арт. 81726BH HESTER (светло-бежевый) {sand}</v>
      </c>
    </row>
    <row r="144" spans="1:48" x14ac:dyDescent="0.25">
      <c r="A144" s="110" t="str">
        <f t="shared" ca="1" si="22"/>
        <v>21-599-19</v>
      </c>
      <c r="B144" s="107" t="str">
        <f ca="1">_xlfn.LET(_xlpm.CAPS,0,_xlpm.Style,_xlfn.XLOOKUP($A144,Строчный!$A:$A,Строчный!B:B,"ERR",0),IF(_xlpm.CAPS=0,_xlpm.Style,LOWER(_xlpm.Style)))</f>
        <v>81726BH HESTER</v>
      </c>
      <c r="C144" s="81" t="str">
        <f ca="1">PROPER(_xlfn.XLOOKUP($A144,Строчный!$A:$A,Строчный!C:C,"ERR",0))</f>
        <v>Шляпы</v>
      </c>
      <c r="D144" s="81" t="str">
        <f ca="1">_xlfn.LET(_xlpm.DATA,(_xlfn.XLOOKUP($A144,Строчный!$A:$A,Строчный!D:D,"ERR",0)),UPPER(MID(_xlpm.DATA,1,1))&amp;LOWER(MID(_xlpm.DATA,2,LEN(_xlpm.DATA)-1)))</f>
        <v>Шляпа федора</v>
      </c>
      <c r="E144" s="81" t="str">
        <f ca="1">PROPER(_xlfn.XLOOKUP($A144,Строчный!$A:$A,Строчный!E:E,"ERR",0))</f>
        <v>The Hollywood</v>
      </c>
      <c r="F144" s="81" t="str">
        <f ca="1">LOWER(_xlfn.XLOOKUP($A144,Строчный!$A:$A,Строчный!F:F,"ERR",0))</f>
        <v>летний</v>
      </c>
      <c r="G144" s="81" t="str">
        <f ca="1">UPPER(_xlfn.XLOOKUP($A144,Строчный!$A:$A,Строчный!G:G,"ERR",0))</f>
        <v>BAILEY</v>
      </c>
      <c r="H144" s="81" t="str">
        <f ca="1">LOWER(_xlfn.XLOOKUP($A144,Строчный!$A:$A,Строчный!H:H,"ERR",0))</f>
        <v>opal</v>
      </c>
      <c r="I144" s="81" t="str">
        <f ca="1">LOWER(_xlfn.XLOOKUP($A144,Строчный!$A:$A,Строчный!I:I,"ERR",0))</f>
        <v>светло-голубой</v>
      </c>
      <c r="J144" s="81" t="str">
        <f ca="1">SUBSTITUTE(LOWER(_xlfn.XLOOKUP($A144,Строчный!$A:$A,Строчный!J:J,"ERR",0)),"подклад","Подклад")</f>
        <v>50% бумага - 50% полипропилен</v>
      </c>
      <c r="K144" s="81" t="str">
        <f ca="1">LOWER(_xlfn.XLOOKUP($A144,Строчный!$A:$A,Строчный!K:K,"ERR",0))</f>
        <v>бумажные</v>
      </c>
      <c r="L144" s="81" t="str">
        <f ca="1">PROPER(_xlfn.XLOOKUP($A144,Строчный!$A:$A,Строчный!L:L,"ERR",0))</f>
        <v>Унисекс</v>
      </c>
      <c r="M144" s="113" t="str">
        <f ca="1">PROPER(_xlfn.XLOOKUP($A144,Строчный!$A:$A,Строчный!M:M,"ERR",0))</f>
        <v>Китай</v>
      </c>
      <c r="N144" s="81" t="str">
        <f ca="1">UPPER(_xlfn.XLOOKUP($A144,Строчный!$A:$A,Строчный!O:O,"ERR",0))</f>
        <v/>
      </c>
      <c r="O144" s="107" t="str">
        <f ca="1">PROPER(_xlfn.XLOOKUP($A144,Строчный!$A:$A,Строчный!P:P,"ERR",0))</f>
        <v/>
      </c>
      <c r="P144" s="90">
        <f ca="1">VALUE(_xlfn.XLOOKUP($A144,Строчный!$A:$A,Строчный!N:N,"ERR",0))</f>
        <v>2263.9500000000003</v>
      </c>
      <c r="Q144" s="89" t="str">
        <f ca="1">_xlfn.XLOOKUP($G144,Фабрика!A:A,Фабрика!B:B,"ERR",0)</f>
        <v>Bollman Headwear Europe Ltd; 2 Merchants drive, Caelisle, Cumbria CA3 0JW, United Kingdom</v>
      </c>
      <c r="R144" s="80" t="str">
        <f ca="1">_xlfn.XLOOKUP(RIGHT(Z144,2),Размеры!D:D,Размеры!A:A,"ERR",0)</f>
        <v>61</v>
      </c>
      <c r="S144" s="80">
        <f ca="1">VALUE(_xlfn.XLOOKUP($Z144,Строчный!$R:$R,Строчный!T:T,"ERR",0))</f>
        <v>7</v>
      </c>
      <c r="T144" s="14" t="s">
        <v>265</v>
      </c>
      <c r="U144" s="101" t="str">
        <f t="shared" ca="1" si="18"/>
        <v>Шляпа BAILEY арт. 81726BH HESTER (светло-голубой)</v>
      </c>
      <c r="V144" s="100" t="str">
        <f t="shared" ca="1" si="19"/>
        <v>Шляпа BAILEY арт. 81726BH HESTER (светло-голубой) {opal}</v>
      </c>
      <c r="W144" s="18" t="str">
        <f t="shared" ca="1" si="20"/>
        <v>голубой</v>
      </c>
      <c r="X144" s="18" t="str">
        <f t="shared" ca="1" si="21"/>
        <v>голубой</v>
      </c>
      <c r="Y144" s="117" t="str">
        <f ca="1">_xlfn.LET(_xlpm.FormColors,_xlfn.XLOOKUP(A144,Строчный!A:A,Строчный!Q:Q,"",0),IF(_xlpm.FormColors=0,IFERROR(MID(I144,FIND("-",I144)+1,LEN(I144)),IFERROR(MID(I144,1,FIND("/",I144)-2),I144)),_xlpm.FormColors))</f>
        <v>голубой</v>
      </c>
      <c r="Z144" s="73" t="str">
        <f ca="1"/>
        <v>21-599-19-61</v>
      </c>
      <c r="AA144" s="75" t="str">
        <f ca="1">VLOOKUP(C144,Группа!A:B,2,FALSE)</f>
        <v>Шляпа</v>
      </c>
      <c r="AB144" s="97" t="str">
        <f ca="1">IFERROR(VLOOKUP(R144,Размеры!A:C,3,FALSE),"")</f>
        <v>61 XL</v>
      </c>
      <c r="AC144" s="97" t="str">
        <f ca="1">VLOOKUP(I144,ЦветПолный!A:B,2,FALSE)</f>
        <v>19</v>
      </c>
      <c r="AD144" s="97" t="str">
        <f ca="1">IFERROR(VLOOKUP(R144,Размеры!A:D,4,FALSE),"")</f>
        <v>61</v>
      </c>
      <c r="AE144" s="97">
        <f ca="1">IF(LEFT(IFERROR(VLOOKUP(LOOKUP(2,1/SEARCH(B144,Товары!A:A),Товары!A:A),Товары!A:B,2,0),""),6)=MID(Z144,1,6),1,0)</f>
        <v>1</v>
      </c>
      <c r="AG144" s="97">
        <f ca="1">SUMIF(Группа!A:A,C144,Группа!C:C)</f>
        <v>1</v>
      </c>
      <c r="AH144" s="97">
        <f ca="1">SUMIF(Группа!B:B,AA144,Группа!C:C)</f>
        <v>1</v>
      </c>
      <c r="AI144" s="97">
        <f ca="1">SUMIF(Формы!A:A,D144,Формы!B:B)</f>
        <v>1</v>
      </c>
      <c r="AJ144" s="97">
        <f ca="1">SUMIF(Материал!A:A,K144,Материал!B:B)</f>
        <v>1</v>
      </c>
      <c r="AK144" s="97">
        <f ca="1">SUMIF(Размеры!A:A,R144,Размеры!E:E)</f>
        <v>1</v>
      </c>
      <c r="AL144" s="97">
        <f ca="1">SUMIF(Сезон!A:A,F144,Сезон!B:B)</f>
        <v>1</v>
      </c>
      <c r="AM144" s="97">
        <f ca="1">SUMIF(Состав!A:A,J144,Состав!B:B)</f>
        <v>1</v>
      </c>
      <c r="AN144" s="97">
        <f ca="1">VLOOKUP(I144,ЦветПолный!A:C,3,0)</f>
        <v>1</v>
      </c>
      <c r="AO144" s="97">
        <f ca="1">SUMIF(Цвет!A:A,Y144,Цвет!B:B)</f>
        <v>1</v>
      </c>
      <c r="AP144" s="97">
        <f ca="1">_xlfn.XLOOKUP(L144,Пол!A:A,Пол!B:B,0,0)</f>
        <v>1</v>
      </c>
      <c r="AQ144" s="97">
        <f ca="1">SUMIF(Марка!A:A,G144,Марка!B:B)</f>
        <v>1</v>
      </c>
      <c r="AR144" s="97">
        <f ca="1">SUMIF(Страна!A:A,M144,Страна!B:B)</f>
        <v>1</v>
      </c>
      <c r="AS144" s="64" t="str">
        <f ca="1">IF(VLOOKUP(V144,Товары!A:B,2,FALSE)=A144,"Есть в 1С","ERR")</f>
        <v>Есть в 1С</v>
      </c>
      <c r="AT144" s="65" t="str">
        <f ca="1">IF(VLOOKUP(A144,Товары!B:B,1,FALSE)=A144,"Есть в 1С","ERR")</f>
        <v>Есть в 1С</v>
      </c>
      <c r="AU144" s="96" t="str">
        <f ca="1">VLOOKUP(V144,Товары!A:B,2,FALSE)</f>
        <v>21-599-19</v>
      </c>
      <c r="AV144" s="94" t="str">
        <f ca="1">VLOOKUP(V144,Товары!A:B,1,FALSE)</f>
        <v>Шляпа BAILEY арт. 81726BH HESTER (светло-голубой) {opal}</v>
      </c>
    </row>
    <row r="145" spans="1:48" x14ac:dyDescent="0.25">
      <c r="A145" s="110" t="str">
        <f t="shared" ca="1" si="22"/>
        <v>21-599-19</v>
      </c>
      <c r="B145" s="107" t="str">
        <f ca="1">_xlfn.LET(_xlpm.CAPS,0,_xlpm.Style,_xlfn.XLOOKUP($A145,Строчный!$A:$A,Строчный!B:B,"ERR",0),IF(_xlpm.CAPS=0,_xlpm.Style,LOWER(_xlpm.Style)))</f>
        <v>81726BH HESTER</v>
      </c>
      <c r="C145" s="81" t="str">
        <f ca="1">PROPER(_xlfn.XLOOKUP($A145,Строчный!$A:$A,Строчный!C:C,"ERR",0))</f>
        <v>Шляпы</v>
      </c>
      <c r="D145" s="81" t="str">
        <f ca="1">_xlfn.LET(_xlpm.DATA,(_xlfn.XLOOKUP($A145,Строчный!$A:$A,Строчный!D:D,"ERR",0)),UPPER(MID(_xlpm.DATA,1,1))&amp;LOWER(MID(_xlpm.DATA,2,LEN(_xlpm.DATA)-1)))</f>
        <v>Шляпа федора</v>
      </c>
      <c r="E145" s="81" t="str">
        <f ca="1">PROPER(_xlfn.XLOOKUP($A145,Строчный!$A:$A,Строчный!E:E,"ERR",0))</f>
        <v>The Hollywood</v>
      </c>
      <c r="F145" s="81" t="str">
        <f ca="1">LOWER(_xlfn.XLOOKUP($A145,Строчный!$A:$A,Строчный!F:F,"ERR",0))</f>
        <v>летний</v>
      </c>
      <c r="G145" s="81" t="str">
        <f ca="1">UPPER(_xlfn.XLOOKUP($A145,Строчный!$A:$A,Строчный!G:G,"ERR",0))</f>
        <v>BAILEY</v>
      </c>
      <c r="H145" s="81" t="str">
        <f ca="1">LOWER(_xlfn.XLOOKUP($A145,Строчный!$A:$A,Строчный!H:H,"ERR",0))</f>
        <v>opal</v>
      </c>
      <c r="I145" s="81" t="str">
        <f ca="1">LOWER(_xlfn.XLOOKUP($A145,Строчный!$A:$A,Строчный!I:I,"ERR",0))</f>
        <v>светло-голубой</v>
      </c>
      <c r="J145" s="81" t="str">
        <f ca="1">SUBSTITUTE(LOWER(_xlfn.XLOOKUP($A145,Строчный!$A:$A,Строчный!J:J,"ERR",0)),"подклад","Подклад")</f>
        <v>50% бумага - 50% полипропилен</v>
      </c>
      <c r="K145" s="81" t="str">
        <f ca="1">LOWER(_xlfn.XLOOKUP($A145,Строчный!$A:$A,Строчный!K:K,"ERR",0))</f>
        <v>бумажные</v>
      </c>
      <c r="L145" s="81" t="str">
        <f ca="1">PROPER(_xlfn.XLOOKUP($A145,Строчный!$A:$A,Строчный!L:L,"ERR",0))</f>
        <v>Унисекс</v>
      </c>
      <c r="M145" s="113" t="str">
        <f ca="1">PROPER(_xlfn.XLOOKUP($A145,Строчный!$A:$A,Строчный!M:M,"ERR",0))</f>
        <v>Китай</v>
      </c>
      <c r="N145" s="81" t="str">
        <f ca="1">UPPER(_xlfn.XLOOKUP($A145,Строчный!$A:$A,Строчный!O:O,"ERR",0))</f>
        <v/>
      </c>
      <c r="O145" s="107" t="str">
        <f ca="1">PROPER(_xlfn.XLOOKUP($A145,Строчный!$A:$A,Строчный!P:P,"ERR",0))</f>
        <v/>
      </c>
      <c r="P145" s="90">
        <f ca="1">VALUE(_xlfn.XLOOKUP($A145,Строчный!$A:$A,Строчный!N:N,"ERR",0))</f>
        <v>2263.9500000000003</v>
      </c>
      <c r="Q145" s="89" t="str">
        <f ca="1">_xlfn.XLOOKUP($G145,Фабрика!A:A,Фабрика!B:B,"ERR",0)</f>
        <v>Bollman Headwear Europe Ltd; 2 Merchants drive, Caelisle, Cumbria CA3 0JW, United Kingdom</v>
      </c>
      <c r="R145" s="80" t="str">
        <f ca="1">_xlfn.XLOOKUP(RIGHT(Z145,2),Размеры!D:D,Размеры!A:A,"ERR",0)</f>
        <v>59</v>
      </c>
      <c r="S145" s="80">
        <f ca="1">VALUE(_xlfn.XLOOKUP($Z145,Строчный!$R:$R,Строчный!T:T,"ERR",0))</f>
        <v>11</v>
      </c>
      <c r="T145" s="14" t="s">
        <v>265</v>
      </c>
      <c r="U145" s="101" t="str">
        <f t="shared" ca="1" si="18"/>
        <v>Шляпа BAILEY арт. 81726BH HESTER (светло-голубой)</v>
      </c>
      <c r="V145" s="100" t="str">
        <f t="shared" ca="1" si="19"/>
        <v>Шляпа BAILEY арт. 81726BH HESTER (светло-голубой) {opal}</v>
      </c>
      <c r="W145" s="18" t="str">
        <f t="shared" ca="1" si="20"/>
        <v>голубой</v>
      </c>
      <c r="X145" s="18" t="str">
        <f t="shared" ca="1" si="21"/>
        <v>голубой</v>
      </c>
      <c r="Y145" s="117" t="str">
        <f ca="1">_xlfn.LET(_xlpm.FormColors,_xlfn.XLOOKUP(A145,Строчный!A:A,Строчный!Q:Q,"",0),IF(_xlpm.FormColors=0,IFERROR(MID(I145,FIND("-",I145)+1,LEN(I145)),IFERROR(MID(I145,1,FIND("/",I145)-2),I145)),_xlpm.FormColors))</f>
        <v>голубой</v>
      </c>
      <c r="Z145" s="73" t="str">
        <f ca="1"/>
        <v>21-599-19-59</v>
      </c>
      <c r="AA145" s="75" t="str">
        <f ca="1">VLOOKUP(C145,Группа!A:B,2,FALSE)</f>
        <v>Шляпа</v>
      </c>
      <c r="AB145" s="97" t="str">
        <f ca="1">IFERROR(VLOOKUP(R145,Размеры!A:C,3,FALSE),"")</f>
        <v>59 L</v>
      </c>
      <c r="AC145" s="97" t="str">
        <f ca="1">VLOOKUP(I145,ЦветПолный!A:B,2,FALSE)</f>
        <v>19</v>
      </c>
      <c r="AD145" s="97" t="str">
        <f ca="1">IFERROR(VLOOKUP(R145,Размеры!A:D,4,FALSE),"")</f>
        <v>59</v>
      </c>
      <c r="AE145" s="97">
        <f ca="1">IF(LEFT(IFERROR(VLOOKUP(LOOKUP(2,1/SEARCH(B145,Товары!A:A),Товары!A:A),Товары!A:B,2,0),""),6)=MID(Z145,1,6),1,0)</f>
        <v>1</v>
      </c>
      <c r="AG145" s="97">
        <f ca="1">SUMIF(Группа!A:A,C145,Группа!C:C)</f>
        <v>1</v>
      </c>
      <c r="AH145" s="97">
        <f ca="1">SUMIF(Группа!B:B,AA145,Группа!C:C)</f>
        <v>1</v>
      </c>
      <c r="AI145" s="97">
        <f ca="1">SUMIF(Формы!A:A,D145,Формы!B:B)</f>
        <v>1</v>
      </c>
      <c r="AJ145" s="97">
        <f ca="1">SUMIF(Материал!A:A,K145,Материал!B:B)</f>
        <v>1</v>
      </c>
      <c r="AK145" s="97">
        <f ca="1">SUMIF(Размеры!A:A,R145,Размеры!E:E)</f>
        <v>1</v>
      </c>
      <c r="AL145" s="97">
        <f ca="1">SUMIF(Сезон!A:A,F145,Сезон!B:B)</f>
        <v>1</v>
      </c>
      <c r="AM145" s="97">
        <f ca="1">SUMIF(Состав!A:A,J145,Состав!B:B)</f>
        <v>1</v>
      </c>
      <c r="AN145" s="97">
        <f ca="1">VLOOKUP(I145,ЦветПолный!A:C,3,0)</f>
        <v>1</v>
      </c>
      <c r="AO145" s="97">
        <f ca="1">SUMIF(Цвет!A:A,Y145,Цвет!B:B)</f>
        <v>1</v>
      </c>
      <c r="AP145" s="97">
        <f ca="1">_xlfn.XLOOKUP(L145,Пол!A:A,Пол!B:B,0,0)</f>
        <v>1</v>
      </c>
      <c r="AQ145" s="97">
        <f ca="1">SUMIF(Марка!A:A,G145,Марка!B:B)</f>
        <v>1</v>
      </c>
      <c r="AR145" s="97">
        <f ca="1">SUMIF(Страна!A:A,M145,Страна!B:B)</f>
        <v>1</v>
      </c>
      <c r="AS145" s="64" t="str">
        <f ca="1">IF(VLOOKUP(V145,Товары!A:B,2,FALSE)=A145,"Есть в 1С","ERR")</f>
        <v>Есть в 1С</v>
      </c>
      <c r="AT145" s="65" t="str">
        <f ca="1">IF(VLOOKUP(A145,Товары!B:B,1,FALSE)=A145,"Есть в 1С","ERR")</f>
        <v>Есть в 1С</v>
      </c>
      <c r="AU145" s="96" t="str">
        <f ca="1">VLOOKUP(V145,Товары!A:B,2,FALSE)</f>
        <v>21-599-19</v>
      </c>
      <c r="AV145" s="94" t="str">
        <f ca="1">VLOOKUP(V145,Товары!A:B,1,FALSE)</f>
        <v>Шляпа BAILEY арт. 81726BH HESTER (светло-голубой) {opal}</v>
      </c>
    </row>
    <row r="146" spans="1:48" x14ac:dyDescent="0.25">
      <c r="A146" s="110" t="str">
        <f t="shared" ca="1" si="22"/>
        <v>21-599-19</v>
      </c>
      <c r="B146" s="107" t="str">
        <f ca="1">_xlfn.LET(_xlpm.CAPS,0,_xlpm.Style,_xlfn.XLOOKUP($A146,Строчный!$A:$A,Строчный!B:B,"ERR",0),IF(_xlpm.CAPS=0,_xlpm.Style,LOWER(_xlpm.Style)))</f>
        <v>81726BH HESTER</v>
      </c>
      <c r="C146" s="81" t="str">
        <f ca="1">PROPER(_xlfn.XLOOKUP($A146,Строчный!$A:$A,Строчный!C:C,"ERR",0))</f>
        <v>Шляпы</v>
      </c>
      <c r="D146" s="81" t="str">
        <f ca="1">_xlfn.LET(_xlpm.DATA,(_xlfn.XLOOKUP($A146,Строчный!$A:$A,Строчный!D:D,"ERR",0)),UPPER(MID(_xlpm.DATA,1,1))&amp;LOWER(MID(_xlpm.DATA,2,LEN(_xlpm.DATA)-1)))</f>
        <v>Шляпа федора</v>
      </c>
      <c r="E146" s="81" t="str">
        <f ca="1">PROPER(_xlfn.XLOOKUP($A146,Строчный!$A:$A,Строчный!E:E,"ERR",0))</f>
        <v>The Hollywood</v>
      </c>
      <c r="F146" s="81" t="str">
        <f ca="1">LOWER(_xlfn.XLOOKUP($A146,Строчный!$A:$A,Строчный!F:F,"ERR",0))</f>
        <v>летний</v>
      </c>
      <c r="G146" s="81" t="str">
        <f ca="1">UPPER(_xlfn.XLOOKUP($A146,Строчный!$A:$A,Строчный!G:G,"ERR",0))</f>
        <v>BAILEY</v>
      </c>
      <c r="H146" s="81" t="str">
        <f ca="1">LOWER(_xlfn.XLOOKUP($A146,Строчный!$A:$A,Строчный!H:H,"ERR",0))</f>
        <v>opal</v>
      </c>
      <c r="I146" s="81" t="str">
        <f ca="1">LOWER(_xlfn.XLOOKUP($A146,Строчный!$A:$A,Строчный!I:I,"ERR",0))</f>
        <v>светло-голубой</v>
      </c>
      <c r="J146" s="81" t="str">
        <f ca="1">SUBSTITUTE(LOWER(_xlfn.XLOOKUP($A146,Строчный!$A:$A,Строчный!J:J,"ERR",0)),"подклад","Подклад")</f>
        <v>50% бумага - 50% полипропилен</v>
      </c>
      <c r="K146" s="81" t="str">
        <f ca="1">LOWER(_xlfn.XLOOKUP($A146,Строчный!$A:$A,Строчный!K:K,"ERR",0))</f>
        <v>бумажные</v>
      </c>
      <c r="L146" s="81" t="str">
        <f ca="1">PROPER(_xlfn.XLOOKUP($A146,Строчный!$A:$A,Строчный!L:L,"ERR",0))</f>
        <v>Унисекс</v>
      </c>
      <c r="M146" s="113" t="str">
        <f ca="1">PROPER(_xlfn.XLOOKUP($A146,Строчный!$A:$A,Строчный!M:M,"ERR",0))</f>
        <v>Китай</v>
      </c>
      <c r="N146" s="81" t="str">
        <f ca="1">UPPER(_xlfn.XLOOKUP($A146,Строчный!$A:$A,Строчный!O:O,"ERR",0))</f>
        <v/>
      </c>
      <c r="O146" s="107" t="str">
        <f ca="1">PROPER(_xlfn.XLOOKUP($A146,Строчный!$A:$A,Строчный!P:P,"ERR",0))</f>
        <v/>
      </c>
      <c r="P146" s="90">
        <f ca="1">VALUE(_xlfn.XLOOKUP($A146,Строчный!$A:$A,Строчный!N:N,"ERR",0))</f>
        <v>2263.9500000000003</v>
      </c>
      <c r="Q146" s="89" t="str">
        <f ca="1">_xlfn.XLOOKUP($G146,Фабрика!A:A,Фабрика!B:B,"ERR",0)</f>
        <v>Bollman Headwear Europe Ltd; 2 Merchants drive, Caelisle, Cumbria CA3 0JW, United Kingdom</v>
      </c>
      <c r="R146" s="80" t="str">
        <f ca="1">_xlfn.XLOOKUP(RIGHT(Z146,2),Размеры!D:D,Размеры!A:A,"ERR",0)</f>
        <v>57</v>
      </c>
      <c r="S146" s="80">
        <f ca="1">VALUE(_xlfn.XLOOKUP($Z146,Строчный!$R:$R,Строчный!T:T,"ERR",0))</f>
        <v>7</v>
      </c>
      <c r="T146" s="14" t="s">
        <v>265</v>
      </c>
      <c r="U146" s="101" t="str">
        <f t="shared" ca="1" si="18"/>
        <v>Шляпа BAILEY арт. 81726BH HESTER (светло-голубой)</v>
      </c>
      <c r="V146" s="100" t="str">
        <f t="shared" ca="1" si="19"/>
        <v>Шляпа BAILEY арт. 81726BH HESTER (светло-голубой) {opal}</v>
      </c>
      <c r="W146" s="18" t="str">
        <f t="shared" ca="1" si="20"/>
        <v>голубой</v>
      </c>
      <c r="X146" s="18" t="str">
        <f t="shared" ca="1" si="21"/>
        <v>голубой</v>
      </c>
      <c r="Y146" s="117" t="str">
        <f ca="1">_xlfn.LET(_xlpm.FormColors,_xlfn.XLOOKUP(A146,Строчный!A:A,Строчный!Q:Q,"",0),IF(_xlpm.FormColors=0,IFERROR(MID(I146,FIND("-",I146)+1,LEN(I146)),IFERROR(MID(I146,1,FIND("/",I146)-2),I146)),_xlpm.FormColors))</f>
        <v>голубой</v>
      </c>
      <c r="Z146" s="73" t="str">
        <f ca="1"/>
        <v>21-599-19-57</v>
      </c>
      <c r="AA146" s="75" t="str">
        <f ca="1">VLOOKUP(C146,Группа!A:B,2,FALSE)</f>
        <v>Шляпа</v>
      </c>
      <c r="AB146" s="97" t="str">
        <f ca="1">IFERROR(VLOOKUP(R146,Размеры!A:C,3,FALSE),"")</f>
        <v>57 M</v>
      </c>
      <c r="AC146" s="97" t="str">
        <f ca="1">VLOOKUP(I146,ЦветПолный!A:B,2,FALSE)</f>
        <v>19</v>
      </c>
      <c r="AD146" s="97" t="str">
        <f ca="1">IFERROR(VLOOKUP(R146,Размеры!A:D,4,FALSE),"")</f>
        <v>57</v>
      </c>
      <c r="AE146" s="97">
        <f ca="1">IF(LEFT(IFERROR(VLOOKUP(LOOKUP(2,1/SEARCH(B146,Товары!A:A),Товары!A:A),Товары!A:B,2,0),""),6)=MID(Z146,1,6),1,0)</f>
        <v>1</v>
      </c>
      <c r="AG146" s="97">
        <f ca="1">SUMIF(Группа!A:A,C146,Группа!C:C)</f>
        <v>1</v>
      </c>
      <c r="AH146" s="97">
        <f ca="1">SUMIF(Группа!B:B,AA146,Группа!C:C)</f>
        <v>1</v>
      </c>
      <c r="AI146" s="97">
        <f ca="1">SUMIF(Формы!A:A,D146,Формы!B:B)</f>
        <v>1</v>
      </c>
      <c r="AJ146" s="97">
        <f ca="1">SUMIF(Материал!A:A,K146,Материал!B:B)</f>
        <v>1</v>
      </c>
      <c r="AK146" s="97">
        <f ca="1">SUMIF(Размеры!A:A,R146,Размеры!E:E)</f>
        <v>1</v>
      </c>
      <c r="AL146" s="97">
        <f ca="1">SUMIF(Сезон!A:A,F146,Сезон!B:B)</f>
        <v>1</v>
      </c>
      <c r="AM146" s="97">
        <f ca="1">SUMIF(Состав!A:A,J146,Состав!B:B)</f>
        <v>1</v>
      </c>
      <c r="AN146" s="97">
        <f ca="1">VLOOKUP(I146,ЦветПолный!A:C,3,0)</f>
        <v>1</v>
      </c>
      <c r="AO146" s="97">
        <f ca="1">SUMIF(Цвет!A:A,Y146,Цвет!B:B)</f>
        <v>1</v>
      </c>
      <c r="AP146" s="97">
        <f ca="1">_xlfn.XLOOKUP(L146,Пол!A:A,Пол!B:B,0,0)</f>
        <v>1</v>
      </c>
      <c r="AQ146" s="97">
        <f ca="1">SUMIF(Марка!A:A,G146,Марка!B:B)</f>
        <v>1</v>
      </c>
      <c r="AR146" s="97">
        <f ca="1">SUMIF(Страна!A:A,M146,Страна!B:B)</f>
        <v>1</v>
      </c>
      <c r="AS146" s="64" t="str">
        <f ca="1">IF(VLOOKUP(V146,Товары!A:B,2,FALSE)=A146,"Есть в 1С","ERR")</f>
        <v>Есть в 1С</v>
      </c>
      <c r="AT146" s="65" t="str">
        <f ca="1">IF(VLOOKUP(A146,Товары!B:B,1,FALSE)=A146,"Есть в 1С","ERR")</f>
        <v>Есть в 1С</v>
      </c>
      <c r="AU146" s="96" t="str">
        <f ca="1">VLOOKUP(V146,Товары!A:B,2,FALSE)</f>
        <v>21-599-19</v>
      </c>
      <c r="AV146" s="94" t="str">
        <f ca="1">VLOOKUP(V146,Товары!A:B,1,FALSE)</f>
        <v>Шляпа BAILEY арт. 81726BH HESTER (светло-голубой) {opal}</v>
      </c>
    </row>
    <row r="147" spans="1:48" x14ac:dyDescent="0.25">
      <c r="A147" s="110" t="str">
        <f t="shared" ca="1" si="22"/>
        <v>21-599-19</v>
      </c>
      <c r="B147" s="107" t="str">
        <f ca="1">_xlfn.LET(_xlpm.CAPS,0,_xlpm.Style,_xlfn.XLOOKUP($A147,Строчный!$A:$A,Строчный!B:B,"ERR",0),IF(_xlpm.CAPS=0,_xlpm.Style,LOWER(_xlpm.Style)))</f>
        <v>81726BH HESTER</v>
      </c>
      <c r="C147" s="81" t="str">
        <f ca="1">PROPER(_xlfn.XLOOKUP($A147,Строчный!$A:$A,Строчный!C:C,"ERR",0))</f>
        <v>Шляпы</v>
      </c>
      <c r="D147" s="81" t="str">
        <f ca="1">_xlfn.LET(_xlpm.DATA,(_xlfn.XLOOKUP($A147,Строчный!$A:$A,Строчный!D:D,"ERR",0)),UPPER(MID(_xlpm.DATA,1,1))&amp;LOWER(MID(_xlpm.DATA,2,LEN(_xlpm.DATA)-1)))</f>
        <v>Шляпа федора</v>
      </c>
      <c r="E147" s="81" t="str">
        <f ca="1">PROPER(_xlfn.XLOOKUP($A147,Строчный!$A:$A,Строчный!E:E,"ERR",0))</f>
        <v>The Hollywood</v>
      </c>
      <c r="F147" s="81" t="str">
        <f ca="1">LOWER(_xlfn.XLOOKUP($A147,Строчный!$A:$A,Строчный!F:F,"ERR",0))</f>
        <v>летний</v>
      </c>
      <c r="G147" s="81" t="str">
        <f ca="1">UPPER(_xlfn.XLOOKUP($A147,Строчный!$A:$A,Строчный!G:G,"ERR",0))</f>
        <v>BAILEY</v>
      </c>
      <c r="H147" s="81" t="str">
        <f ca="1">LOWER(_xlfn.XLOOKUP($A147,Строчный!$A:$A,Строчный!H:H,"ERR",0))</f>
        <v>opal</v>
      </c>
      <c r="I147" s="81" t="str">
        <f ca="1">LOWER(_xlfn.XLOOKUP($A147,Строчный!$A:$A,Строчный!I:I,"ERR",0))</f>
        <v>светло-голубой</v>
      </c>
      <c r="J147" s="81" t="str">
        <f ca="1">SUBSTITUTE(LOWER(_xlfn.XLOOKUP($A147,Строчный!$A:$A,Строчный!J:J,"ERR",0)),"подклад","Подклад")</f>
        <v>50% бумага - 50% полипропилен</v>
      </c>
      <c r="K147" s="81" t="str">
        <f ca="1">LOWER(_xlfn.XLOOKUP($A147,Строчный!$A:$A,Строчный!K:K,"ERR",0))</f>
        <v>бумажные</v>
      </c>
      <c r="L147" s="81" t="str">
        <f ca="1">PROPER(_xlfn.XLOOKUP($A147,Строчный!$A:$A,Строчный!L:L,"ERR",0))</f>
        <v>Унисекс</v>
      </c>
      <c r="M147" s="113" t="str">
        <f ca="1">PROPER(_xlfn.XLOOKUP($A147,Строчный!$A:$A,Строчный!M:M,"ERR",0))</f>
        <v>Китай</v>
      </c>
      <c r="N147" s="81" t="str">
        <f ca="1">UPPER(_xlfn.XLOOKUP($A147,Строчный!$A:$A,Строчный!O:O,"ERR",0))</f>
        <v/>
      </c>
      <c r="O147" s="107" t="str">
        <f ca="1">PROPER(_xlfn.XLOOKUP($A147,Строчный!$A:$A,Строчный!P:P,"ERR",0))</f>
        <v/>
      </c>
      <c r="P147" s="90">
        <f ca="1">VALUE(_xlfn.XLOOKUP($A147,Строчный!$A:$A,Строчный!N:N,"ERR",0))</f>
        <v>2263.9500000000003</v>
      </c>
      <c r="Q147" s="89" t="str">
        <f ca="1">_xlfn.XLOOKUP($G147,Фабрика!A:A,Фабрика!B:B,"ERR",0)</f>
        <v>Bollman Headwear Europe Ltd; 2 Merchants drive, Caelisle, Cumbria CA3 0JW, United Kingdom</v>
      </c>
      <c r="R147" s="80" t="str">
        <f ca="1">_xlfn.XLOOKUP(RIGHT(Z147,2),Размеры!D:D,Размеры!A:A,"ERR",0)</f>
        <v>55</v>
      </c>
      <c r="S147" s="80">
        <f ca="1">VALUE(_xlfn.XLOOKUP($Z147,Строчный!$R:$R,Строчный!T:T,"ERR",0))</f>
        <v>2</v>
      </c>
      <c r="T147" s="14" t="s">
        <v>265</v>
      </c>
      <c r="U147" s="101" t="str">
        <f t="shared" ca="1" si="18"/>
        <v>Шляпа BAILEY арт. 81726BH HESTER (светло-голубой)</v>
      </c>
      <c r="V147" s="100" t="str">
        <f t="shared" ca="1" si="19"/>
        <v>Шляпа BAILEY арт. 81726BH HESTER (светло-голубой) {opal}</v>
      </c>
      <c r="W147" s="18" t="str">
        <f t="shared" ca="1" si="20"/>
        <v>голубой</v>
      </c>
      <c r="X147" s="18" t="str">
        <f t="shared" ca="1" si="21"/>
        <v>голубой</v>
      </c>
      <c r="Y147" s="117" t="str">
        <f ca="1">_xlfn.LET(_xlpm.FormColors,_xlfn.XLOOKUP(A147,Строчный!A:A,Строчный!Q:Q,"",0),IF(_xlpm.FormColors=0,IFERROR(MID(I147,FIND("-",I147)+1,LEN(I147)),IFERROR(MID(I147,1,FIND("/",I147)-2),I147)),_xlpm.FormColors))</f>
        <v>голубой</v>
      </c>
      <c r="Z147" s="73" t="str">
        <f ca="1"/>
        <v>21-599-19-55</v>
      </c>
      <c r="AA147" s="75" t="str">
        <f ca="1">VLOOKUP(C147,Группа!A:B,2,FALSE)</f>
        <v>Шляпа</v>
      </c>
      <c r="AB147" s="97" t="str">
        <f ca="1">IFERROR(VLOOKUP(R147,Размеры!A:C,3,FALSE),"")</f>
        <v>55 S</v>
      </c>
      <c r="AC147" s="97" t="str">
        <f ca="1">VLOOKUP(I147,ЦветПолный!A:B,2,FALSE)</f>
        <v>19</v>
      </c>
      <c r="AD147" s="97" t="str">
        <f ca="1">IFERROR(VLOOKUP(R147,Размеры!A:D,4,FALSE),"")</f>
        <v>55</v>
      </c>
      <c r="AE147" s="97">
        <f ca="1">IF(LEFT(IFERROR(VLOOKUP(LOOKUP(2,1/SEARCH(B147,Товары!A:A),Товары!A:A),Товары!A:B,2,0),""),6)=MID(Z147,1,6),1,0)</f>
        <v>1</v>
      </c>
      <c r="AG147" s="97">
        <f ca="1">SUMIF(Группа!A:A,C147,Группа!C:C)</f>
        <v>1</v>
      </c>
      <c r="AH147" s="97">
        <f ca="1">SUMIF(Группа!B:B,AA147,Группа!C:C)</f>
        <v>1</v>
      </c>
      <c r="AI147" s="97">
        <f ca="1">SUMIF(Формы!A:A,D147,Формы!B:B)</f>
        <v>1</v>
      </c>
      <c r="AJ147" s="97">
        <f ca="1">SUMIF(Материал!A:A,K147,Материал!B:B)</f>
        <v>1</v>
      </c>
      <c r="AK147" s="97">
        <f ca="1">SUMIF(Размеры!A:A,R147,Размеры!E:E)</f>
        <v>1</v>
      </c>
      <c r="AL147" s="97">
        <f ca="1">SUMIF(Сезон!A:A,F147,Сезон!B:B)</f>
        <v>1</v>
      </c>
      <c r="AM147" s="97">
        <f ca="1">SUMIF(Состав!A:A,J147,Состав!B:B)</f>
        <v>1</v>
      </c>
      <c r="AN147" s="97">
        <f ca="1">VLOOKUP(I147,ЦветПолный!A:C,3,0)</f>
        <v>1</v>
      </c>
      <c r="AO147" s="97">
        <f ca="1">SUMIF(Цвет!A:A,Y147,Цвет!B:B)</f>
        <v>1</v>
      </c>
      <c r="AP147" s="97">
        <f ca="1">_xlfn.XLOOKUP(L147,Пол!A:A,Пол!B:B,0,0)</f>
        <v>1</v>
      </c>
      <c r="AQ147" s="97">
        <f ca="1">SUMIF(Марка!A:A,G147,Марка!B:B)</f>
        <v>1</v>
      </c>
      <c r="AR147" s="97">
        <f ca="1">SUMIF(Страна!A:A,M147,Страна!B:B)</f>
        <v>1</v>
      </c>
      <c r="AS147" s="64" t="str">
        <f ca="1">IF(VLOOKUP(V147,Товары!A:B,2,FALSE)=A147,"Есть в 1С","ERR")</f>
        <v>Есть в 1С</v>
      </c>
      <c r="AT147" s="65" t="str">
        <f ca="1">IF(VLOOKUP(A147,Товары!B:B,1,FALSE)=A147,"Есть в 1С","ERR")</f>
        <v>Есть в 1С</v>
      </c>
      <c r="AU147" s="96" t="str">
        <f ca="1">VLOOKUP(V147,Товары!A:B,2,FALSE)</f>
        <v>21-599-19</v>
      </c>
      <c r="AV147" s="94" t="str">
        <f ca="1">VLOOKUP(V147,Товары!A:B,1,FALSE)</f>
        <v>Шляпа BAILEY арт. 81726BH HESTER (светло-голубой) {opal}</v>
      </c>
    </row>
    <row r="148" spans="1:48" x14ac:dyDescent="0.25">
      <c r="A148" s="110" t="str">
        <f t="shared" ca="1" si="22"/>
        <v>21-599-06</v>
      </c>
      <c r="B148" s="107" t="str">
        <f ca="1">_xlfn.LET(_xlpm.CAPS,0,_xlpm.Style,_xlfn.XLOOKUP($A148,Строчный!$A:$A,Строчный!B:B,"ERR",0),IF(_xlpm.CAPS=0,_xlpm.Style,LOWER(_xlpm.Style)))</f>
        <v>81726BH HESTER</v>
      </c>
      <c r="C148" s="81" t="str">
        <f ca="1">PROPER(_xlfn.XLOOKUP($A148,Строчный!$A:$A,Строчный!C:C,"ERR",0))</f>
        <v>Шляпы</v>
      </c>
      <c r="D148" s="81" t="str">
        <f ca="1">_xlfn.LET(_xlpm.DATA,(_xlfn.XLOOKUP($A148,Строчный!$A:$A,Строчный!D:D,"ERR",0)),UPPER(MID(_xlpm.DATA,1,1))&amp;LOWER(MID(_xlpm.DATA,2,LEN(_xlpm.DATA)-1)))</f>
        <v>Шляпа федора</v>
      </c>
      <c r="E148" s="81" t="str">
        <f ca="1">PROPER(_xlfn.XLOOKUP($A148,Строчный!$A:$A,Строчный!E:E,"ERR",0))</f>
        <v>The Hollywood</v>
      </c>
      <c r="F148" s="81" t="str">
        <f ca="1">LOWER(_xlfn.XLOOKUP($A148,Строчный!$A:$A,Строчный!F:F,"ERR",0))</f>
        <v>летний</v>
      </c>
      <c r="G148" s="81" t="str">
        <f ca="1">UPPER(_xlfn.XLOOKUP($A148,Строчный!$A:$A,Строчный!G:G,"ERR",0))</f>
        <v>BAILEY</v>
      </c>
      <c r="H148" s="81" t="str">
        <f ca="1">LOWER(_xlfn.XLOOKUP($A148,Строчный!$A:$A,Строчный!H:H,"ERR",0))</f>
        <v>navy heather</v>
      </c>
      <c r="I148" s="81" t="str">
        <f ca="1">LOWER(_xlfn.XLOOKUP($A148,Строчный!$A:$A,Строчный!I:I,"ERR",0))</f>
        <v>синий</v>
      </c>
      <c r="J148" s="81" t="str">
        <f ca="1">SUBSTITUTE(LOWER(_xlfn.XLOOKUP($A148,Строчный!$A:$A,Строчный!J:J,"ERR",0)),"подклад","Подклад")</f>
        <v>50% бумага - 50% полипропилен</v>
      </c>
      <c r="K148" s="81" t="str">
        <f ca="1">LOWER(_xlfn.XLOOKUP($A148,Строчный!$A:$A,Строчный!K:K,"ERR",0))</f>
        <v>бумажные</v>
      </c>
      <c r="L148" s="81" t="str">
        <f ca="1">PROPER(_xlfn.XLOOKUP($A148,Строчный!$A:$A,Строчный!L:L,"ERR",0))</f>
        <v>Унисекс</v>
      </c>
      <c r="M148" s="113" t="str">
        <f ca="1">PROPER(_xlfn.XLOOKUP($A148,Строчный!$A:$A,Строчный!M:M,"ERR",0))</f>
        <v>Китай</v>
      </c>
      <c r="N148" s="81" t="str">
        <f ca="1">UPPER(_xlfn.XLOOKUP($A148,Строчный!$A:$A,Строчный!O:O,"ERR",0))</f>
        <v/>
      </c>
      <c r="O148" s="107" t="str">
        <f ca="1">PROPER(_xlfn.XLOOKUP($A148,Строчный!$A:$A,Строчный!P:P,"ERR",0))</f>
        <v/>
      </c>
      <c r="P148" s="90">
        <f ca="1">VALUE(_xlfn.XLOOKUP($A148,Строчный!$A:$A,Строчный!N:N,"ERR",0))</f>
        <v>2263.9500000000003</v>
      </c>
      <c r="Q148" s="89" t="str">
        <f ca="1">_xlfn.XLOOKUP($G148,Фабрика!A:A,Фабрика!B:B,"ERR",0)</f>
        <v>Bollman Headwear Europe Ltd; 2 Merchants drive, Caelisle, Cumbria CA3 0JW, United Kingdom</v>
      </c>
      <c r="R148" s="80" t="str">
        <f ca="1">_xlfn.XLOOKUP(RIGHT(Z148,2),Размеры!D:D,Размеры!A:A,"ERR",0)</f>
        <v>61</v>
      </c>
      <c r="S148" s="80">
        <f ca="1">VALUE(_xlfn.XLOOKUP($Z148,Строчный!$R:$R,Строчный!T:T,"ERR",0))</f>
        <v>4</v>
      </c>
      <c r="T148" s="14" t="s">
        <v>265</v>
      </c>
      <c r="U148" s="101" t="str">
        <f t="shared" ca="1" si="18"/>
        <v>Шляпа BAILEY арт. 81726BH HESTER (синий)</v>
      </c>
      <c r="V148" s="100" t="str">
        <f t="shared" ca="1" si="19"/>
        <v>Шляпа BAILEY арт. 81726BH HESTER (синий) {navy heather}</v>
      </c>
      <c r="W148" s="18" t="str">
        <f t="shared" ca="1" si="20"/>
        <v>синий</v>
      </c>
      <c r="X148" s="18" t="str">
        <f t="shared" ca="1" si="21"/>
        <v>синий</v>
      </c>
      <c r="Y148" s="117" t="str">
        <f ca="1">_xlfn.LET(_xlpm.FormColors,_xlfn.XLOOKUP(A148,Строчный!A:A,Строчный!Q:Q,"",0),IF(_xlpm.FormColors=0,IFERROR(MID(I148,FIND("-",I148)+1,LEN(I148)),IFERROR(MID(I148,1,FIND("/",I148)-2),I148)),_xlpm.FormColors))</f>
        <v>синий</v>
      </c>
      <c r="Z148" s="73" t="str">
        <f ca="1"/>
        <v>21-599-06-61</v>
      </c>
      <c r="AA148" s="75" t="str">
        <f ca="1">VLOOKUP(C148,Группа!A:B,2,FALSE)</f>
        <v>Шляпа</v>
      </c>
      <c r="AB148" s="97" t="str">
        <f ca="1">IFERROR(VLOOKUP(R148,Размеры!A:C,3,FALSE),"")</f>
        <v>61 XL</v>
      </c>
      <c r="AC148" s="97" t="str">
        <f ca="1">VLOOKUP(I148,ЦветПолный!A:B,2,FALSE)</f>
        <v>06</v>
      </c>
      <c r="AD148" s="97" t="str">
        <f ca="1">IFERROR(VLOOKUP(R148,Размеры!A:D,4,FALSE),"")</f>
        <v>61</v>
      </c>
      <c r="AE148" s="97">
        <f ca="1">IF(LEFT(IFERROR(VLOOKUP(LOOKUP(2,1/SEARCH(B148,Товары!A:A),Товары!A:A),Товары!A:B,2,0),""),6)=MID(Z148,1,6),1,0)</f>
        <v>1</v>
      </c>
      <c r="AG148" s="97">
        <f ca="1">SUMIF(Группа!A:A,C148,Группа!C:C)</f>
        <v>1</v>
      </c>
      <c r="AH148" s="97">
        <f ca="1">SUMIF(Группа!B:B,AA148,Группа!C:C)</f>
        <v>1</v>
      </c>
      <c r="AI148" s="97">
        <f ca="1">SUMIF(Формы!A:A,D148,Формы!B:B)</f>
        <v>1</v>
      </c>
      <c r="AJ148" s="97">
        <f ca="1">SUMIF(Материал!A:A,K148,Материал!B:B)</f>
        <v>1</v>
      </c>
      <c r="AK148" s="97">
        <f ca="1">SUMIF(Размеры!A:A,R148,Размеры!E:E)</f>
        <v>1</v>
      </c>
      <c r="AL148" s="97">
        <f ca="1">SUMIF(Сезон!A:A,F148,Сезон!B:B)</f>
        <v>1</v>
      </c>
      <c r="AM148" s="97">
        <f ca="1">SUMIF(Состав!A:A,J148,Состав!B:B)</f>
        <v>1</v>
      </c>
      <c r="AN148" s="97">
        <f ca="1">VLOOKUP(I148,ЦветПолный!A:C,3,0)</f>
        <v>1</v>
      </c>
      <c r="AO148" s="97">
        <f ca="1">SUMIF(Цвет!A:A,Y148,Цвет!B:B)</f>
        <v>1</v>
      </c>
      <c r="AP148" s="97">
        <f ca="1">_xlfn.XLOOKUP(L148,Пол!A:A,Пол!B:B,0,0)</f>
        <v>1</v>
      </c>
      <c r="AQ148" s="97">
        <f ca="1">SUMIF(Марка!A:A,G148,Марка!B:B)</f>
        <v>1</v>
      </c>
      <c r="AR148" s="97">
        <f ca="1">SUMIF(Страна!A:A,M148,Страна!B:B)</f>
        <v>1</v>
      </c>
      <c r="AS148" s="64" t="str">
        <f ca="1">IF(VLOOKUP(V148,Товары!A:B,2,FALSE)=A148,"Есть в 1С","ERR")</f>
        <v>Есть в 1С</v>
      </c>
      <c r="AT148" s="65" t="str">
        <f ca="1">IF(VLOOKUP(A148,Товары!B:B,1,FALSE)=A148,"Есть в 1С","ERR")</f>
        <v>Есть в 1С</v>
      </c>
      <c r="AU148" s="96" t="str">
        <f ca="1">VLOOKUP(V148,Товары!A:B,2,FALSE)</f>
        <v>21-599-06</v>
      </c>
      <c r="AV148" s="94" t="str">
        <f ca="1">VLOOKUP(V148,Товары!A:B,1,FALSE)</f>
        <v>Шляпа BAILEY арт. 81726BH HESTER (синий) {navy heather}</v>
      </c>
    </row>
    <row r="149" spans="1:48" x14ac:dyDescent="0.25">
      <c r="A149" s="110" t="str">
        <f t="shared" ca="1" si="22"/>
        <v>21-599-06</v>
      </c>
      <c r="B149" s="107" t="str">
        <f ca="1">_xlfn.LET(_xlpm.CAPS,0,_xlpm.Style,_xlfn.XLOOKUP($A149,Строчный!$A:$A,Строчный!B:B,"ERR",0),IF(_xlpm.CAPS=0,_xlpm.Style,LOWER(_xlpm.Style)))</f>
        <v>81726BH HESTER</v>
      </c>
      <c r="C149" s="81" t="str">
        <f ca="1">PROPER(_xlfn.XLOOKUP($A149,Строчный!$A:$A,Строчный!C:C,"ERR",0))</f>
        <v>Шляпы</v>
      </c>
      <c r="D149" s="81" t="str">
        <f ca="1">_xlfn.LET(_xlpm.DATA,(_xlfn.XLOOKUP($A149,Строчный!$A:$A,Строчный!D:D,"ERR",0)),UPPER(MID(_xlpm.DATA,1,1))&amp;LOWER(MID(_xlpm.DATA,2,LEN(_xlpm.DATA)-1)))</f>
        <v>Шляпа федора</v>
      </c>
      <c r="E149" s="81" t="str">
        <f ca="1">PROPER(_xlfn.XLOOKUP($A149,Строчный!$A:$A,Строчный!E:E,"ERR",0))</f>
        <v>The Hollywood</v>
      </c>
      <c r="F149" s="81" t="str">
        <f ca="1">LOWER(_xlfn.XLOOKUP($A149,Строчный!$A:$A,Строчный!F:F,"ERR",0))</f>
        <v>летний</v>
      </c>
      <c r="G149" s="81" t="str">
        <f ca="1">UPPER(_xlfn.XLOOKUP($A149,Строчный!$A:$A,Строчный!G:G,"ERR",0))</f>
        <v>BAILEY</v>
      </c>
      <c r="H149" s="81" t="str">
        <f ca="1">LOWER(_xlfn.XLOOKUP($A149,Строчный!$A:$A,Строчный!H:H,"ERR",0))</f>
        <v>navy heather</v>
      </c>
      <c r="I149" s="81" t="str">
        <f ca="1">LOWER(_xlfn.XLOOKUP($A149,Строчный!$A:$A,Строчный!I:I,"ERR",0))</f>
        <v>синий</v>
      </c>
      <c r="J149" s="81" t="str">
        <f ca="1">SUBSTITUTE(LOWER(_xlfn.XLOOKUP($A149,Строчный!$A:$A,Строчный!J:J,"ERR",0)),"подклад","Подклад")</f>
        <v>50% бумага - 50% полипропилен</v>
      </c>
      <c r="K149" s="81" t="str">
        <f ca="1">LOWER(_xlfn.XLOOKUP($A149,Строчный!$A:$A,Строчный!K:K,"ERR",0))</f>
        <v>бумажные</v>
      </c>
      <c r="L149" s="81" t="str">
        <f ca="1">PROPER(_xlfn.XLOOKUP($A149,Строчный!$A:$A,Строчный!L:L,"ERR",0))</f>
        <v>Унисекс</v>
      </c>
      <c r="M149" s="113" t="str">
        <f ca="1">PROPER(_xlfn.XLOOKUP($A149,Строчный!$A:$A,Строчный!M:M,"ERR",0))</f>
        <v>Китай</v>
      </c>
      <c r="N149" s="81" t="str">
        <f ca="1">UPPER(_xlfn.XLOOKUP($A149,Строчный!$A:$A,Строчный!O:O,"ERR",0))</f>
        <v/>
      </c>
      <c r="O149" s="107" t="str">
        <f ca="1">PROPER(_xlfn.XLOOKUP($A149,Строчный!$A:$A,Строчный!P:P,"ERR",0))</f>
        <v/>
      </c>
      <c r="P149" s="90">
        <f ca="1">VALUE(_xlfn.XLOOKUP($A149,Строчный!$A:$A,Строчный!N:N,"ERR",0))</f>
        <v>2263.9500000000003</v>
      </c>
      <c r="Q149" s="89" t="str">
        <f ca="1">_xlfn.XLOOKUP($G149,Фабрика!A:A,Фабрика!B:B,"ERR",0)</f>
        <v>Bollman Headwear Europe Ltd; 2 Merchants drive, Caelisle, Cumbria CA3 0JW, United Kingdom</v>
      </c>
      <c r="R149" s="80" t="str">
        <f ca="1">_xlfn.XLOOKUP(RIGHT(Z149,2),Размеры!D:D,Размеры!A:A,"ERR",0)</f>
        <v>59</v>
      </c>
      <c r="S149" s="80">
        <f ca="1">VALUE(_xlfn.XLOOKUP($Z149,Строчный!$R:$R,Строчный!T:T,"ERR",0))</f>
        <v>8</v>
      </c>
      <c r="T149" s="14" t="s">
        <v>265</v>
      </c>
      <c r="U149" s="101" t="str">
        <f t="shared" ca="1" si="18"/>
        <v>Шляпа BAILEY арт. 81726BH HESTER (синий)</v>
      </c>
      <c r="V149" s="100" t="str">
        <f t="shared" ca="1" si="19"/>
        <v>Шляпа BAILEY арт. 81726BH HESTER (синий) {navy heather}</v>
      </c>
      <c r="W149" s="18" t="str">
        <f t="shared" ca="1" si="20"/>
        <v>синий</v>
      </c>
      <c r="X149" s="18" t="str">
        <f t="shared" ca="1" si="21"/>
        <v>синий</v>
      </c>
      <c r="Y149" s="117" t="str">
        <f ca="1">_xlfn.LET(_xlpm.FormColors,_xlfn.XLOOKUP(A149,Строчный!A:A,Строчный!Q:Q,"",0),IF(_xlpm.FormColors=0,IFERROR(MID(I149,FIND("-",I149)+1,LEN(I149)),IFERROR(MID(I149,1,FIND("/",I149)-2),I149)),_xlpm.FormColors))</f>
        <v>синий</v>
      </c>
      <c r="Z149" s="73" t="str">
        <f ca="1"/>
        <v>21-599-06-59</v>
      </c>
      <c r="AA149" s="75" t="str">
        <f ca="1">VLOOKUP(C149,Группа!A:B,2,FALSE)</f>
        <v>Шляпа</v>
      </c>
      <c r="AB149" s="97" t="str">
        <f ca="1">IFERROR(VLOOKUP(R149,Размеры!A:C,3,FALSE),"")</f>
        <v>59 L</v>
      </c>
      <c r="AC149" s="97" t="str">
        <f ca="1">VLOOKUP(I149,ЦветПолный!A:B,2,FALSE)</f>
        <v>06</v>
      </c>
      <c r="AD149" s="97" t="str">
        <f ca="1">IFERROR(VLOOKUP(R149,Размеры!A:D,4,FALSE),"")</f>
        <v>59</v>
      </c>
      <c r="AE149" s="97">
        <f ca="1">IF(LEFT(IFERROR(VLOOKUP(LOOKUP(2,1/SEARCH(B149,Товары!A:A),Товары!A:A),Товары!A:B,2,0),""),6)=MID(Z149,1,6),1,0)</f>
        <v>1</v>
      </c>
      <c r="AG149" s="97">
        <f ca="1">SUMIF(Группа!A:A,C149,Группа!C:C)</f>
        <v>1</v>
      </c>
      <c r="AH149" s="97">
        <f ca="1">SUMIF(Группа!B:B,AA149,Группа!C:C)</f>
        <v>1</v>
      </c>
      <c r="AI149" s="97">
        <f ca="1">SUMIF(Формы!A:A,D149,Формы!B:B)</f>
        <v>1</v>
      </c>
      <c r="AJ149" s="97">
        <f ca="1">SUMIF(Материал!A:A,K149,Материал!B:B)</f>
        <v>1</v>
      </c>
      <c r="AK149" s="97">
        <f ca="1">SUMIF(Размеры!A:A,R149,Размеры!E:E)</f>
        <v>1</v>
      </c>
      <c r="AL149" s="97">
        <f ca="1">SUMIF(Сезон!A:A,F149,Сезон!B:B)</f>
        <v>1</v>
      </c>
      <c r="AM149" s="97">
        <f ca="1">SUMIF(Состав!A:A,J149,Состав!B:B)</f>
        <v>1</v>
      </c>
      <c r="AN149" s="97">
        <f ca="1">VLOOKUP(I149,ЦветПолный!A:C,3,0)</f>
        <v>1</v>
      </c>
      <c r="AO149" s="97">
        <f ca="1">SUMIF(Цвет!A:A,Y149,Цвет!B:B)</f>
        <v>1</v>
      </c>
      <c r="AP149" s="97">
        <f ca="1">_xlfn.XLOOKUP(L149,Пол!A:A,Пол!B:B,0,0)</f>
        <v>1</v>
      </c>
      <c r="AQ149" s="97">
        <f ca="1">SUMIF(Марка!A:A,G149,Марка!B:B)</f>
        <v>1</v>
      </c>
      <c r="AR149" s="97">
        <f ca="1">SUMIF(Страна!A:A,M149,Страна!B:B)</f>
        <v>1</v>
      </c>
      <c r="AS149" s="64" t="str">
        <f ca="1">IF(VLOOKUP(V149,Товары!A:B,2,FALSE)=A149,"Есть в 1С","ERR")</f>
        <v>Есть в 1С</v>
      </c>
      <c r="AT149" s="65" t="str">
        <f ca="1">IF(VLOOKUP(A149,Товары!B:B,1,FALSE)=A149,"Есть в 1С","ERR")</f>
        <v>Есть в 1С</v>
      </c>
      <c r="AU149" s="96" t="str">
        <f ca="1">VLOOKUP(V149,Товары!A:B,2,FALSE)</f>
        <v>21-599-06</v>
      </c>
      <c r="AV149" s="94" t="str">
        <f ca="1">VLOOKUP(V149,Товары!A:B,1,FALSE)</f>
        <v>Шляпа BAILEY арт. 81726BH HESTER (синий) {navy heather}</v>
      </c>
    </row>
    <row r="150" spans="1:48" x14ac:dyDescent="0.25">
      <c r="A150" s="110" t="str">
        <f t="shared" ca="1" si="22"/>
        <v>21-599-06</v>
      </c>
      <c r="B150" s="107" t="str">
        <f ca="1">_xlfn.LET(_xlpm.CAPS,0,_xlpm.Style,_xlfn.XLOOKUP($A150,Строчный!$A:$A,Строчный!B:B,"ERR",0),IF(_xlpm.CAPS=0,_xlpm.Style,LOWER(_xlpm.Style)))</f>
        <v>81726BH HESTER</v>
      </c>
      <c r="C150" s="81" t="str">
        <f ca="1">PROPER(_xlfn.XLOOKUP($A150,Строчный!$A:$A,Строчный!C:C,"ERR",0))</f>
        <v>Шляпы</v>
      </c>
      <c r="D150" s="81" t="str">
        <f ca="1">_xlfn.LET(_xlpm.DATA,(_xlfn.XLOOKUP($A150,Строчный!$A:$A,Строчный!D:D,"ERR",0)),UPPER(MID(_xlpm.DATA,1,1))&amp;LOWER(MID(_xlpm.DATA,2,LEN(_xlpm.DATA)-1)))</f>
        <v>Шляпа федора</v>
      </c>
      <c r="E150" s="81" t="str">
        <f ca="1">PROPER(_xlfn.XLOOKUP($A150,Строчный!$A:$A,Строчный!E:E,"ERR",0))</f>
        <v>The Hollywood</v>
      </c>
      <c r="F150" s="81" t="str">
        <f ca="1">LOWER(_xlfn.XLOOKUP($A150,Строчный!$A:$A,Строчный!F:F,"ERR",0))</f>
        <v>летний</v>
      </c>
      <c r="G150" s="81" t="str">
        <f ca="1">UPPER(_xlfn.XLOOKUP($A150,Строчный!$A:$A,Строчный!G:G,"ERR",0))</f>
        <v>BAILEY</v>
      </c>
      <c r="H150" s="81" t="str">
        <f ca="1">LOWER(_xlfn.XLOOKUP($A150,Строчный!$A:$A,Строчный!H:H,"ERR",0))</f>
        <v>navy heather</v>
      </c>
      <c r="I150" s="81" t="str">
        <f ca="1">LOWER(_xlfn.XLOOKUP($A150,Строчный!$A:$A,Строчный!I:I,"ERR",0))</f>
        <v>синий</v>
      </c>
      <c r="J150" s="81" t="str">
        <f ca="1">SUBSTITUTE(LOWER(_xlfn.XLOOKUP($A150,Строчный!$A:$A,Строчный!J:J,"ERR",0)),"подклад","Подклад")</f>
        <v>50% бумага - 50% полипропилен</v>
      </c>
      <c r="K150" s="81" t="str">
        <f ca="1">LOWER(_xlfn.XLOOKUP($A150,Строчный!$A:$A,Строчный!K:K,"ERR",0))</f>
        <v>бумажные</v>
      </c>
      <c r="L150" s="81" t="str">
        <f ca="1">PROPER(_xlfn.XLOOKUP($A150,Строчный!$A:$A,Строчный!L:L,"ERR",0))</f>
        <v>Унисекс</v>
      </c>
      <c r="M150" s="113" t="str">
        <f ca="1">PROPER(_xlfn.XLOOKUP($A150,Строчный!$A:$A,Строчный!M:M,"ERR",0))</f>
        <v>Китай</v>
      </c>
      <c r="N150" s="81" t="str">
        <f ca="1">UPPER(_xlfn.XLOOKUP($A150,Строчный!$A:$A,Строчный!O:O,"ERR",0))</f>
        <v/>
      </c>
      <c r="O150" s="107" t="str">
        <f ca="1">PROPER(_xlfn.XLOOKUP($A150,Строчный!$A:$A,Строчный!P:P,"ERR",0))</f>
        <v/>
      </c>
      <c r="P150" s="90">
        <f ca="1">VALUE(_xlfn.XLOOKUP($A150,Строчный!$A:$A,Строчный!N:N,"ERR",0))</f>
        <v>2263.9500000000003</v>
      </c>
      <c r="Q150" s="89" t="str">
        <f ca="1">_xlfn.XLOOKUP($G150,Фабрика!A:A,Фабрика!B:B,"ERR",0)</f>
        <v>Bollman Headwear Europe Ltd; 2 Merchants drive, Caelisle, Cumbria CA3 0JW, United Kingdom</v>
      </c>
      <c r="R150" s="80" t="str">
        <f ca="1">_xlfn.XLOOKUP(RIGHT(Z150,2),Размеры!D:D,Размеры!A:A,"ERR",0)</f>
        <v>57</v>
      </c>
      <c r="S150" s="80">
        <f ca="1">VALUE(_xlfn.XLOOKUP($Z150,Строчный!$R:$R,Строчный!T:T,"ERR",0))</f>
        <v>3</v>
      </c>
      <c r="T150" s="14" t="s">
        <v>265</v>
      </c>
      <c r="U150" s="101" t="str">
        <f t="shared" ca="1" si="18"/>
        <v>Шляпа BAILEY арт. 81726BH HESTER (синий)</v>
      </c>
      <c r="V150" s="100" t="str">
        <f t="shared" ca="1" si="19"/>
        <v>Шляпа BAILEY арт. 81726BH HESTER (синий) {navy heather}</v>
      </c>
      <c r="W150" s="18" t="str">
        <f t="shared" ca="1" si="20"/>
        <v>синий</v>
      </c>
      <c r="X150" s="18" t="str">
        <f t="shared" ca="1" si="21"/>
        <v>синий</v>
      </c>
      <c r="Y150" s="117" t="str">
        <f ca="1">_xlfn.LET(_xlpm.FormColors,_xlfn.XLOOKUP(A150,Строчный!A:A,Строчный!Q:Q,"",0),IF(_xlpm.FormColors=0,IFERROR(MID(I150,FIND("-",I150)+1,LEN(I150)),IFERROR(MID(I150,1,FIND("/",I150)-2),I150)),_xlpm.FormColors))</f>
        <v>синий</v>
      </c>
      <c r="Z150" s="73" t="str">
        <f ca="1"/>
        <v>21-599-06-57</v>
      </c>
      <c r="AA150" s="75" t="str">
        <f ca="1">VLOOKUP(C150,Группа!A:B,2,FALSE)</f>
        <v>Шляпа</v>
      </c>
      <c r="AB150" s="97" t="str">
        <f ca="1">IFERROR(VLOOKUP(R150,Размеры!A:C,3,FALSE),"")</f>
        <v>57 M</v>
      </c>
      <c r="AC150" s="97" t="str">
        <f ca="1">VLOOKUP(I150,ЦветПолный!A:B,2,FALSE)</f>
        <v>06</v>
      </c>
      <c r="AD150" s="97" t="str">
        <f ca="1">IFERROR(VLOOKUP(R150,Размеры!A:D,4,FALSE),"")</f>
        <v>57</v>
      </c>
      <c r="AE150" s="97">
        <f ca="1">IF(LEFT(IFERROR(VLOOKUP(LOOKUP(2,1/SEARCH(B150,Товары!A:A),Товары!A:A),Товары!A:B,2,0),""),6)=MID(Z150,1,6),1,0)</f>
        <v>1</v>
      </c>
      <c r="AG150" s="97">
        <f ca="1">SUMIF(Группа!A:A,C150,Группа!C:C)</f>
        <v>1</v>
      </c>
      <c r="AH150" s="97">
        <f ca="1">SUMIF(Группа!B:B,AA150,Группа!C:C)</f>
        <v>1</v>
      </c>
      <c r="AI150" s="97">
        <f ca="1">SUMIF(Формы!A:A,D150,Формы!B:B)</f>
        <v>1</v>
      </c>
      <c r="AJ150" s="97">
        <f ca="1">SUMIF(Материал!A:A,K150,Материал!B:B)</f>
        <v>1</v>
      </c>
      <c r="AK150" s="97">
        <f ca="1">SUMIF(Размеры!A:A,R150,Размеры!E:E)</f>
        <v>1</v>
      </c>
      <c r="AL150" s="97">
        <f ca="1">SUMIF(Сезон!A:A,F150,Сезон!B:B)</f>
        <v>1</v>
      </c>
      <c r="AM150" s="97">
        <f ca="1">SUMIF(Состав!A:A,J150,Состав!B:B)</f>
        <v>1</v>
      </c>
      <c r="AN150" s="97">
        <f ca="1">VLOOKUP(I150,ЦветПолный!A:C,3,0)</f>
        <v>1</v>
      </c>
      <c r="AO150" s="97">
        <f ca="1">SUMIF(Цвет!A:A,Y150,Цвет!B:B)</f>
        <v>1</v>
      </c>
      <c r="AP150" s="97">
        <f ca="1">_xlfn.XLOOKUP(L150,Пол!A:A,Пол!B:B,0,0)</f>
        <v>1</v>
      </c>
      <c r="AQ150" s="97">
        <f ca="1">SUMIF(Марка!A:A,G150,Марка!B:B)</f>
        <v>1</v>
      </c>
      <c r="AR150" s="97">
        <f ca="1">SUMIF(Страна!A:A,M150,Страна!B:B)</f>
        <v>1</v>
      </c>
      <c r="AS150" s="64" t="str">
        <f ca="1">IF(VLOOKUP(V150,Товары!A:B,2,FALSE)=A150,"Есть в 1С","ERR")</f>
        <v>Есть в 1С</v>
      </c>
      <c r="AT150" s="65" t="str">
        <f ca="1">IF(VLOOKUP(A150,Товары!B:B,1,FALSE)=A150,"Есть в 1С","ERR")</f>
        <v>Есть в 1С</v>
      </c>
      <c r="AU150" s="96" t="str">
        <f ca="1">VLOOKUP(V150,Товары!A:B,2,FALSE)</f>
        <v>21-599-06</v>
      </c>
      <c r="AV150" s="94" t="str">
        <f ca="1">VLOOKUP(V150,Товары!A:B,1,FALSE)</f>
        <v>Шляпа BAILEY арт. 81726BH HESTER (синий) {navy heather}</v>
      </c>
    </row>
    <row r="151" spans="1:48" x14ac:dyDescent="0.25">
      <c r="A151" s="110" t="str">
        <f t="shared" ca="1" si="22"/>
        <v>21-599-00</v>
      </c>
      <c r="B151" s="107" t="str">
        <f ca="1">_xlfn.LET(_xlpm.CAPS,0,_xlpm.Style,_xlfn.XLOOKUP($A151,Строчный!$A:$A,Строчный!B:B,"ERR",0),IF(_xlpm.CAPS=0,_xlpm.Style,LOWER(_xlpm.Style)))</f>
        <v>81726BH HESTER</v>
      </c>
      <c r="C151" s="81" t="str">
        <f ca="1">PROPER(_xlfn.XLOOKUP($A151,Строчный!$A:$A,Строчный!C:C,"ERR",0))</f>
        <v>Шляпы</v>
      </c>
      <c r="D151" s="81" t="str">
        <f ca="1">_xlfn.LET(_xlpm.DATA,(_xlfn.XLOOKUP($A151,Строчный!$A:$A,Строчный!D:D,"ERR",0)),UPPER(MID(_xlpm.DATA,1,1))&amp;LOWER(MID(_xlpm.DATA,2,LEN(_xlpm.DATA)-1)))</f>
        <v>Шляпа федора</v>
      </c>
      <c r="E151" s="81" t="str">
        <f ca="1">PROPER(_xlfn.XLOOKUP($A151,Строчный!$A:$A,Строчный!E:E,"ERR",0))</f>
        <v>The Hollywood</v>
      </c>
      <c r="F151" s="81" t="str">
        <f ca="1">LOWER(_xlfn.XLOOKUP($A151,Строчный!$A:$A,Строчный!F:F,"ERR",0))</f>
        <v>летний</v>
      </c>
      <c r="G151" s="81" t="str">
        <f ca="1">UPPER(_xlfn.XLOOKUP($A151,Строчный!$A:$A,Строчный!G:G,"ERR",0))</f>
        <v>BAILEY</v>
      </c>
      <c r="H151" s="81" t="str">
        <f ca="1">LOWER(_xlfn.XLOOKUP($A151,Строчный!$A:$A,Строчный!H:H,"ERR",0))</f>
        <v>copper</v>
      </c>
      <c r="I151" s="81" t="str">
        <f ca="1">LOWER(_xlfn.XLOOKUP($A151,Строчный!$A:$A,Строчный!I:I,"ERR",0))</f>
        <v>темно-бежевый</v>
      </c>
      <c r="J151" s="81" t="str">
        <f ca="1">SUBSTITUTE(LOWER(_xlfn.XLOOKUP($A151,Строчный!$A:$A,Строчный!J:J,"ERR",0)),"подклад","Подклад")</f>
        <v>50% бумага - 50% полипропилен</v>
      </c>
      <c r="K151" s="81" t="str">
        <f ca="1">LOWER(_xlfn.XLOOKUP($A151,Строчный!$A:$A,Строчный!K:K,"ERR",0))</f>
        <v>бумажные</v>
      </c>
      <c r="L151" s="81" t="str">
        <f ca="1">PROPER(_xlfn.XLOOKUP($A151,Строчный!$A:$A,Строчный!L:L,"ERR",0))</f>
        <v>Унисекс</v>
      </c>
      <c r="M151" s="113" t="str">
        <f ca="1">PROPER(_xlfn.XLOOKUP($A151,Строчный!$A:$A,Строчный!M:M,"ERR",0))</f>
        <v>Китай</v>
      </c>
      <c r="N151" s="81" t="str">
        <f ca="1">UPPER(_xlfn.XLOOKUP($A151,Строчный!$A:$A,Строчный!O:O,"ERR",0))</f>
        <v/>
      </c>
      <c r="O151" s="107" t="str">
        <f ca="1">PROPER(_xlfn.XLOOKUP($A151,Строчный!$A:$A,Строчный!P:P,"ERR",0))</f>
        <v/>
      </c>
      <c r="P151" s="90">
        <f ca="1">VALUE(_xlfn.XLOOKUP($A151,Строчный!$A:$A,Строчный!N:N,"ERR",0))</f>
        <v>2263.9500000000003</v>
      </c>
      <c r="Q151" s="89" t="str">
        <f ca="1">_xlfn.XLOOKUP($G151,Фабрика!A:A,Фабрика!B:B,"ERR",0)</f>
        <v>Bollman Headwear Europe Ltd; 2 Merchants drive, Caelisle, Cumbria CA3 0JW, United Kingdom</v>
      </c>
      <c r="R151" s="80" t="str">
        <f ca="1">_xlfn.XLOOKUP(RIGHT(Z151,2),Размеры!D:D,Размеры!A:A,"ERR",0)</f>
        <v>63</v>
      </c>
      <c r="S151" s="80">
        <f ca="1">VALUE(_xlfn.XLOOKUP($Z151,Строчный!$R:$R,Строчный!T:T,"ERR",0))</f>
        <v>0</v>
      </c>
      <c r="T151" s="14" t="s">
        <v>265</v>
      </c>
      <c r="U151" s="101" t="str">
        <f t="shared" ca="1" si="18"/>
        <v>Шляпа BAILEY арт. 81726BH HESTER (темно-бежевый)</v>
      </c>
      <c r="V151" s="100" t="str">
        <f t="shared" ca="1" si="19"/>
        <v>Шляпа BAILEY арт. 81726BH HESTER (темно-бежевый) {copper}</v>
      </c>
      <c r="W151" s="18" t="str">
        <f t="shared" ca="1" si="20"/>
        <v>бежевый</v>
      </c>
      <c r="X151" s="18" t="str">
        <f t="shared" ca="1" si="21"/>
        <v>бежевый</v>
      </c>
      <c r="Y151" s="117" t="str">
        <f ca="1">_xlfn.LET(_xlpm.FormColors,_xlfn.XLOOKUP(A151,Строчный!A:A,Строчный!Q:Q,"",0),IF(_xlpm.FormColors=0,IFERROR(MID(I151,FIND("-",I151)+1,LEN(I151)),IFERROR(MID(I151,1,FIND("/",I151)-2),I151)),_xlpm.FormColors))</f>
        <v>бежевый</v>
      </c>
      <c r="Z151" s="73" t="str">
        <f ca="1"/>
        <v>21-599-00-63</v>
      </c>
      <c r="AA151" s="75" t="str">
        <f ca="1">VLOOKUP(C151,Группа!A:B,2,FALSE)</f>
        <v>Шляпа</v>
      </c>
      <c r="AB151" s="97" t="str">
        <f ca="1">IFERROR(VLOOKUP(R151,Размеры!A:C,3,FALSE),"")</f>
        <v>63 XXL</v>
      </c>
      <c r="AC151" s="97" t="str">
        <f ca="1">VLOOKUP(I151,ЦветПолный!A:B,2,FALSE)</f>
        <v>00</v>
      </c>
      <c r="AD151" s="97" t="str">
        <f ca="1">IFERROR(VLOOKUP(R151,Размеры!A:D,4,FALSE),"")</f>
        <v>63</v>
      </c>
      <c r="AE151" s="97">
        <f ca="1">IF(LEFT(IFERROR(VLOOKUP(LOOKUP(2,1/SEARCH(B151,Товары!A:A),Товары!A:A),Товары!A:B,2,0),""),6)=MID(Z151,1,6),1,0)</f>
        <v>1</v>
      </c>
      <c r="AG151" s="97">
        <f ca="1">SUMIF(Группа!A:A,C151,Группа!C:C)</f>
        <v>1</v>
      </c>
      <c r="AH151" s="97">
        <f ca="1">SUMIF(Группа!B:B,AA151,Группа!C:C)</f>
        <v>1</v>
      </c>
      <c r="AI151" s="97">
        <f ca="1">SUMIF(Формы!A:A,D151,Формы!B:B)</f>
        <v>1</v>
      </c>
      <c r="AJ151" s="97">
        <f ca="1">SUMIF(Материал!A:A,K151,Материал!B:B)</f>
        <v>1</v>
      </c>
      <c r="AK151" s="97">
        <f ca="1">SUMIF(Размеры!A:A,R151,Размеры!E:E)</f>
        <v>1</v>
      </c>
      <c r="AL151" s="97">
        <f ca="1">SUMIF(Сезон!A:A,F151,Сезон!B:B)</f>
        <v>1</v>
      </c>
      <c r="AM151" s="97">
        <f ca="1">SUMIF(Состав!A:A,J151,Состав!B:B)</f>
        <v>1</v>
      </c>
      <c r="AN151" s="97">
        <f ca="1">VLOOKUP(I151,ЦветПолный!A:C,3,0)</f>
        <v>1</v>
      </c>
      <c r="AO151" s="97">
        <f ca="1">SUMIF(Цвет!A:A,Y151,Цвет!B:B)</f>
        <v>1</v>
      </c>
      <c r="AP151" s="97">
        <f ca="1">_xlfn.XLOOKUP(L151,Пол!A:A,Пол!B:B,0,0)</f>
        <v>1</v>
      </c>
      <c r="AQ151" s="97">
        <f ca="1">SUMIF(Марка!A:A,G151,Марка!B:B)</f>
        <v>1</v>
      </c>
      <c r="AR151" s="97">
        <f ca="1">SUMIF(Страна!A:A,M151,Страна!B:B)</f>
        <v>1</v>
      </c>
      <c r="AS151" s="64" t="str">
        <f ca="1">IF(VLOOKUP(V151,Товары!A:B,2,FALSE)=A151,"Есть в 1С","ERR")</f>
        <v>Есть в 1С</v>
      </c>
      <c r="AT151" s="65" t="str">
        <f ca="1">IF(VLOOKUP(A151,Товары!B:B,1,FALSE)=A151,"Есть в 1С","ERR")</f>
        <v>Есть в 1С</v>
      </c>
      <c r="AU151" s="96" t="str">
        <f ca="1">VLOOKUP(V151,Товары!A:B,2,FALSE)</f>
        <v>21-599-00</v>
      </c>
      <c r="AV151" s="94" t="str">
        <f ca="1">VLOOKUP(V151,Товары!A:B,1,FALSE)</f>
        <v>Шляпа BAILEY арт. 81726BH HESTER (темно-бежевый) {copper}</v>
      </c>
    </row>
    <row r="152" spans="1:48" x14ac:dyDescent="0.25">
      <c r="A152" s="110" t="str">
        <f t="shared" ca="1" si="22"/>
        <v>21-599-00</v>
      </c>
      <c r="B152" s="107" t="str">
        <f ca="1">_xlfn.LET(_xlpm.CAPS,0,_xlpm.Style,_xlfn.XLOOKUP($A152,Строчный!$A:$A,Строчный!B:B,"ERR",0),IF(_xlpm.CAPS=0,_xlpm.Style,LOWER(_xlpm.Style)))</f>
        <v>81726BH HESTER</v>
      </c>
      <c r="C152" s="81" t="str">
        <f ca="1">PROPER(_xlfn.XLOOKUP($A152,Строчный!$A:$A,Строчный!C:C,"ERR",0))</f>
        <v>Шляпы</v>
      </c>
      <c r="D152" s="81" t="str">
        <f ca="1">_xlfn.LET(_xlpm.DATA,(_xlfn.XLOOKUP($A152,Строчный!$A:$A,Строчный!D:D,"ERR",0)),UPPER(MID(_xlpm.DATA,1,1))&amp;LOWER(MID(_xlpm.DATA,2,LEN(_xlpm.DATA)-1)))</f>
        <v>Шляпа федора</v>
      </c>
      <c r="E152" s="81" t="str">
        <f ca="1">PROPER(_xlfn.XLOOKUP($A152,Строчный!$A:$A,Строчный!E:E,"ERR",0))</f>
        <v>The Hollywood</v>
      </c>
      <c r="F152" s="81" t="str">
        <f ca="1">LOWER(_xlfn.XLOOKUP($A152,Строчный!$A:$A,Строчный!F:F,"ERR",0))</f>
        <v>летний</v>
      </c>
      <c r="G152" s="81" t="str">
        <f ca="1">UPPER(_xlfn.XLOOKUP($A152,Строчный!$A:$A,Строчный!G:G,"ERR",0))</f>
        <v>BAILEY</v>
      </c>
      <c r="H152" s="81" t="str">
        <f ca="1">LOWER(_xlfn.XLOOKUP($A152,Строчный!$A:$A,Строчный!H:H,"ERR",0))</f>
        <v>copper</v>
      </c>
      <c r="I152" s="81" t="str">
        <f ca="1">LOWER(_xlfn.XLOOKUP($A152,Строчный!$A:$A,Строчный!I:I,"ERR",0))</f>
        <v>темно-бежевый</v>
      </c>
      <c r="J152" s="81" t="str">
        <f ca="1">SUBSTITUTE(LOWER(_xlfn.XLOOKUP($A152,Строчный!$A:$A,Строчный!J:J,"ERR",0)),"подклад","Подклад")</f>
        <v>50% бумага - 50% полипропилен</v>
      </c>
      <c r="K152" s="81" t="str">
        <f ca="1">LOWER(_xlfn.XLOOKUP($A152,Строчный!$A:$A,Строчный!K:K,"ERR",0))</f>
        <v>бумажные</v>
      </c>
      <c r="L152" s="81" t="str">
        <f ca="1">PROPER(_xlfn.XLOOKUP($A152,Строчный!$A:$A,Строчный!L:L,"ERR",0))</f>
        <v>Унисекс</v>
      </c>
      <c r="M152" s="113" t="str">
        <f ca="1">PROPER(_xlfn.XLOOKUP($A152,Строчный!$A:$A,Строчный!M:M,"ERR",0))</f>
        <v>Китай</v>
      </c>
      <c r="N152" s="81" t="str">
        <f ca="1">UPPER(_xlfn.XLOOKUP($A152,Строчный!$A:$A,Строчный!O:O,"ERR",0))</f>
        <v/>
      </c>
      <c r="O152" s="107" t="str">
        <f ca="1">PROPER(_xlfn.XLOOKUP($A152,Строчный!$A:$A,Строчный!P:P,"ERR",0))</f>
        <v/>
      </c>
      <c r="P152" s="90">
        <f ca="1">VALUE(_xlfn.XLOOKUP($A152,Строчный!$A:$A,Строчный!N:N,"ERR",0))</f>
        <v>2263.9500000000003</v>
      </c>
      <c r="Q152" s="89" t="str">
        <f ca="1">_xlfn.XLOOKUP($G152,Фабрика!A:A,Фабрика!B:B,"ERR",0)</f>
        <v>Bollman Headwear Europe Ltd; 2 Merchants drive, Caelisle, Cumbria CA3 0JW, United Kingdom</v>
      </c>
      <c r="R152" s="80" t="str">
        <f ca="1">_xlfn.XLOOKUP(RIGHT(Z152,2),Размеры!D:D,Размеры!A:A,"ERR",0)</f>
        <v>61</v>
      </c>
      <c r="S152" s="80">
        <f ca="1">VALUE(_xlfn.XLOOKUP($Z152,Строчный!$R:$R,Строчный!T:T,"ERR",0))</f>
        <v>12</v>
      </c>
      <c r="T152" s="14" t="s">
        <v>265</v>
      </c>
      <c r="U152" s="101" t="str">
        <f t="shared" ca="1" si="18"/>
        <v>Шляпа BAILEY арт. 81726BH HESTER (темно-бежевый)</v>
      </c>
      <c r="V152" s="100" t="str">
        <f t="shared" ca="1" si="19"/>
        <v>Шляпа BAILEY арт. 81726BH HESTER (темно-бежевый) {copper}</v>
      </c>
      <c r="W152" s="18" t="str">
        <f t="shared" ca="1" si="20"/>
        <v>бежевый</v>
      </c>
      <c r="X152" s="18" t="str">
        <f t="shared" ca="1" si="21"/>
        <v>бежевый</v>
      </c>
      <c r="Y152" s="117" t="str">
        <f ca="1">_xlfn.LET(_xlpm.FormColors,_xlfn.XLOOKUP(A152,Строчный!A:A,Строчный!Q:Q,"",0),IF(_xlpm.FormColors=0,IFERROR(MID(I152,FIND("-",I152)+1,LEN(I152)),IFERROR(MID(I152,1,FIND("/",I152)-2),I152)),_xlpm.FormColors))</f>
        <v>бежевый</v>
      </c>
      <c r="Z152" s="73" t="str">
        <f ca="1"/>
        <v>21-599-00-61</v>
      </c>
      <c r="AA152" s="75" t="str">
        <f ca="1">VLOOKUP(C152,Группа!A:B,2,FALSE)</f>
        <v>Шляпа</v>
      </c>
      <c r="AB152" s="97" t="str">
        <f ca="1">IFERROR(VLOOKUP(R152,Размеры!A:C,3,FALSE),"")</f>
        <v>61 XL</v>
      </c>
      <c r="AC152" s="97" t="str">
        <f ca="1">VLOOKUP(I152,ЦветПолный!A:B,2,FALSE)</f>
        <v>00</v>
      </c>
      <c r="AD152" s="97" t="str">
        <f ca="1">IFERROR(VLOOKUP(R152,Размеры!A:D,4,FALSE),"")</f>
        <v>61</v>
      </c>
      <c r="AE152" s="97">
        <f ca="1">IF(LEFT(IFERROR(VLOOKUP(LOOKUP(2,1/SEARCH(B152,Товары!A:A),Товары!A:A),Товары!A:B,2,0),""),6)=MID(Z152,1,6),1,0)</f>
        <v>1</v>
      </c>
      <c r="AG152" s="97">
        <f ca="1">SUMIF(Группа!A:A,C152,Группа!C:C)</f>
        <v>1</v>
      </c>
      <c r="AH152" s="97">
        <f ca="1">SUMIF(Группа!B:B,AA152,Группа!C:C)</f>
        <v>1</v>
      </c>
      <c r="AI152" s="97">
        <f ca="1">SUMIF(Формы!A:A,D152,Формы!B:B)</f>
        <v>1</v>
      </c>
      <c r="AJ152" s="97">
        <f ca="1">SUMIF(Материал!A:A,K152,Материал!B:B)</f>
        <v>1</v>
      </c>
      <c r="AK152" s="97">
        <f ca="1">SUMIF(Размеры!A:A,R152,Размеры!E:E)</f>
        <v>1</v>
      </c>
      <c r="AL152" s="97">
        <f ca="1">SUMIF(Сезон!A:A,F152,Сезон!B:B)</f>
        <v>1</v>
      </c>
      <c r="AM152" s="97">
        <f ca="1">SUMIF(Состав!A:A,J152,Состав!B:B)</f>
        <v>1</v>
      </c>
      <c r="AN152" s="97">
        <f ca="1">VLOOKUP(I152,ЦветПолный!A:C,3,0)</f>
        <v>1</v>
      </c>
      <c r="AO152" s="97">
        <f ca="1">SUMIF(Цвет!A:A,Y152,Цвет!B:B)</f>
        <v>1</v>
      </c>
      <c r="AP152" s="97">
        <f ca="1">_xlfn.XLOOKUP(L152,Пол!A:A,Пол!B:B,0,0)</f>
        <v>1</v>
      </c>
      <c r="AQ152" s="97">
        <f ca="1">SUMIF(Марка!A:A,G152,Марка!B:B)</f>
        <v>1</v>
      </c>
      <c r="AR152" s="97">
        <f ca="1">SUMIF(Страна!A:A,M152,Страна!B:B)</f>
        <v>1</v>
      </c>
      <c r="AS152" s="64" t="str">
        <f ca="1">IF(VLOOKUP(V152,Товары!A:B,2,FALSE)=A152,"Есть в 1С","ERR")</f>
        <v>Есть в 1С</v>
      </c>
      <c r="AT152" s="65" t="str">
        <f ca="1">IF(VLOOKUP(A152,Товары!B:B,1,FALSE)=A152,"Есть в 1С","ERR")</f>
        <v>Есть в 1С</v>
      </c>
      <c r="AU152" s="96" t="str">
        <f ca="1">VLOOKUP(V152,Товары!A:B,2,FALSE)</f>
        <v>21-599-00</v>
      </c>
      <c r="AV152" s="94" t="str">
        <f ca="1">VLOOKUP(V152,Товары!A:B,1,FALSE)</f>
        <v>Шляпа BAILEY арт. 81726BH HESTER (темно-бежевый) {copper}</v>
      </c>
    </row>
    <row r="153" spans="1:48" x14ac:dyDescent="0.25">
      <c r="A153" s="110" t="str">
        <f t="shared" ca="1" si="22"/>
        <v>21-599-00</v>
      </c>
      <c r="B153" s="107" t="str">
        <f ca="1">_xlfn.LET(_xlpm.CAPS,0,_xlpm.Style,_xlfn.XLOOKUP($A153,Строчный!$A:$A,Строчный!B:B,"ERR",0),IF(_xlpm.CAPS=0,_xlpm.Style,LOWER(_xlpm.Style)))</f>
        <v>81726BH HESTER</v>
      </c>
      <c r="C153" s="81" t="str">
        <f ca="1">PROPER(_xlfn.XLOOKUP($A153,Строчный!$A:$A,Строчный!C:C,"ERR",0))</f>
        <v>Шляпы</v>
      </c>
      <c r="D153" s="81" t="str">
        <f ca="1">_xlfn.LET(_xlpm.DATA,(_xlfn.XLOOKUP($A153,Строчный!$A:$A,Строчный!D:D,"ERR",0)),UPPER(MID(_xlpm.DATA,1,1))&amp;LOWER(MID(_xlpm.DATA,2,LEN(_xlpm.DATA)-1)))</f>
        <v>Шляпа федора</v>
      </c>
      <c r="E153" s="81" t="str">
        <f ca="1">PROPER(_xlfn.XLOOKUP($A153,Строчный!$A:$A,Строчный!E:E,"ERR",0))</f>
        <v>The Hollywood</v>
      </c>
      <c r="F153" s="81" t="str">
        <f ca="1">LOWER(_xlfn.XLOOKUP($A153,Строчный!$A:$A,Строчный!F:F,"ERR",0))</f>
        <v>летний</v>
      </c>
      <c r="G153" s="81" t="str">
        <f ca="1">UPPER(_xlfn.XLOOKUP($A153,Строчный!$A:$A,Строчный!G:G,"ERR",0))</f>
        <v>BAILEY</v>
      </c>
      <c r="H153" s="81" t="str">
        <f ca="1">LOWER(_xlfn.XLOOKUP($A153,Строчный!$A:$A,Строчный!H:H,"ERR",0))</f>
        <v>copper</v>
      </c>
      <c r="I153" s="81" t="str">
        <f ca="1">LOWER(_xlfn.XLOOKUP($A153,Строчный!$A:$A,Строчный!I:I,"ERR",0))</f>
        <v>темно-бежевый</v>
      </c>
      <c r="J153" s="81" t="str">
        <f ca="1">SUBSTITUTE(LOWER(_xlfn.XLOOKUP($A153,Строчный!$A:$A,Строчный!J:J,"ERR",0)),"подклад","Подклад")</f>
        <v>50% бумага - 50% полипропилен</v>
      </c>
      <c r="K153" s="81" t="str">
        <f ca="1">LOWER(_xlfn.XLOOKUP($A153,Строчный!$A:$A,Строчный!K:K,"ERR",0))</f>
        <v>бумажные</v>
      </c>
      <c r="L153" s="81" t="str">
        <f ca="1">PROPER(_xlfn.XLOOKUP($A153,Строчный!$A:$A,Строчный!L:L,"ERR",0))</f>
        <v>Унисекс</v>
      </c>
      <c r="M153" s="113" t="str">
        <f ca="1">PROPER(_xlfn.XLOOKUP($A153,Строчный!$A:$A,Строчный!M:M,"ERR",0))</f>
        <v>Китай</v>
      </c>
      <c r="N153" s="81" t="str">
        <f ca="1">UPPER(_xlfn.XLOOKUP($A153,Строчный!$A:$A,Строчный!O:O,"ERR",0))</f>
        <v/>
      </c>
      <c r="O153" s="107" t="str">
        <f ca="1">PROPER(_xlfn.XLOOKUP($A153,Строчный!$A:$A,Строчный!P:P,"ERR",0))</f>
        <v/>
      </c>
      <c r="P153" s="90">
        <f ca="1">VALUE(_xlfn.XLOOKUP($A153,Строчный!$A:$A,Строчный!N:N,"ERR",0))</f>
        <v>2263.9500000000003</v>
      </c>
      <c r="Q153" s="89" t="str">
        <f ca="1">_xlfn.XLOOKUP($G153,Фабрика!A:A,Фабрика!B:B,"ERR",0)</f>
        <v>Bollman Headwear Europe Ltd; 2 Merchants drive, Caelisle, Cumbria CA3 0JW, United Kingdom</v>
      </c>
      <c r="R153" s="80" t="str">
        <f ca="1">_xlfn.XLOOKUP(RIGHT(Z153,2),Размеры!D:D,Размеры!A:A,"ERR",0)</f>
        <v>59</v>
      </c>
      <c r="S153" s="80">
        <f ca="1">VALUE(_xlfn.XLOOKUP($Z153,Строчный!$R:$R,Строчный!T:T,"ERR",0))</f>
        <v>20</v>
      </c>
      <c r="T153" s="14" t="s">
        <v>265</v>
      </c>
      <c r="U153" s="101" t="str">
        <f t="shared" ca="1" si="18"/>
        <v>Шляпа BAILEY арт. 81726BH HESTER (темно-бежевый)</v>
      </c>
      <c r="V153" s="100" t="str">
        <f t="shared" ca="1" si="19"/>
        <v>Шляпа BAILEY арт. 81726BH HESTER (темно-бежевый) {copper}</v>
      </c>
      <c r="W153" s="18" t="str">
        <f t="shared" ca="1" si="20"/>
        <v>бежевый</v>
      </c>
      <c r="X153" s="18" t="str">
        <f t="shared" ca="1" si="21"/>
        <v>бежевый</v>
      </c>
      <c r="Y153" s="117" t="str">
        <f ca="1">_xlfn.LET(_xlpm.FormColors,_xlfn.XLOOKUP(A153,Строчный!A:A,Строчный!Q:Q,"",0),IF(_xlpm.FormColors=0,IFERROR(MID(I153,FIND("-",I153)+1,LEN(I153)),IFERROR(MID(I153,1,FIND("/",I153)-2),I153)),_xlpm.FormColors))</f>
        <v>бежевый</v>
      </c>
      <c r="Z153" s="73" t="str">
        <f ca="1"/>
        <v>21-599-00-59</v>
      </c>
      <c r="AA153" s="75" t="str">
        <f ca="1">VLOOKUP(C153,Группа!A:B,2,FALSE)</f>
        <v>Шляпа</v>
      </c>
      <c r="AB153" s="97" t="str">
        <f ca="1">IFERROR(VLOOKUP(R153,Размеры!A:C,3,FALSE),"")</f>
        <v>59 L</v>
      </c>
      <c r="AC153" s="97" t="str">
        <f ca="1">VLOOKUP(I153,ЦветПолный!A:B,2,FALSE)</f>
        <v>00</v>
      </c>
      <c r="AD153" s="97" t="str">
        <f ca="1">IFERROR(VLOOKUP(R153,Размеры!A:D,4,FALSE),"")</f>
        <v>59</v>
      </c>
      <c r="AE153" s="97">
        <f ca="1">IF(LEFT(IFERROR(VLOOKUP(LOOKUP(2,1/SEARCH(B153,Товары!A:A),Товары!A:A),Товары!A:B,2,0),""),6)=MID(Z153,1,6),1,0)</f>
        <v>1</v>
      </c>
      <c r="AG153" s="97">
        <f ca="1">SUMIF(Группа!A:A,C153,Группа!C:C)</f>
        <v>1</v>
      </c>
      <c r="AH153" s="97">
        <f ca="1">SUMIF(Группа!B:B,AA153,Группа!C:C)</f>
        <v>1</v>
      </c>
      <c r="AI153" s="97">
        <f ca="1">SUMIF(Формы!A:A,D153,Формы!B:B)</f>
        <v>1</v>
      </c>
      <c r="AJ153" s="97">
        <f ca="1">SUMIF(Материал!A:A,K153,Материал!B:B)</f>
        <v>1</v>
      </c>
      <c r="AK153" s="97">
        <f ca="1">SUMIF(Размеры!A:A,R153,Размеры!E:E)</f>
        <v>1</v>
      </c>
      <c r="AL153" s="97">
        <f ca="1">SUMIF(Сезон!A:A,F153,Сезон!B:B)</f>
        <v>1</v>
      </c>
      <c r="AM153" s="97">
        <f ca="1">SUMIF(Состав!A:A,J153,Состав!B:B)</f>
        <v>1</v>
      </c>
      <c r="AN153" s="97">
        <f ca="1">VLOOKUP(I153,ЦветПолный!A:C,3,0)</f>
        <v>1</v>
      </c>
      <c r="AO153" s="97">
        <f ca="1">SUMIF(Цвет!A:A,Y153,Цвет!B:B)</f>
        <v>1</v>
      </c>
      <c r="AP153" s="97">
        <f ca="1">_xlfn.XLOOKUP(L153,Пол!A:A,Пол!B:B,0,0)</f>
        <v>1</v>
      </c>
      <c r="AQ153" s="97">
        <f ca="1">SUMIF(Марка!A:A,G153,Марка!B:B)</f>
        <v>1</v>
      </c>
      <c r="AR153" s="97">
        <f ca="1">SUMIF(Страна!A:A,M153,Страна!B:B)</f>
        <v>1</v>
      </c>
      <c r="AS153" s="64" t="str">
        <f ca="1">IF(VLOOKUP(V153,Товары!A:B,2,FALSE)=A153,"Есть в 1С","ERR")</f>
        <v>Есть в 1С</v>
      </c>
      <c r="AT153" s="65" t="str">
        <f ca="1">IF(VLOOKUP(A153,Товары!B:B,1,FALSE)=A153,"Есть в 1С","ERR")</f>
        <v>Есть в 1С</v>
      </c>
      <c r="AU153" s="96" t="str">
        <f ca="1">VLOOKUP(V153,Товары!A:B,2,FALSE)</f>
        <v>21-599-00</v>
      </c>
      <c r="AV153" s="94" t="str">
        <f ca="1">VLOOKUP(V153,Товары!A:B,1,FALSE)</f>
        <v>Шляпа BAILEY арт. 81726BH HESTER (темно-бежевый) {copper}</v>
      </c>
    </row>
    <row r="154" spans="1:48" x14ac:dyDescent="0.25">
      <c r="A154" s="110" t="str">
        <f t="shared" ca="1" si="22"/>
        <v>21-599-00</v>
      </c>
      <c r="B154" s="107" t="str">
        <f ca="1">_xlfn.LET(_xlpm.CAPS,0,_xlpm.Style,_xlfn.XLOOKUP($A154,Строчный!$A:$A,Строчный!B:B,"ERR",0),IF(_xlpm.CAPS=0,_xlpm.Style,LOWER(_xlpm.Style)))</f>
        <v>81726BH HESTER</v>
      </c>
      <c r="C154" s="81" t="str">
        <f ca="1">PROPER(_xlfn.XLOOKUP($A154,Строчный!$A:$A,Строчный!C:C,"ERR",0))</f>
        <v>Шляпы</v>
      </c>
      <c r="D154" s="81" t="str">
        <f ca="1">_xlfn.LET(_xlpm.DATA,(_xlfn.XLOOKUP($A154,Строчный!$A:$A,Строчный!D:D,"ERR",0)),UPPER(MID(_xlpm.DATA,1,1))&amp;LOWER(MID(_xlpm.DATA,2,LEN(_xlpm.DATA)-1)))</f>
        <v>Шляпа федора</v>
      </c>
      <c r="E154" s="81" t="str">
        <f ca="1">PROPER(_xlfn.XLOOKUP($A154,Строчный!$A:$A,Строчный!E:E,"ERR",0))</f>
        <v>The Hollywood</v>
      </c>
      <c r="F154" s="81" t="str">
        <f ca="1">LOWER(_xlfn.XLOOKUP($A154,Строчный!$A:$A,Строчный!F:F,"ERR",0))</f>
        <v>летний</v>
      </c>
      <c r="G154" s="81" t="str">
        <f ca="1">UPPER(_xlfn.XLOOKUP($A154,Строчный!$A:$A,Строчный!G:G,"ERR",0))</f>
        <v>BAILEY</v>
      </c>
      <c r="H154" s="81" t="str">
        <f ca="1">LOWER(_xlfn.XLOOKUP($A154,Строчный!$A:$A,Строчный!H:H,"ERR",0))</f>
        <v>copper</v>
      </c>
      <c r="I154" s="81" t="str">
        <f ca="1">LOWER(_xlfn.XLOOKUP($A154,Строчный!$A:$A,Строчный!I:I,"ERR",0))</f>
        <v>темно-бежевый</v>
      </c>
      <c r="J154" s="81" t="str">
        <f ca="1">SUBSTITUTE(LOWER(_xlfn.XLOOKUP($A154,Строчный!$A:$A,Строчный!J:J,"ERR",0)),"подклад","Подклад")</f>
        <v>50% бумага - 50% полипропилен</v>
      </c>
      <c r="K154" s="81" t="str">
        <f ca="1">LOWER(_xlfn.XLOOKUP($A154,Строчный!$A:$A,Строчный!K:K,"ERR",0))</f>
        <v>бумажные</v>
      </c>
      <c r="L154" s="81" t="str">
        <f ca="1">PROPER(_xlfn.XLOOKUP($A154,Строчный!$A:$A,Строчный!L:L,"ERR",0))</f>
        <v>Унисекс</v>
      </c>
      <c r="M154" s="113" t="str">
        <f ca="1">PROPER(_xlfn.XLOOKUP($A154,Строчный!$A:$A,Строчный!M:M,"ERR",0))</f>
        <v>Китай</v>
      </c>
      <c r="N154" s="81" t="str">
        <f ca="1">UPPER(_xlfn.XLOOKUP($A154,Строчный!$A:$A,Строчный!O:O,"ERR",0))</f>
        <v/>
      </c>
      <c r="O154" s="107" t="str">
        <f ca="1">PROPER(_xlfn.XLOOKUP($A154,Строчный!$A:$A,Строчный!P:P,"ERR",0))</f>
        <v/>
      </c>
      <c r="P154" s="90">
        <f ca="1">VALUE(_xlfn.XLOOKUP($A154,Строчный!$A:$A,Строчный!N:N,"ERR",0))</f>
        <v>2263.9500000000003</v>
      </c>
      <c r="Q154" s="89" t="str">
        <f ca="1">_xlfn.XLOOKUP($G154,Фабрика!A:A,Фабрика!B:B,"ERR",0)</f>
        <v>Bollman Headwear Europe Ltd; 2 Merchants drive, Caelisle, Cumbria CA3 0JW, United Kingdom</v>
      </c>
      <c r="R154" s="80" t="str">
        <f ca="1">_xlfn.XLOOKUP(RIGHT(Z154,2),Размеры!D:D,Размеры!A:A,"ERR",0)</f>
        <v>57</v>
      </c>
      <c r="S154" s="80">
        <f ca="1">VALUE(_xlfn.XLOOKUP($Z154,Строчный!$R:$R,Строчный!T:T,"ERR",0))</f>
        <v>10</v>
      </c>
      <c r="T154" s="14" t="s">
        <v>265</v>
      </c>
      <c r="U154" s="101" t="str">
        <f t="shared" ca="1" si="18"/>
        <v>Шляпа BAILEY арт. 81726BH HESTER (темно-бежевый)</v>
      </c>
      <c r="V154" s="100" t="str">
        <f t="shared" ca="1" si="19"/>
        <v>Шляпа BAILEY арт. 81726BH HESTER (темно-бежевый) {copper}</v>
      </c>
      <c r="W154" s="18" t="str">
        <f t="shared" ca="1" si="20"/>
        <v>бежевый</v>
      </c>
      <c r="X154" s="18" t="str">
        <f t="shared" ca="1" si="21"/>
        <v>бежевый</v>
      </c>
      <c r="Y154" s="117" t="str">
        <f ca="1">_xlfn.LET(_xlpm.FormColors,_xlfn.XLOOKUP(A154,Строчный!A:A,Строчный!Q:Q,"",0),IF(_xlpm.FormColors=0,IFERROR(MID(I154,FIND("-",I154)+1,LEN(I154)),IFERROR(MID(I154,1,FIND("/",I154)-2),I154)),_xlpm.FormColors))</f>
        <v>бежевый</v>
      </c>
      <c r="Z154" s="73" t="str">
        <f ca="1"/>
        <v>21-599-00-57</v>
      </c>
      <c r="AA154" s="75" t="str">
        <f ca="1">VLOOKUP(C154,Группа!A:B,2,FALSE)</f>
        <v>Шляпа</v>
      </c>
      <c r="AB154" s="97" t="str">
        <f ca="1">IFERROR(VLOOKUP(R154,Размеры!A:C,3,FALSE),"")</f>
        <v>57 M</v>
      </c>
      <c r="AC154" s="97" t="str">
        <f ca="1">VLOOKUP(I154,ЦветПолный!A:B,2,FALSE)</f>
        <v>00</v>
      </c>
      <c r="AD154" s="97" t="str">
        <f ca="1">IFERROR(VLOOKUP(R154,Размеры!A:D,4,FALSE),"")</f>
        <v>57</v>
      </c>
      <c r="AE154" s="97">
        <f ca="1">IF(LEFT(IFERROR(VLOOKUP(LOOKUP(2,1/SEARCH(B154,Товары!A:A),Товары!A:A),Товары!A:B,2,0),""),6)=MID(Z154,1,6),1,0)</f>
        <v>1</v>
      </c>
      <c r="AG154" s="97">
        <f ca="1">SUMIF(Группа!A:A,C154,Группа!C:C)</f>
        <v>1</v>
      </c>
      <c r="AH154" s="97">
        <f ca="1">SUMIF(Группа!B:B,AA154,Группа!C:C)</f>
        <v>1</v>
      </c>
      <c r="AI154" s="97">
        <f ca="1">SUMIF(Формы!A:A,D154,Формы!B:B)</f>
        <v>1</v>
      </c>
      <c r="AJ154" s="97">
        <f ca="1">SUMIF(Материал!A:A,K154,Материал!B:B)</f>
        <v>1</v>
      </c>
      <c r="AK154" s="97">
        <f ca="1">SUMIF(Размеры!A:A,R154,Размеры!E:E)</f>
        <v>1</v>
      </c>
      <c r="AL154" s="97">
        <f ca="1">SUMIF(Сезон!A:A,F154,Сезон!B:B)</f>
        <v>1</v>
      </c>
      <c r="AM154" s="97">
        <f ca="1">SUMIF(Состав!A:A,J154,Состав!B:B)</f>
        <v>1</v>
      </c>
      <c r="AN154" s="97">
        <f ca="1">VLOOKUP(I154,ЦветПолный!A:C,3,0)</f>
        <v>1</v>
      </c>
      <c r="AO154" s="97">
        <f ca="1">SUMIF(Цвет!A:A,Y154,Цвет!B:B)</f>
        <v>1</v>
      </c>
      <c r="AP154" s="97">
        <f ca="1">_xlfn.XLOOKUP(L154,Пол!A:A,Пол!B:B,0,0)</f>
        <v>1</v>
      </c>
      <c r="AQ154" s="97">
        <f ca="1">SUMIF(Марка!A:A,G154,Марка!B:B)</f>
        <v>1</v>
      </c>
      <c r="AR154" s="97">
        <f ca="1">SUMIF(Страна!A:A,M154,Страна!B:B)</f>
        <v>1</v>
      </c>
      <c r="AS154" s="64" t="str">
        <f ca="1">IF(VLOOKUP(V154,Товары!A:B,2,FALSE)=A154,"Есть в 1С","ERR")</f>
        <v>Есть в 1С</v>
      </c>
      <c r="AT154" s="65" t="str">
        <f ca="1">IF(VLOOKUP(A154,Товары!B:B,1,FALSE)=A154,"Есть в 1С","ERR")</f>
        <v>Есть в 1С</v>
      </c>
      <c r="AU154" s="96" t="str">
        <f ca="1">VLOOKUP(V154,Товары!A:B,2,FALSE)</f>
        <v>21-599-00</v>
      </c>
      <c r="AV154" s="94" t="str">
        <f ca="1">VLOOKUP(V154,Товары!A:B,1,FALSE)</f>
        <v>Шляпа BAILEY арт. 81726BH HESTER (темно-бежевый) {copper}</v>
      </c>
    </row>
    <row r="155" spans="1:48" x14ac:dyDescent="0.25">
      <c r="A155" s="110" t="str">
        <f t="shared" ca="1" si="22"/>
        <v>21-599-00</v>
      </c>
      <c r="B155" s="107" t="str">
        <f ca="1">_xlfn.LET(_xlpm.CAPS,0,_xlpm.Style,_xlfn.XLOOKUP($A155,Строчный!$A:$A,Строчный!B:B,"ERR",0),IF(_xlpm.CAPS=0,_xlpm.Style,LOWER(_xlpm.Style)))</f>
        <v>81726BH HESTER</v>
      </c>
      <c r="C155" s="81" t="str">
        <f ca="1">PROPER(_xlfn.XLOOKUP($A155,Строчный!$A:$A,Строчный!C:C,"ERR",0))</f>
        <v>Шляпы</v>
      </c>
      <c r="D155" s="81" t="str">
        <f ca="1">_xlfn.LET(_xlpm.DATA,(_xlfn.XLOOKUP($A155,Строчный!$A:$A,Строчный!D:D,"ERR",0)),UPPER(MID(_xlpm.DATA,1,1))&amp;LOWER(MID(_xlpm.DATA,2,LEN(_xlpm.DATA)-1)))</f>
        <v>Шляпа федора</v>
      </c>
      <c r="E155" s="81" t="str">
        <f ca="1">PROPER(_xlfn.XLOOKUP($A155,Строчный!$A:$A,Строчный!E:E,"ERR",0))</f>
        <v>The Hollywood</v>
      </c>
      <c r="F155" s="81" t="str">
        <f ca="1">LOWER(_xlfn.XLOOKUP($A155,Строчный!$A:$A,Строчный!F:F,"ERR",0))</f>
        <v>летний</v>
      </c>
      <c r="G155" s="81" t="str">
        <f ca="1">UPPER(_xlfn.XLOOKUP($A155,Строчный!$A:$A,Строчный!G:G,"ERR",0))</f>
        <v>BAILEY</v>
      </c>
      <c r="H155" s="81" t="str">
        <f ca="1">LOWER(_xlfn.XLOOKUP($A155,Строчный!$A:$A,Строчный!H:H,"ERR",0))</f>
        <v>copper</v>
      </c>
      <c r="I155" s="81" t="str">
        <f ca="1">LOWER(_xlfn.XLOOKUP($A155,Строчный!$A:$A,Строчный!I:I,"ERR",0))</f>
        <v>темно-бежевый</v>
      </c>
      <c r="J155" s="81" t="str">
        <f ca="1">SUBSTITUTE(LOWER(_xlfn.XLOOKUP($A155,Строчный!$A:$A,Строчный!J:J,"ERR",0)),"подклад","Подклад")</f>
        <v>50% бумага - 50% полипропилен</v>
      </c>
      <c r="K155" s="81" t="str">
        <f ca="1">LOWER(_xlfn.XLOOKUP($A155,Строчный!$A:$A,Строчный!K:K,"ERR",0))</f>
        <v>бумажные</v>
      </c>
      <c r="L155" s="81" t="str">
        <f ca="1">PROPER(_xlfn.XLOOKUP($A155,Строчный!$A:$A,Строчный!L:L,"ERR",0))</f>
        <v>Унисекс</v>
      </c>
      <c r="M155" s="113" t="str">
        <f ca="1">PROPER(_xlfn.XLOOKUP($A155,Строчный!$A:$A,Строчный!M:M,"ERR",0))</f>
        <v>Китай</v>
      </c>
      <c r="N155" s="81" t="str">
        <f ca="1">UPPER(_xlfn.XLOOKUP($A155,Строчный!$A:$A,Строчный!O:O,"ERR",0))</f>
        <v/>
      </c>
      <c r="O155" s="107" t="str">
        <f ca="1">PROPER(_xlfn.XLOOKUP($A155,Строчный!$A:$A,Строчный!P:P,"ERR",0))</f>
        <v/>
      </c>
      <c r="P155" s="90">
        <f ca="1">VALUE(_xlfn.XLOOKUP($A155,Строчный!$A:$A,Строчный!N:N,"ERR",0))</f>
        <v>2263.9500000000003</v>
      </c>
      <c r="Q155" s="89" t="str">
        <f ca="1">_xlfn.XLOOKUP($G155,Фабрика!A:A,Фабрика!B:B,"ERR",0)</f>
        <v>Bollman Headwear Europe Ltd; 2 Merchants drive, Caelisle, Cumbria CA3 0JW, United Kingdom</v>
      </c>
      <c r="R155" s="80" t="str">
        <f ca="1">_xlfn.XLOOKUP(RIGHT(Z155,2),Размеры!D:D,Размеры!A:A,"ERR",0)</f>
        <v>55</v>
      </c>
      <c r="S155" s="80">
        <f ca="1">VALUE(_xlfn.XLOOKUP($Z155,Строчный!$R:$R,Строчный!T:T,"ERR",0))</f>
        <v>4</v>
      </c>
      <c r="T155" s="14" t="s">
        <v>265</v>
      </c>
      <c r="U155" s="101" t="str">
        <f t="shared" ca="1" si="18"/>
        <v>Шляпа BAILEY арт. 81726BH HESTER (темно-бежевый)</v>
      </c>
      <c r="V155" s="100" t="str">
        <f t="shared" ca="1" si="19"/>
        <v>Шляпа BAILEY арт. 81726BH HESTER (темно-бежевый) {copper}</v>
      </c>
      <c r="W155" s="18" t="str">
        <f t="shared" ca="1" si="20"/>
        <v>бежевый</v>
      </c>
      <c r="X155" s="18" t="str">
        <f t="shared" ca="1" si="21"/>
        <v>бежевый</v>
      </c>
      <c r="Y155" s="117" t="str">
        <f ca="1">_xlfn.LET(_xlpm.FormColors,_xlfn.XLOOKUP(A155,Строчный!A:A,Строчный!Q:Q,"",0),IF(_xlpm.FormColors=0,IFERROR(MID(I155,FIND("-",I155)+1,LEN(I155)),IFERROR(MID(I155,1,FIND("/",I155)-2),I155)),_xlpm.FormColors))</f>
        <v>бежевый</v>
      </c>
      <c r="Z155" s="73" t="str">
        <f ca="1"/>
        <v>21-599-00-55</v>
      </c>
      <c r="AA155" s="75" t="str">
        <f ca="1">VLOOKUP(C155,Группа!A:B,2,FALSE)</f>
        <v>Шляпа</v>
      </c>
      <c r="AB155" s="97" t="str">
        <f ca="1">IFERROR(VLOOKUP(R155,Размеры!A:C,3,FALSE),"")</f>
        <v>55 S</v>
      </c>
      <c r="AC155" s="97" t="str">
        <f ca="1">VLOOKUP(I155,ЦветПолный!A:B,2,FALSE)</f>
        <v>00</v>
      </c>
      <c r="AD155" s="97" t="str">
        <f ca="1">IFERROR(VLOOKUP(R155,Размеры!A:D,4,FALSE),"")</f>
        <v>55</v>
      </c>
      <c r="AE155" s="97">
        <f ca="1">IF(LEFT(IFERROR(VLOOKUP(LOOKUP(2,1/SEARCH(B155,Товары!A:A),Товары!A:A),Товары!A:B,2,0),""),6)=MID(Z155,1,6),1,0)</f>
        <v>1</v>
      </c>
      <c r="AG155" s="97">
        <f ca="1">SUMIF(Группа!A:A,C155,Группа!C:C)</f>
        <v>1</v>
      </c>
      <c r="AH155" s="97">
        <f ca="1">SUMIF(Группа!B:B,AA155,Группа!C:C)</f>
        <v>1</v>
      </c>
      <c r="AI155" s="97">
        <f ca="1">SUMIF(Формы!A:A,D155,Формы!B:B)</f>
        <v>1</v>
      </c>
      <c r="AJ155" s="97">
        <f ca="1">SUMIF(Материал!A:A,K155,Материал!B:B)</f>
        <v>1</v>
      </c>
      <c r="AK155" s="97">
        <f ca="1">SUMIF(Размеры!A:A,R155,Размеры!E:E)</f>
        <v>1</v>
      </c>
      <c r="AL155" s="97">
        <f ca="1">SUMIF(Сезон!A:A,F155,Сезон!B:B)</f>
        <v>1</v>
      </c>
      <c r="AM155" s="97">
        <f ca="1">SUMIF(Состав!A:A,J155,Состав!B:B)</f>
        <v>1</v>
      </c>
      <c r="AN155" s="97">
        <f ca="1">VLOOKUP(I155,ЦветПолный!A:C,3,0)</f>
        <v>1</v>
      </c>
      <c r="AO155" s="97">
        <f ca="1">SUMIF(Цвет!A:A,Y155,Цвет!B:B)</f>
        <v>1</v>
      </c>
      <c r="AP155" s="97">
        <f ca="1">_xlfn.XLOOKUP(L155,Пол!A:A,Пол!B:B,0,0)</f>
        <v>1</v>
      </c>
      <c r="AQ155" s="97">
        <f ca="1">SUMIF(Марка!A:A,G155,Марка!B:B)</f>
        <v>1</v>
      </c>
      <c r="AR155" s="97">
        <f ca="1">SUMIF(Страна!A:A,M155,Страна!B:B)</f>
        <v>1</v>
      </c>
      <c r="AS155" s="64" t="str">
        <f ca="1">IF(VLOOKUP(V155,Товары!A:B,2,FALSE)=A155,"Есть в 1С","ERR")</f>
        <v>Есть в 1С</v>
      </c>
      <c r="AT155" s="65" t="str">
        <f ca="1">IF(VLOOKUP(A155,Товары!B:B,1,FALSE)=A155,"Есть в 1С","ERR")</f>
        <v>Есть в 1С</v>
      </c>
      <c r="AU155" s="96" t="str">
        <f ca="1">VLOOKUP(V155,Товары!A:B,2,FALSE)</f>
        <v>21-599-00</v>
      </c>
      <c r="AV155" s="94" t="str">
        <f ca="1">VLOOKUP(V155,Товары!A:B,1,FALSE)</f>
        <v>Шляпа BAILEY арт. 81726BH HESTER (темно-бежевый) {copper}</v>
      </c>
    </row>
    <row r="156" spans="1:48" x14ac:dyDescent="0.25">
      <c r="A156" s="110" t="str">
        <f t="shared" ca="1" si="22"/>
        <v>21-596-91</v>
      </c>
      <c r="B156" s="107" t="str">
        <f ca="1">_xlfn.LET(_xlpm.CAPS,0,_xlpm.Style,_xlfn.XLOOKUP($A156,Строчный!$A:$A,Строчный!B:B,"ERR",0),IF(_xlpm.CAPS=0,_xlpm.Style,LOWER(_xlpm.Style)))</f>
        <v>81703BH FOLEY</v>
      </c>
      <c r="C156" s="81" t="str">
        <f ca="1">PROPER(_xlfn.XLOOKUP($A156,Строчный!$A:$A,Строчный!C:C,"ERR",0))</f>
        <v>Шляпы</v>
      </c>
      <c r="D156" s="81" t="str">
        <f ca="1">_xlfn.LET(_xlpm.DATA,(_xlfn.XLOOKUP($A156,Строчный!$A:$A,Строчный!D:D,"ERR",0)),UPPER(MID(_xlpm.DATA,1,1))&amp;LOWER(MID(_xlpm.DATA,2,LEN(_xlpm.DATA)-1)))</f>
        <v>Шляпа федора</v>
      </c>
      <c r="E156" s="81" t="str">
        <f ca="1">PROPER(_xlfn.XLOOKUP($A156,Строчный!$A:$A,Строчный!E:E,"ERR",0))</f>
        <v>The Hollywood</v>
      </c>
      <c r="F156" s="81" t="str">
        <f ca="1">LOWER(_xlfn.XLOOKUP($A156,Строчный!$A:$A,Строчный!F:F,"ERR",0))</f>
        <v>летний</v>
      </c>
      <c r="G156" s="81" t="str">
        <f ca="1">UPPER(_xlfn.XLOOKUP($A156,Строчный!$A:$A,Строчный!G:G,"ERR",0))</f>
        <v>BAILEY</v>
      </c>
      <c r="H156" s="81" t="str">
        <f ca="1">LOWER(_xlfn.XLOOKUP($A156,Строчный!$A:$A,Строчный!H:H,"ERR",0))</f>
        <v>walnut</v>
      </c>
      <c r="I156" s="81" t="str">
        <f ca="1">LOWER(_xlfn.XLOOKUP($A156,Строчный!$A:$A,Строчный!I:I,"ERR",0))</f>
        <v>темно-коричневый</v>
      </c>
      <c r="J156" s="81" t="str">
        <f ca="1">SUBSTITUTE(LOWER(_xlfn.XLOOKUP($A156,Строчный!$A:$A,Строчный!J:J,"ERR",0)),"подклад","Подклад")</f>
        <v>100% бумага</v>
      </c>
      <c r="K156" s="81" t="str">
        <f ca="1">LOWER(_xlfn.XLOOKUP($A156,Строчный!$A:$A,Строчный!K:K,"ERR",0))</f>
        <v>бумажные</v>
      </c>
      <c r="L156" s="81" t="str">
        <f ca="1">PROPER(_xlfn.XLOOKUP($A156,Строчный!$A:$A,Строчный!L:L,"ERR",0))</f>
        <v>Мужской</v>
      </c>
      <c r="M156" s="113" t="str">
        <f ca="1">PROPER(_xlfn.XLOOKUP($A156,Строчный!$A:$A,Строчный!M:M,"ERR",0))</f>
        <v>Китай</v>
      </c>
      <c r="N156" s="81" t="str">
        <f ca="1">UPPER(_xlfn.XLOOKUP($A156,Строчный!$A:$A,Строчный!O:O,"ERR",0))</f>
        <v/>
      </c>
      <c r="O156" s="107" t="str">
        <f ca="1">PROPER(_xlfn.XLOOKUP($A156,Строчный!$A:$A,Строчный!P:P,"ERR",0))</f>
        <v/>
      </c>
      <c r="P156" s="90">
        <f ca="1">VALUE(_xlfn.XLOOKUP($A156,Строчный!$A:$A,Строчный!N:N,"ERR",0))</f>
        <v>2152.7999999999997</v>
      </c>
      <c r="Q156" s="89" t="str">
        <f ca="1">_xlfn.XLOOKUP($G156,Фабрика!A:A,Фабрика!B:B,"ERR",0)</f>
        <v>Bollman Headwear Europe Ltd; 2 Merchants drive, Caelisle, Cumbria CA3 0JW, United Kingdom</v>
      </c>
      <c r="R156" s="80" t="str">
        <f ca="1">_xlfn.XLOOKUP(RIGHT(Z156,2),Размеры!D:D,Размеры!A:A,"ERR",0)</f>
        <v>61</v>
      </c>
      <c r="S156" s="80">
        <f ca="1">VALUE(_xlfn.XLOOKUP($Z156,Строчный!$R:$R,Строчный!T:T,"ERR",0))</f>
        <v>5</v>
      </c>
      <c r="T156" s="14" t="s">
        <v>265</v>
      </c>
      <c r="U156" s="101" t="str">
        <f t="shared" ca="1" si="18"/>
        <v>Шляпа BAILEY арт. 81703BH FOLEY (темно-коричневый)</v>
      </c>
      <c r="V156" s="100" t="str">
        <f t="shared" ca="1" si="19"/>
        <v>Шляпа BAILEY арт. 81703BH FOLEY (темно-коричневый) {walnut}</v>
      </c>
      <c r="W156" s="18" t="str">
        <f t="shared" ca="1" si="20"/>
        <v>коричневый</v>
      </c>
      <c r="X156" s="18" t="str">
        <f t="shared" ca="1" si="21"/>
        <v>коричневый</v>
      </c>
      <c r="Y156" s="117" t="str">
        <f ca="1">_xlfn.LET(_xlpm.FormColors,_xlfn.XLOOKUP(A156,Строчный!A:A,Строчный!Q:Q,"",0),IF(_xlpm.FormColors=0,IFERROR(MID(I156,FIND("-",I156)+1,LEN(I156)),IFERROR(MID(I156,1,FIND("/",I156)-2),I156)),_xlpm.FormColors))</f>
        <v>коричневый</v>
      </c>
      <c r="Z156" s="73" t="str">
        <f ca="1"/>
        <v>21-596-91-61</v>
      </c>
      <c r="AA156" s="75" t="str">
        <f ca="1">VLOOKUP(C156,Группа!A:B,2,FALSE)</f>
        <v>Шляпа</v>
      </c>
      <c r="AB156" s="97" t="str">
        <f ca="1">IFERROR(VLOOKUP(R156,Размеры!A:C,3,FALSE),"")</f>
        <v>61 XL</v>
      </c>
      <c r="AC156" s="97" t="str">
        <f ca="1">VLOOKUP(I156,ЦветПолный!A:B,2,FALSE)</f>
        <v>91</v>
      </c>
      <c r="AD156" s="97" t="str">
        <f ca="1">IFERROR(VLOOKUP(R156,Размеры!A:D,4,FALSE),"")</f>
        <v>61</v>
      </c>
      <c r="AE156" s="97">
        <f ca="1">IF(LEFT(IFERROR(VLOOKUP(LOOKUP(2,1/SEARCH(B156,Товары!A:A),Товары!A:A),Товары!A:B,2,0),""),6)=MID(Z156,1,6),1,0)</f>
        <v>1</v>
      </c>
      <c r="AG156" s="97">
        <f ca="1">SUMIF(Группа!A:A,C156,Группа!C:C)</f>
        <v>1</v>
      </c>
      <c r="AH156" s="97">
        <f ca="1">SUMIF(Группа!B:B,AA156,Группа!C:C)</f>
        <v>1</v>
      </c>
      <c r="AI156" s="97">
        <f ca="1">SUMIF(Формы!A:A,D156,Формы!B:B)</f>
        <v>1</v>
      </c>
      <c r="AJ156" s="97">
        <f ca="1">SUMIF(Материал!A:A,K156,Материал!B:B)</f>
        <v>1</v>
      </c>
      <c r="AK156" s="97">
        <f ca="1">SUMIF(Размеры!A:A,R156,Размеры!E:E)</f>
        <v>1</v>
      </c>
      <c r="AL156" s="97">
        <f ca="1">SUMIF(Сезон!A:A,F156,Сезон!B:B)</f>
        <v>1</v>
      </c>
      <c r="AM156" s="97">
        <f ca="1">SUMIF(Состав!A:A,J156,Состав!B:B)</f>
        <v>1</v>
      </c>
      <c r="AN156" s="97">
        <f ca="1">VLOOKUP(I156,ЦветПолный!A:C,3,0)</f>
        <v>1</v>
      </c>
      <c r="AO156" s="97">
        <f ca="1">SUMIF(Цвет!A:A,Y156,Цвет!B:B)</f>
        <v>1</v>
      </c>
      <c r="AP156" s="97">
        <f ca="1">_xlfn.XLOOKUP(L156,Пол!A:A,Пол!B:B,0,0)</f>
        <v>1</v>
      </c>
      <c r="AQ156" s="97">
        <f ca="1">SUMIF(Марка!A:A,G156,Марка!B:B)</f>
        <v>1</v>
      </c>
      <c r="AR156" s="97">
        <f ca="1">SUMIF(Страна!A:A,M156,Страна!B:B)</f>
        <v>1</v>
      </c>
      <c r="AS156" s="64" t="str">
        <f ca="1">IF(VLOOKUP(V156,Товары!A:B,2,FALSE)=A156,"Есть в 1С","ERR")</f>
        <v>Есть в 1С</v>
      </c>
      <c r="AT156" s="65" t="str">
        <f ca="1">IF(VLOOKUP(A156,Товары!B:B,1,FALSE)=A156,"Есть в 1С","ERR")</f>
        <v>Есть в 1С</v>
      </c>
      <c r="AU156" s="96" t="str">
        <f ca="1">VLOOKUP(V156,Товары!A:B,2,FALSE)</f>
        <v>21-596-91</v>
      </c>
      <c r="AV156" s="94" t="str">
        <f ca="1">VLOOKUP(V156,Товары!A:B,1,FALSE)</f>
        <v>Шляпа BAILEY арт. 81703BH FOLEY (темно-коричневый) {walnut}</v>
      </c>
    </row>
    <row r="157" spans="1:48" x14ac:dyDescent="0.25">
      <c r="A157" s="110" t="str">
        <f t="shared" ca="1" si="22"/>
        <v>21-596-91</v>
      </c>
      <c r="B157" s="107" t="str">
        <f ca="1">_xlfn.LET(_xlpm.CAPS,0,_xlpm.Style,_xlfn.XLOOKUP($A157,Строчный!$A:$A,Строчный!B:B,"ERR",0),IF(_xlpm.CAPS=0,_xlpm.Style,LOWER(_xlpm.Style)))</f>
        <v>81703BH FOLEY</v>
      </c>
      <c r="C157" s="81" t="str">
        <f ca="1">PROPER(_xlfn.XLOOKUP($A157,Строчный!$A:$A,Строчный!C:C,"ERR",0))</f>
        <v>Шляпы</v>
      </c>
      <c r="D157" s="81" t="str">
        <f ca="1">_xlfn.LET(_xlpm.DATA,(_xlfn.XLOOKUP($A157,Строчный!$A:$A,Строчный!D:D,"ERR",0)),UPPER(MID(_xlpm.DATA,1,1))&amp;LOWER(MID(_xlpm.DATA,2,LEN(_xlpm.DATA)-1)))</f>
        <v>Шляпа федора</v>
      </c>
      <c r="E157" s="81" t="str">
        <f ca="1">PROPER(_xlfn.XLOOKUP($A157,Строчный!$A:$A,Строчный!E:E,"ERR",0))</f>
        <v>The Hollywood</v>
      </c>
      <c r="F157" s="81" t="str">
        <f ca="1">LOWER(_xlfn.XLOOKUP($A157,Строчный!$A:$A,Строчный!F:F,"ERR",0))</f>
        <v>летний</v>
      </c>
      <c r="G157" s="81" t="str">
        <f ca="1">UPPER(_xlfn.XLOOKUP($A157,Строчный!$A:$A,Строчный!G:G,"ERR",0))</f>
        <v>BAILEY</v>
      </c>
      <c r="H157" s="81" t="str">
        <f ca="1">LOWER(_xlfn.XLOOKUP($A157,Строчный!$A:$A,Строчный!H:H,"ERR",0))</f>
        <v>walnut</v>
      </c>
      <c r="I157" s="81" t="str">
        <f ca="1">LOWER(_xlfn.XLOOKUP($A157,Строчный!$A:$A,Строчный!I:I,"ERR",0))</f>
        <v>темно-коричневый</v>
      </c>
      <c r="J157" s="81" t="str">
        <f ca="1">SUBSTITUTE(LOWER(_xlfn.XLOOKUP($A157,Строчный!$A:$A,Строчный!J:J,"ERR",0)),"подклад","Подклад")</f>
        <v>100% бумага</v>
      </c>
      <c r="K157" s="81" t="str">
        <f ca="1">LOWER(_xlfn.XLOOKUP($A157,Строчный!$A:$A,Строчный!K:K,"ERR",0))</f>
        <v>бумажные</v>
      </c>
      <c r="L157" s="81" t="str">
        <f ca="1">PROPER(_xlfn.XLOOKUP($A157,Строчный!$A:$A,Строчный!L:L,"ERR",0))</f>
        <v>Мужской</v>
      </c>
      <c r="M157" s="113" t="str">
        <f ca="1">PROPER(_xlfn.XLOOKUP($A157,Строчный!$A:$A,Строчный!M:M,"ERR",0))</f>
        <v>Китай</v>
      </c>
      <c r="N157" s="81" t="str">
        <f ca="1">UPPER(_xlfn.XLOOKUP($A157,Строчный!$A:$A,Строчный!O:O,"ERR",0))</f>
        <v/>
      </c>
      <c r="O157" s="107" t="str">
        <f ca="1">PROPER(_xlfn.XLOOKUP($A157,Строчный!$A:$A,Строчный!P:P,"ERR",0))</f>
        <v/>
      </c>
      <c r="P157" s="90">
        <f ca="1">VALUE(_xlfn.XLOOKUP($A157,Строчный!$A:$A,Строчный!N:N,"ERR",0))</f>
        <v>2152.7999999999997</v>
      </c>
      <c r="Q157" s="89" t="str">
        <f ca="1">_xlfn.XLOOKUP($G157,Фабрика!A:A,Фабрика!B:B,"ERR",0)</f>
        <v>Bollman Headwear Europe Ltd; 2 Merchants drive, Caelisle, Cumbria CA3 0JW, United Kingdom</v>
      </c>
      <c r="R157" s="80" t="str">
        <f ca="1">_xlfn.XLOOKUP(RIGHT(Z157,2),Размеры!D:D,Размеры!A:A,"ERR",0)</f>
        <v>59</v>
      </c>
      <c r="S157" s="80">
        <f ca="1">VALUE(_xlfn.XLOOKUP($Z157,Строчный!$R:$R,Строчный!T:T,"ERR",0))</f>
        <v>8</v>
      </c>
      <c r="T157" s="14" t="s">
        <v>265</v>
      </c>
      <c r="U157" s="101" t="str">
        <f t="shared" ca="1" si="18"/>
        <v>Шляпа BAILEY арт. 81703BH FOLEY (темно-коричневый)</v>
      </c>
      <c r="V157" s="100" t="str">
        <f t="shared" ca="1" si="19"/>
        <v>Шляпа BAILEY арт. 81703BH FOLEY (темно-коричневый) {walnut}</v>
      </c>
      <c r="W157" s="18" t="str">
        <f t="shared" ca="1" si="20"/>
        <v>коричневый</v>
      </c>
      <c r="X157" s="18" t="str">
        <f t="shared" ca="1" si="21"/>
        <v>коричневый</v>
      </c>
      <c r="Y157" s="117" t="str">
        <f ca="1">_xlfn.LET(_xlpm.FormColors,_xlfn.XLOOKUP(A157,Строчный!A:A,Строчный!Q:Q,"",0),IF(_xlpm.FormColors=0,IFERROR(MID(I157,FIND("-",I157)+1,LEN(I157)),IFERROR(MID(I157,1,FIND("/",I157)-2),I157)),_xlpm.FormColors))</f>
        <v>коричневый</v>
      </c>
      <c r="Z157" s="73" t="str">
        <f ca="1"/>
        <v>21-596-91-59</v>
      </c>
      <c r="AA157" s="75" t="str">
        <f ca="1">VLOOKUP(C157,Группа!A:B,2,FALSE)</f>
        <v>Шляпа</v>
      </c>
      <c r="AB157" s="97" t="str">
        <f ca="1">IFERROR(VLOOKUP(R157,Размеры!A:C,3,FALSE),"")</f>
        <v>59 L</v>
      </c>
      <c r="AC157" s="97" t="str">
        <f ca="1">VLOOKUP(I157,ЦветПолный!A:B,2,FALSE)</f>
        <v>91</v>
      </c>
      <c r="AD157" s="97" t="str">
        <f ca="1">IFERROR(VLOOKUP(R157,Размеры!A:D,4,FALSE),"")</f>
        <v>59</v>
      </c>
      <c r="AE157" s="97">
        <f ca="1">IF(LEFT(IFERROR(VLOOKUP(LOOKUP(2,1/SEARCH(B157,Товары!A:A),Товары!A:A),Товары!A:B,2,0),""),6)=MID(Z157,1,6),1,0)</f>
        <v>1</v>
      </c>
      <c r="AG157" s="97">
        <f ca="1">SUMIF(Группа!A:A,C157,Группа!C:C)</f>
        <v>1</v>
      </c>
      <c r="AH157" s="97">
        <f ca="1">SUMIF(Группа!B:B,AA157,Группа!C:C)</f>
        <v>1</v>
      </c>
      <c r="AI157" s="97">
        <f ca="1">SUMIF(Формы!A:A,D157,Формы!B:B)</f>
        <v>1</v>
      </c>
      <c r="AJ157" s="97">
        <f ca="1">SUMIF(Материал!A:A,K157,Материал!B:B)</f>
        <v>1</v>
      </c>
      <c r="AK157" s="97">
        <f ca="1">SUMIF(Размеры!A:A,R157,Размеры!E:E)</f>
        <v>1</v>
      </c>
      <c r="AL157" s="97">
        <f ca="1">SUMIF(Сезон!A:A,F157,Сезон!B:B)</f>
        <v>1</v>
      </c>
      <c r="AM157" s="97">
        <f ca="1">SUMIF(Состав!A:A,J157,Состав!B:B)</f>
        <v>1</v>
      </c>
      <c r="AN157" s="97">
        <f ca="1">VLOOKUP(I157,ЦветПолный!A:C,3,0)</f>
        <v>1</v>
      </c>
      <c r="AO157" s="97">
        <f ca="1">SUMIF(Цвет!A:A,Y157,Цвет!B:B)</f>
        <v>1</v>
      </c>
      <c r="AP157" s="97">
        <f ca="1">_xlfn.XLOOKUP(L157,Пол!A:A,Пол!B:B,0,0)</f>
        <v>1</v>
      </c>
      <c r="AQ157" s="97">
        <f ca="1">SUMIF(Марка!A:A,G157,Марка!B:B)</f>
        <v>1</v>
      </c>
      <c r="AR157" s="97">
        <f ca="1">SUMIF(Страна!A:A,M157,Страна!B:B)</f>
        <v>1</v>
      </c>
      <c r="AS157" s="64" t="str">
        <f ca="1">IF(VLOOKUP(V157,Товары!A:B,2,FALSE)=A157,"Есть в 1С","ERR")</f>
        <v>Есть в 1С</v>
      </c>
      <c r="AT157" s="65" t="str">
        <f ca="1">IF(VLOOKUP(A157,Товары!B:B,1,FALSE)=A157,"Есть в 1С","ERR")</f>
        <v>Есть в 1С</v>
      </c>
      <c r="AU157" s="96" t="str">
        <f ca="1">VLOOKUP(V157,Товары!A:B,2,FALSE)</f>
        <v>21-596-91</v>
      </c>
      <c r="AV157" s="94" t="str">
        <f ca="1">VLOOKUP(V157,Товары!A:B,1,FALSE)</f>
        <v>Шляпа BAILEY арт. 81703BH FOLEY (темно-коричневый) {walnut}</v>
      </c>
    </row>
    <row r="158" spans="1:48" x14ac:dyDescent="0.25">
      <c r="A158" s="110" t="str">
        <f t="shared" ca="1" si="22"/>
        <v>21-596-91</v>
      </c>
      <c r="B158" s="107" t="str">
        <f ca="1">_xlfn.LET(_xlpm.CAPS,0,_xlpm.Style,_xlfn.XLOOKUP($A158,Строчный!$A:$A,Строчный!B:B,"ERR",0),IF(_xlpm.CAPS=0,_xlpm.Style,LOWER(_xlpm.Style)))</f>
        <v>81703BH FOLEY</v>
      </c>
      <c r="C158" s="81" t="str">
        <f ca="1">PROPER(_xlfn.XLOOKUP($A158,Строчный!$A:$A,Строчный!C:C,"ERR",0))</f>
        <v>Шляпы</v>
      </c>
      <c r="D158" s="81" t="str">
        <f ca="1">_xlfn.LET(_xlpm.DATA,(_xlfn.XLOOKUP($A158,Строчный!$A:$A,Строчный!D:D,"ERR",0)),UPPER(MID(_xlpm.DATA,1,1))&amp;LOWER(MID(_xlpm.DATA,2,LEN(_xlpm.DATA)-1)))</f>
        <v>Шляпа федора</v>
      </c>
      <c r="E158" s="81" t="str">
        <f ca="1">PROPER(_xlfn.XLOOKUP($A158,Строчный!$A:$A,Строчный!E:E,"ERR",0))</f>
        <v>The Hollywood</v>
      </c>
      <c r="F158" s="81" t="str">
        <f ca="1">LOWER(_xlfn.XLOOKUP($A158,Строчный!$A:$A,Строчный!F:F,"ERR",0))</f>
        <v>летний</v>
      </c>
      <c r="G158" s="81" t="str">
        <f ca="1">UPPER(_xlfn.XLOOKUP($A158,Строчный!$A:$A,Строчный!G:G,"ERR",0))</f>
        <v>BAILEY</v>
      </c>
      <c r="H158" s="81" t="str">
        <f ca="1">LOWER(_xlfn.XLOOKUP($A158,Строчный!$A:$A,Строчный!H:H,"ERR",0))</f>
        <v>walnut</v>
      </c>
      <c r="I158" s="81" t="str">
        <f ca="1">LOWER(_xlfn.XLOOKUP($A158,Строчный!$A:$A,Строчный!I:I,"ERR",0))</f>
        <v>темно-коричневый</v>
      </c>
      <c r="J158" s="81" t="str">
        <f ca="1">SUBSTITUTE(LOWER(_xlfn.XLOOKUP($A158,Строчный!$A:$A,Строчный!J:J,"ERR",0)),"подклад","Подклад")</f>
        <v>100% бумага</v>
      </c>
      <c r="K158" s="81" t="str">
        <f ca="1">LOWER(_xlfn.XLOOKUP($A158,Строчный!$A:$A,Строчный!K:K,"ERR",0))</f>
        <v>бумажные</v>
      </c>
      <c r="L158" s="81" t="str">
        <f ca="1">PROPER(_xlfn.XLOOKUP($A158,Строчный!$A:$A,Строчный!L:L,"ERR",0))</f>
        <v>Мужской</v>
      </c>
      <c r="M158" s="113" t="str">
        <f ca="1">PROPER(_xlfn.XLOOKUP($A158,Строчный!$A:$A,Строчный!M:M,"ERR",0))</f>
        <v>Китай</v>
      </c>
      <c r="N158" s="81" t="str">
        <f ca="1">UPPER(_xlfn.XLOOKUP($A158,Строчный!$A:$A,Строчный!O:O,"ERR",0))</f>
        <v/>
      </c>
      <c r="O158" s="107" t="str">
        <f ca="1">PROPER(_xlfn.XLOOKUP($A158,Строчный!$A:$A,Строчный!P:P,"ERR",0))</f>
        <v/>
      </c>
      <c r="P158" s="90">
        <f ca="1">VALUE(_xlfn.XLOOKUP($A158,Строчный!$A:$A,Строчный!N:N,"ERR",0))</f>
        <v>2152.7999999999997</v>
      </c>
      <c r="Q158" s="89" t="str">
        <f ca="1">_xlfn.XLOOKUP($G158,Фабрика!A:A,Фабрика!B:B,"ERR",0)</f>
        <v>Bollman Headwear Europe Ltd; 2 Merchants drive, Caelisle, Cumbria CA3 0JW, United Kingdom</v>
      </c>
      <c r="R158" s="80" t="str">
        <f ca="1">_xlfn.XLOOKUP(RIGHT(Z158,2),Размеры!D:D,Размеры!A:A,"ERR",0)</f>
        <v>57</v>
      </c>
      <c r="S158" s="80">
        <f ca="1">VALUE(_xlfn.XLOOKUP($Z158,Строчный!$R:$R,Строчный!T:T,"ERR",0))</f>
        <v>6</v>
      </c>
      <c r="T158" s="14" t="s">
        <v>265</v>
      </c>
      <c r="U158" s="101" t="str">
        <f t="shared" ca="1" si="18"/>
        <v>Шляпа BAILEY арт. 81703BH FOLEY (темно-коричневый)</v>
      </c>
      <c r="V158" s="100" t="str">
        <f t="shared" ca="1" si="19"/>
        <v>Шляпа BAILEY арт. 81703BH FOLEY (темно-коричневый) {walnut}</v>
      </c>
      <c r="W158" s="18" t="str">
        <f t="shared" ca="1" si="20"/>
        <v>коричневый</v>
      </c>
      <c r="X158" s="18" t="str">
        <f t="shared" ca="1" si="21"/>
        <v>коричневый</v>
      </c>
      <c r="Y158" s="117" t="str">
        <f ca="1">_xlfn.LET(_xlpm.FormColors,_xlfn.XLOOKUP(A158,Строчный!A:A,Строчный!Q:Q,"",0),IF(_xlpm.FormColors=0,IFERROR(MID(I158,FIND("-",I158)+1,LEN(I158)),IFERROR(MID(I158,1,FIND("/",I158)-2),I158)),_xlpm.FormColors))</f>
        <v>коричневый</v>
      </c>
      <c r="Z158" s="73" t="str">
        <f ca="1"/>
        <v>21-596-91-57</v>
      </c>
      <c r="AA158" s="75" t="str">
        <f ca="1">VLOOKUP(C158,Группа!A:B,2,FALSE)</f>
        <v>Шляпа</v>
      </c>
      <c r="AB158" s="97" t="str">
        <f ca="1">IFERROR(VLOOKUP(R158,Размеры!A:C,3,FALSE),"")</f>
        <v>57 M</v>
      </c>
      <c r="AC158" s="97" t="str">
        <f ca="1">VLOOKUP(I158,ЦветПолный!A:B,2,FALSE)</f>
        <v>91</v>
      </c>
      <c r="AD158" s="97" t="str">
        <f ca="1">IFERROR(VLOOKUP(R158,Размеры!A:D,4,FALSE),"")</f>
        <v>57</v>
      </c>
      <c r="AE158" s="97">
        <f ca="1">IF(LEFT(IFERROR(VLOOKUP(LOOKUP(2,1/SEARCH(B158,Товары!A:A),Товары!A:A),Товары!A:B,2,0),""),6)=MID(Z158,1,6),1,0)</f>
        <v>1</v>
      </c>
      <c r="AG158" s="97">
        <f ca="1">SUMIF(Группа!A:A,C158,Группа!C:C)</f>
        <v>1</v>
      </c>
      <c r="AH158" s="97">
        <f ca="1">SUMIF(Группа!B:B,AA158,Группа!C:C)</f>
        <v>1</v>
      </c>
      <c r="AI158" s="97">
        <f ca="1">SUMIF(Формы!A:A,D158,Формы!B:B)</f>
        <v>1</v>
      </c>
      <c r="AJ158" s="97">
        <f ca="1">SUMIF(Материал!A:A,K158,Материал!B:B)</f>
        <v>1</v>
      </c>
      <c r="AK158" s="97">
        <f ca="1">SUMIF(Размеры!A:A,R158,Размеры!E:E)</f>
        <v>1</v>
      </c>
      <c r="AL158" s="97">
        <f ca="1">SUMIF(Сезон!A:A,F158,Сезон!B:B)</f>
        <v>1</v>
      </c>
      <c r="AM158" s="97">
        <f ca="1">SUMIF(Состав!A:A,J158,Состав!B:B)</f>
        <v>1</v>
      </c>
      <c r="AN158" s="97">
        <f ca="1">VLOOKUP(I158,ЦветПолный!A:C,3,0)</f>
        <v>1</v>
      </c>
      <c r="AO158" s="97">
        <f ca="1">SUMIF(Цвет!A:A,Y158,Цвет!B:B)</f>
        <v>1</v>
      </c>
      <c r="AP158" s="97">
        <f ca="1">_xlfn.XLOOKUP(L158,Пол!A:A,Пол!B:B,0,0)</f>
        <v>1</v>
      </c>
      <c r="AQ158" s="97">
        <f ca="1">SUMIF(Марка!A:A,G158,Марка!B:B)</f>
        <v>1</v>
      </c>
      <c r="AR158" s="97">
        <f ca="1">SUMIF(Страна!A:A,M158,Страна!B:B)</f>
        <v>1</v>
      </c>
      <c r="AS158" s="64" t="str">
        <f ca="1">IF(VLOOKUP(V158,Товары!A:B,2,FALSE)=A158,"Есть в 1С","ERR")</f>
        <v>Есть в 1С</v>
      </c>
      <c r="AT158" s="65" t="str">
        <f ca="1">IF(VLOOKUP(A158,Товары!B:B,1,FALSE)=A158,"Есть в 1С","ERR")</f>
        <v>Есть в 1С</v>
      </c>
      <c r="AU158" s="96" t="str">
        <f ca="1">VLOOKUP(V158,Товары!A:B,2,FALSE)</f>
        <v>21-596-91</v>
      </c>
      <c r="AV158" s="94" t="str">
        <f ca="1">VLOOKUP(V158,Товары!A:B,1,FALSE)</f>
        <v>Шляпа BAILEY арт. 81703BH FOLEY (темно-коричневый) {walnut}</v>
      </c>
    </row>
    <row r="159" spans="1:48" x14ac:dyDescent="0.25">
      <c r="A159" s="110" t="str">
        <f t="shared" ca="1" si="22"/>
        <v>21-596-91</v>
      </c>
      <c r="B159" s="107" t="str">
        <f ca="1">_xlfn.LET(_xlpm.CAPS,0,_xlpm.Style,_xlfn.XLOOKUP($A159,Строчный!$A:$A,Строчный!B:B,"ERR",0),IF(_xlpm.CAPS=0,_xlpm.Style,LOWER(_xlpm.Style)))</f>
        <v>81703BH FOLEY</v>
      </c>
      <c r="C159" s="81" t="str">
        <f ca="1">PROPER(_xlfn.XLOOKUP($A159,Строчный!$A:$A,Строчный!C:C,"ERR",0))</f>
        <v>Шляпы</v>
      </c>
      <c r="D159" s="81" t="str">
        <f ca="1">_xlfn.LET(_xlpm.DATA,(_xlfn.XLOOKUP($A159,Строчный!$A:$A,Строчный!D:D,"ERR",0)),UPPER(MID(_xlpm.DATA,1,1))&amp;LOWER(MID(_xlpm.DATA,2,LEN(_xlpm.DATA)-1)))</f>
        <v>Шляпа федора</v>
      </c>
      <c r="E159" s="81" t="str">
        <f ca="1">PROPER(_xlfn.XLOOKUP($A159,Строчный!$A:$A,Строчный!E:E,"ERR",0))</f>
        <v>The Hollywood</v>
      </c>
      <c r="F159" s="81" t="str">
        <f ca="1">LOWER(_xlfn.XLOOKUP($A159,Строчный!$A:$A,Строчный!F:F,"ERR",0))</f>
        <v>летний</v>
      </c>
      <c r="G159" s="81" t="str">
        <f ca="1">UPPER(_xlfn.XLOOKUP($A159,Строчный!$A:$A,Строчный!G:G,"ERR",0))</f>
        <v>BAILEY</v>
      </c>
      <c r="H159" s="81" t="str">
        <f ca="1">LOWER(_xlfn.XLOOKUP($A159,Строчный!$A:$A,Строчный!H:H,"ERR",0))</f>
        <v>walnut</v>
      </c>
      <c r="I159" s="81" t="str">
        <f ca="1">LOWER(_xlfn.XLOOKUP($A159,Строчный!$A:$A,Строчный!I:I,"ERR",0))</f>
        <v>темно-коричневый</v>
      </c>
      <c r="J159" s="81" t="str">
        <f ca="1">SUBSTITUTE(LOWER(_xlfn.XLOOKUP($A159,Строчный!$A:$A,Строчный!J:J,"ERR",0)),"подклад","Подклад")</f>
        <v>100% бумага</v>
      </c>
      <c r="K159" s="81" t="str">
        <f ca="1">LOWER(_xlfn.XLOOKUP($A159,Строчный!$A:$A,Строчный!K:K,"ERR",0))</f>
        <v>бумажные</v>
      </c>
      <c r="L159" s="81" t="str">
        <f ca="1">PROPER(_xlfn.XLOOKUP($A159,Строчный!$A:$A,Строчный!L:L,"ERR",0))</f>
        <v>Мужской</v>
      </c>
      <c r="M159" s="113" t="str">
        <f ca="1">PROPER(_xlfn.XLOOKUP($A159,Строчный!$A:$A,Строчный!M:M,"ERR",0))</f>
        <v>Китай</v>
      </c>
      <c r="N159" s="81" t="str">
        <f ca="1">UPPER(_xlfn.XLOOKUP($A159,Строчный!$A:$A,Строчный!O:O,"ERR",0))</f>
        <v/>
      </c>
      <c r="O159" s="107" t="str">
        <f ca="1">PROPER(_xlfn.XLOOKUP($A159,Строчный!$A:$A,Строчный!P:P,"ERR",0))</f>
        <v/>
      </c>
      <c r="P159" s="90">
        <f ca="1">VALUE(_xlfn.XLOOKUP($A159,Строчный!$A:$A,Строчный!N:N,"ERR",0))</f>
        <v>2152.7999999999997</v>
      </c>
      <c r="Q159" s="89" t="str">
        <f ca="1">_xlfn.XLOOKUP($G159,Фабрика!A:A,Фабрика!B:B,"ERR",0)</f>
        <v>Bollman Headwear Europe Ltd; 2 Merchants drive, Caelisle, Cumbria CA3 0JW, United Kingdom</v>
      </c>
      <c r="R159" s="80" t="str">
        <f ca="1">_xlfn.XLOOKUP(RIGHT(Z159,2),Размеры!D:D,Размеры!A:A,"ERR",0)</f>
        <v>55</v>
      </c>
      <c r="S159" s="80">
        <f ca="1">VALUE(_xlfn.XLOOKUP($Z159,Строчный!$R:$R,Строчный!T:T,"ERR",0))</f>
        <v>2</v>
      </c>
      <c r="T159" s="14" t="s">
        <v>265</v>
      </c>
      <c r="U159" s="101" t="str">
        <f t="shared" ca="1" si="18"/>
        <v>Шляпа BAILEY арт. 81703BH FOLEY (темно-коричневый)</v>
      </c>
      <c r="V159" s="100" t="str">
        <f t="shared" ca="1" si="19"/>
        <v>Шляпа BAILEY арт. 81703BH FOLEY (темно-коричневый) {walnut}</v>
      </c>
      <c r="W159" s="18" t="str">
        <f t="shared" ca="1" si="20"/>
        <v>коричневый</v>
      </c>
      <c r="X159" s="18" t="str">
        <f t="shared" ca="1" si="21"/>
        <v>коричневый</v>
      </c>
      <c r="Y159" s="117" t="str">
        <f ca="1">_xlfn.LET(_xlpm.FormColors,_xlfn.XLOOKUP(A159,Строчный!A:A,Строчный!Q:Q,"",0),IF(_xlpm.FormColors=0,IFERROR(MID(I159,FIND("-",I159)+1,LEN(I159)),IFERROR(MID(I159,1,FIND("/",I159)-2),I159)),_xlpm.FormColors))</f>
        <v>коричневый</v>
      </c>
      <c r="Z159" s="73" t="str">
        <f ca="1"/>
        <v>21-596-91-55</v>
      </c>
      <c r="AA159" s="75" t="str">
        <f ca="1">VLOOKUP(C159,Группа!A:B,2,FALSE)</f>
        <v>Шляпа</v>
      </c>
      <c r="AB159" s="97" t="str">
        <f ca="1">IFERROR(VLOOKUP(R159,Размеры!A:C,3,FALSE),"")</f>
        <v>55 S</v>
      </c>
      <c r="AC159" s="97" t="str">
        <f ca="1">VLOOKUP(I159,ЦветПолный!A:B,2,FALSE)</f>
        <v>91</v>
      </c>
      <c r="AD159" s="97" t="str">
        <f ca="1">IFERROR(VLOOKUP(R159,Размеры!A:D,4,FALSE),"")</f>
        <v>55</v>
      </c>
      <c r="AE159" s="97">
        <f ca="1">IF(LEFT(IFERROR(VLOOKUP(LOOKUP(2,1/SEARCH(B159,Товары!A:A),Товары!A:A),Товары!A:B,2,0),""),6)=MID(Z159,1,6),1,0)</f>
        <v>1</v>
      </c>
      <c r="AG159" s="97">
        <f ca="1">SUMIF(Группа!A:A,C159,Группа!C:C)</f>
        <v>1</v>
      </c>
      <c r="AH159" s="97">
        <f ca="1">SUMIF(Группа!B:B,AA159,Группа!C:C)</f>
        <v>1</v>
      </c>
      <c r="AI159" s="97">
        <f ca="1">SUMIF(Формы!A:A,D159,Формы!B:B)</f>
        <v>1</v>
      </c>
      <c r="AJ159" s="97">
        <f ca="1">SUMIF(Материал!A:A,K159,Материал!B:B)</f>
        <v>1</v>
      </c>
      <c r="AK159" s="97">
        <f ca="1">SUMIF(Размеры!A:A,R159,Размеры!E:E)</f>
        <v>1</v>
      </c>
      <c r="AL159" s="97">
        <f ca="1">SUMIF(Сезон!A:A,F159,Сезон!B:B)</f>
        <v>1</v>
      </c>
      <c r="AM159" s="97">
        <f ca="1">SUMIF(Состав!A:A,J159,Состав!B:B)</f>
        <v>1</v>
      </c>
      <c r="AN159" s="97">
        <f ca="1">VLOOKUP(I159,ЦветПолный!A:C,3,0)</f>
        <v>1</v>
      </c>
      <c r="AO159" s="97">
        <f ca="1">SUMIF(Цвет!A:A,Y159,Цвет!B:B)</f>
        <v>1</v>
      </c>
      <c r="AP159" s="97">
        <f ca="1">_xlfn.XLOOKUP(L159,Пол!A:A,Пол!B:B,0,0)</f>
        <v>1</v>
      </c>
      <c r="AQ159" s="97">
        <f ca="1">SUMIF(Марка!A:A,G159,Марка!B:B)</f>
        <v>1</v>
      </c>
      <c r="AR159" s="97">
        <f ca="1">SUMIF(Страна!A:A,M159,Страна!B:B)</f>
        <v>1</v>
      </c>
      <c r="AS159" s="64" t="str">
        <f ca="1">IF(VLOOKUP(V159,Товары!A:B,2,FALSE)=A159,"Есть в 1С","ERR")</f>
        <v>Есть в 1С</v>
      </c>
      <c r="AT159" s="65" t="str">
        <f ca="1">IF(VLOOKUP(A159,Товары!B:B,1,FALSE)=A159,"Есть в 1С","ERR")</f>
        <v>Есть в 1С</v>
      </c>
      <c r="AU159" s="96" t="str">
        <f ca="1">VLOOKUP(V159,Товары!A:B,2,FALSE)</f>
        <v>21-596-91</v>
      </c>
      <c r="AV159" s="94" t="str">
        <f ca="1">VLOOKUP(V159,Товары!A:B,1,FALSE)</f>
        <v>Шляпа BAILEY арт. 81703BH FOLEY (темно-коричневый) {walnut}</v>
      </c>
    </row>
    <row r="160" spans="1:48" x14ac:dyDescent="0.25">
      <c r="A160" s="110" t="str">
        <f t="shared" ca="1" si="22"/>
        <v>21-596-02</v>
      </c>
      <c r="B160" s="107" t="str">
        <f ca="1">_xlfn.LET(_xlpm.CAPS,0,_xlpm.Style,_xlfn.XLOOKUP($A160,Строчный!$A:$A,Строчный!B:B,"ERR",0),IF(_xlpm.CAPS=0,_xlpm.Style,LOWER(_xlpm.Style)))</f>
        <v>81703BH FOLEY</v>
      </c>
      <c r="C160" s="81" t="str">
        <f ca="1">PROPER(_xlfn.XLOOKUP($A160,Строчный!$A:$A,Строчный!C:C,"ERR",0))</f>
        <v>Шляпы</v>
      </c>
      <c r="D160" s="81" t="str">
        <f ca="1">_xlfn.LET(_xlpm.DATA,(_xlfn.XLOOKUP($A160,Строчный!$A:$A,Строчный!D:D,"ERR",0)),UPPER(MID(_xlpm.DATA,1,1))&amp;LOWER(MID(_xlpm.DATA,2,LEN(_xlpm.DATA)-1)))</f>
        <v>Шляпа федора</v>
      </c>
      <c r="E160" s="81" t="str">
        <f ca="1">PROPER(_xlfn.XLOOKUP($A160,Строчный!$A:$A,Строчный!E:E,"ERR",0))</f>
        <v>The Hollywood</v>
      </c>
      <c r="F160" s="81" t="str">
        <f ca="1">LOWER(_xlfn.XLOOKUP($A160,Строчный!$A:$A,Строчный!F:F,"ERR",0))</f>
        <v>летний</v>
      </c>
      <c r="G160" s="81" t="str">
        <f ca="1">UPPER(_xlfn.XLOOKUP($A160,Строчный!$A:$A,Строчный!G:G,"ERR",0))</f>
        <v>BAILEY</v>
      </c>
      <c r="H160" s="81" t="str">
        <f ca="1">LOWER(_xlfn.XLOOKUP($A160,Строчный!$A:$A,Строчный!H:H,"ERR",0))</f>
        <v>natural</v>
      </c>
      <c r="I160" s="81" t="str">
        <f ca="1">LOWER(_xlfn.XLOOKUP($A160,Строчный!$A:$A,Строчный!I:I,"ERR",0))</f>
        <v>бежевый</v>
      </c>
      <c r="J160" s="81" t="str">
        <f ca="1">SUBSTITUTE(LOWER(_xlfn.XLOOKUP($A160,Строчный!$A:$A,Строчный!J:J,"ERR",0)),"подклад","Подклад")</f>
        <v>100% бумага</v>
      </c>
      <c r="K160" s="81" t="str">
        <f ca="1">LOWER(_xlfn.XLOOKUP($A160,Строчный!$A:$A,Строчный!K:K,"ERR",0))</f>
        <v>бумажные</v>
      </c>
      <c r="L160" s="81" t="str">
        <f ca="1">PROPER(_xlfn.XLOOKUP($A160,Строчный!$A:$A,Строчный!L:L,"ERR",0))</f>
        <v>Унисекс</v>
      </c>
      <c r="M160" s="113" t="str">
        <f ca="1">PROPER(_xlfn.XLOOKUP($A160,Строчный!$A:$A,Строчный!M:M,"ERR",0))</f>
        <v>Китай</v>
      </c>
      <c r="N160" s="81" t="str">
        <f ca="1">UPPER(_xlfn.XLOOKUP($A160,Строчный!$A:$A,Строчный!O:O,"ERR",0))</f>
        <v/>
      </c>
      <c r="O160" s="107" t="str">
        <f ca="1">PROPER(_xlfn.XLOOKUP($A160,Строчный!$A:$A,Строчный!P:P,"ERR",0))</f>
        <v/>
      </c>
      <c r="P160" s="90">
        <f ca="1">VALUE(_xlfn.XLOOKUP($A160,Строчный!$A:$A,Строчный!N:N,"ERR",0))</f>
        <v>2152.7999999999997</v>
      </c>
      <c r="Q160" s="89" t="str">
        <f ca="1">_xlfn.XLOOKUP($G160,Фабрика!A:A,Фабрика!B:B,"ERR",0)</f>
        <v>Bollman Headwear Europe Ltd; 2 Merchants drive, Caelisle, Cumbria CA3 0JW, United Kingdom</v>
      </c>
      <c r="R160" s="80" t="str">
        <f ca="1">_xlfn.XLOOKUP(RIGHT(Z160,2),Размеры!D:D,Размеры!A:A,"ERR",0)</f>
        <v>61</v>
      </c>
      <c r="S160" s="80">
        <f ca="1">VALUE(_xlfn.XLOOKUP($Z160,Строчный!$R:$R,Строчный!T:T,"ERR",0))</f>
        <v>3</v>
      </c>
      <c r="T160" s="14" t="s">
        <v>265</v>
      </c>
      <c r="U160" s="101" t="str">
        <f t="shared" ca="1" si="18"/>
        <v>Шляпа BAILEY арт. 81703BH FOLEY (бежевый)</v>
      </c>
      <c r="V160" s="100" t="str">
        <f t="shared" ca="1" si="19"/>
        <v>Шляпа BAILEY арт. 81703BH FOLEY (бежевый) {natural}</v>
      </c>
      <c r="W160" s="18" t="str">
        <f t="shared" ca="1" si="20"/>
        <v>бежевый</v>
      </c>
      <c r="X160" s="18" t="str">
        <f t="shared" ca="1" si="21"/>
        <v>бежевый</v>
      </c>
      <c r="Y160" s="117" t="str">
        <f ca="1">_xlfn.LET(_xlpm.FormColors,_xlfn.XLOOKUP(A160,Строчный!A:A,Строчный!Q:Q,"",0),IF(_xlpm.FormColors=0,IFERROR(MID(I160,FIND("-",I160)+1,LEN(I160)),IFERROR(MID(I160,1,FIND("/",I160)-2),I160)),_xlpm.FormColors))</f>
        <v>бежевый</v>
      </c>
      <c r="Z160" s="73" t="str">
        <f ca="1"/>
        <v>21-596-02-61</v>
      </c>
      <c r="AA160" s="75" t="str">
        <f ca="1">VLOOKUP(C160,Группа!A:B,2,FALSE)</f>
        <v>Шляпа</v>
      </c>
      <c r="AB160" s="97" t="str">
        <f ca="1">IFERROR(VLOOKUP(R160,Размеры!A:C,3,FALSE),"")</f>
        <v>61 XL</v>
      </c>
      <c r="AC160" s="97" t="str">
        <f ca="1">VLOOKUP(I160,ЦветПолный!A:B,2,FALSE)</f>
        <v>02</v>
      </c>
      <c r="AD160" s="97" t="str">
        <f ca="1">IFERROR(VLOOKUP(R160,Размеры!A:D,4,FALSE),"")</f>
        <v>61</v>
      </c>
      <c r="AE160" s="97">
        <f ca="1">IF(LEFT(IFERROR(VLOOKUP(LOOKUP(2,1/SEARCH(B160,Товары!A:A),Товары!A:A),Товары!A:B,2,0),""),6)=MID(Z160,1,6),1,0)</f>
        <v>1</v>
      </c>
      <c r="AG160" s="97">
        <f ca="1">SUMIF(Группа!A:A,C160,Группа!C:C)</f>
        <v>1</v>
      </c>
      <c r="AH160" s="97">
        <f ca="1">SUMIF(Группа!B:B,AA160,Группа!C:C)</f>
        <v>1</v>
      </c>
      <c r="AI160" s="97">
        <f ca="1">SUMIF(Формы!A:A,D160,Формы!B:B)</f>
        <v>1</v>
      </c>
      <c r="AJ160" s="97">
        <f ca="1">SUMIF(Материал!A:A,K160,Материал!B:B)</f>
        <v>1</v>
      </c>
      <c r="AK160" s="97">
        <f ca="1">SUMIF(Размеры!A:A,R160,Размеры!E:E)</f>
        <v>1</v>
      </c>
      <c r="AL160" s="97">
        <f ca="1">SUMIF(Сезон!A:A,F160,Сезон!B:B)</f>
        <v>1</v>
      </c>
      <c r="AM160" s="97">
        <f ca="1">SUMIF(Состав!A:A,J160,Состав!B:B)</f>
        <v>1</v>
      </c>
      <c r="AN160" s="97">
        <f ca="1">VLOOKUP(I160,ЦветПолный!A:C,3,0)</f>
        <v>1</v>
      </c>
      <c r="AO160" s="97">
        <f ca="1">SUMIF(Цвет!A:A,Y160,Цвет!B:B)</f>
        <v>1</v>
      </c>
      <c r="AP160" s="97">
        <f ca="1">_xlfn.XLOOKUP(L160,Пол!A:A,Пол!B:B,0,0)</f>
        <v>1</v>
      </c>
      <c r="AQ160" s="97">
        <f ca="1">SUMIF(Марка!A:A,G160,Марка!B:B)</f>
        <v>1</v>
      </c>
      <c r="AR160" s="97">
        <f ca="1">SUMIF(Страна!A:A,M160,Страна!B:B)</f>
        <v>1</v>
      </c>
      <c r="AS160" s="64" t="str">
        <f ca="1">IF(VLOOKUP(V160,Товары!A:B,2,FALSE)=A160,"Есть в 1С","ERR")</f>
        <v>Есть в 1С</v>
      </c>
      <c r="AT160" s="65" t="str">
        <f ca="1">IF(VLOOKUP(A160,Товары!B:B,1,FALSE)=A160,"Есть в 1С","ERR")</f>
        <v>Есть в 1С</v>
      </c>
      <c r="AU160" s="96" t="str">
        <f ca="1">VLOOKUP(V160,Товары!A:B,2,FALSE)</f>
        <v>21-596-02</v>
      </c>
      <c r="AV160" s="94" t="str">
        <f ca="1">VLOOKUP(V160,Товары!A:B,1,FALSE)</f>
        <v>Шляпа BAILEY арт. 81703BH FOLEY (бежевый) {natural}</v>
      </c>
    </row>
    <row r="161" spans="1:48" x14ac:dyDescent="0.25">
      <c r="A161" s="110" t="str">
        <f t="shared" ca="1" si="22"/>
        <v>21-596-02</v>
      </c>
      <c r="B161" s="107" t="str">
        <f ca="1">_xlfn.LET(_xlpm.CAPS,0,_xlpm.Style,_xlfn.XLOOKUP($A161,Строчный!$A:$A,Строчный!B:B,"ERR",0),IF(_xlpm.CAPS=0,_xlpm.Style,LOWER(_xlpm.Style)))</f>
        <v>81703BH FOLEY</v>
      </c>
      <c r="C161" s="81" t="str">
        <f ca="1">PROPER(_xlfn.XLOOKUP($A161,Строчный!$A:$A,Строчный!C:C,"ERR",0))</f>
        <v>Шляпы</v>
      </c>
      <c r="D161" s="81" t="str">
        <f ca="1">_xlfn.LET(_xlpm.DATA,(_xlfn.XLOOKUP($A161,Строчный!$A:$A,Строчный!D:D,"ERR",0)),UPPER(MID(_xlpm.DATA,1,1))&amp;LOWER(MID(_xlpm.DATA,2,LEN(_xlpm.DATA)-1)))</f>
        <v>Шляпа федора</v>
      </c>
      <c r="E161" s="81" t="str">
        <f ca="1">PROPER(_xlfn.XLOOKUP($A161,Строчный!$A:$A,Строчный!E:E,"ERR",0))</f>
        <v>The Hollywood</v>
      </c>
      <c r="F161" s="81" t="str">
        <f ca="1">LOWER(_xlfn.XLOOKUP($A161,Строчный!$A:$A,Строчный!F:F,"ERR",0))</f>
        <v>летний</v>
      </c>
      <c r="G161" s="81" t="str">
        <f ca="1">UPPER(_xlfn.XLOOKUP($A161,Строчный!$A:$A,Строчный!G:G,"ERR",0))</f>
        <v>BAILEY</v>
      </c>
      <c r="H161" s="81" t="str">
        <f ca="1">LOWER(_xlfn.XLOOKUP($A161,Строчный!$A:$A,Строчный!H:H,"ERR",0))</f>
        <v>natural</v>
      </c>
      <c r="I161" s="81" t="str">
        <f ca="1">LOWER(_xlfn.XLOOKUP($A161,Строчный!$A:$A,Строчный!I:I,"ERR",0))</f>
        <v>бежевый</v>
      </c>
      <c r="J161" s="81" t="str">
        <f ca="1">SUBSTITUTE(LOWER(_xlfn.XLOOKUP($A161,Строчный!$A:$A,Строчный!J:J,"ERR",0)),"подклад","Подклад")</f>
        <v>100% бумага</v>
      </c>
      <c r="K161" s="81" t="str">
        <f ca="1">LOWER(_xlfn.XLOOKUP($A161,Строчный!$A:$A,Строчный!K:K,"ERR",0))</f>
        <v>бумажные</v>
      </c>
      <c r="L161" s="81" t="str">
        <f ca="1">PROPER(_xlfn.XLOOKUP($A161,Строчный!$A:$A,Строчный!L:L,"ERR",0))</f>
        <v>Унисекс</v>
      </c>
      <c r="M161" s="113" t="str">
        <f ca="1">PROPER(_xlfn.XLOOKUP($A161,Строчный!$A:$A,Строчный!M:M,"ERR",0))</f>
        <v>Китай</v>
      </c>
      <c r="N161" s="81" t="str">
        <f ca="1">UPPER(_xlfn.XLOOKUP($A161,Строчный!$A:$A,Строчный!O:O,"ERR",0))</f>
        <v/>
      </c>
      <c r="O161" s="107" t="str">
        <f ca="1">PROPER(_xlfn.XLOOKUP($A161,Строчный!$A:$A,Строчный!P:P,"ERR",0))</f>
        <v/>
      </c>
      <c r="P161" s="90">
        <f ca="1">VALUE(_xlfn.XLOOKUP($A161,Строчный!$A:$A,Строчный!N:N,"ERR",0))</f>
        <v>2152.7999999999997</v>
      </c>
      <c r="Q161" s="89" t="str">
        <f ca="1">_xlfn.XLOOKUP($G161,Фабрика!A:A,Фабрика!B:B,"ERR",0)</f>
        <v>Bollman Headwear Europe Ltd; 2 Merchants drive, Caelisle, Cumbria CA3 0JW, United Kingdom</v>
      </c>
      <c r="R161" s="80" t="str">
        <f ca="1">_xlfn.XLOOKUP(RIGHT(Z161,2),Размеры!D:D,Размеры!A:A,"ERR",0)</f>
        <v>59</v>
      </c>
      <c r="S161" s="80">
        <f ca="1">VALUE(_xlfn.XLOOKUP($Z161,Строчный!$R:$R,Строчный!T:T,"ERR",0))</f>
        <v>9</v>
      </c>
      <c r="T161" s="14" t="s">
        <v>265</v>
      </c>
      <c r="U161" s="101" t="str">
        <f t="shared" ca="1" si="18"/>
        <v>Шляпа BAILEY арт. 81703BH FOLEY (бежевый)</v>
      </c>
      <c r="V161" s="100" t="str">
        <f t="shared" ca="1" si="19"/>
        <v>Шляпа BAILEY арт. 81703BH FOLEY (бежевый) {natural}</v>
      </c>
      <c r="W161" s="18" t="str">
        <f t="shared" ca="1" si="20"/>
        <v>бежевый</v>
      </c>
      <c r="X161" s="18" t="str">
        <f t="shared" ca="1" si="21"/>
        <v>бежевый</v>
      </c>
      <c r="Y161" s="117" t="str">
        <f ca="1">_xlfn.LET(_xlpm.FormColors,_xlfn.XLOOKUP(A161,Строчный!A:A,Строчный!Q:Q,"",0),IF(_xlpm.FormColors=0,IFERROR(MID(I161,FIND("-",I161)+1,LEN(I161)),IFERROR(MID(I161,1,FIND("/",I161)-2),I161)),_xlpm.FormColors))</f>
        <v>бежевый</v>
      </c>
      <c r="Z161" s="73" t="str">
        <f ca="1"/>
        <v>21-596-02-59</v>
      </c>
      <c r="AA161" s="75" t="str">
        <f ca="1">VLOOKUP(C161,Группа!A:B,2,FALSE)</f>
        <v>Шляпа</v>
      </c>
      <c r="AB161" s="97" t="str">
        <f ca="1">IFERROR(VLOOKUP(R161,Размеры!A:C,3,FALSE),"")</f>
        <v>59 L</v>
      </c>
      <c r="AC161" s="97" t="str">
        <f ca="1">VLOOKUP(I161,ЦветПолный!A:B,2,FALSE)</f>
        <v>02</v>
      </c>
      <c r="AD161" s="97" t="str">
        <f ca="1">IFERROR(VLOOKUP(R161,Размеры!A:D,4,FALSE),"")</f>
        <v>59</v>
      </c>
      <c r="AE161" s="97">
        <f ca="1">IF(LEFT(IFERROR(VLOOKUP(LOOKUP(2,1/SEARCH(B161,Товары!A:A),Товары!A:A),Товары!A:B,2,0),""),6)=MID(Z161,1,6),1,0)</f>
        <v>1</v>
      </c>
      <c r="AG161" s="97">
        <f ca="1">SUMIF(Группа!A:A,C161,Группа!C:C)</f>
        <v>1</v>
      </c>
      <c r="AH161" s="97">
        <f ca="1">SUMIF(Группа!B:B,AA161,Группа!C:C)</f>
        <v>1</v>
      </c>
      <c r="AI161" s="97">
        <f ca="1">SUMIF(Формы!A:A,D161,Формы!B:B)</f>
        <v>1</v>
      </c>
      <c r="AJ161" s="97">
        <f ca="1">SUMIF(Материал!A:A,K161,Материал!B:B)</f>
        <v>1</v>
      </c>
      <c r="AK161" s="97">
        <f ca="1">SUMIF(Размеры!A:A,R161,Размеры!E:E)</f>
        <v>1</v>
      </c>
      <c r="AL161" s="97">
        <f ca="1">SUMIF(Сезон!A:A,F161,Сезон!B:B)</f>
        <v>1</v>
      </c>
      <c r="AM161" s="97">
        <f ca="1">SUMIF(Состав!A:A,J161,Состав!B:B)</f>
        <v>1</v>
      </c>
      <c r="AN161" s="97">
        <f ca="1">VLOOKUP(I161,ЦветПолный!A:C,3,0)</f>
        <v>1</v>
      </c>
      <c r="AO161" s="97">
        <f ca="1">SUMIF(Цвет!A:A,Y161,Цвет!B:B)</f>
        <v>1</v>
      </c>
      <c r="AP161" s="97">
        <f ca="1">_xlfn.XLOOKUP(L161,Пол!A:A,Пол!B:B,0,0)</f>
        <v>1</v>
      </c>
      <c r="AQ161" s="97">
        <f ca="1">SUMIF(Марка!A:A,G161,Марка!B:B)</f>
        <v>1</v>
      </c>
      <c r="AR161" s="97">
        <f ca="1">SUMIF(Страна!A:A,M161,Страна!B:B)</f>
        <v>1</v>
      </c>
      <c r="AS161" s="64" t="str">
        <f ca="1">IF(VLOOKUP(V161,Товары!A:B,2,FALSE)=A161,"Есть в 1С","ERR")</f>
        <v>Есть в 1С</v>
      </c>
      <c r="AT161" s="65" t="str">
        <f ca="1">IF(VLOOKUP(A161,Товары!B:B,1,FALSE)=A161,"Есть в 1С","ERR")</f>
        <v>Есть в 1С</v>
      </c>
      <c r="AU161" s="96" t="str">
        <f ca="1">VLOOKUP(V161,Товары!A:B,2,FALSE)</f>
        <v>21-596-02</v>
      </c>
      <c r="AV161" s="94" t="str">
        <f ca="1">VLOOKUP(V161,Товары!A:B,1,FALSE)</f>
        <v>Шляпа BAILEY арт. 81703BH FOLEY (бежевый) {natural}</v>
      </c>
    </row>
    <row r="162" spans="1:48" x14ac:dyDescent="0.25">
      <c r="A162" s="110" t="str">
        <f t="shared" ca="1" si="22"/>
        <v>21-596-02</v>
      </c>
      <c r="B162" s="107" t="str">
        <f ca="1">_xlfn.LET(_xlpm.CAPS,0,_xlpm.Style,_xlfn.XLOOKUP($A162,Строчный!$A:$A,Строчный!B:B,"ERR",0),IF(_xlpm.CAPS=0,_xlpm.Style,LOWER(_xlpm.Style)))</f>
        <v>81703BH FOLEY</v>
      </c>
      <c r="C162" s="81" t="str">
        <f ca="1">PROPER(_xlfn.XLOOKUP($A162,Строчный!$A:$A,Строчный!C:C,"ERR",0))</f>
        <v>Шляпы</v>
      </c>
      <c r="D162" s="81" t="str">
        <f ca="1">_xlfn.LET(_xlpm.DATA,(_xlfn.XLOOKUP($A162,Строчный!$A:$A,Строчный!D:D,"ERR",0)),UPPER(MID(_xlpm.DATA,1,1))&amp;LOWER(MID(_xlpm.DATA,2,LEN(_xlpm.DATA)-1)))</f>
        <v>Шляпа федора</v>
      </c>
      <c r="E162" s="81" t="str">
        <f ca="1">PROPER(_xlfn.XLOOKUP($A162,Строчный!$A:$A,Строчный!E:E,"ERR",0))</f>
        <v>The Hollywood</v>
      </c>
      <c r="F162" s="81" t="str">
        <f ca="1">LOWER(_xlfn.XLOOKUP($A162,Строчный!$A:$A,Строчный!F:F,"ERR",0))</f>
        <v>летний</v>
      </c>
      <c r="G162" s="81" t="str">
        <f ca="1">UPPER(_xlfn.XLOOKUP($A162,Строчный!$A:$A,Строчный!G:G,"ERR",0))</f>
        <v>BAILEY</v>
      </c>
      <c r="H162" s="81" t="str">
        <f ca="1">LOWER(_xlfn.XLOOKUP($A162,Строчный!$A:$A,Строчный!H:H,"ERR",0))</f>
        <v>natural</v>
      </c>
      <c r="I162" s="81" t="str">
        <f ca="1">LOWER(_xlfn.XLOOKUP($A162,Строчный!$A:$A,Строчный!I:I,"ERR",0))</f>
        <v>бежевый</v>
      </c>
      <c r="J162" s="81" t="str">
        <f ca="1">SUBSTITUTE(LOWER(_xlfn.XLOOKUP($A162,Строчный!$A:$A,Строчный!J:J,"ERR",0)),"подклад","Подклад")</f>
        <v>100% бумага</v>
      </c>
      <c r="K162" s="81" t="str">
        <f ca="1">LOWER(_xlfn.XLOOKUP($A162,Строчный!$A:$A,Строчный!K:K,"ERR",0))</f>
        <v>бумажные</v>
      </c>
      <c r="L162" s="81" t="str">
        <f ca="1">PROPER(_xlfn.XLOOKUP($A162,Строчный!$A:$A,Строчный!L:L,"ERR",0))</f>
        <v>Унисекс</v>
      </c>
      <c r="M162" s="113" t="str">
        <f ca="1">PROPER(_xlfn.XLOOKUP($A162,Строчный!$A:$A,Строчный!M:M,"ERR",0))</f>
        <v>Китай</v>
      </c>
      <c r="N162" s="81" t="str">
        <f ca="1">UPPER(_xlfn.XLOOKUP($A162,Строчный!$A:$A,Строчный!O:O,"ERR",0))</f>
        <v/>
      </c>
      <c r="O162" s="107" t="str">
        <f ca="1">PROPER(_xlfn.XLOOKUP($A162,Строчный!$A:$A,Строчный!P:P,"ERR",0))</f>
        <v/>
      </c>
      <c r="P162" s="90">
        <f ca="1">VALUE(_xlfn.XLOOKUP($A162,Строчный!$A:$A,Строчный!N:N,"ERR",0))</f>
        <v>2152.7999999999997</v>
      </c>
      <c r="Q162" s="89" t="str">
        <f ca="1">_xlfn.XLOOKUP($G162,Фабрика!A:A,Фабрика!B:B,"ERR",0)</f>
        <v>Bollman Headwear Europe Ltd; 2 Merchants drive, Caelisle, Cumbria CA3 0JW, United Kingdom</v>
      </c>
      <c r="R162" s="80" t="str">
        <f ca="1">_xlfn.XLOOKUP(RIGHT(Z162,2),Размеры!D:D,Размеры!A:A,"ERR",0)</f>
        <v>57</v>
      </c>
      <c r="S162" s="80">
        <f ca="1">VALUE(_xlfn.XLOOKUP($Z162,Строчный!$R:$R,Строчный!T:T,"ERR",0))</f>
        <v>7</v>
      </c>
      <c r="T162" s="14" t="s">
        <v>265</v>
      </c>
      <c r="U162" s="101" t="str">
        <f t="shared" ca="1" si="18"/>
        <v>Шляпа BAILEY арт. 81703BH FOLEY (бежевый)</v>
      </c>
      <c r="V162" s="100" t="str">
        <f t="shared" ca="1" si="19"/>
        <v>Шляпа BAILEY арт. 81703BH FOLEY (бежевый) {natural}</v>
      </c>
      <c r="W162" s="18" t="str">
        <f t="shared" ca="1" si="20"/>
        <v>бежевый</v>
      </c>
      <c r="X162" s="18" t="str">
        <f t="shared" ca="1" si="21"/>
        <v>бежевый</v>
      </c>
      <c r="Y162" s="117" t="str">
        <f ca="1">_xlfn.LET(_xlpm.FormColors,_xlfn.XLOOKUP(A162,Строчный!A:A,Строчный!Q:Q,"",0),IF(_xlpm.FormColors=0,IFERROR(MID(I162,FIND("-",I162)+1,LEN(I162)),IFERROR(MID(I162,1,FIND("/",I162)-2),I162)),_xlpm.FormColors))</f>
        <v>бежевый</v>
      </c>
      <c r="Z162" s="73" t="str">
        <f ca="1"/>
        <v>21-596-02-57</v>
      </c>
      <c r="AA162" s="75" t="str">
        <f ca="1">VLOOKUP(C162,Группа!A:B,2,FALSE)</f>
        <v>Шляпа</v>
      </c>
      <c r="AB162" s="97" t="str">
        <f ca="1">IFERROR(VLOOKUP(R162,Размеры!A:C,3,FALSE),"")</f>
        <v>57 M</v>
      </c>
      <c r="AC162" s="97" t="str">
        <f ca="1">VLOOKUP(I162,ЦветПолный!A:B,2,FALSE)</f>
        <v>02</v>
      </c>
      <c r="AD162" s="97" t="str">
        <f ca="1">IFERROR(VLOOKUP(R162,Размеры!A:D,4,FALSE),"")</f>
        <v>57</v>
      </c>
      <c r="AE162" s="97">
        <f ca="1">IF(LEFT(IFERROR(VLOOKUP(LOOKUP(2,1/SEARCH(B162,Товары!A:A),Товары!A:A),Товары!A:B,2,0),""),6)=MID(Z162,1,6),1,0)</f>
        <v>1</v>
      </c>
      <c r="AG162" s="97">
        <f ca="1">SUMIF(Группа!A:A,C162,Группа!C:C)</f>
        <v>1</v>
      </c>
      <c r="AH162" s="97">
        <f ca="1">SUMIF(Группа!B:B,AA162,Группа!C:C)</f>
        <v>1</v>
      </c>
      <c r="AI162" s="97">
        <f ca="1">SUMIF(Формы!A:A,D162,Формы!B:B)</f>
        <v>1</v>
      </c>
      <c r="AJ162" s="97">
        <f ca="1">SUMIF(Материал!A:A,K162,Материал!B:B)</f>
        <v>1</v>
      </c>
      <c r="AK162" s="97">
        <f ca="1">SUMIF(Размеры!A:A,R162,Размеры!E:E)</f>
        <v>1</v>
      </c>
      <c r="AL162" s="97">
        <f ca="1">SUMIF(Сезон!A:A,F162,Сезон!B:B)</f>
        <v>1</v>
      </c>
      <c r="AM162" s="97">
        <f ca="1">SUMIF(Состав!A:A,J162,Состав!B:B)</f>
        <v>1</v>
      </c>
      <c r="AN162" s="97">
        <f ca="1">VLOOKUP(I162,ЦветПолный!A:C,3,0)</f>
        <v>1</v>
      </c>
      <c r="AO162" s="97">
        <f ca="1">SUMIF(Цвет!A:A,Y162,Цвет!B:B)</f>
        <v>1</v>
      </c>
      <c r="AP162" s="97">
        <f ca="1">_xlfn.XLOOKUP(L162,Пол!A:A,Пол!B:B,0,0)</f>
        <v>1</v>
      </c>
      <c r="AQ162" s="97">
        <f ca="1">SUMIF(Марка!A:A,G162,Марка!B:B)</f>
        <v>1</v>
      </c>
      <c r="AR162" s="97">
        <f ca="1">SUMIF(Страна!A:A,M162,Страна!B:B)</f>
        <v>1</v>
      </c>
      <c r="AS162" s="64" t="str">
        <f ca="1">IF(VLOOKUP(V162,Товары!A:B,2,FALSE)=A162,"Есть в 1С","ERR")</f>
        <v>Есть в 1С</v>
      </c>
      <c r="AT162" s="65" t="str">
        <f ca="1">IF(VLOOKUP(A162,Товары!B:B,1,FALSE)=A162,"Есть в 1С","ERR")</f>
        <v>Есть в 1С</v>
      </c>
      <c r="AU162" s="96" t="str">
        <f ca="1">VLOOKUP(V162,Товары!A:B,2,FALSE)</f>
        <v>21-596-02</v>
      </c>
      <c r="AV162" s="94" t="str">
        <f ca="1">VLOOKUP(V162,Товары!A:B,1,FALSE)</f>
        <v>Шляпа BAILEY арт. 81703BH FOLEY (бежевый) {natural}</v>
      </c>
    </row>
    <row r="163" spans="1:48" x14ac:dyDescent="0.25">
      <c r="A163" s="110" t="str">
        <f t="shared" ca="1" si="22"/>
        <v>21-596-02</v>
      </c>
      <c r="B163" s="107" t="str">
        <f ca="1">_xlfn.LET(_xlpm.CAPS,0,_xlpm.Style,_xlfn.XLOOKUP($A163,Строчный!$A:$A,Строчный!B:B,"ERR",0),IF(_xlpm.CAPS=0,_xlpm.Style,LOWER(_xlpm.Style)))</f>
        <v>81703BH FOLEY</v>
      </c>
      <c r="C163" s="81" t="str">
        <f ca="1">PROPER(_xlfn.XLOOKUP($A163,Строчный!$A:$A,Строчный!C:C,"ERR",0))</f>
        <v>Шляпы</v>
      </c>
      <c r="D163" s="81" t="str">
        <f ca="1">_xlfn.LET(_xlpm.DATA,(_xlfn.XLOOKUP($A163,Строчный!$A:$A,Строчный!D:D,"ERR",0)),UPPER(MID(_xlpm.DATA,1,1))&amp;LOWER(MID(_xlpm.DATA,2,LEN(_xlpm.DATA)-1)))</f>
        <v>Шляпа федора</v>
      </c>
      <c r="E163" s="81" t="str">
        <f ca="1">PROPER(_xlfn.XLOOKUP($A163,Строчный!$A:$A,Строчный!E:E,"ERR",0))</f>
        <v>The Hollywood</v>
      </c>
      <c r="F163" s="81" t="str">
        <f ca="1">LOWER(_xlfn.XLOOKUP($A163,Строчный!$A:$A,Строчный!F:F,"ERR",0))</f>
        <v>летний</v>
      </c>
      <c r="G163" s="81" t="str">
        <f ca="1">UPPER(_xlfn.XLOOKUP($A163,Строчный!$A:$A,Строчный!G:G,"ERR",0))</f>
        <v>BAILEY</v>
      </c>
      <c r="H163" s="81" t="str">
        <f ca="1">LOWER(_xlfn.XLOOKUP($A163,Строчный!$A:$A,Строчный!H:H,"ERR",0))</f>
        <v>natural</v>
      </c>
      <c r="I163" s="81" t="str">
        <f ca="1">LOWER(_xlfn.XLOOKUP($A163,Строчный!$A:$A,Строчный!I:I,"ERR",0))</f>
        <v>бежевый</v>
      </c>
      <c r="J163" s="81" t="str">
        <f ca="1">SUBSTITUTE(LOWER(_xlfn.XLOOKUP($A163,Строчный!$A:$A,Строчный!J:J,"ERR",0)),"подклад","Подклад")</f>
        <v>100% бумага</v>
      </c>
      <c r="K163" s="81" t="str">
        <f ca="1">LOWER(_xlfn.XLOOKUP($A163,Строчный!$A:$A,Строчный!K:K,"ERR",0))</f>
        <v>бумажные</v>
      </c>
      <c r="L163" s="81" t="str">
        <f ca="1">PROPER(_xlfn.XLOOKUP($A163,Строчный!$A:$A,Строчный!L:L,"ERR",0))</f>
        <v>Унисекс</v>
      </c>
      <c r="M163" s="113" t="str">
        <f ca="1">PROPER(_xlfn.XLOOKUP($A163,Строчный!$A:$A,Строчный!M:M,"ERR",0))</f>
        <v>Китай</v>
      </c>
      <c r="N163" s="81" t="str">
        <f ca="1">UPPER(_xlfn.XLOOKUP($A163,Строчный!$A:$A,Строчный!O:O,"ERR",0))</f>
        <v/>
      </c>
      <c r="O163" s="107" t="str">
        <f ca="1">PROPER(_xlfn.XLOOKUP($A163,Строчный!$A:$A,Строчный!P:P,"ERR",0))</f>
        <v/>
      </c>
      <c r="P163" s="90">
        <f ca="1">VALUE(_xlfn.XLOOKUP($A163,Строчный!$A:$A,Строчный!N:N,"ERR",0))</f>
        <v>2152.7999999999997</v>
      </c>
      <c r="Q163" s="89" t="str">
        <f ca="1">_xlfn.XLOOKUP($G163,Фабрика!A:A,Фабрика!B:B,"ERR",0)</f>
        <v>Bollman Headwear Europe Ltd; 2 Merchants drive, Caelisle, Cumbria CA3 0JW, United Kingdom</v>
      </c>
      <c r="R163" s="80" t="str">
        <f ca="1">_xlfn.XLOOKUP(RIGHT(Z163,2),Размеры!D:D,Размеры!A:A,"ERR",0)</f>
        <v>55</v>
      </c>
      <c r="S163" s="80">
        <f ca="1">VALUE(_xlfn.XLOOKUP($Z163,Строчный!$R:$R,Строчный!T:T,"ERR",0))</f>
        <v>3</v>
      </c>
      <c r="T163" s="14" t="s">
        <v>265</v>
      </c>
      <c r="U163" s="101" t="str">
        <f t="shared" ca="1" si="18"/>
        <v>Шляпа BAILEY арт. 81703BH FOLEY (бежевый)</v>
      </c>
      <c r="V163" s="100" t="str">
        <f t="shared" ca="1" si="19"/>
        <v>Шляпа BAILEY арт. 81703BH FOLEY (бежевый) {natural}</v>
      </c>
      <c r="W163" s="18" t="str">
        <f t="shared" ca="1" si="20"/>
        <v>бежевый</v>
      </c>
      <c r="X163" s="18" t="str">
        <f t="shared" ca="1" si="21"/>
        <v>бежевый</v>
      </c>
      <c r="Y163" s="117" t="str">
        <f ca="1">_xlfn.LET(_xlpm.FormColors,_xlfn.XLOOKUP(A163,Строчный!A:A,Строчный!Q:Q,"",0),IF(_xlpm.FormColors=0,IFERROR(MID(I163,FIND("-",I163)+1,LEN(I163)),IFERROR(MID(I163,1,FIND("/",I163)-2),I163)),_xlpm.FormColors))</f>
        <v>бежевый</v>
      </c>
      <c r="Z163" s="73" t="str">
        <f ca="1"/>
        <v>21-596-02-55</v>
      </c>
      <c r="AA163" s="75" t="str">
        <f ca="1">VLOOKUP(C163,Группа!A:B,2,FALSE)</f>
        <v>Шляпа</v>
      </c>
      <c r="AB163" s="97" t="str">
        <f ca="1">IFERROR(VLOOKUP(R163,Размеры!A:C,3,FALSE),"")</f>
        <v>55 S</v>
      </c>
      <c r="AC163" s="97" t="str">
        <f ca="1">VLOOKUP(I163,ЦветПолный!A:B,2,FALSE)</f>
        <v>02</v>
      </c>
      <c r="AD163" s="97" t="str">
        <f ca="1">IFERROR(VLOOKUP(R163,Размеры!A:D,4,FALSE),"")</f>
        <v>55</v>
      </c>
      <c r="AE163" s="97">
        <f ca="1">IF(LEFT(IFERROR(VLOOKUP(LOOKUP(2,1/SEARCH(B163,Товары!A:A),Товары!A:A),Товары!A:B,2,0),""),6)=MID(Z163,1,6),1,0)</f>
        <v>1</v>
      </c>
      <c r="AG163" s="97">
        <f ca="1">SUMIF(Группа!A:A,C163,Группа!C:C)</f>
        <v>1</v>
      </c>
      <c r="AH163" s="97">
        <f ca="1">SUMIF(Группа!B:B,AA163,Группа!C:C)</f>
        <v>1</v>
      </c>
      <c r="AI163" s="97">
        <f ca="1">SUMIF(Формы!A:A,D163,Формы!B:B)</f>
        <v>1</v>
      </c>
      <c r="AJ163" s="97">
        <f ca="1">SUMIF(Материал!A:A,K163,Материал!B:B)</f>
        <v>1</v>
      </c>
      <c r="AK163" s="97">
        <f ca="1">SUMIF(Размеры!A:A,R163,Размеры!E:E)</f>
        <v>1</v>
      </c>
      <c r="AL163" s="97">
        <f ca="1">SUMIF(Сезон!A:A,F163,Сезон!B:B)</f>
        <v>1</v>
      </c>
      <c r="AM163" s="97">
        <f ca="1">SUMIF(Состав!A:A,J163,Состав!B:B)</f>
        <v>1</v>
      </c>
      <c r="AN163" s="97">
        <f ca="1">VLOOKUP(I163,ЦветПолный!A:C,3,0)</f>
        <v>1</v>
      </c>
      <c r="AO163" s="97">
        <f ca="1">SUMIF(Цвет!A:A,Y163,Цвет!B:B)</f>
        <v>1</v>
      </c>
      <c r="AP163" s="97">
        <f ca="1">_xlfn.XLOOKUP(L163,Пол!A:A,Пол!B:B,0,0)</f>
        <v>1</v>
      </c>
      <c r="AQ163" s="97">
        <f ca="1">SUMIF(Марка!A:A,G163,Марка!B:B)</f>
        <v>1</v>
      </c>
      <c r="AR163" s="97">
        <f ca="1">SUMIF(Страна!A:A,M163,Страна!B:B)</f>
        <v>1</v>
      </c>
      <c r="AS163" s="64" t="str">
        <f ca="1">IF(VLOOKUP(V163,Товары!A:B,2,FALSE)=A163,"Есть в 1С","ERR")</f>
        <v>Есть в 1С</v>
      </c>
      <c r="AT163" s="65" t="str">
        <f ca="1">IF(VLOOKUP(A163,Товары!B:B,1,FALSE)=A163,"Есть в 1С","ERR")</f>
        <v>Есть в 1С</v>
      </c>
      <c r="AU163" s="96" t="str">
        <f ca="1">VLOOKUP(V163,Товары!A:B,2,FALSE)</f>
        <v>21-596-02</v>
      </c>
      <c r="AV163" s="94" t="str">
        <f ca="1">VLOOKUP(V163,Товары!A:B,1,FALSE)</f>
        <v>Шляпа BAILEY арт. 81703BH FOLEY (бежевый) {natural}</v>
      </c>
    </row>
    <row r="164" spans="1:48" x14ac:dyDescent="0.25">
      <c r="A164" s="110" t="str">
        <f t="shared" ca="1" si="22"/>
        <v>21-587-90</v>
      </c>
      <c r="B164" s="107" t="str">
        <f ca="1">_xlfn.LET(_xlpm.CAPS,0,_xlpm.Style,_xlfn.XLOOKUP($A164,Строчный!$A:$A,Строчный!B:B,"ERR",0),IF(_xlpm.CAPS=0,_xlpm.Style,LOWER(_xlpm.Style)))</f>
        <v>22791BH STANSFIELD</v>
      </c>
      <c r="C164" s="81" t="str">
        <f ca="1">PROPER(_xlfn.XLOOKUP($A164,Строчный!$A:$A,Строчный!C:C,"ERR",0))</f>
        <v>Шляпы</v>
      </c>
      <c r="D164" s="81" t="str">
        <f ca="1">_xlfn.LET(_xlpm.DATA,(_xlfn.XLOOKUP($A164,Строчный!$A:$A,Строчный!D:D,"ERR",0)),UPPER(MID(_xlpm.DATA,1,1))&amp;LOWER(MID(_xlpm.DATA,2,LEN(_xlpm.DATA)-1)))</f>
        <v>Шляпа федора</v>
      </c>
      <c r="E164" s="81" t="str">
        <f ca="1">PROPER(_xlfn.XLOOKUP($A164,Строчный!$A:$A,Строчный!E:E,"ERR",0))</f>
        <v>The Hollywood</v>
      </c>
      <c r="F164" s="81" t="str">
        <f ca="1">LOWER(_xlfn.XLOOKUP($A164,Строчный!$A:$A,Строчный!F:F,"ERR",0))</f>
        <v>летний</v>
      </c>
      <c r="G164" s="81" t="str">
        <f ca="1">UPPER(_xlfn.XLOOKUP($A164,Строчный!$A:$A,Строчный!G:G,"ERR",0))</f>
        <v>BAILEY</v>
      </c>
      <c r="H164" s="81" t="str">
        <f ca="1">LOWER(_xlfn.XLOOKUP($A164,Строчный!$A:$A,Строчный!H:H,"ERR",0))</f>
        <v>deep tan</v>
      </c>
      <c r="I164" s="81" t="str">
        <f ca="1">LOWER(_xlfn.XLOOKUP($A164,Строчный!$A:$A,Строчный!I:I,"ERR",0))</f>
        <v>коньячный</v>
      </c>
      <c r="J164" s="81" t="str">
        <f ca="1">SUBSTITUTE(LOWER(_xlfn.XLOOKUP($A164,Строчный!$A:$A,Строчный!J:J,"ERR",0)),"подклад","Подклад")</f>
        <v>100% солома</v>
      </c>
      <c r="K164" s="81" t="str">
        <f ca="1">LOWER(_xlfn.XLOOKUP($A164,Строчный!$A:$A,Строчный!K:K,"ERR",0))</f>
        <v>соломенные</v>
      </c>
      <c r="L164" s="81" t="str">
        <f ca="1">PROPER(_xlfn.XLOOKUP($A164,Строчный!$A:$A,Строчный!L:L,"ERR",0))</f>
        <v>Унисекс</v>
      </c>
      <c r="M164" s="113" t="str">
        <f ca="1">PROPER(_xlfn.XLOOKUP($A164,Строчный!$A:$A,Строчный!M:M,"ERR",0))</f>
        <v>Соединенные Штаты</v>
      </c>
      <c r="N164" s="81" t="str">
        <f ca="1">UPPER(_xlfn.XLOOKUP($A164,Строчный!$A:$A,Строчный!O:O,"ERR",0))</f>
        <v/>
      </c>
      <c r="O164" s="107" t="str">
        <f ca="1">PROPER(_xlfn.XLOOKUP($A164,Строчный!$A:$A,Строчный!P:P,"ERR",0))</f>
        <v/>
      </c>
      <c r="P164" s="90">
        <f ca="1">VALUE(_xlfn.XLOOKUP($A164,Строчный!$A:$A,Строчный!N:N,"ERR",0))</f>
        <v>6095.7000000000007</v>
      </c>
      <c r="Q164" s="89" t="str">
        <f ca="1">_xlfn.XLOOKUP($G164,Фабрика!A:A,Фабрика!B:B,"ERR",0)</f>
        <v>Bollman Headwear Europe Ltd; 2 Merchants drive, Caelisle, Cumbria CA3 0JW, United Kingdom</v>
      </c>
      <c r="R164" s="80" t="str">
        <f ca="1">_xlfn.XLOOKUP(RIGHT(Z164,2),Размеры!D:D,Размеры!A:A,"ERR",0)</f>
        <v>61</v>
      </c>
      <c r="S164" s="80">
        <f ca="1">VALUE(_xlfn.XLOOKUP($Z164,Строчный!$R:$R,Строчный!T:T,"ERR",0))</f>
        <v>1</v>
      </c>
      <c r="T164" s="14" t="s">
        <v>265</v>
      </c>
      <c r="U164" s="101" t="str">
        <f t="shared" ca="1" si="18"/>
        <v>Шляпа BAILEY арт. 22791BH STANSFIELD (коньячный)</v>
      </c>
      <c r="V164" s="100" t="str">
        <f t="shared" ca="1" si="19"/>
        <v>Шляпа BAILEY арт. 22791BH STANSFIELD (коньячный) {deep tan}</v>
      </c>
      <c r="W164" s="18" t="str">
        <f t="shared" ca="1" si="20"/>
        <v>коньячный</v>
      </c>
      <c r="X164" s="18" t="str">
        <f t="shared" ca="1" si="21"/>
        <v>коньячный</v>
      </c>
      <c r="Y164" s="117" t="str">
        <f ca="1">_xlfn.LET(_xlpm.FormColors,_xlfn.XLOOKUP(A164,Строчный!A:A,Строчный!Q:Q,"",0),IF(_xlpm.FormColors=0,IFERROR(MID(I164,FIND("-",I164)+1,LEN(I164)),IFERROR(MID(I164,1,FIND("/",I164)-2),I164)),_xlpm.FormColors))</f>
        <v>коньячный</v>
      </c>
      <c r="Z164" s="73" t="str">
        <f ca="1"/>
        <v>21-587-90-61</v>
      </c>
      <c r="AA164" s="75" t="str">
        <f ca="1">VLOOKUP(C164,Группа!A:B,2,FALSE)</f>
        <v>Шляпа</v>
      </c>
      <c r="AB164" s="97" t="str">
        <f ca="1">IFERROR(VLOOKUP(R164,Размеры!A:C,3,FALSE),"")</f>
        <v>61 XL</v>
      </c>
      <c r="AC164" s="97" t="str">
        <f ca="1">VLOOKUP(I164,ЦветПолный!A:B,2,FALSE)</f>
        <v>90</v>
      </c>
      <c r="AD164" s="97" t="str">
        <f ca="1">IFERROR(VLOOKUP(R164,Размеры!A:D,4,FALSE),"")</f>
        <v>61</v>
      </c>
      <c r="AE164" s="97">
        <f ca="1">IF(LEFT(IFERROR(VLOOKUP(LOOKUP(2,1/SEARCH(B164,Товары!A:A),Товары!A:A),Товары!A:B,2,0),""),6)=MID(Z164,1,6),1,0)</f>
        <v>1</v>
      </c>
      <c r="AG164" s="97">
        <f ca="1">SUMIF(Группа!A:A,C164,Группа!C:C)</f>
        <v>1</v>
      </c>
      <c r="AH164" s="97">
        <f ca="1">SUMIF(Группа!B:B,AA164,Группа!C:C)</f>
        <v>1</v>
      </c>
      <c r="AI164" s="97">
        <f ca="1">SUMIF(Формы!A:A,D164,Формы!B:B)</f>
        <v>1</v>
      </c>
      <c r="AJ164" s="97">
        <f ca="1">SUMIF(Материал!A:A,K164,Материал!B:B)</f>
        <v>1</v>
      </c>
      <c r="AK164" s="97">
        <f ca="1">SUMIF(Размеры!A:A,R164,Размеры!E:E)</f>
        <v>1</v>
      </c>
      <c r="AL164" s="97">
        <f ca="1">SUMIF(Сезон!A:A,F164,Сезон!B:B)</f>
        <v>1</v>
      </c>
      <c r="AM164" s="97">
        <f ca="1">SUMIF(Состав!A:A,J164,Состав!B:B)</f>
        <v>1</v>
      </c>
      <c r="AN164" s="97">
        <f ca="1">VLOOKUP(I164,ЦветПолный!A:C,3,0)</f>
        <v>1</v>
      </c>
      <c r="AO164" s="97">
        <f ca="1">SUMIF(Цвет!A:A,Y164,Цвет!B:B)</f>
        <v>0</v>
      </c>
      <c r="AP164" s="97">
        <f ca="1">_xlfn.XLOOKUP(L164,Пол!A:A,Пол!B:B,0,0)</f>
        <v>1</v>
      </c>
      <c r="AQ164" s="97">
        <f ca="1">SUMIF(Марка!A:A,G164,Марка!B:B)</f>
        <v>1</v>
      </c>
      <c r="AR164" s="97">
        <f ca="1">SUMIF(Страна!A:A,M164,Страна!B:B)</f>
        <v>1</v>
      </c>
      <c r="AS164" s="64" t="e">
        <f ca="1">IF(VLOOKUP(V164,Товары!A:B,2,FALSE)=A164,"Есть в 1С","ERR")</f>
        <v>#N/A</v>
      </c>
      <c r="AT164" s="65" t="e">
        <f ca="1">IF(VLOOKUP(A164,Товары!B:B,1,FALSE)=A164,"Есть в 1С","ERR")</f>
        <v>#N/A</v>
      </c>
      <c r="AU164" s="96" t="e">
        <f ca="1">VLOOKUP(V164,Товары!A:B,2,FALSE)</f>
        <v>#N/A</v>
      </c>
      <c r="AV164" s="94" t="e">
        <f ca="1">VLOOKUP(V164,Товары!A:B,1,FALSE)</f>
        <v>#N/A</v>
      </c>
    </row>
    <row r="165" spans="1:48" x14ac:dyDescent="0.25">
      <c r="A165" s="110" t="str">
        <f t="shared" ca="1" si="22"/>
        <v>21-587-90</v>
      </c>
      <c r="B165" s="107" t="str">
        <f ca="1">_xlfn.LET(_xlpm.CAPS,0,_xlpm.Style,_xlfn.XLOOKUP($A165,Строчный!$A:$A,Строчный!B:B,"ERR",0),IF(_xlpm.CAPS=0,_xlpm.Style,LOWER(_xlpm.Style)))</f>
        <v>22791BH STANSFIELD</v>
      </c>
      <c r="C165" s="81" t="str">
        <f ca="1">PROPER(_xlfn.XLOOKUP($A165,Строчный!$A:$A,Строчный!C:C,"ERR",0))</f>
        <v>Шляпы</v>
      </c>
      <c r="D165" s="81" t="str">
        <f ca="1">_xlfn.LET(_xlpm.DATA,(_xlfn.XLOOKUP($A165,Строчный!$A:$A,Строчный!D:D,"ERR",0)),UPPER(MID(_xlpm.DATA,1,1))&amp;LOWER(MID(_xlpm.DATA,2,LEN(_xlpm.DATA)-1)))</f>
        <v>Шляпа федора</v>
      </c>
      <c r="E165" s="81" t="str">
        <f ca="1">PROPER(_xlfn.XLOOKUP($A165,Строчный!$A:$A,Строчный!E:E,"ERR",0))</f>
        <v>The Hollywood</v>
      </c>
      <c r="F165" s="81" t="str">
        <f ca="1">LOWER(_xlfn.XLOOKUP($A165,Строчный!$A:$A,Строчный!F:F,"ERR",0))</f>
        <v>летний</v>
      </c>
      <c r="G165" s="81" t="str">
        <f ca="1">UPPER(_xlfn.XLOOKUP($A165,Строчный!$A:$A,Строчный!G:G,"ERR",0))</f>
        <v>BAILEY</v>
      </c>
      <c r="H165" s="81" t="str">
        <f ca="1">LOWER(_xlfn.XLOOKUP($A165,Строчный!$A:$A,Строчный!H:H,"ERR",0))</f>
        <v>deep tan</v>
      </c>
      <c r="I165" s="81" t="str">
        <f ca="1">LOWER(_xlfn.XLOOKUP($A165,Строчный!$A:$A,Строчный!I:I,"ERR",0))</f>
        <v>коньячный</v>
      </c>
      <c r="J165" s="81" t="str">
        <f ca="1">SUBSTITUTE(LOWER(_xlfn.XLOOKUP($A165,Строчный!$A:$A,Строчный!J:J,"ERR",0)),"подклад","Подклад")</f>
        <v>100% солома</v>
      </c>
      <c r="K165" s="81" t="str">
        <f ca="1">LOWER(_xlfn.XLOOKUP($A165,Строчный!$A:$A,Строчный!K:K,"ERR",0))</f>
        <v>соломенные</v>
      </c>
      <c r="L165" s="81" t="str">
        <f ca="1">PROPER(_xlfn.XLOOKUP($A165,Строчный!$A:$A,Строчный!L:L,"ERR",0))</f>
        <v>Унисекс</v>
      </c>
      <c r="M165" s="113" t="str">
        <f ca="1">PROPER(_xlfn.XLOOKUP($A165,Строчный!$A:$A,Строчный!M:M,"ERR",0))</f>
        <v>Соединенные Штаты</v>
      </c>
      <c r="N165" s="81" t="str">
        <f ca="1">UPPER(_xlfn.XLOOKUP($A165,Строчный!$A:$A,Строчный!O:O,"ERR",0))</f>
        <v/>
      </c>
      <c r="O165" s="107" t="str">
        <f ca="1">PROPER(_xlfn.XLOOKUP($A165,Строчный!$A:$A,Строчный!P:P,"ERR",0))</f>
        <v/>
      </c>
      <c r="P165" s="90">
        <f ca="1">VALUE(_xlfn.XLOOKUP($A165,Строчный!$A:$A,Строчный!N:N,"ERR",0))</f>
        <v>6095.7000000000007</v>
      </c>
      <c r="Q165" s="89" t="str">
        <f ca="1">_xlfn.XLOOKUP($G165,Фабрика!A:A,Фабрика!B:B,"ERR",0)</f>
        <v>Bollman Headwear Europe Ltd; 2 Merchants drive, Caelisle, Cumbria CA3 0JW, United Kingdom</v>
      </c>
      <c r="R165" s="80" t="str">
        <f ca="1">_xlfn.XLOOKUP(RIGHT(Z165,2),Размеры!D:D,Размеры!A:A,"ERR",0)</f>
        <v>59</v>
      </c>
      <c r="S165" s="80">
        <f ca="1">VALUE(_xlfn.XLOOKUP($Z165,Строчный!$R:$R,Строчный!T:T,"ERR",0))</f>
        <v>2</v>
      </c>
      <c r="T165" s="14" t="s">
        <v>265</v>
      </c>
      <c r="U165" s="101" t="str">
        <f t="shared" ca="1" si="18"/>
        <v>Шляпа BAILEY арт. 22791BH STANSFIELD (коньячный)</v>
      </c>
      <c r="V165" s="100" t="str">
        <f t="shared" ca="1" si="19"/>
        <v>Шляпа BAILEY арт. 22791BH STANSFIELD (коньячный) {deep tan}</v>
      </c>
      <c r="W165" s="18" t="str">
        <f t="shared" ca="1" si="20"/>
        <v>коньячный</v>
      </c>
      <c r="X165" s="18" t="str">
        <f t="shared" ca="1" si="21"/>
        <v>коньячный</v>
      </c>
      <c r="Y165" s="117" t="str">
        <f ca="1">_xlfn.LET(_xlpm.FormColors,_xlfn.XLOOKUP(A165,Строчный!A:A,Строчный!Q:Q,"",0),IF(_xlpm.FormColors=0,IFERROR(MID(I165,FIND("-",I165)+1,LEN(I165)),IFERROR(MID(I165,1,FIND("/",I165)-2),I165)),_xlpm.FormColors))</f>
        <v>коньячный</v>
      </c>
      <c r="Z165" s="73" t="str">
        <f ca="1"/>
        <v>21-587-90-59</v>
      </c>
      <c r="AA165" s="75" t="str">
        <f ca="1">VLOOKUP(C165,Группа!A:B,2,FALSE)</f>
        <v>Шляпа</v>
      </c>
      <c r="AB165" s="97" t="str">
        <f ca="1">IFERROR(VLOOKUP(R165,Размеры!A:C,3,FALSE),"")</f>
        <v>59 L</v>
      </c>
      <c r="AC165" s="97" t="str">
        <f ca="1">VLOOKUP(I165,ЦветПолный!A:B,2,FALSE)</f>
        <v>90</v>
      </c>
      <c r="AD165" s="97" t="str">
        <f ca="1">IFERROR(VLOOKUP(R165,Размеры!A:D,4,FALSE),"")</f>
        <v>59</v>
      </c>
      <c r="AE165" s="97">
        <f ca="1">IF(LEFT(IFERROR(VLOOKUP(LOOKUP(2,1/SEARCH(B165,Товары!A:A),Товары!A:A),Товары!A:B,2,0),""),6)=MID(Z165,1,6),1,0)</f>
        <v>1</v>
      </c>
      <c r="AG165" s="97">
        <f ca="1">SUMIF(Группа!A:A,C165,Группа!C:C)</f>
        <v>1</v>
      </c>
      <c r="AH165" s="97">
        <f ca="1">SUMIF(Группа!B:B,AA165,Группа!C:C)</f>
        <v>1</v>
      </c>
      <c r="AI165" s="97">
        <f ca="1">SUMIF(Формы!A:A,D165,Формы!B:B)</f>
        <v>1</v>
      </c>
      <c r="AJ165" s="97">
        <f ca="1">SUMIF(Материал!A:A,K165,Материал!B:B)</f>
        <v>1</v>
      </c>
      <c r="AK165" s="97">
        <f ca="1">SUMIF(Размеры!A:A,R165,Размеры!E:E)</f>
        <v>1</v>
      </c>
      <c r="AL165" s="97">
        <f ca="1">SUMIF(Сезон!A:A,F165,Сезон!B:B)</f>
        <v>1</v>
      </c>
      <c r="AM165" s="97">
        <f ca="1">SUMIF(Состав!A:A,J165,Состав!B:B)</f>
        <v>1</v>
      </c>
      <c r="AN165" s="97">
        <f ca="1">VLOOKUP(I165,ЦветПолный!A:C,3,0)</f>
        <v>1</v>
      </c>
      <c r="AO165" s="97">
        <f ca="1">SUMIF(Цвет!A:A,Y165,Цвет!B:B)</f>
        <v>0</v>
      </c>
      <c r="AP165" s="97">
        <f ca="1">_xlfn.XLOOKUP(L165,Пол!A:A,Пол!B:B,0,0)</f>
        <v>1</v>
      </c>
      <c r="AQ165" s="97">
        <f ca="1">SUMIF(Марка!A:A,G165,Марка!B:B)</f>
        <v>1</v>
      </c>
      <c r="AR165" s="97">
        <f ca="1">SUMIF(Страна!A:A,M165,Страна!B:B)</f>
        <v>1</v>
      </c>
      <c r="AS165" s="64" t="e">
        <f ca="1">IF(VLOOKUP(V165,Товары!A:B,2,FALSE)=A165,"Есть в 1С","ERR")</f>
        <v>#N/A</v>
      </c>
      <c r="AT165" s="65" t="e">
        <f ca="1">IF(VLOOKUP(A165,Товары!B:B,1,FALSE)=A165,"Есть в 1С","ERR")</f>
        <v>#N/A</v>
      </c>
      <c r="AU165" s="96" t="e">
        <f ca="1">VLOOKUP(V165,Товары!A:B,2,FALSE)</f>
        <v>#N/A</v>
      </c>
      <c r="AV165" s="94" t="e">
        <f ca="1">VLOOKUP(V165,Товары!A:B,1,FALSE)</f>
        <v>#N/A</v>
      </c>
    </row>
    <row r="166" spans="1:48" x14ac:dyDescent="0.25">
      <c r="A166" s="110" t="str">
        <f t="shared" ca="1" si="22"/>
        <v>21-587-90</v>
      </c>
      <c r="B166" s="107" t="str">
        <f ca="1">_xlfn.LET(_xlpm.CAPS,0,_xlpm.Style,_xlfn.XLOOKUP($A166,Строчный!$A:$A,Строчный!B:B,"ERR",0),IF(_xlpm.CAPS=0,_xlpm.Style,LOWER(_xlpm.Style)))</f>
        <v>22791BH STANSFIELD</v>
      </c>
      <c r="C166" s="81" t="str">
        <f ca="1">PROPER(_xlfn.XLOOKUP($A166,Строчный!$A:$A,Строчный!C:C,"ERR",0))</f>
        <v>Шляпы</v>
      </c>
      <c r="D166" s="81" t="str">
        <f ca="1">_xlfn.LET(_xlpm.DATA,(_xlfn.XLOOKUP($A166,Строчный!$A:$A,Строчный!D:D,"ERR",0)),UPPER(MID(_xlpm.DATA,1,1))&amp;LOWER(MID(_xlpm.DATA,2,LEN(_xlpm.DATA)-1)))</f>
        <v>Шляпа федора</v>
      </c>
      <c r="E166" s="81" t="str">
        <f ca="1">PROPER(_xlfn.XLOOKUP($A166,Строчный!$A:$A,Строчный!E:E,"ERR",0))</f>
        <v>The Hollywood</v>
      </c>
      <c r="F166" s="81" t="str">
        <f ca="1">LOWER(_xlfn.XLOOKUP($A166,Строчный!$A:$A,Строчный!F:F,"ERR",0))</f>
        <v>летний</v>
      </c>
      <c r="G166" s="81" t="str">
        <f ca="1">UPPER(_xlfn.XLOOKUP($A166,Строчный!$A:$A,Строчный!G:G,"ERR",0))</f>
        <v>BAILEY</v>
      </c>
      <c r="H166" s="81" t="str">
        <f ca="1">LOWER(_xlfn.XLOOKUP($A166,Строчный!$A:$A,Строчный!H:H,"ERR",0))</f>
        <v>deep tan</v>
      </c>
      <c r="I166" s="81" t="str">
        <f ca="1">LOWER(_xlfn.XLOOKUP($A166,Строчный!$A:$A,Строчный!I:I,"ERR",0))</f>
        <v>коньячный</v>
      </c>
      <c r="J166" s="81" t="str">
        <f ca="1">SUBSTITUTE(LOWER(_xlfn.XLOOKUP($A166,Строчный!$A:$A,Строчный!J:J,"ERR",0)),"подклад","Подклад")</f>
        <v>100% солома</v>
      </c>
      <c r="K166" s="81" t="str">
        <f ca="1">LOWER(_xlfn.XLOOKUP($A166,Строчный!$A:$A,Строчный!K:K,"ERR",0))</f>
        <v>соломенные</v>
      </c>
      <c r="L166" s="81" t="str">
        <f ca="1">PROPER(_xlfn.XLOOKUP($A166,Строчный!$A:$A,Строчный!L:L,"ERR",0))</f>
        <v>Унисекс</v>
      </c>
      <c r="M166" s="113" t="str">
        <f ca="1">PROPER(_xlfn.XLOOKUP($A166,Строчный!$A:$A,Строчный!M:M,"ERR",0))</f>
        <v>Соединенные Штаты</v>
      </c>
      <c r="N166" s="81" t="str">
        <f ca="1">UPPER(_xlfn.XLOOKUP($A166,Строчный!$A:$A,Строчный!O:O,"ERR",0))</f>
        <v/>
      </c>
      <c r="O166" s="107" t="str">
        <f ca="1">PROPER(_xlfn.XLOOKUP($A166,Строчный!$A:$A,Строчный!P:P,"ERR",0))</f>
        <v/>
      </c>
      <c r="P166" s="90">
        <f ca="1">VALUE(_xlfn.XLOOKUP($A166,Строчный!$A:$A,Строчный!N:N,"ERR",0))</f>
        <v>6095.7000000000007</v>
      </c>
      <c r="Q166" s="89" t="str">
        <f ca="1">_xlfn.XLOOKUP($G166,Фабрика!A:A,Фабрика!B:B,"ERR",0)</f>
        <v>Bollman Headwear Europe Ltd; 2 Merchants drive, Caelisle, Cumbria CA3 0JW, United Kingdom</v>
      </c>
      <c r="R166" s="80" t="str">
        <f ca="1">_xlfn.XLOOKUP(RIGHT(Z166,2),Размеры!D:D,Размеры!A:A,"ERR",0)</f>
        <v>57</v>
      </c>
      <c r="S166" s="80">
        <f ca="1">VALUE(_xlfn.XLOOKUP($Z166,Строчный!$R:$R,Строчный!T:T,"ERR",0))</f>
        <v>1</v>
      </c>
      <c r="T166" s="14" t="s">
        <v>265</v>
      </c>
      <c r="U166" s="101" t="str">
        <f t="shared" ca="1" si="18"/>
        <v>Шляпа BAILEY арт. 22791BH STANSFIELD (коньячный)</v>
      </c>
      <c r="V166" s="100" t="str">
        <f t="shared" ca="1" si="19"/>
        <v>Шляпа BAILEY арт. 22791BH STANSFIELD (коньячный) {deep tan}</v>
      </c>
      <c r="W166" s="18" t="str">
        <f t="shared" ca="1" si="20"/>
        <v>коньячный</v>
      </c>
      <c r="X166" s="18" t="str">
        <f t="shared" ca="1" si="21"/>
        <v>коньячный</v>
      </c>
      <c r="Y166" s="117" t="str">
        <f ca="1">_xlfn.LET(_xlpm.FormColors,_xlfn.XLOOKUP(A166,Строчный!A:A,Строчный!Q:Q,"",0),IF(_xlpm.FormColors=0,IFERROR(MID(I166,FIND("-",I166)+1,LEN(I166)),IFERROR(MID(I166,1,FIND("/",I166)-2),I166)),_xlpm.FormColors))</f>
        <v>коньячный</v>
      </c>
      <c r="Z166" s="73" t="str">
        <f ca="1"/>
        <v>21-587-90-57</v>
      </c>
      <c r="AA166" s="75" t="str">
        <f ca="1">VLOOKUP(C166,Группа!A:B,2,FALSE)</f>
        <v>Шляпа</v>
      </c>
      <c r="AB166" s="97" t="str">
        <f ca="1">IFERROR(VLOOKUP(R166,Размеры!A:C,3,FALSE),"")</f>
        <v>57 M</v>
      </c>
      <c r="AC166" s="97" t="str">
        <f ca="1">VLOOKUP(I166,ЦветПолный!A:B,2,FALSE)</f>
        <v>90</v>
      </c>
      <c r="AD166" s="97" t="str">
        <f ca="1">IFERROR(VLOOKUP(R166,Размеры!A:D,4,FALSE),"")</f>
        <v>57</v>
      </c>
      <c r="AE166" s="97">
        <f ca="1">IF(LEFT(IFERROR(VLOOKUP(LOOKUP(2,1/SEARCH(B166,Товары!A:A),Товары!A:A),Товары!A:B,2,0),""),6)=MID(Z166,1,6),1,0)</f>
        <v>1</v>
      </c>
      <c r="AG166" s="97">
        <f ca="1">SUMIF(Группа!A:A,C166,Группа!C:C)</f>
        <v>1</v>
      </c>
      <c r="AH166" s="97">
        <f ca="1">SUMIF(Группа!B:B,AA166,Группа!C:C)</f>
        <v>1</v>
      </c>
      <c r="AI166" s="97">
        <f ca="1">SUMIF(Формы!A:A,D166,Формы!B:B)</f>
        <v>1</v>
      </c>
      <c r="AJ166" s="97">
        <f ca="1">SUMIF(Материал!A:A,K166,Материал!B:B)</f>
        <v>1</v>
      </c>
      <c r="AK166" s="97">
        <f ca="1">SUMIF(Размеры!A:A,R166,Размеры!E:E)</f>
        <v>1</v>
      </c>
      <c r="AL166" s="97">
        <f ca="1">SUMIF(Сезон!A:A,F166,Сезон!B:B)</f>
        <v>1</v>
      </c>
      <c r="AM166" s="97">
        <f ca="1">SUMIF(Состав!A:A,J166,Состав!B:B)</f>
        <v>1</v>
      </c>
      <c r="AN166" s="97">
        <f ca="1">VLOOKUP(I166,ЦветПолный!A:C,3,0)</f>
        <v>1</v>
      </c>
      <c r="AO166" s="97">
        <f ca="1">SUMIF(Цвет!A:A,Y166,Цвет!B:B)</f>
        <v>0</v>
      </c>
      <c r="AP166" s="97">
        <f ca="1">_xlfn.XLOOKUP(L166,Пол!A:A,Пол!B:B,0,0)</f>
        <v>1</v>
      </c>
      <c r="AQ166" s="97">
        <f ca="1">SUMIF(Марка!A:A,G166,Марка!B:B)</f>
        <v>1</v>
      </c>
      <c r="AR166" s="97">
        <f ca="1">SUMIF(Страна!A:A,M166,Страна!B:B)</f>
        <v>1</v>
      </c>
      <c r="AS166" s="64" t="e">
        <f ca="1">IF(VLOOKUP(V166,Товары!A:B,2,FALSE)=A166,"Есть в 1С","ERR")</f>
        <v>#N/A</v>
      </c>
      <c r="AT166" s="65" t="e">
        <f ca="1">IF(VLOOKUP(A166,Товары!B:B,1,FALSE)=A166,"Есть в 1С","ERR")</f>
        <v>#N/A</v>
      </c>
      <c r="AU166" s="96" t="e">
        <f ca="1">VLOOKUP(V166,Товары!A:B,2,FALSE)</f>
        <v>#N/A</v>
      </c>
      <c r="AV166" s="94" t="e">
        <f ca="1">VLOOKUP(V166,Товары!A:B,1,FALSE)</f>
        <v>#N/A</v>
      </c>
    </row>
    <row r="167" spans="1:48" x14ac:dyDescent="0.25">
      <c r="A167" s="110" t="str">
        <f t="shared" ca="1" si="22"/>
        <v>21-587-36</v>
      </c>
      <c r="B167" s="107" t="str">
        <f ca="1">_xlfn.LET(_xlpm.CAPS,0,_xlpm.Style,_xlfn.XLOOKUP($A167,Строчный!$A:$A,Строчный!B:B,"ERR",0),IF(_xlpm.CAPS=0,_xlpm.Style,LOWER(_xlpm.Style)))</f>
        <v>22791BH STANSFIELD</v>
      </c>
      <c r="C167" s="81" t="str">
        <f ca="1">PROPER(_xlfn.XLOOKUP($A167,Строчный!$A:$A,Строчный!C:C,"ERR",0))</f>
        <v>Шляпы</v>
      </c>
      <c r="D167" s="81" t="str">
        <f ca="1">_xlfn.LET(_xlpm.DATA,(_xlfn.XLOOKUP($A167,Строчный!$A:$A,Строчный!D:D,"ERR",0)),UPPER(MID(_xlpm.DATA,1,1))&amp;LOWER(MID(_xlpm.DATA,2,LEN(_xlpm.DATA)-1)))</f>
        <v>Шляпа федора</v>
      </c>
      <c r="E167" s="81" t="str">
        <f ca="1">PROPER(_xlfn.XLOOKUP($A167,Строчный!$A:$A,Строчный!E:E,"ERR",0))</f>
        <v>The Hollywood</v>
      </c>
      <c r="F167" s="81" t="str">
        <f ca="1">LOWER(_xlfn.XLOOKUP($A167,Строчный!$A:$A,Строчный!F:F,"ERR",0))</f>
        <v>летний</v>
      </c>
      <c r="G167" s="81" t="str">
        <f ca="1">UPPER(_xlfn.XLOOKUP($A167,Строчный!$A:$A,Строчный!G:G,"ERR",0))</f>
        <v>BAILEY</v>
      </c>
      <c r="H167" s="81" t="str">
        <f ca="1">LOWER(_xlfn.XLOOKUP($A167,Строчный!$A:$A,Строчный!H:H,"ERR",0))</f>
        <v>natural</v>
      </c>
      <c r="I167" s="81" t="str">
        <f ca="1">LOWER(_xlfn.XLOOKUP($A167,Строчный!$A:$A,Строчный!I:I,"ERR",0))</f>
        <v>кремовый</v>
      </c>
      <c r="J167" s="81" t="str">
        <f ca="1">SUBSTITUTE(LOWER(_xlfn.XLOOKUP($A167,Строчный!$A:$A,Строчный!J:J,"ERR",0)),"подклад","Подклад")</f>
        <v>100% солома</v>
      </c>
      <c r="K167" s="81" t="str">
        <f ca="1">LOWER(_xlfn.XLOOKUP($A167,Строчный!$A:$A,Строчный!K:K,"ERR",0))</f>
        <v>соломенные</v>
      </c>
      <c r="L167" s="81" t="str">
        <f ca="1">PROPER(_xlfn.XLOOKUP($A167,Строчный!$A:$A,Строчный!L:L,"ERR",0))</f>
        <v>Унисекс</v>
      </c>
      <c r="M167" s="113" t="str">
        <f ca="1">PROPER(_xlfn.XLOOKUP($A167,Строчный!$A:$A,Строчный!M:M,"ERR",0))</f>
        <v>Соединенные Штаты</v>
      </c>
      <c r="N167" s="81" t="str">
        <f ca="1">UPPER(_xlfn.XLOOKUP($A167,Строчный!$A:$A,Строчный!O:O,"ERR",0))</f>
        <v/>
      </c>
      <c r="O167" s="107" t="str">
        <f ca="1">PROPER(_xlfn.XLOOKUP($A167,Строчный!$A:$A,Строчный!P:P,"ERR",0))</f>
        <v/>
      </c>
      <c r="P167" s="90">
        <f ca="1">VALUE(_xlfn.XLOOKUP($A167,Строчный!$A:$A,Строчный!N:N,"ERR",0))</f>
        <v>6095.7000000000007</v>
      </c>
      <c r="Q167" s="89" t="str">
        <f ca="1">_xlfn.XLOOKUP($G167,Фабрика!A:A,Фабрика!B:B,"ERR",0)</f>
        <v>Bollman Headwear Europe Ltd; 2 Merchants drive, Caelisle, Cumbria CA3 0JW, United Kingdom</v>
      </c>
      <c r="R167" s="80" t="str">
        <f ca="1">_xlfn.XLOOKUP(RIGHT(Z167,2),Размеры!D:D,Размеры!A:A,"ERR",0)</f>
        <v>59</v>
      </c>
      <c r="S167" s="80">
        <f ca="1">VALUE(_xlfn.XLOOKUP($Z167,Строчный!$R:$R,Строчный!T:T,"ERR",0))</f>
        <v>1</v>
      </c>
      <c r="T167" s="14" t="s">
        <v>265</v>
      </c>
      <c r="U167" s="101" t="str">
        <f t="shared" ca="1" si="18"/>
        <v>Шляпа BAILEY арт. 22791BH STANSFIELD (кремовый)</v>
      </c>
      <c r="V167" s="100" t="str">
        <f t="shared" ca="1" si="19"/>
        <v>Шляпа BAILEY арт. 22791BH STANSFIELD (кремовый) {natural}</v>
      </c>
      <c r="W167" s="18" t="str">
        <f t="shared" ca="1" si="20"/>
        <v>кремовый</v>
      </c>
      <c r="X167" s="18" t="str">
        <f t="shared" ca="1" si="21"/>
        <v>кремовый</v>
      </c>
      <c r="Y167" s="117" t="str">
        <f ca="1">_xlfn.LET(_xlpm.FormColors,_xlfn.XLOOKUP(A167,Строчный!A:A,Строчный!Q:Q,"",0),IF(_xlpm.FormColors=0,IFERROR(MID(I167,FIND("-",I167)+1,LEN(I167)),IFERROR(MID(I167,1,FIND("/",I167)-2),I167)),_xlpm.FormColors))</f>
        <v>кремовый</v>
      </c>
      <c r="Z167" s="73" t="str">
        <f ca="1"/>
        <v>21-587-36-59</v>
      </c>
      <c r="AA167" s="75" t="str">
        <f ca="1">VLOOKUP(C167,Группа!A:B,2,FALSE)</f>
        <v>Шляпа</v>
      </c>
      <c r="AB167" s="97" t="str">
        <f ca="1">IFERROR(VLOOKUP(R167,Размеры!A:C,3,FALSE),"")</f>
        <v>59 L</v>
      </c>
      <c r="AC167" s="97" t="str">
        <f ca="1">VLOOKUP(I167,ЦветПолный!A:B,2,FALSE)</f>
        <v>36</v>
      </c>
      <c r="AD167" s="97" t="str">
        <f ca="1">IFERROR(VLOOKUP(R167,Размеры!A:D,4,FALSE),"")</f>
        <v>59</v>
      </c>
      <c r="AE167" s="97">
        <f ca="1">IF(LEFT(IFERROR(VLOOKUP(LOOKUP(2,1/SEARCH(B167,Товары!A:A),Товары!A:A),Товары!A:B,2,0),""),6)=MID(Z167,1,6),1,0)</f>
        <v>1</v>
      </c>
      <c r="AG167" s="97">
        <f ca="1">SUMIF(Группа!A:A,C167,Группа!C:C)</f>
        <v>1</v>
      </c>
      <c r="AH167" s="97">
        <f ca="1">SUMIF(Группа!B:B,AA167,Группа!C:C)</f>
        <v>1</v>
      </c>
      <c r="AI167" s="97">
        <f ca="1">SUMIF(Формы!A:A,D167,Формы!B:B)</f>
        <v>1</v>
      </c>
      <c r="AJ167" s="97">
        <f ca="1">SUMIF(Материал!A:A,K167,Материал!B:B)</f>
        <v>1</v>
      </c>
      <c r="AK167" s="97">
        <f ca="1">SUMIF(Размеры!A:A,R167,Размеры!E:E)</f>
        <v>1</v>
      </c>
      <c r="AL167" s="97">
        <f ca="1">SUMIF(Сезон!A:A,F167,Сезон!B:B)</f>
        <v>1</v>
      </c>
      <c r="AM167" s="97">
        <f ca="1">SUMIF(Состав!A:A,J167,Состав!B:B)</f>
        <v>1</v>
      </c>
      <c r="AN167" s="97">
        <f ca="1">VLOOKUP(I167,ЦветПолный!A:C,3,0)</f>
        <v>1</v>
      </c>
      <c r="AO167" s="97">
        <f ca="1">SUMIF(Цвет!A:A,Y167,Цвет!B:B)</f>
        <v>1</v>
      </c>
      <c r="AP167" s="97">
        <f ca="1">_xlfn.XLOOKUP(L167,Пол!A:A,Пол!B:B,0,0)</f>
        <v>1</v>
      </c>
      <c r="AQ167" s="97">
        <f ca="1">SUMIF(Марка!A:A,G167,Марка!B:B)</f>
        <v>1</v>
      </c>
      <c r="AR167" s="97">
        <f ca="1">SUMIF(Страна!A:A,M167,Страна!B:B)</f>
        <v>1</v>
      </c>
      <c r="AS167" s="64" t="str">
        <f ca="1">IF(VLOOKUP(V167,Товары!A:B,2,FALSE)=A167,"Есть в 1С","ERR")</f>
        <v>Есть в 1С</v>
      </c>
      <c r="AT167" s="65" t="str">
        <f ca="1">IF(VLOOKUP(A167,Товары!B:B,1,FALSE)=A167,"Есть в 1С","ERR")</f>
        <v>Есть в 1С</v>
      </c>
      <c r="AU167" s="96" t="str">
        <f ca="1">VLOOKUP(V167,Товары!A:B,2,FALSE)</f>
        <v>21-587-36</v>
      </c>
      <c r="AV167" s="94" t="str">
        <f ca="1">VLOOKUP(V167,Товары!A:B,1,FALSE)</f>
        <v>Шляпа BAILEY арт. 22791BH STANSFIELD (кремовый) {natural}</v>
      </c>
    </row>
    <row r="168" spans="1:48" x14ac:dyDescent="0.25">
      <c r="A168" s="110" t="str">
        <f t="shared" ca="1" si="22"/>
        <v>21-587-36</v>
      </c>
      <c r="B168" s="107" t="str">
        <f ca="1">_xlfn.LET(_xlpm.CAPS,0,_xlpm.Style,_xlfn.XLOOKUP($A168,Строчный!$A:$A,Строчный!B:B,"ERR",0),IF(_xlpm.CAPS=0,_xlpm.Style,LOWER(_xlpm.Style)))</f>
        <v>22791BH STANSFIELD</v>
      </c>
      <c r="C168" s="81" t="str">
        <f ca="1">PROPER(_xlfn.XLOOKUP($A168,Строчный!$A:$A,Строчный!C:C,"ERR",0))</f>
        <v>Шляпы</v>
      </c>
      <c r="D168" s="81" t="str">
        <f ca="1">_xlfn.LET(_xlpm.DATA,(_xlfn.XLOOKUP($A168,Строчный!$A:$A,Строчный!D:D,"ERR",0)),UPPER(MID(_xlpm.DATA,1,1))&amp;LOWER(MID(_xlpm.DATA,2,LEN(_xlpm.DATA)-1)))</f>
        <v>Шляпа федора</v>
      </c>
      <c r="E168" s="81" t="str">
        <f ca="1">PROPER(_xlfn.XLOOKUP($A168,Строчный!$A:$A,Строчный!E:E,"ERR",0))</f>
        <v>The Hollywood</v>
      </c>
      <c r="F168" s="81" t="str">
        <f ca="1">LOWER(_xlfn.XLOOKUP($A168,Строчный!$A:$A,Строчный!F:F,"ERR",0))</f>
        <v>летний</v>
      </c>
      <c r="G168" s="81" t="str">
        <f ca="1">UPPER(_xlfn.XLOOKUP($A168,Строчный!$A:$A,Строчный!G:G,"ERR",0))</f>
        <v>BAILEY</v>
      </c>
      <c r="H168" s="81" t="str">
        <f ca="1">LOWER(_xlfn.XLOOKUP($A168,Строчный!$A:$A,Строчный!H:H,"ERR",0))</f>
        <v>natural</v>
      </c>
      <c r="I168" s="81" t="str">
        <f ca="1">LOWER(_xlfn.XLOOKUP($A168,Строчный!$A:$A,Строчный!I:I,"ERR",0))</f>
        <v>кремовый</v>
      </c>
      <c r="J168" s="81" t="str">
        <f ca="1">SUBSTITUTE(LOWER(_xlfn.XLOOKUP($A168,Строчный!$A:$A,Строчный!J:J,"ERR",0)),"подклад","Подклад")</f>
        <v>100% солома</v>
      </c>
      <c r="K168" s="81" t="str">
        <f ca="1">LOWER(_xlfn.XLOOKUP($A168,Строчный!$A:$A,Строчный!K:K,"ERR",0))</f>
        <v>соломенные</v>
      </c>
      <c r="L168" s="81" t="str">
        <f ca="1">PROPER(_xlfn.XLOOKUP($A168,Строчный!$A:$A,Строчный!L:L,"ERR",0))</f>
        <v>Унисекс</v>
      </c>
      <c r="M168" s="113" t="str">
        <f ca="1">PROPER(_xlfn.XLOOKUP($A168,Строчный!$A:$A,Строчный!M:M,"ERR",0))</f>
        <v>Соединенные Штаты</v>
      </c>
      <c r="N168" s="81" t="str">
        <f ca="1">UPPER(_xlfn.XLOOKUP($A168,Строчный!$A:$A,Строчный!O:O,"ERR",0))</f>
        <v/>
      </c>
      <c r="O168" s="107" t="str">
        <f ca="1">PROPER(_xlfn.XLOOKUP($A168,Строчный!$A:$A,Строчный!P:P,"ERR",0))</f>
        <v/>
      </c>
      <c r="P168" s="90">
        <f ca="1">VALUE(_xlfn.XLOOKUP($A168,Строчный!$A:$A,Строчный!N:N,"ERR",0))</f>
        <v>6095.7000000000007</v>
      </c>
      <c r="Q168" s="89" t="str">
        <f ca="1">_xlfn.XLOOKUP($G168,Фабрика!A:A,Фабрика!B:B,"ERR",0)</f>
        <v>Bollman Headwear Europe Ltd; 2 Merchants drive, Caelisle, Cumbria CA3 0JW, United Kingdom</v>
      </c>
      <c r="R168" s="80" t="str">
        <f ca="1">_xlfn.XLOOKUP(RIGHT(Z168,2),Размеры!D:D,Размеры!A:A,"ERR",0)</f>
        <v>57</v>
      </c>
      <c r="S168" s="80">
        <f ca="1">VALUE(_xlfn.XLOOKUP($Z168,Строчный!$R:$R,Строчный!T:T,"ERR",0))</f>
        <v>1</v>
      </c>
      <c r="T168" s="14" t="s">
        <v>265</v>
      </c>
      <c r="U168" s="101" t="str">
        <f t="shared" ca="1" si="18"/>
        <v>Шляпа BAILEY арт. 22791BH STANSFIELD (кремовый)</v>
      </c>
      <c r="V168" s="100" t="str">
        <f t="shared" ca="1" si="19"/>
        <v>Шляпа BAILEY арт. 22791BH STANSFIELD (кремовый) {natural}</v>
      </c>
      <c r="W168" s="18" t="str">
        <f t="shared" ca="1" si="20"/>
        <v>кремовый</v>
      </c>
      <c r="X168" s="18" t="str">
        <f t="shared" ca="1" si="21"/>
        <v>кремовый</v>
      </c>
      <c r="Y168" s="117" t="str">
        <f ca="1">_xlfn.LET(_xlpm.FormColors,_xlfn.XLOOKUP(A168,Строчный!A:A,Строчный!Q:Q,"",0),IF(_xlpm.FormColors=0,IFERROR(MID(I168,FIND("-",I168)+1,LEN(I168)),IFERROR(MID(I168,1,FIND("/",I168)-2),I168)),_xlpm.FormColors))</f>
        <v>кремовый</v>
      </c>
      <c r="Z168" s="73" t="str">
        <f ca="1"/>
        <v>21-587-36-57</v>
      </c>
      <c r="AA168" s="75" t="str">
        <f ca="1">VLOOKUP(C168,Группа!A:B,2,FALSE)</f>
        <v>Шляпа</v>
      </c>
      <c r="AB168" s="97" t="str">
        <f ca="1">IFERROR(VLOOKUP(R168,Размеры!A:C,3,FALSE),"")</f>
        <v>57 M</v>
      </c>
      <c r="AC168" s="97" t="str">
        <f ca="1">VLOOKUP(I168,ЦветПолный!A:B,2,FALSE)</f>
        <v>36</v>
      </c>
      <c r="AD168" s="97" t="str">
        <f ca="1">IFERROR(VLOOKUP(R168,Размеры!A:D,4,FALSE),"")</f>
        <v>57</v>
      </c>
      <c r="AE168" s="97">
        <f ca="1">IF(LEFT(IFERROR(VLOOKUP(LOOKUP(2,1/SEARCH(B168,Товары!A:A),Товары!A:A),Товары!A:B,2,0),""),6)=MID(Z168,1,6),1,0)</f>
        <v>1</v>
      </c>
      <c r="AG168" s="97">
        <f ca="1">SUMIF(Группа!A:A,C168,Группа!C:C)</f>
        <v>1</v>
      </c>
      <c r="AH168" s="97">
        <f ca="1">SUMIF(Группа!B:B,AA168,Группа!C:C)</f>
        <v>1</v>
      </c>
      <c r="AI168" s="97">
        <f ca="1">SUMIF(Формы!A:A,D168,Формы!B:B)</f>
        <v>1</v>
      </c>
      <c r="AJ168" s="97">
        <f ca="1">SUMIF(Материал!A:A,K168,Материал!B:B)</f>
        <v>1</v>
      </c>
      <c r="AK168" s="97">
        <f ca="1">SUMIF(Размеры!A:A,R168,Размеры!E:E)</f>
        <v>1</v>
      </c>
      <c r="AL168" s="97">
        <f ca="1">SUMIF(Сезон!A:A,F168,Сезон!B:B)</f>
        <v>1</v>
      </c>
      <c r="AM168" s="97">
        <f ca="1">SUMIF(Состав!A:A,J168,Состав!B:B)</f>
        <v>1</v>
      </c>
      <c r="AN168" s="97">
        <f ca="1">VLOOKUP(I168,ЦветПолный!A:C,3,0)</f>
        <v>1</v>
      </c>
      <c r="AO168" s="97">
        <f ca="1">SUMIF(Цвет!A:A,Y168,Цвет!B:B)</f>
        <v>1</v>
      </c>
      <c r="AP168" s="97">
        <f ca="1">_xlfn.XLOOKUP(L168,Пол!A:A,Пол!B:B,0,0)</f>
        <v>1</v>
      </c>
      <c r="AQ168" s="97">
        <f ca="1">SUMIF(Марка!A:A,G168,Марка!B:B)</f>
        <v>1</v>
      </c>
      <c r="AR168" s="97">
        <f ca="1">SUMIF(Страна!A:A,M168,Страна!B:B)</f>
        <v>1</v>
      </c>
      <c r="AS168" s="64" t="str">
        <f ca="1">IF(VLOOKUP(V168,Товары!A:B,2,FALSE)=A168,"Есть в 1С","ERR")</f>
        <v>Есть в 1С</v>
      </c>
      <c r="AT168" s="65" t="str">
        <f ca="1">IF(VLOOKUP(A168,Товары!B:B,1,FALSE)=A168,"Есть в 1С","ERR")</f>
        <v>Есть в 1С</v>
      </c>
      <c r="AU168" s="96" t="str">
        <f ca="1">VLOOKUP(V168,Товары!A:B,2,FALSE)</f>
        <v>21-587-36</v>
      </c>
      <c r="AV168" s="94" t="str">
        <f ca="1">VLOOKUP(V168,Товары!A:B,1,FALSE)</f>
        <v>Шляпа BAILEY арт. 22791BH STANSFIELD (кремовый) {natural}</v>
      </c>
    </row>
    <row r="169" spans="1:48" x14ac:dyDescent="0.25">
      <c r="A169" s="110" t="str">
        <f t="shared" ca="1" si="22"/>
        <v>21-582-14</v>
      </c>
      <c r="B169" s="107" t="str">
        <f ca="1">_xlfn.LET(_xlpm.CAPS,0,_xlpm.Style,_xlfn.XLOOKUP($A169,Строчный!$A:$A,Строчный!B:B,"ERR",0),IF(_xlpm.CAPS=0,_xlpm.Style,LOWER(_xlpm.Style)))</f>
        <v>37180BH STEDMAN</v>
      </c>
      <c r="C169" s="81" t="str">
        <f ca="1">PROPER(_xlfn.XLOOKUP($A169,Строчный!$A:$A,Строчный!C:C,"ERR",0))</f>
        <v>Шляпы</v>
      </c>
      <c r="D169" s="81" t="str">
        <f ca="1">_xlfn.LET(_xlpm.DATA,(_xlfn.XLOOKUP($A169,Строчный!$A:$A,Строчный!D:D,"ERR",0)),UPPER(MID(_xlpm.DATA,1,1))&amp;LOWER(MID(_xlpm.DATA,2,LEN(_xlpm.DATA)-1)))</f>
        <v>Шляпа федора</v>
      </c>
      <c r="E169" s="81" t="str">
        <f ca="1">PROPER(_xlfn.XLOOKUP($A169,Строчный!$A:$A,Строчный!E:E,"ERR",0))</f>
        <v>The Hollywood</v>
      </c>
      <c r="F169" s="81" t="str">
        <f ca="1">LOWER(_xlfn.XLOOKUP($A169,Строчный!$A:$A,Строчный!F:F,"ERR",0))</f>
        <v>всесезон</v>
      </c>
      <c r="G169" s="81" t="str">
        <f ca="1">UPPER(_xlfn.XLOOKUP($A169,Строчный!$A:$A,Строчный!G:G,"ERR",0))</f>
        <v>BAILEY</v>
      </c>
      <c r="H169" s="81" t="str">
        <f ca="1">LOWER(_xlfn.XLOOKUP($A169,Строчный!$A:$A,Строчный!H:H,"ERR",0))</f>
        <v>oak</v>
      </c>
      <c r="I169" s="81" t="str">
        <f ca="1">LOWER(_xlfn.XLOOKUP($A169,Строчный!$A:$A,Строчный!I:I,"ERR",0))</f>
        <v>коричневый</v>
      </c>
      <c r="J169" s="81" t="str">
        <f ca="1">SUBSTITUTE(LOWER(_xlfn.XLOOKUP($A169,Строчный!$A:$A,Строчный!J:J,"ERR",0)),"подклад","Подклад")</f>
        <v>100% шерсть / Подклад: 100% полиэстер</v>
      </c>
      <c r="K169" s="81" t="str">
        <f ca="1">LOWER(_xlfn.XLOOKUP($A169,Строчный!$A:$A,Строчный!K:K,"ERR",0))</f>
        <v>фетровые</v>
      </c>
      <c r="L169" s="81" t="str">
        <f ca="1">PROPER(_xlfn.XLOOKUP($A169,Строчный!$A:$A,Строчный!L:L,"ERR",0))</f>
        <v>Унисекс</v>
      </c>
      <c r="M169" s="113" t="str">
        <f ca="1">PROPER(_xlfn.XLOOKUP($A169,Строчный!$A:$A,Строчный!M:M,"ERR",0))</f>
        <v>Соединенные Штаты</v>
      </c>
      <c r="N169" s="81" t="str">
        <f ca="1">UPPER(_xlfn.XLOOKUP($A169,Строчный!$A:$A,Строчный!O:O,"ERR",0))</f>
        <v/>
      </c>
      <c r="O169" s="107" t="str">
        <f ca="1">PROPER(_xlfn.XLOOKUP($A169,Строчный!$A:$A,Строчный!P:P,"ERR",0))</f>
        <v/>
      </c>
      <c r="P169" s="90">
        <f ca="1">VALUE(_xlfn.XLOOKUP($A169,Строчный!$A:$A,Строчный!N:N,"ERR",0))</f>
        <v>702.00000000000011</v>
      </c>
      <c r="Q169" s="89" t="str">
        <f ca="1">_xlfn.XLOOKUP($G169,Фабрика!A:A,Фабрика!B:B,"ERR",0)</f>
        <v>Bollman Headwear Europe Ltd; 2 Merchants drive, Caelisle, Cumbria CA3 0JW, United Kingdom</v>
      </c>
      <c r="R169" s="80" t="str">
        <f ca="1">_xlfn.XLOOKUP(RIGHT(Z169,2),Размеры!D:D,Размеры!A:A,"ERR",0)</f>
        <v>59</v>
      </c>
      <c r="S169" s="80">
        <f ca="1">VALUE(_xlfn.XLOOKUP($Z169,Строчный!$R:$R,Строчный!T:T,"ERR",0))</f>
        <v>1</v>
      </c>
      <c r="T169" s="14" t="s">
        <v>265</v>
      </c>
      <c r="U169" s="101" t="str">
        <f t="shared" ca="1" si="18"/>
        <v>Шляпа BAILEY арт. 37180BH STEDMAN (коричневый)</v>
      </c>
      <c r="V169" s="100" t="str">
        <f t="shared" ca="1" si="19"/>
        <v>Шляпа BAILEY арт. 37180BH STEDMAN (коричневый) {oak}</v>
      </c>
      <c r="W169" s="18" t="str">
        <f t="shared" ca="1" si="20"/>
        <v>коричневый</v>
      </c>
      <c r="X169" s="18" t="str">
        <f t="shared" ca="1" si="21"/>
        <v>коричневый</v>
      </c>
      <c r="Y169" s="117" t="str">
        <f ca="1">_xlfn.LET(_xlpm.FormColors,_xlfn.XLOOKUP(A169,Строчный!A:A,Строчный!Q:Q,"",0),IF(_xlpm.FormColors=0,IFERROR(MID(I169,FIND("-",I169)+1,LEN(I169)),IFERROR(MID(I169,1,FIND("/",I169)-2),I169)),_xlpm.FormColors))</f>
        <v>коричневый</v>
      </c>
      <c r="Z169" s="73" t="str">
        <f ca="1"/>
        <v>21-582-14-59</v>
      </c>
      <c r="AA169" s="75" t="str">
        <f ca="1">VLOOKUP(C169,Группа!A:B,2,FALSE)</f>
        <v>Шляпа</v>
      </c>
      <c r="AB169" s="97" t="str">
        <f ca="1">IFERROR(VLOOKUP(R169,Размеры!A:C,3,FALSE),"")</f>
        <v>59 L</v>
      </c>
      <c r="AC169" s="97" t="str">
        <f ca="1">VLOOKUP(I169,ЦветПолный!A:B,2,FALSE)</f>
        <v>14</v>
      </c>
      <c r="AD169" s="97" t="str">
        <f ca="1">IFERROR(VLOOKUP(R169,Размеры!A:D,4,FALSE),"")</f>
        <v>59</v>
      </c>
      <c r="AE169" s="97">
        <f ca="1">IF(LEFT(IFERROR(VLOOKUP(LOOKUP(2,1/SEARCH(B169,Товары!A:A),Товары!A:A),Товары!A:B,2,0),""),6)=MID(Z169,1,6),1,0)</f>
        <v>1</v>
      </c>
      <c r="AG169" s="97">
        <f ca="1">SUMIF(Группа!A:A,C169,Группа!C:C)</f>
        <v>1</v>
      </c>
      <c r="AH169" s="97">
        <f ca="1">SUMIF(Группа!B:B,AA169,Группа!C:C)</f>
        <v>1</v>
      </c>
      <c r="AI169" s="97">
        <f ca="1">SUMIF(Формы!A:A,D169,Формы!B:B)</f>
        <v>1</v>
      </c>
      <c r="AJ169" s="97">
        <f ca="1">SUMIF(Материал!A:A,K169,Материал!B:B)</f>
        <v>1</v>
      </c>
      <c r="AK169" s="97">
        <f ca="1">SUMIF(Размеры!A:A,R169,Размеры!E:E)</f>
        <v>1</v>
      </c>
      <c r="AL169" s="97">
        <f ca="1">SUMIF(Сезон!A:A,F169,Сезон!B:B)</f>
        <v>1</v>
      </c>
      <c r="AM169" s="97">
        <f ca="1">SUMIF(Состав!A:A,J169,Состав!B:B)</f>
        <v>0</v>
      </c>
      <c r="AN169" s="97">
        <f ca="1">VLOOKUP(I169,ЦветПолный!A:C,3,0)</f>
        <v>1</v>
      </c>
      <c r="AO169" s="97">
        <f ca="1">SUMIF(Цвет!A:A,Y169,Цвет!B:B)</f>
        <v>1</v>
      </c>
      <c r="AP169" s="97">
        <f ca="1">_xlfn.XLOOKUP(L169,Пол!A:A,Пол!B:B,0,0)</f>
        <v>1</v>
      </c>
      <c r="AQ169" s="97">
        <f ca="1">SUMIF(Марка!A:A,G169,Марка!B:B)</f>
        <v>1</v>
      </c>
      <c r="AR169" s="97">
        <f ca="1">SUMIF(Страна!A:A,M169,Страна!B:B)</f>
        <v>1</v>
      </c>
      <c r="AS169" s="64" t="e">
        <f ca="1">IF(VLOOKUP(V169,Товары!A:B,2,FALSE)=A169,"Есть в 1С","ERR")</f>
        <v>#N/A</v>
      </c>
      <c r="AT169" s="65" t="e">
        <f ca="1">IF(VLOOKUP(A169,Товары!B:B,1,FALSE)=A169,"Есть в 1С","ERR")</f>
        <v>#N/A</v>
      </c>
      <c r="AU169" s="96" t="e">
        <f ca="1">VLOOKUP(V169,Товары!A:B,2,FALSE)</f>
        <v>#N/A</v>
      </c>
      <c r="AV169" s="94" t="e">
        <f ca="1">VLOOKUP(V169,Товары!A:B,1,FALSE)</f>
        <v>#N/A</v>
      </c>
    </row>
    <row r="170" spans="1:48" x14ac:dyDescent="0.25">
      <c r="A170" s="110" t="str">
        <f t="shared" ca="1" si="22"/>
        <v>21-515-81</v>
      </c>
      <c r="B170" s="107" t="str">
        <f ca="1">_xlfn.LET(_xlpm.CAPS,0,_xlpm.Style,_xlfn.XLOOKUP($A170,Строчный!$A:$A,Строчный!B:B,"ERR",0),IF(_xlpm.CAPS=0,_xlpm.Style,LOWER(_xlpm.Style)))</f>
        <v>81722BH ROKIT</v>
      </c>
      <c r="C170" s="81" t="str">
        <f ca="1">PROPER(_xlfn.XLOOKUP($A170,Строчный!$A:$A,Строчный!C:C,"ERR",0))</f>
        <v>Шляпы</v>
      </c>
      <c r="D170" s="81" t="str">
        <f ca="1">_xlfn.LET(_xlpm.DATA,(_xlfn.XLOOKUP($A170,Строчный!$A:$A,Строчный!D:D,"ERR",0)),UPPER(MID(_xlpm.DATA,1,1))&amp;LOWER(MID(_xlpm.DATA,2,LEN(_xlpm.DATA)-1)))</f>
        <v>Шляпа хомбург</v>
      </c>
      <c r="E170" s="81" t="str">
        <f ca="1">PROPER(_xlfn.XLOOKUP($A170,Строчный!$A:$A,Строчный!E:E,"ERR",0))</f>
        <v>The Hollywood</v>
      </c>
      <c r="F170" s="81" t="str">
        <f ca="1">LOWER(_xlfn.XLOOKUP($A170,Строчный!$A:$A,Строчный!F:F,"ERR",0))</f>
        <v>летний</v>
      </c>
      <c r="G170" s="81" t="str">
        <f ca="1">UPPER(_xlfn.XLOOKUP($A170,Строчный!$A:$A,Строчный!G:G,"ERR",0))</f>
        <v>BAILEY</v>
      </c>
      <c r="H170" s="81" t="str">
        <f ca="1">LOWER(_xlfn.XLOOKUP($A170,Строчный!$A:$A,Строчный!H:H,"ERR",0))</f>
        <v>light grey/black</v>
      </c>
      <c r="I170" s="81" t="str">
        <f ca="1">LOWER(_xlfn.XLOOKUP($A170,Строчный!$A:$A,Строчный!I:I,"ERR",0))</f>
        <v>серый / черный</v>
      </c>
      <c r="J170" s="81" t="str">
        <f ca="1">SUBSTITUTE(LOWER(_xlfn.XLOOKUP($A170,Строчный!$A:$A,Строчный!J:J,"ERR",0)),"подклад","Подклад")</f>
        <v>55% бумага - 45% полиэстер</v>
      </c>
      <c r="K170" s="81" t="str">
        <f ca="1">LOWER(_xlfn.XLOOKUP($A170,Строчный!$A:$A,Строчный!K:K,"ERR",0))</f>
        <v>бумажные</v>
      </c>
      <c r="L170" s="81" t="str">
        <f ca="1">PROPER(_xlfn.XLOOKUP($A170,Строчный!$A:$A,Строчный!L:L,"ERR",0))</f>
        <v>Унисекс</v>
      </c>
      <c r="M170" s="113" t="str">
        <f ca="1">PROPER(_xlfn.XLOOKUP($A170,Строчный!$A:$A,Строчный!M:M,"ERR",0))</f>
        <v>Китай</v>
      </c>
      <c r="N170" s="81" t="str">
        <f ca="1">UPPER(_xlfn.XLOOKUP($A170,Строчный!$A:$A,Строчный!O:O,"ERR",0))</f>
        <v/>
      </c>
      <c r="O170" s="107" t="str">
        <f ca="1">PROPER(_xlfn.XLOOKUP($A170,Строчный!$A:$A,Строчный!P:P,"ERR",0))</f>
        <v/>
      </c>
      <c r="P170" s="90">
        <f ca="1">VALUE(_xlfn.XLOOKUP($A170,Строчный!$A:$A,Строчный!N:N,"ERR",0))</f>
        <v>2380.9500000000003</v>
      </c>
      <c r="Q170" s="89" t="str">
        <f ca="1">_xlfn.XLOOKUP($G170,Фабрика!A:A,Фабрика!B:B,"ERR",0)</f>
        <v>Bollman Headwear Europe Ltd; 2 Merchants drive, Caelisle, Cumbria CA3 0JW, United Kingdom</v>
      </c>
      <c r="R170" s="80" t="str">
        <f ca="1">_xlfn.XLOOKUP(RIGHT(Z170,2),Размеры!D:D,Размеры!A:A,"ERR",0)</f>
        <v>61</v>
      </c>
      <c r="S170" s="80">
        <f ca="1">VALUE(_xlfn.XLOOKUP($Z170,Строчный!$R:$R,Строчный!T:T,"ERR",0))</f>
        <v>4</v>
      </c>
      <c r="T170" s="14" t="s">
        <v>265</v>
      </c>
      <c r="U170" s="101" t="str">
        <f t="shared" ca="1" si="18"/>
        <v>Шляпа BAILEY арт. 81722BH ROKIT (серый / черный)</v>
      </c>
      <c r="V170" s="100" t="str">
        <f t="shared" ca="1" si="19"/>
        <v>Шляпа BAILEY арт. 81722BH ROKIT (серый / черный) {light grey/black}</v>
      </c>
      <c r="W170" s="18" t="str">
        <f t="shared" ca="1" si="20"/>
        <v>серый</v>
      </c>
      <c r="X170" s="18" t="str">
        <f t="shared" ca="1" si="21"/>
        <v>черный</v>
      </c>
      <c r="Y170" s="117" t="str">
        <f ca="1">_xlfn.LET(_xlpm.FormColors,_xlfn.XLOOKUP(A170,Строчный!A:A,Строчный!Q:Q,"",0),IF(_xlpm.FormColors=0,IFERROR(MID(I170,FIND("-",I170)+1,LEN(I170)),IFERROR(MID(I170,1,FIND("/",I170)-2),I170)),_xlpm.FormColors))</f>
        <v>серый</v>
      </c>
      <c r="Z170" s="73" t="str">
        <f ca="1"/>
        <v>21-515-81-61</v>
      </c>
      <c r="AA170" s="75" t="str">
        <f ca="1">VLOOKUP(C170,Группа!A:B,2,FALSE)</f>
        <v>Шляпа</v>
      </c>
      <c r="AB170" s="97" t="str">
        <f ca="1">IFERROR(VLOOKUP(R170,Размеры!A:C,3,FALSE),"")</f>
        <v>61 XL</v>
      </c>
      <c r="AC170" s="97" t="str">
        <f ca="1">VLOOKUP(I170,ЦветПолный!A:B,2,FALSE)</f>
        <v>10</v>
      </c>
      <c r="AD170" s="97" t="str">
        <f ca="1">IFERROR(VLOOKUP(R170,Размеры!A:D,4,FALSE),"")</f>
        <v>61</v>
      </c>
      <c r="AE170" s="97">
        <f ca="1">IF(LEFT(IFERROR(VLOOKUP(LOOKUP(2,1/SEARCH(B170,Товары!A:A),Товары!A:A),Товары!A:B,2,0),""),6)=MID(Z170,1,6),1,0)</f>
        <v>1</v>
      </c>
      <c r="AG170" s="97">
        <f ca="1">SUMIF(Группа!A:A,C170,Группа!C:C)</f>
        <v>1</v>
      </c>
      <c r="AH170" s="97">
        <f ca="1">SUMIF(Группа!B:B,AA170,Группа!C:C)</f>
        <v>1</v>
      </c>
      <c r="AI170" s="97">
        <f ca="1">SUMIF(Формы!A:A,D170,Формы!B:B)</f>
        <v>1</v>
      </c>
      <c r="AJ170" s="97">
        <f ca="1">SUMIF(Материал!A:A,K170,Материал!B:B)</f>
        <v>1</v>
      </c>
      <c r="AK170" s="97">
        <f ca="1">SUMIF(Размеры!A:A,R170,Размеры!E:E)</f>
        <v>1</v>
      </c>
      <c r="AL170" s="97">
        <f ca="1">SUMIF(Сезон!A:A,F170,Сезон!B:B)</f>
        <v>1</v>
      </c>
      <c r="AM170" s="97">
        <f ca="1">SUMIF(Состав!A:A,J170,Состав!B:B)</f>
        <v>1</v>
      </c>
      <c r="AN170" s="97">
        <f ca="1">VLOOKUP(I170,ЦветПолный!A:C,3,0)</f>
        <v>1</v>
      </c>
      <c r="AO170" s="97">
        <f ca="1">SUMIF(Цвет!A:A,Y170,Цвет!B:B)</f>
        <v>1</v>
      </c>
      <c r="AP170" s="97">
        <f ca="1">_xlfn.XLOOKUP(L170,Пол!A:A,Пол!B:B,0,0)</f>
        <v>1</v>
      </c>
      <c r="AQ170" s="97">
        <f ca="1">SUMIF(Марка!A:A,G170,Марка!B:B)</f>
        <v>1</v>
      </c>
      <c r="AR170" s="97">
        <f ca="1">SUMIF(Страна!A:A,M170,Страна!B:B)</f>
        <v>1</v>
      </c>
      <c r="AS170" s="64" t="str">
        <f ca="1">IF(VLOOKUP(V170,Товары!A:B,2,FALSE)=A170,"Есть в 1С","ERR")</f>
        <v>Есть в 1С</v>
      </c>
      <c r="AT170" s="65" t="str">
        <f ca="1">IF(VLOOKUP(A170,Товары!B:B,1,FALSE)=A170,"Есть в 1С","ERR")</f>
        <v>Есть в 1С</v>
      </c>
      <c r="AU170" s="96" t="str">
        <f ca="1">VLOOKUP(V170,Товары!A:B,2,FALSE)</f>
        <v>21-515-81</v>
      </c>
      <c r="AV170" s="94" t="str">
        <f ca="1">VLOOKUP(V170,Товары!A:B,1,FALSE)</f>
        <v>Шляпа BAILEY арт. 81722BH ROKIT (серый / черный) {light grey/black}</v>
      </c>
    </row>
    <row r="171" spans="1:48" x14ac:dyDescent="0.25">
      <c r="A171" s="110" t="str">
        <f t="shared" ca="1" si="22"/>
        <v>21-515-81</v>
      </c>
      <c r="B171" s="107" t="str">
        <f ca="1">_xlfn.LET(_xlpm.CAPS,0,_xlpm.Style,_xlfn.XLOOKUP($A171,Строчный!$A:$A,Строчный!B:B,"ERR",0),IF(_xlpm.CAPS=0,_xlpm.Style,LOWER(_xlpm.Style)))</f>
        <v>81722BH ROKIT</v>
      </c>
      <c r="C171" s="81" t="str">
        <f ca="1">PROPER(_xlfn.XLOOKUP($A171,Строчный!$A:$A,Строчный!C:C,"ERR",0))</f>
        <v>Шляпы</v>
      </c>
      <c r="D171" s="81" t="str">
        <f ca="1">_xlfn.LET(_xlpm.DATA,(_xlfn.XLOOKUP($A171,Строчный!$A:$A,Строчный!D:D,"ERR",0)),UPPER(MID(_xlpm.DATA,1,1))&amp;LOWER(MID(_xlpm.DATA,2,LEN(_xlpm.DATA)-1)))</f>
        <v>Шляпа хомбург</v>
      </c>
      <c r="E171" s="81" t="str">
        <f ca="1">PROPER(_xlfn.XLOOKUP($A171,Строчный!$A:$A,Строчный!E:E,"ERR",0))</f>
        <v>The Hollywood</v>
      </c>
      <c r="F171" s="81" t="str">
        <f ca="1">LOWER(_xlfn.XLOOKUP($A171,Строчный!$A:$A,Строчный!F:F,"ERR",0))</f>
        <v>летний</v>
      </c>
      <c r="G171" s="81" t="str">
        <f ca="1">UPPER(_xlfn.XLOOKUP($A171,Строчный!$A:$A,Строчный!G:G,"ERR",0))</f>
        <v>BAILEY</v>
      </c>
      <c r="H171" s="81" t="str">
        <f ca="1">LOWER(_xlfn.XLOOKUP($A171,Строчный!$A:$A,Строчный!H:H,"ERR",0))</f>
        <v>light grey/black</v>
      </c>
      <c r="I171" s="81" t="str">
        <f ca="1">LOWER(_xlfn.XLOOKUP($A171,Строчный!$A:$A,Строчный!I:I,"ERR",0))</f>
        <v>серый / черный</v>
      </c>
      <c r="J171" s="81" t="str">
        <f ca="1">SUBSTITUTE(LOWER(_xlfn.XLOOKUP($A171,Строчный!$A:$A,Строчный!J:J,"ERR",0)),"подклад","Подклад")</f>
        <v>55% бумага - 45% полиэстер</v>
      </c>
      <c r="K171" s="81" t="str">
        <f ca="1">LOWER(_xlfn.XLOOKUP($A171,Строчный!$A:$A,Строчный!K:K,"ERR",0))</f>
        <v>бумажные</v>
      </c>
      <c r="L171" s="81" t="str">
        <f ca="1">PROPER(_xlfn.XLOOKUP($A171,Строчный!$A:$A,Строчный!L:L,"ERR",0))</f>
        <v>Унисекс</v>
      </c>
      <c r="M171" s="113" t="str">
        <f ca="1">PROPER(_xlfn.XLOOKUP($A171,Строчный!$A:$A,Строчный!M:M,"ERR",0))</f>
        <v>Китай</v>
      </c>
      <c r="N171" s="81" t="str">
        <f ca="1">UPPER(_xlfn.XLOOKUP($A171,Строчный!$A:$A,Строчный!O:O,"ERR",0))</f>
        <v/>
      </c>
      <c r="O171" s="107" t="str">
        <f ca="1">PROPER(_xlfn.XLOOKUP($A171,Строчный!$A:$A,Строчный!P:P,"ERR",0))</f>
        <v/>
      </c>
      <c r="P171" s="90">
        <f ca="1">VALUE(_xlfn.XLOOKUP($A171,Строчный!$A:$A,Строчный!N:N,"ERR",0))</f>
        <v>2380.9500000000003</v>
      </c>
      <c r="Q171" s="89" t="str">
        <f ca="1">_xlfn.XLOOKUP($G171,Фабрика!A:A,Фабрика!B:B,"ERR",0)</f>
        <v>Bollman Headwear Europe Ltd; 2 Merchants drive, Caelisle, Cumbria CA3 0JW, United Kingdom</v>
      </c>
      <c r="R171" s="80" t="str">
        <f ca="1">_xlfn.XLOOKUP(RIGHT(Z171,2),Размеры!D:D,Размеры!A:A,"ERR",0)</f>
        <v>59</v>
      </c>
      <c r="S171" s="80">
        <f ca="1">VALUE(_xlfn.XLOOKUP($Z171,Строчный!$R:$R,Строчный!T:T,"ERR",0))</f>
        <v>6</v>
      </c>
      <c r="T171" s="14" t="s">
        <v>265</v>
      </c>
      <c r="U171" s="101" t="str">
        <f t="shared" ca="1" si="18"/>
        <v>Шляпа BAILEY арт. 81722BH ROKIT (серый / черный)</v>
      </c>
      <c r="V171" s="100" t="str">
        <f t="shared" ca="1" si="19"/>
        <v>Шляпа BAILEY арт. 81722BH ROKIT (серый / черный) {light grey/black}</v>
      </c>
      <c r="W171" s="18" t="str">
        <f t="shared" ca="1" si="20"/>
        <v>серый</v>
      </c>
      <c r="X171" s="18" t="str">
        <f t="shared" ca="1" si="21"/>
        <v>черный</v>
      </c>
      <c r="Y171" s="117" t="str">
        <f ca="1">_xlfn.LET(_xlpm.FormColors,_xlfn.XLOOKUP(A171,Строчный!A:A,Строчный!Q:Q,"",0),IF(_xlpm.FormColors=0,IFERROR(MID(I171,FIND("-",I171)+1,LEN(I171)),IFERROR(MID(I171,1,FIND("/",I171)-2),I171)),_xlpm.FormColors))</f>
        <v>серый</v>
      </c>
      <c r="Z171" s="73" t="str">
        <f ca="1"/>
        <v>21-515-81-59</v>
      </c>
      <c r="AA171" s="75" t="str">
        <f ca="1">VLOOKUP(C171,Группа!A:B,2,FALSE)</f>
        <v>Шляпа</v>
      </c>
      <c r="AB171" s="97" t="str">
        <f ca="1">IFERROR(VLOOKUP(R171,Размеры!A:C,3,FALSE),"")</f>
        <v>59 L</v>
      </c>
      <c r="AC171" s="97" t="str">
        <f ca="1">VLOOKUP(I171,ЦветПолный!A:B,2,FALSE)</f>
        <v>10</v>
      </c>
      <c r="AD171" s="97" t="str">
        <f ca="1">IFERROR(VLOOKUP(R171,Размеры!A:D,4,FALSE),"")</f>
        <v>59</v>
      </c>
      <c r="AE171" s="97">
        <f ca="1">IF(LEFT(IFERROR(VLOOKUP(LOOKUP(2,1/SEARCH(B171,Товары!A:A),Товары!A:A),Товары!A:B,2,0),""),6)=MID(Z171,1,6),1,0)</f>
        <v>1</v>
      </c>
      <c r="AG171" s="97">
        <f ca="1">SUMIF(Группа!A:A,C171,Группа!C:C)</f>
        <v>1</v>
      </c>
      <c r="AH171" s="97">
        <f ca="1">SUMIF(Группа!B:B,AA171,Группа!C:C)</f>
        <v>1</v>
      </c>
      <c r="AI171" s="97">
        <f ca="1">SUMIF(Формы!A:A,D171,Формы!B:B)</f>
        <v>1</v>
      </c>
      <c r="AJ171" s="97">
        <f ca="1">SUMIF(Материал!A:A,K171,Материал!B:B)</f>
        <v>1</v>
      </c>
      <c r="AK171" s="97">
        <f ca="1">SUMIF(Размеры!A:A,R171,Размеры!E:E)</f>
        <v>1</v>
      </c>
      <c r="AL171" s="97">
        <f ca="1">SUMIF(Сезон!A:A,F171,Сезон!B:B)</f>
        <v>1</v>
      </c>
      <c r="AM171" s="97">
        <f ca="1">SUMIF(Состав!A:A,J171,Состав!B:B)</f>
        <v>1</v>
      </c>
      <c r="AN171" s="97">
        <f ca="1">VLOOKUP(I171,ЦветПолный!A:C,3,0)</f>
        <v>1</v>
      </c>
      <c r="AO171" s="97">
        <f ca="1">SUMIF(Цвет!A:A,Y171,Цвет!B:B)</f>
        <v>1</v>
      </c>
      <c r="AP171" s="97">
        <f ca="1">_xlfn.XLOOKUP(L171,Пол!A:A,Пол!B:B,0,0)</f>
        <v>1</v>
      </c>
      <c r="AQ171" s="97">
        <f ca="1">SUMIF(Марка!A:A,G171,Марка!B:B)</f>
        <v>1</v>
      </c>
      <c r="AR171" s="97">
        <f ca="1">SUMIF(Страна!A:A,M171,Страна!B:B)</f>
        <v>1</v>
      </c>
      <c r="AS171" s="64" t="str">
        <f ca="1">IF(VLOOKUP(V171,Товары!A:B,2,FALSE)=A171,"Есть в 1С","ERR")</f>
        <v>Есть в 1С</v>
      </c>
      <c r="AT171" s="65" t="str">
        <f ca="1">IF(VLOOKUP(A171,Товары!B:B,1,FALSE)=A171,"Есть в 1С","ERR")</f>
        <v>Есть в 1С</v>
      </c>
      <c r="AU171" s="96" t="str">
        <f ca="1">VLOOKUP(V171,Товары!A:B,2,FALSE)</f>
        <v>21-515-81</v>
      </c>
      <c r="AV171" s="94" t="str">
        <f ca="1">VLOOKUP(V171,Товары!A:B,1,FALSE)</f>
        <v>Шляпа BAILEY арт. 81722BH ROKIT (серый / черный) {light grey/black}</v>
      </c>
    </row>
    <row r="172" spans="1:48" x14ac:dyDescent="0.25">
      <c r="A172" s="110" t="str">
        <f t="shared" ca="1" si="22"/>
        <v>21-515-81</v>
      </c>
      <c r="B172" s="107" t="str">
        <f ca="1">_xlfn.LET(_xlpm.CAPS,0,_xlpm.Style,_xlfn.XLOOKUP($A172,Строчный!$A:$A,Строчный!B:B,"ERR",0),IF(_xlpm.CAPS=0,_xlpm.Style,LOWER(_xlpm.Style)))</f>
        <v>81722BH ROKIT</v>
      </c>
      <c r="C172" s="81" t="str">
        <f ca="1">PROPER(_xlfn.XLOOKUP($A172,Строчный!$A:$A,Строчный!C:C,"ERR",0))</f>
        <v>Шляпы</v>
      </c>
      <c r="D172" s="81" t="str">
        <f ca="1">_xlfn.LET(_xlpm.DATA,(_xlfn.XLOOKUP($A172,Строчный!$A:$A,Строчный!D:D,"ERR",0)),UPPER(MID(_xlpm.DATA,1,1))&amp;LOWER(MID(_xlpm.DATA,2,LEN(_xlpm.DATA)-1)))</f>
        <v>Шляпа хомбург</v>
      </c>
      <c r="E172" s="81" t="str">
        <f ca="1">PROPER(_xlfn.XLOOKUP($A172,Строчный!$A:$A,Строчный!E:E,"ERR",0))</f>
        <v>The Hollywood</v>
      </c>
      <c r="F172" s="81" t="str">
        <f ca="1">LOWER(_xlfn.XLOOKUP($A172,Строчный!$A:$A,Строчный!F:F,"ERR",0))</f>
        <v>летний</v>
      </c>
      <c r="G172" s="81" t="str">
        <f ca="1">UPPER(_xlfn.XLOOKUP($A172,Строчный!$A:$A,Строчный!G:G,"ERR",0))</f>
        <v>BAILEY</v>
      </c>
      <c r="H172" s="81" t="str">
        <f ca="1">LOWER(_xlfn.XLOOKUP($A172,Строчный!$A:$A,Строчный!H:H,"ERR",0))</f>
        <v>light grey/black</v>
      </c>
      <c r="I172" s="81" t="str">
        <f ca="1">LOWER(_xlfn.XLOOKUP($A172,Строчный!$A:$A,Строчный!I:I,"ERR",0))</f>
        <v>серый / черный</v>
      </c>
      <c r="J172" s="81" t="str">
        <f ca="1">SUBSTITUTE(LOWER(_xlfn.XLOOKUP($A172,Строчный!$A:$A,Строчный!J:J,"ERR",0)),"подклад","Подклад")</f>
        <v>55% бумага - 45% полиэстер</v>
      </c>
      <c r="K172" s="81" t="str">
        <f ca="1">LOWER(_xlfn.XLOOKUP($A172,Строчный!$A:$A,Строчный!K:K,"ERR",0))</f>
        <v>бумажные</v>
      </c>
      <c r="L172" s="81" t="str">
        <f ca="1">PROPER(_xlfn.XLOOKUP($A172,Строчный!$A:$A,Строчный!L:L,"ERR",0))</f>
        <v>Унисекс</v>
      </c>
      <c r="M172" s="113" t="str">
        <f ca="1">PROPER(_xlfn.XLOOKUP($A172,Строчный!$A:$A,Строчный!M:M,"ERR",0))</f>
        <v>Китай</v>
      </c>
      <c r="N172" s="81" t="str">
        <f ca="1">UPPER(_xlfn.XLOOKUP($A172,Строчный!$A:$A,Строчный!O:O,"ERR",0))</f>
        <v/>
      </c>
      <c r="O172" s="107" t="str">
        <f ca="1">PROPER(_xlfn.XLOOKUP($A172,Строчный!$A:$A,Строчный!P:P,"ERR",0))</f>
        <v/>
      </c>
      <c r="P172" s="90">
        <f ca="1">VALUE(_xlfn.XLOOKUP($A172,Строчный!$A:$A,Строчный!N:N,"ERR",0))</f>
        <v>2380.9500000000003</v>
      </c>
      <c r="Q172" s="89" t="str">
        <f ca="1">_xlfn.XLOOKUP($G172,Фабрика!A:A,Фабрика!B:B,"ERR",0)</f>
        <v>Bollman Headwear Europe Ltd; 2 Merchants drive, Caelisle, Cumbria CA3 0JW, United Kingdom</v>
      </c>
      <c r="R172" s="80" t="str">
        <f ca="1">_xlfn.XLOOKUP(RIGHT(Z172,2),Размеры!D:D,Размеры!A:A,"ERR",0)</f>
        <v>57</v>
      </c>
      <c r="S172" s="80">
        <f ca="1">VALUE(_xlfn.XLOOKUP($Z172,Строчный!$R:$R,Строчный!T:T,"ERR",0))</f>
        <v>4</v>
      </c>
      <c r="T172" s="14" t="s">
        <v>265</v>
      </c>
      <c r="U172" s="101" t="str">
        <f t="shared" ca="1" si="18"/>
        <v>Шляпа BAILEY арт. 81722BH ROKIT (серый / черный)</v>
      </c>
      <c r="V172" s="100" t="str">
        <f t="shared" ca="1" si="19"/>
        <v>Шляпа BAILEY арт. 81722BH ROKIT (серый / черный) {light grey/black}</v>
      </c>
      <c r="W172" s="18" t="str">
        <f t="shared" ca="1" si="20"/>
        <v>серый</v>
      </c>
      <c r="X172" s="18" t="str">
        <f t="shared" ca="1" si="21"/>
        <v>черный</v>
      </c>
      <c r="Y172" s="117" t="str">
        <f ca="1">_xlfn.LET(_xlpm.FormColors,_xlfn.XLOOKUP(A172,Строчный!A:A,Строчный!Q:Q,"",0),IF(_xlpm.FormColors=0,IFERROR(MID(I172,FIND("-",I172)+1,LEN(I172)),IFERROR(MID(I172,1,FIND("/",I172)-2),I172)),_xlpm.FormColors))</f>
        <v>серый</v>
      </c>
      <c r="Z172" s="73" t="str">
        <f ca="1"/>
        <v>21-515-81-57</v>
      </c>
      <c r="AA172" s="75" t="str">
        <f ca="1">VLOOKUP(C172,Группа!A:B,2,FALSE)</f>
        <v>Шляпа</v>
      </c>
      <c r="AB172" s="97" t="str">
        <f ca="1">IFERROR(VLOOKUP(R172,Размеры!A:C,3,FALSE),"")</f>
        <v>57 M</v>
      </c>
      <c r="AC172" s="97" t="str">
        <f ca="1">VLOOKUP(I172,ЦветПолный!A:B,2,FALSE)</f>
        <v>10</v>
      </c>
      <c r="AD172" s="97" t="str">
        <f ca="1">IFERROR(VLOOKUP(R172,Размеры!A:D,4,FALSE),"")</f>
        <v>57</v>
      </c>
      <c r="AE172" s="97">
        <f ca="1">IF(LEFT(IFERROR(VLOOKUP(LOOKUP(2,1/SEARCH(B172,Товары!A:A),Товары!A:A),Товары!A:B,2,0),""),6)=MID(Z172,1,6),1,0)</f>
        <v>1</v>
      </c>
      <c r="AG172" s="97">
        <f ca="1">SUMIF(Группа!A:A,C172,Группа!C:C)</f>
        <v>1</v>
      </c>
      <c r="AH172" s="97">
        <f ca="1">SUMIF(Группа!B:B,AA172,Группа!C:C)</f>
        <v>1</v>
      </c>
      <c r="AI172" s="97">
        <f ca="1">SUMIF(Формы!A:A,D172,Формы!B:B)</f>
        <v>1</v>
      </c>
      <c r="AJ172" s="97">
        <f ca="1">SUMIF(Материал!A:A,K172,Материал!B:B)</f>
        <v>1</v>
      </c>
      <c r="AK172" s="97">
        <f ca="1">SUMIF(Размеры!A:A,R172,Размеры!E:E)</f>
        <v>1</v>
      </c>
      <c r="AL172" s="97">
        <f ca="1">SUMIF(Сезон!A:A,F172,Сезон!B:B)</f>
        <v>1</v>
      </c>
      <c r="AM172" s="97">
        <f ca="1">SUMIF(Состав!A:A,J172,Состав!B:B)</f>
        <v>1</v>
      </c>
      <c r="AN172" s="97">
        <f ca="1">VLOOKUP(I172,ЦветПолный!A:C,3,0)</f>
        <v>1</v>
      </c>
      <c r="AO172" s="97">
        <f ca="1">SUMIF(Цвет!A:A,Y172,Цвет!B:B)</f>
        <v>1</v>
      </c>
      <c r="AP172" s="97">
        <f ca="1">_xlfn.XLOOKUP(L172,Пол!A:A,Пол!B:B,0,0)</f>
        <v>1</v>
      </c>
      <c r="AQ172" s="97">
        <f ca="1">SUMIF(Марка!A:A,G172,Марка!B:B)</f>
        <v>1</v>
      </c>
      <c r="AR172" s="97">
        <f ca="1">SUMIF(Страна!A:A,M172,Страна!B:B)</f>
        <v>1</v>
      </c>
      <c r="AS172" s="64" t="str">
        <f ca="1">IF(VLOOKUP(V172,Товары!A:B,2,FALSE)=A172,"Есть в 1С","ERR")</f>
        <v>Есть в 1С</v>
      </c>
      <c r="AT172" s="65" t="str">
        <f ca="1">IF(VLOOKUP(A172,Товары!B:B,1,FALSE)=A172,"Есть в 1С","ERR")</f>
        <v>Есть в 1С</v>
      </c>
      <c r="AU172" s="96" t="str">
        <f ca="1">VLOOKUP(V172,Товары!A:B,2,FALSE)</f>
        <v>21-515-81</v>
      </c>
      <c r="AV172" s="94" t="str">
        <f ca="1">VLOOKUP(V172,Товары!A:B,1,FALSE)</f>
        <v>Шляпа BAILEY арт. 81722BH ROKIT (серый / черный) {light grey/black}</v>
      </c>
    </row>
    <row r="173" spans="1:48" x14ac:dyDescent="0.25">
      <c r="A173" s="110" t="str">
        <f t="shared" ca="1" si="22"/>
        <v>21-515-06</v>
      </c>
      <c r="B173" s="107" t="str">
        <f ca="1">_xlfn.LET(_xlpm.CAPS,0,_xlpm.Style,_xlfn.XLOOKUP($A173,Строчный!$A:$A,Строчный!B:B,"ERR",0),IF(_xlpm.CAPS=0,_xlpm.Style,LOWER(_xlpm.Style)))</f>
        <v>81722BH ROKIT</v>
      </c>
      <c r="C173" s="81" t="str">
        <f ca="1">PROPER(_xlfn.XLOOKUP($A173,Строчный!$A:$A,Строчный!C:C,"ERR",0))</f>
        <v>Шляпы</v>
      </c>
      <c r="D173" s="81" t="str">
        <f ca="1">_xlfn.LET(_xlpm.DATA,(_xlfn.XLOOKUP($A173,Строчный!$A:$A,Строчный!D:D,"ERR",0)),UPPER(MID(_xlpm.DATA,1,1))&amp;LOWER(MID(_xlpm.DATA,2,LEN(_xlpm.DATA)-1)))</f>
        <v>Шляпа хомбург</v>
      </c>
      <c r="E173" s="81" t="str">
        <f ca="1">PROPER(_xlfn.XLOOKUP($A173,Строчный!$A:$A,Строчный!E:E,"ERR",0))</f>
        <v>The Hollywood</v>
      </c>
      <c r="F173" s="81" t="str">
        <f ca="1">LOWER(_xlfn.XLOOKUP($A173,Строчный!$A:$A,Строчный!F:F,"ERR",0))</f>
        <v>летний</v>
      </c>
      <c r="G173" s="81" t="str">
        <f ca="1">UPPER(_xlfn.XLOOKUP($A173,Строчный!$A:$A,Строчный!G:G,"ERR",0))</f>
        <v>BAILEY</v>
      </c>
      <c r="H173" s="81" t="str">
        <f ca="1">LOWER(_xlfn.XLOOKUP($A173,Строчный!$A:$A,Строчный!H:H,"ERR",0))</f>
        <v>natural/storm</v>
      </c>
      <c r="I173" s="81" t="str">
        <f ca="1">LOWER(_xlfn.XLOOKUP($A173,Строчный!$A:$A,Строчный!I:I,"ERR",0))</f>
        <v>синий / желтый</v>
      </c>
      <c r="J173" s="81" t="str">
        <f ca="1">SUBSTITUTE(LOWER(_xlfn.XLOOKUP($A173,Строчный!$A:$A,Строчный!J:J,"ERR",0)),"подклад","Подклад")</f>
        <v>55% бумага - 45% полиэстер</v>
      </c>
      <c r="K173" s="81" t="str">
        <f ca="1">LOWER(_xlfn.XLOOKUP($A173,Строчный!$A:$A,Строчный!K:K,"ERR",0))</f>
        <v>бумажные</v>
      </c>
      <c r="L173" s="81" t="str">
        <f ca="1">PROPER(_xlfn.XLOOKUP($A173,Строчный!$A:$A,Строчный!L:L,"ERR",0))</f>
        <v>Унисекс</v>
      </c>
      <c r="M173" s="113" t="str">
        <f ca="1">PROPER(_xlfn.XLOOKUP($A173,Строчный!$A:$A,Строчный!M:M,"ERR",0))</f>
        <v>Китай</v>
      </c>
      <c r="N173" s="81" t="str">
        <f ca="1">UPPER(_xlfn.XLOOKUP($A173,Строчный!$A:$A,Строчный!O:O,"ERR",0))</f>
        <v/>
      </c>
      <c r="O173" s="107" t="str">
        <f ca="1">PROPER(_xlfn.XLOOKUP($A173,Строчный!$A:$A,Строчный!P:P,"ERR",0))</f>
        <v/>
      </c>
      <c r="P173" s="90">
        <f ca="1">VALUE(_xlfn.XLOOKUP($A173,Строчный!$A:$A,Строчный!N:N,"ERR",0))</f>
        <v>2380.9500000000003</v>
      </c>
      <c r="Q173" s="89" t="str">
        <f ca="1">_xlfn.XLOOKUP($G173,Фабрика!A:A,Фабрика!B:B,"ERR",0)</f>
        <v>Bollman Headwear Europe Ltd; 2 Merchants drive, Caelisle, Cumbria CA3 0JW, United Kingdom</v>
      </c>
      <c r="R173" s="80" t="str">
        <f ca="1">_xlfn.XLOOKUP(RIGHT(Z173,2),Размеры!D:D,Размеры!A:A,"ERR",0)</f>
        <v>61</v>
      </c>
      <c r="S173" s="80">
        <f ca="1">VALUE(_xlfn.XLOOKUP($Z173,Строчный!$R:$R,Строчный!T:T,"ERR",0))</f>
        <v>4</v>
      </c>
      <c r="T173" s="14" t="s">
        <v>265</v>
      </c>
      <c r="U173" s="101" t="str">
        <f t="shared" ca="1" si="18"/>
        <v>Шляпа BAILEY арт. 81722BH ROKIT (синий / желтый)</v>
      </c>
      <c r="V173" s="100" t="str">
        <f t="shared" ca="1" si="19"/>
        <v>Шляпа BAILEY арт. 81722BH ROKIT (синий / желтый) {natural/storm}</v>
      </c>
      <c r="W173" s="18" t="str">
        <f t="shared" ca="1" si="20"/>
        <v>синий</v>
      </c>
      <c r="X173" s="18" t="str">
        <f t="shared" ca="1" si="21"/>
        <v>желтый</v>
      </c>
      <c r="Y173" s="117" t="str">
        <f ca="1">_xlfn.LET(_xlpm.FormColors,_xlfn.XLOOKUP(A173,Строчный!A:A,Строчный!Q:Q,"",0),IF(_xlpm.FormColors=0,IFERROR(MID(I173,FIND("-",I173)+1,LEN(I173)),IFERROR(MID(I173,1,FIND("/",I173)-2),I173)),_xlpm.FormColors))</f>
        <v>синий</v>
      </c>
      <c r="Z173" s="73" t="str">
        <f ca="1"/>
        <v>21-515-06-61</v>
      </c>
      <c r="AA173" s="75" t="str">
        <f ca="1">VLOOKUP(C173,Группа!A:B,2,FALSE)</f>
        <v>Шляпа</v>
      </c>
      <c r="AB173" s="97" t="str">
        <f ca="1">IFERROR(VLOOKUP(R173,Размеры!A:C,3,FALSE),"")</f>
        <v>61 XL</v>
      </c>
      <c r="AC173" s="97" t="str">
        <f ca="1">VLOOKUP(I173,ЦветПолный!A:B,2,FALSE)</f>
        <v>06</v>
      </c>
      <c r="AD173" s="97" t="str">
        <f ca="1">IFERROR(VLOOKUP(R173,Размеры!A:D,4,FALSE),"")</f>
        <v>61</v>
      </c>
      <c r="AE173" s="97">
        <f ca="1">IF(LEFT(IFERROR(VLOOKUP(LOOKUP(2,1/SEARCH(B173,Товары!A:A),Товары!A:A),Товары!A:B,2,0),""),6)=MID(Z173,1,6),1,0)</f>
        <v>1</v>
      </c>
      <c r="AG173" s="97">
        <f ca="1">SUMIF(Группа!A:A,C173,Группа!C:C)</f>
        <v>1</v>
      </c>
      <c r="AH173" s="97">
        <f ca="1">SUMIF(Группа!B:B,AA173,Группа!C:C)</f>
        <v>1</v>
      </c>
      <c r="AI173" s="97">
        <f ca="1">SUMIF(Формы!A:A,D173,Формы!B:B)</f>
        <v>1</v>
      </c>
      <c r="AJ173" s="97">
        <f ca="1">SUMIF(Материал!A:A,K173,Материал!B:B)</f>
        <v>1</v>
      </c>
      <c r="AK173" s="97">
        <f ca="1">SUMIF(Размеры!A:A,R173,Размеры!E:E)</f>
        <v>1</v>
      </c>
      <c r="AL173" s="97">
        <f ca="1">SUMIF(Сезон!A:A,F173,Сезон!B:B)</f>
        <v>1</v>
      </c>
      <c r="AM173" s="97">
        <f ca="1">SUMIF(Состав!A:A,J173,Состав!B:B)</f>
        <v>1</v>
      </c>
      <c r="AN173" s="97">
        <f ca="1">VLOOKUP(I173,ЦветПолный!A:C,3,0)</f>
        <v>1</v>
      </c>
      <c r="AO173" s="97">
        <f ca="1">SUMIF(Цвет!A:A,Y173,Цвет!B:B)</f>
        <v>1</v>
      </c>
      <c r="AP173" s="97">
        <f ca="1">_xlfn.XLOOKUP(L173,Пол!A:A,Пол!B:B,0,0)</f>
        <v>1</v>
      </c>
      <c r="AQ173" s="97">
        <f ca="1">SUMIF(Марка!A:A,G173,Марка!B:B)</f>
        <v>1</v>
      </c>
      <c r="AR173" s="97">
        <f ca="1">SUMIF(Страна!A:A,M173,Страна!B:B)</f>
        <v>1</v>
      </c>
      <c r="AS173" s="64" t="e">
        <f ca="1">IF(VLOOKUP(V173,Товары!A:B,2,FALSE)=A173,"Есть в 1С","ERR")</f>
        <v>#N/A</v>
      </c>
      <c r="AT173" s="65" t="e">
        <f ca="1">IF(VLOOKUP(A173,Товары!B:B,1,FALSE)=A173,"Есть в 1С","ERR")</f>
        <v>#N/A</v>
      </c>
      <c r="AU173" s="96" t="e">
        <f ca="1">VLOOKUP(V173,Товары!A:B,2,FALSE)</f>
        <v>#N/A</v>
      </c>
      <c r="AV173" s="94" t="e">
        <f ca="1">VLOOKUP(V173,Товары!A:B,1,FALSE)</f>
        <v>#N/A</v>
      </c>
    </row>
    <row r="174" spans="1:48" x14ac:dyDescent="0.25">
      <c r="A174" s="110" t="str">
        <f t="shared" ca="1" si="22"/>
        <v>21-515-06</v>
      </c>
      <c r="B174" s="107" t="str">
        <f ca="1">_xlfn.LET(_xlpm.CAPS,0,_xlpm.Style,_xlfn.XLOOKUP($A174,Строчный!$A:$A,Строчный!B:B,"ERR",0),IF(_xlpm.CAPS=0,_xlpm.Style,LOWER(_xlpm.Style)))</f>
        <v>81722BH ROKIT</v>
      </c>
      <c r="C174" s="81" t="str">
        <f ca="1">PROPER(_xlfn.XLOOKUP($A174,Строчный!$A:$A,Строчный!C:C,"ERR",0))</f>
        <v>Шляпы</v>
      </c>
      <c r="D174" s="81" t="str">
        <f ca="1">_xlfn.LET(_xlpm.DATA,(_xlfn.XLOOKUP($A174,Строчный!$A:$A,Строчный!D:D,"ERR",0)),UPPER(MID(_xlpm.DATA,1,1))&amp;LOWER(MID(_xlpm.DATA,2,LEN(_xlpm.DATA)-1)))</f>
        <v>Шляпа хомбург</v>
      </c>
      <c r="E174" s="81" t="str">
        <f ca="1">PROPER(_xlfn.XLOOKUP($A174,Строчный!$A:$A,Строчный!E:E,"ERR",0))</f>
        <v>The Hollywood</v>
      </c>
      <c r="F174" s="81" t="str">
        <f ca="1">LOWER(_xlfn.XLOOKUP($A174,Строчный!$A:$A,Строчный!F:F,"ERR",0))</f>
        <v>летний</v>
      </c>
      <c r="G174" s="81" t="str">
        <f ca="1">UPPER(_xlfn.XLOOKUP($A174,Строчный!$A:$A,Строчный!G:G,"ERR",0))</f>
        <v>BAILEY</v>
      </c>
      <c r="H174" s="81" t="str">
        <f ca="1">LOWER(_xlfn.XLOOKUP($A174,Строчный!$A:$A,Строчный!H:H,"ERR",0))</f>
        <v>natural/storm</v>
      </c>
      <c r="I174" s="81" t="str">
        <f ca="1">LOWER(_xlfn.XLOOKUP($A174,Строчный!$A:$A,Строчный!I:I,"ERR",0))</f>
        <v>синий / желтый</v>
      </c>
      <c r="J174" s="81" t="str">
        <f ca="1">SUBSTITUTE(LOWER(_xlfn.XLOOKUP($A174,Строчный!$A:$A,Строчный!J:J,"ERR",0)),"подклад","Подклад")</f>
        <v>55% бумага - 45% полиэстер</v>
      </c>
      <c r="K174" s="81" t="str">
        <f ca="1">LOWER(_xlfn.XLOOKUP($A174,Строчный!$A:$A,Строчный!K:K,"ERR",0))</f>
        <v>бумажные</v>
      </c>
      <c r="L174" s="81" t="str">
        <f ca="1">PROPER(_xlfn.XLOOKUP($A174,Строчный!$A:$A,Строчный!L:L,"ERR",0))</f>
        <v>Унисекс</v>
      </c>
      <c r="M174" s="113" t="str">
        <f ca="1">PROPER(_xlfn.XLOOKUP($A174,Строчный!$A:$A,Строчный!M:M,"ERR",0))</f>
        <v>Китай</v>
      </c>
      <c r="N174" s="81" t="str">
        <f ca="1">UPPER(_xlfn.XLOOKUP($A174,Строчный!$A:$A,Строчный!O:O,"ERR",0))</f>
        <v/>
      </c>
      <c r="O174" s="107" t="str">
        <f ca="1">PROPER(_xlfn.XLOOKUP($A174,Строчный!$A:$A,Строчный!P:P,"ERR",0))</f>
        <v/>
      </c>
      <c r="P174" s="90">
        <f ca="1">VALUE(_xlfn.XLOOKUP($A174,Строчный!$A:$A,Строчный!N:N,"ERR",0))</f>
        <v>2380.9500000000003</v>
      </c>
      <c r="Q174" s="89" t="str">
        <f ca="1">_xlfn.XLOOKUP($G174,Фабрика!A:A,Фабрика!B:B,"ERR",0)</f>
        <v>Bollman Headwear Europe Ltd; 2 Merchants drive, Caelisle, Cumbria CA3 0JW, United Kingdom</v>
      </c>
      <c r="R174" s="80" t="str">
        <f ca="1">_xlfn.XLOOKUP(RIGHT(Z174,2),Размеры!D:D,Размеры!A:A,"ERR",0)</f>
        <v>59</v>
      </c>
      <c r="S174" s="80">
        <f ca="1">VALUE(_xlfn.XLOOKUP($Z174,Строчный!$R:$R,Строчный!T:T,"ERR",0))</f>
        <v>12</v>
      </c>
      <c r="T174" s="14" t="s">
        <v>265</v>
      </c>
      <c r="U174" s="101" t="str">
        <f t="shared" ca="1" si="18"/>
        <v>Шляпа BAILEY арт. 81722BH ROKIT (синий / желтый)</v>
      </c>
      <c r="V174" s="100" t="str">
        <f t="shared" ca="1" si="19"/>
        <v>Шляпа BAILEY арт. 81722BH ROKIT (синий / желтый) {natural/storm}</v>
      </c>
      <c r="W174" s="18" t="str">
        <f t="shared" ca="1" si="20"/>
        <v>синий</v>
      </c>
      <c r="X174" s="18" t="str">
        <f t="shared" ca="1" si="21"/>
        <v>желтый</v>
      </c>
      <c r="Y174" s="117" t="str">
        <f ca="1">_xlfn.LET(_xlpm.FormColors,_xlfn.XLOOKUP(A174,Строчный!A:A,Строчный!Q:Q,"",0),IF(_xlpm.FormColors=0,IFERROR(MID(I174,FIND("-",I174)+1,LEN(I174)),IFERROR(MID(I174,1,FIND("/",I174)-2),I174)),_xlpm.FormColors))</f>
        <v>синий</v>
      </c>
      <c r="Z174" s="73" t="str">
        <f ca="1"/>
        <v>21-515-06-59</v>
      </c>
      <c r="AA174" s="75" t="str">
        <f ca="1">VLOOKUP(C174,Группа!A:B,2,FALSE)</f>
        <v>Шляпа</v>
      </c>
      <c r="AB174" s="97" t="str">
        <f ca="1">IFERROR(VLOOKUP(R174,Размеры!A:C,3,FALSE),"")</f>
        <v>59 L</v>
      </c>
      <c r="AC174" s="97" t="str">
        <f ca="1">VLOOKUP(I174,ЦветПолный!A:B,2,FALSE)</f>
        <v>06</v>
      </c>
      <c r="AD174" s="97" t="str">
        <f ca="1">IFERROR(VLOOKUP(R174,Размеры!A:D,4,FALSE),"")</f>
        <v>59</v>
      </c>
      <c r="AE174" s="97">
        <f ca="1">IF(LEFT(IFERROR(VLOOKUP(LOOKUP(2,1/SEARCH(B174,Товары!A:A),Товары!A:A),Товары!A:B,2,0),""),6)=MID(Z174,1,6),1,0)</f>
        <v>1</v>
      </c>
      <c r="AG174" s="97">
        <f ca="1">SUMIF(Группа!A:A,C174,Группа!C:C)</f>
        <v>1</v>
      </c>
      <c r="AH174" s="97">
        <f ca="1">SUMIF(Группа!B:B,AA174,Группа!C:C)</f>
        <v>1</v>
      </c>
      <c r="AI174" s="97">
        <f ca="1">SUMIF(Формы!A:A,D174,Формы!B:B)</f>
        <v>1</v>
      </c>
      <c r="AJ174" s="97">
        <f ca="1">SUMIF(Материал!A:A,K174,Материал!B:B)</f>
        <v>1</v>
      </c>
      <c r="AK174" s="97">
        <f ca="1">SUMIF(Размеры!A:A,R174,Размеры!E:E)</f>
        <v>1</v>
      </c>
      <c r="AL174" s="97">
        <f ca="1">SUMIF(Сезон!A:A,F174,Сезон!B:B)</f>
        <v>1</v>
      </c>
      <c r="AM174" s="97">
        <f ca="1">SUMIF(Состав!A:A,J174,Состав!B:B)</f>
        <v>1</v>
      </c>
      <c r="AN174" s="97">
        <f ca="1">VLOOKUP(I174,ЦветПолный!A:C,3,0)</f>
        <v>1</v>
      </c>
      <c r="AO174" s="97">
        <f ca="1">SUMIF(Цвет!A:A,Y174,Цвет!B:B)</f>
        <v>1</v>
      </c>
      <c r="AP174" s="97">
        <f ca="1">_xlfn.XLOOKUP(L174,Пол!A:A,Пол!B:B,0,0)</f>
        <v>1</v>
      </c>
      <c r="AQ174" s="97">
        <f ca="1">SUMIF(Марка!A:A,G174,Марка!B:B)</f>
        <v>1</v>
      </c>
      <c r="AR174" s="97">
        <f ca="1">SUMIF(Страна!A:A,M174,Страна!B:B)</f>
        <v>1</v>
      </c>
      <c r="AS174" s="64" t="e">
        <f ca="1">IF(VLOOKUP(V174,Товары!A:B,2,FALSE)=A174,"Есть в 1С","ERR")</f>
        <v>#N/A</v>
      </c>
      <c r="AT174" s="65" t="e">
        <f ca="1">IF(VLOOKUP(A174,Товары!B:B,1,FALSE)=A174,"Есть в 1С","ERR")</f>
        <v>#N/A</v>
      </c>
      <c r="AU174" s="96" t="e">
        <f ca="1">VLOOKUP(V174,Товары!A:B,2,FALSE)</f>
        <v>#N/A</v>
      </c>
      <c r="AV174" s="94" t="e">
        <f ca="1">VLOOKUP(V174,Товары!A:B,1,FALSE)</f>
        <v>#N/A</v>
      </c>
    </row>
    <row r="175" spans="1:48" x14ac:dyDescent="0.25">
      <c r="A175" s="110" t="str">
        <f t="shared" ca="1" si="22"/>
        <v>21-515-06</v>
      </c>
      <c r="B175" s="107" t="str">
        <f ca="1">_xlfn.LET(_xlpm.CAPS,0,_xlpm.Style,_xlfn.XLOOKUP($A175,Строчный!$A:$A,Строчный!B:B,"ERR",0),IF(_xlpm.CAPS=0,_xlpm.Style,LOWER(_xlpm.Style)))</f>
        <v>81722BH ROKIT</v>
      </c>
      <c r="C175" s="81" t="str">
        <f ca="1">PROPER(_xlfn.XLOOKUP($A175,Строчный!$A:$A,Строчный!C:C,"ERR",0))</f>
        <v>Шляпы</v>
      </c>
      <c r="D175" s="81" t="str">
        <f ca="1">_xlfn.LET(_xlpm.DATA,(_xlfn.XLOOKUP($A175,Строчный!$A:$A,Строчный!D:D,"ERR",0)),UPPER(MID(_xlpm.DATA,1,1))&amp;LOWER(MID(_xlpm.DATA,2,LEN(_xlpm.DATA)-1)))</f>
        <v>Шляпа хомбург</v>
      </c>
      <c r="E175" s="81" t="str">
        <f ca="1">PROPER(_xlfn.XLOOKUP($A175,Строчный!$A:$A,Строчный!E:E,"ERR",0))</f>
        <v>The Hollywood</v>
      </c>
      <c r="F175" s="81" t="str">
        <f ca="1">LOWER(_xlfn.XLOOKUP($A175,Строчный!$A:$A,Строчный!F:F,"ERR",0))</f>
        <v>летний</v>
      </c>
      <c r="G175" s="81" t="str">
        <f ca="1">UPPER(_xlfn.XLOOKUP($A175,Строчный!$A:$A,Строчный!G:G,"ERR",0))</f>
        <v>BAILEY</v>
      </c>
      <c r="H175" s="81" t="str">
        <f ca="1">LOWER(_xlfn.XLOOKUP($A175,Строчный!$A:$A,Строчный!H:H,"ERR",0))</f>
        <v>natural/storm</v>
      </c>
      <c r="I175" s="81" t="str">
        <f ca="1">LOWER(_xlfn.XLOOKUP($A175,Строчный!$A:$A,Строчный!I:I,"ERR",0))</f>
        <v>синий / желтый</v>
      </c>
      <c r="J175" s="81" t="str">
        <f ca="1">SUBSTITUTE(LOWER(_xlfn.XLOOKUP($A175,Строчный!$A:$A,Строчный!J:J,"ERR",0)),"подклад","Подклад")</f>
        <v>55% бумага - 45% полиэстер</v>
      </c>
      <c r="K175" s="81" t="str">
        <f ca="1">LOWER(_xlfn.XLOOKUP($A175,Строчный!$A:$A,Строчный!K:K,"ERR",0))</f>
        <v>бумажные</v>
      </c>
      <c r="L175" s="81" t="str">
        <f ca="1">PROPER(_xlfn.XLOOKUP($A175,Строчный!$A:$A,Строчный!L:L,"ERR",0))</f>
        <v>Унисекс</v>
      </c>
      <c r="M175" s="113" t="str">
        <f ca="1">PROPER(_xlfn.XLOOKUP($A175,Строчный!$A:$A,Строчный!M:M,"ERR",0))</f>
        <v>Китай</v>
      </c>
      <c r="N175" s="81" t="str">
        <f ca="1">UPPER(_xlfn.XLOOKUP($A175,Строчный!$A:$A,Строчный!O:O,"ERR",0))</f>
        <v/>
      </c>
      <c r="O175" s="107" t="str">
        <f ca="1">PROPER(_xlfn.XLOOKUP($A175,Строчный!$A:$A,Строчный!P:P,"ERR",0))</f>
        <v/>
      </c>
      <c r="P175" s="90">
        <f ca="1">VALUE(_xlfn.XLOOKUP($A175,Строчный!$A:$A,Строчный!N:N,"ERR",0))</f>
        <v>2380.9500000000003</v>
      </c>
      <c r="Q175" s="89" t="str">
        <f ca="1">_xlfn.XLOOKUP($G175,Фабрика!A:A,Фабрика!B:B,"ERR",0)</f>
        <v>Bollman Headwear Europe Ltd; 2 Merchants drive, Caelisle, Cumbria CA3 0JW, United Kingdom</v>
      </c>
      <c r="R175" s="80" t="str">
        <f ca="1">_xlfn.XLOOKUP(RIGHT(Z175,2),Размеры!D:D,Размеры!A:A,"ERR",0)</f>
        <v>57</v>
      </c>
      <c r="S175" s="80">
        <f ca="1">VALUE(_xlfn.XLOOKUP($Z175,Строчный!$R:$R,Строчный!T:T,"ERR",0))</f>
        <v>9</v>
      </c>
      <c r="T175" s="14" t="s">
        <v>265</v>
      </c>
      <c r="U175" s="101" t="str">
        <f t="shared" ca="1" si="18"/>
        <v>Шляпа BAILEY арт. 81722BH ROKIT (синий / желтый)</v>
      </c>
      <c r="V175" s="100" t="str">
        <f t="shared" ca="1" si="19"/>
        <v>Шляпа BAILEY арт. 81722BH ROKIT (синий / желтый) {natural/storm}</v>
      </c>
      <c r="W175" s="18" t="str">
        <f t="shared" ca="1" si="20"/>
        <v>синий</v>
      </c>
      <c r="X175" s="18" t="str">
        <f t="shared" ca="1" si="21"/>
        <v>желтый</v>
      </c>
      <c r="Y175" s="117" t="str">
        <f ca="1">_xlfn.LET(_xlpm.FormColors,_xlfn.XLOOKUP(A175,Строчный!A:A,Строчный!Q:Q,"",0),IF(_xlpm.FormColors=0,IFERROR(MID(I175,FIND("-",I175)+1,LEN(I175)),IFERROR(MID(I175,1,FIND("/",I175)-2),I175)),_xlpm.FormColors))</f>
        <v>синий</v>
      </c>
      <c r="Z175" s="73" t="str">
        <f ca="1"/>
        <v>21-515-06-57</v>
      </c>
      <c r="AA175" s="75" t="str">
        <f ca="1">VLOOKUP(C175,Группа!A:B,2,FALSE)</f>
        <v>Шляпа</v>
      </c>
      <c r="AB175" s="97" t="str">
        <f ca="1">IFERROR(VLOOKUP(R175,Размеры!A:C,3,FALSE),"")</f>
        <v>57 M</v>
      </c>
      <c r="AC175" s="97" t="str">
        <f ca="1">VLOOKUP(I175,ЦветПолный!A:B,2,FALSE)</f>
        <v>06</v>
      </c>
      <c r="AD175" s="97" t="str">
        <f ca="1">IFERROR(VLOOKUP(R175,Размеры!A:D,4,FALSE),"")</f>
        <v>57</v>
      </c>
      <c r="AE175" s="97">
        <f ca="1">IF(LEFT(IFERROR(VLOOKUP(LOOKUP(2,1/SEARCH(B175,Товары!A:A),Товары!A:A),Товары!A:B,2,0),""),6)=MID(Z175,1,6),1,0)</f>
        <v>1</v>
      </c>
      <c r="AG175" s="97">
        <f ca="1">SUMIF(Группа!A:A,C175,Группа!C:C)</f>
        <v>1</v>
      </c>
      <c r="AH175" s="97">
        <f ca="1">SUMIF(Группа!B:B,AA175,Группа!C:C)</f>
        <v>1</v>
      </c>
      <c r="AI175" s="97">
        <f ca="1">SUMIF(Формы!A:A,D175,Формы!B:B)</f>
        <v>1</v>
      </c>
      <c r="AJ175" s="97">
        <f ca="1">SUMIF(Материал!A:A,K175,Материал!B:B)</f>
        <v>1</v>
      </c>
      <c r="AK175" s="97">
        <f ca="1">SUMIF(Размеры!A:A,R175,Размеры!E:E)</f>
        <v>1</v>
      </c>
      <c r="AL175" s="97">
        <f ca="1">SUMIF(Сезон!A:A,F175,Сезон!B:B)</f>
        <v>1</v>
      </c>
      <c r="AM175" s="97">
        <f ca="1">SUMIF(Состав!A:A,J175,Состав!B:B)</f>
        <v>1</v>
      </c>
      <c r="AN175" s="97">
        <f ca="1">VLOOKUP(I175,ЦветПолный!A:C,3,0)</f>
        <v>1</v>
      </c>
      <c r="AO175" s="97">
        <f ca="1">SUMIF(Цвет!A:A,Y175,Цвет!B:B)</f>
        <v>1</v>
      </c>
      <c r="AP175" s="97">
        <f ca="1">_xlfn.XLOOKUP(L175,Пол!A:A,Пол!B:B,0,0)</f>
        <v>1</v>
      </c>
      <c r="AQ175" s="97">
        <f ca="1">SUMIF(Марка!A:A,G175,Марка!B:B)</f>
        <v>1</v>
      </c>
      <c r="AR175" s="97">
        <f ca="1">SUMIF(Страна!A:A,M175,Страна!B:B)</f>
        <v>1</v>
      </c>
      <c r="AS175" s="64" t="e">
        <f ca="1">IF(VLOOKUP(V175,Товары!A:B,2,FALSE)=A175,"Есть в 1С","ERR")</f>
        <v>#N/A</v>
      </c>
      <c r="AT175" s="65" t="e">
        <f ca="1">IF(VLOOKUP(A175,Товары!B:B,1,FALSE)=A175,"Есть в 1С","ERR")</f>
        <v>#N/A</v>
      </c>
      <c r="AU175" s="96" t="e">
        <f ca="1">VLOOKUP(V175,Товары!A:B,2,FALSE)</f>
        <v>#N/A</v>
      </c>
      <c r="AV175" s="94" t="e">
        <f ca="1">VLOOKUP(V175,Товары!A:B,1,FALSE)</f>
        <v>#N/A</v>
      </c>
    </row>
    <row r="176" spans="1:48" x14ac:dyDescent="0.25">
      <c r="A176" s="110" t="str">
        <f t="shared" ca="1" si="22"/>
        <v>21-515-06</v>
      </c>
      <c r="B176" s="107" t="str">
        <f ca="1">_xlfn.LET(_xlpm.CAPS,0,_xlpm.Style,_xlfn.XLOOKUP($A176,Строчный!$A:$A,Строчный!B:B,"ERR",0),IF(_xlpm.CAPS=0,_xlpm.Style,LOWER(_xlpm.Style)))</f>
        <v>81722BH ROKIT</v>
      </c>
      <c r="C176" s="81" t="str">
        <f ca="1">PROPER(_xlfn.XLOOKUP($A176,Строчный!$A:$A,Строчный!C:C,"ERR",0))</f>
        <v>Шляпы</v>
      </c>
      <c r="D176" s="81" t="str">
        <f ca="1">_xlfn.LET(_xlpm.DATA,(_xlfn.XLOOKUP($A176,Строчный!$A:$A,Строчный!D:D,"ERR",0)),UPPER(MID(_xlpm.DATA,1,1))&amp;LOWER(MID(_xlpm.DATA,2,LEN(_xlpm.DATA)-1)))</f>
        <v>Шляпа хомбург</v>
      </c>
      <c r="E176" s="81" t="str">
        <f ca="1">PROPER(_xlfn.XLOOKUP($A176,Строчный!$A:$A,Строчный!E:E,"ERR",0))</f>
        <v>The Hollywood</v>
      </c>
      <c r="F176" s="81" t="str">
        <f ca="1">LOWER(_xlfn.XLOOKUP($A176,Строчный!$A:$A,Строчный!F:F,"ERR",0))</f>
        <v>летний</v>
      </c>
      <c r="G176" s="81" t="str">
        <f ca="1">UPPER(_xlfn.XLOOKUP($A176,Строчный!$A:$A,Строчный!G:G,"ERR",0))</f>
        <v>BAILEY</v>
      </c>
      <c r="H176" s="81" t="str">
        <f ca="1">LOWER(_xlfn.XLOOKUP($A176,Строчный!$A:$A,Строчный!H:H,"ERR",0))</f>
        <v>natural/storm</v>
      </c>
      <c r="I176" s="81" t="str">
        <f ca="1">LOWER(_xlfn.XLOOKUP($A176,Строчный!$A:$A,Строчный!I:I,"ERR",0))</f>
        <v>синий / желтый</v>
      </c>
      <c r="J176" s="81" t="str">
        <f ca="1">SUBSTITUTE(LOWER(_xlfn.XLOOKUP($A176,Строчный!$A:$A,Строчный!J:J,"ERR",0)),"подклад","Подклад")</f>
        <v>55% бумага - 45% полиэстер</v>
      </c>
      <c r="K176" s="81" t="str">
        <f ca="1">LOWER(_xlfn.XLOOKUP($A176,Строчный!$A:$A,Строчный!K:K,"ERR",0))</f>
        <v>бумажные</v>
      </c>
      <c r="L176" s="81" t="str">
        <f ca="1">PROPER(_xlfn.XLOOKUP($A176,Строчный!$A:$A,Строчный!L:L,"ERR",0))</f>
        <v>Унисекс</v>
      </c>
      <c r="M176" s="113" t="str">
        <f ca="1">PROPER(_xlfn.XLOOKUP($A176,Строчный!$A:$A,Строчный!M:M,"ERR",0))</f>
        <v>Китай</v>
      </c>
      <c r="N176" s="81" t="str">
        <f ca="1">UPPER(_xlfn.XLOOKUP($A176,Строчный!$A:$A,Строчный!O:O,"ERR",0))</f>
        <v/>
      </c>
      <c r="O176" s="107" t="str">
        <f ca="1">PROPER(_xlfn.XLOOKUP($A176,Строчный!$A:$A,Строчный!P:P,"ERR",0))</f>
        <v/>
      </c>
      <c r="P176" s="90">
        <f ca="1">VALUE(_xlfn.XLOOKUP($A176,Строчный!$A:$A,Строчный!N:N,"ERR",0))</f>
        <v>2380.9500000000003</v>
      </c>
      <c r="Q176" s="89" t="str">
        <f ca="1">_xlfn.XLOOKUP($G176,Фабрика!A:A,Фабрика!B:B,"ERR",0)</f>
        <v>Bollman Headwear Europe Ltd; 2 Merchants drive, Caelisle, Cumbria CA3 0JW, United Kingdom</v>
      </c>
      <c r="R176" s="80" t="str">
        <f ca="1">_xlfn.XLOOKUP(RIGHT(Z176,2),Размеры!D:D,Размеры!A:A,"ERR",0)</f>
        <v>55</v>
      </c>
      <c r="S176" s="80">
        <f ca="1">VALUE(_xlfn.XLOOKUP($Z176,Строчный!$R:$R,Строчный!T:T,"ERR",0))</f>
        <v>3</v>
      </c>
      <c r="T176" s="14" t="s">
        <v>265</v>
      </c>
      <c r="U176" s="101" t="str">
        <f t="shared" ca="1" si="18"/>
        <v>Шляпа BAILEY арт. 81722BH ROKIT (синий / желтый)</v>
      </c>
      <c r="V176" s="100" t="str">
        <f t="shared" ca="1" si="19"/>
        <v>Шляпа BAILEY арт. 81722BH ROKIT (синий / желтый) {natural/storm}</v>
      </c>
      <c r="W176" s="18" t="str">
        <f t="shared" ca="1" si="20"/>
        <v>синий</v>
      </c>
      <c r="X176" s="18" t="str">
        <f t="shared" ca="1" si="21"/>
        <v>желтый</v>
      </c>
      <c r="Y176" s="117" t="str">
        <f ca="1">_xlfn.LET(_xlpm.FormColors,_xlfn.XLOOKUP(A176,Строчный!A:A,Строчный!Q:Q,"",0),IF(_xlpm.FormColors=0,IFERROR(MID(I176,FIND("-",I176)+1,LEN(I176)),IFERROR(MID(I176,1,FIND("/",I176)-2),I176)),_xlpm.FormColors))</f>
        <v>синий</v>
      </c>
      <c r="Z176" s="73" t="str">
        <f ca="1"/>
        <v>21-515-06-55</v>
      </c>
      <c r="AA176" s="75" t="str">
        <f ca="1">VLOOKUP(C176,Группа!A:B,2,FALSE)</f>
        <v>Шляпа</v>
      </c>
      <c r="AB176" s="97" t="str">
        <f ca="1">IFERROR(VLOOKUP(R176,Размеры!A:C,3,FALSE),"")</f>
        <v>55 S</v>
      </c>
      <c r="AC176" s="97" t="str">
        <f ca="1">VLOOKUP(I176,ЦветПолный!A:B,2,FALSE)</f>
        <v>06</v>
      </c>
      <c r="AD176" s="97" t="str">
        <f ca="1">IFERROR(VLOOKUP(R176,Размеры!A:D,4,FALSE),"")</f>
        <v>55</v>
      </c>
      <c r="AE176" s="97">
        <f ca="1">IF(LEFT(IFERROR(VLOOKUP(LOOKUP(2,1/SEARCH(B176,Товары!A:A),Товары!A:A),Товары!A:B,2,0),""),6)=MID(Z176,1,6),1,0)</f>
        <v>1</v>
      </c>
      <c r="AG176" s="97">
        <f ca="1">SUMIF(Группа!A:A,C176,Группа!C:C)</f>
        <v>1</v>
      </c>
      <c r="AH176" s="97">
        <f ca="1">SUMIF(Группа!B:B,AA176,Группа!C:C)</f>
        <v>1</v>
      </c>
      <c r="AI176" s="97">
        <f ca="1">SUMIF(Формы!A:A,D176,Формы!B:B)</f>
        <v>1</v>
      </c>
      <c r="AJ176" s="97">
        <f ca="1">SUMIF(Материал!A:A,K176,Материал!B:B)</f>
        <v>1</v>
      </c>
      <c r="AK176" s="97">
        <f ca="1">SUMIF(Размеры!A:A,R176,Размеры!E:E)</f>
        <v>1</v>
      </c>
      <c r="AL176" s="97">
        <f ca="1">SUMIF(Сезон!A:A,F176,Сезон!B:B)</f>
        <v>1</v>
      </c>
      <c r="AM176" s="97">
        <f ca="1">SUMIF(Состав!A:A,J176,Состав!B:B)</f>
        <v>1</v>
      </c>
      <c r="AN176" s="97">
        <f ca="1">VLOOKUP(I176,ЦветПолный!A:C,3,0)</f>
        <v>1</v>
      </c>
      <c r="AO176" s="97">
        <f ca="1">SUMIF(Цвет!A:A,Y176,Цвет!B:B)</f>
        <v>1</v>
      </c>
      <c r="AP176" s="97">
        <f ca="1">_xlfn.XLOOKUP(L176,Пол!A:A,Пол!B:B,0,0)</f>
        <v>1</v>
      </c>
      <c r="AQ176" s="97">
        <f ca="1">SUMIF(Марка!A:A,G176,Марка!B:B)</f>
        <v>1</v>
      </c>
      <c r="AR176" s="97">
        <f ca="1">SUMIF(Страна!A:A,M176,Страна!B:B)</f>
        <v>1</v>
      </c>
      <c r="AS176" s="64" t="e">
        <f ca="1">IF(VLOOKUP(V176,Товары!A:B,2,FALSE)=A176,"Есть в 1С","ERR")</f>
        <v>#N/A</v>
      </c>
      <c r="AT176" s="65" t="e">
        <f ca="1">IF(VLOOKUP(A176,Товары!B:B,1,FALSE)=A176,"Есть в 1С","ERR")</f>
        <v>#N/A</v>
      </c>
      <c r="AU176" s="96" t="e">
        <f ca="1">VLOOKUP(V176,Товары!A:B,2,FALSE)</f>
        <v>#N/A</v>
      </c>
      <c r="AV176" s="94" t="e">
        <f ca="1">VLOOKUP(V176,Товары!A:B,1,FALSE)</f>
        <v>#N/A</v>
      </c>
    </row>
    <row r="177" spans="1:48" x14ac:dyDescent="0.25">
      <c r="A177" s="110" t="str">
        <f t="shared" ca="1" si="22"/>
        <v>21-514-53</v>
      </c>
      <c r="B177" s="107" t="str">
        <f ca="1">_xlfn.LET(_xlpm.CAPS,0,_xlpm.Style,_xlfn.XLOOKUP($A177,Строчный!$A:$A,Строчный!B:B,"ERR",0),IF(_xlpm.CAPS=0,_xlpm.Style,LOWER(_xlpm.Style)))</f>
        <v>81720BH MULLAN</v>
      </c>
      <c r="C177" s="81" t="str">
        <f ca="1">PROPER(_xlfn.XLOOKUP($A177,Строчный!$A:$A,Строчный!C:C,"ERR",0))</f>
        <v>Шляпы</v>
      </c>
      <c r="D177" s="81" t="str">
        <f ca="1">_xlfn.LET(_xlpm.DATA,(_xlfn.XLOOKUP($A177,Строчный!$A:$A,Строчный!D:D,"ERR",0)),UPPER(MID(_xlpm.DATA,1,1))&amp;LOWER(MID(_xlpm.DATA,2,LEN(_xlpm.DATA)-1)))</f>
        <v>Шляпа федора</v>
      </c>
      <c r="E177" s="81" t="str">
        <f ca="1">PROPER(_xlfn.XLOOKUP($A177,Строчный!$A:$A,Строчный!E:E,"ERR",0))</f>
        <v>The Hollywood</v>
      </c>
      <c r="F177" s="81" t="str">
        <f ca="1">LOWER(_xlfn.XLOOKUP($A177,Строчный!$A:$A,Строчный!F:F,"ERR",0))</f>
        <v>летний</v>
      </c>
      <c r="G177" s="81" t="str">
        <f ca="1">UPPER(_xlfn.XLOOKUP($A177,Строчный!$A:$A,Строчный!G:G,"ERR",0))</f>
        <v>BAILEY</v>
      </c>
      <c r="H177" s="81" t="str">
        <f ca="1">LOWER(_xlfn.XLOOKUP($A177,Строчный!$A:$A,Строчный!H:H,"ERR",0))</f>
        <v>sand</v>
      </c>
      <c r="I177" s="81" t="str">
        <f ca="1">LOWER(_xlfn.XLOOKUP($A177,Строчный!$A:$A,Строчный!I:I,"ERR",0))</f>
        <v>бежевый / черный</v>
      </c>
      <c r="J177" s="81" t="str">
        <f ca="1">SUBSTITUTE(LOWER(_xlfn.XLOOKUP($A177,Строчный!$A:$A,Строчный!J:J,"ERR",0)),"подклад","Подклад")</f>
        <v>50% бумага - 50% полипропилен</v>
      </c>
      <c r="K177" s="81" t="str">
        <f ca="1">LOWER(_xlfn.XLOOKUP($A177,Строчный!$A:$A,Строчный!K:K,"ERR",0))</f>
        <v>бумажные</v>
      </c>
      <c r="L177" s="81" t="str">
        <f ca="1">PROPER(_xlfn.XLOOKUP($A177,Строчный!$A:$A,Строчный!L:L,"ERR",0))</f>
        <v>Унисекс</v>
      </c>
      <c r="M177" s="113" t="str">
        <f ca="1">PROPER(_xlfn.XLOOKUP($A177,Строчный!$A:$A,Строчный!M:M,"ERR",0))</f>
        <v>Китай</v>
      </c>
      <c r="N177" s="81" t="str">
        <f ca="1">UPPER(_xlfn.XLOOKUP($A177,Строчный!$A:$A,Строчный!O:O,"ERR",0))</f>
        <v/>
      </c>
      <c r="O177" s="107" t="str">
        <f ca="1">PROPER(_xlfn.XLOOKUP($A177,Строчный!$A:$A,Строчный!P:P,"ERR",0))</f>
        <v/>
      </c>
      <c r="P177" s="90">
        <f ca="1">VALUE(_xlfn.XLOOKUP($A177,Строчный!$A:$A,Строчный!N:N,"ERR",0))</f>
        <v>2310.75</v>
      </c>
      <c r="Q177" s="89" t="str">
        <f ca="1">_xlfn.XLOOKUP($G177,Фабрика!A:A,Фабрика!B:B,"ERR",0)</f>
        <v>Bollman Headwear Europe Ltd; 2 Merchants drive, Caelisle, Cumbria CA3 0JW, United Kingdom</v>
      </c>
      <c r="R177" s="80" t="str">
        <f ca="1">_xlfn.XLOOKUP(RIGHT(Z177,2),Размеры!D:D,Размеры!A:A,"ERR",0)</f>
        <v>61</v>
      </c>
      <c r="S177" s="80">
        <f ca="1">VALUE(_xlfn.XLOOKUP($Z177,Строчный!$R:$R,Строчный!T:T,"ERR",0))</f>
        <v>9</v>
      </c>
      <c r="T177" s="14" t="s">
        <v>265</v>
      </c>
      <c r="U177" s="101" t="str">
        <f t="shared" ca="1" si="18"/>
        <v>Шляпа BAILEY арт. 81720BH MULLAN (бежевый / черный)</v>
      </c>
      <c r="V177" s="100" t="str">
        <f t="shared" ca="1" si="19"/>
        <v>Шляпа BAILEY арт. 81720BH MULLAN (бежевый / черный) {sand}</v>
      </c>
      <c r="W177" s="18" t="str">
        <f t="shared" ca="1" si="20"/>
        <v>бежевый</v>
      </c>
      <c r="X177" s="18" t="str">
        <f t="shared" ca="1" si="21"/>
        <v>черный</v>
      </c>
      <c r="Y177" s="117" t="str">
        <f ca="1">_xlfn.LET(_xlpm.FormColors,_xlfn.XLOOKUP(A177,Строчный!A:A,Строчный!Q:Q,"",0),IF(_xlpm.FormColors=0,IFERROR(MID(I177,FIND("-",I177)+1,LEN(I177)),IFERROR(MID(I177,1,FIND("/",I177)-2),I177)),_xlpm.FormColors))</f>
        <v>бежевый</v>
      </c>
      <c r="Z177" s="73" t="str">
        <f ca="1"/>
        <v>21-514-53-61</v>
      </c>
      <c r="AA177" s="75" t="str">
        <f ca="1">VLOOKUP(C177,Группа!A:B,2,FALSE)</f>
        <v>Шляпа</v>
      </c>
      <c r="AB177" s="97" t="str">
        <f ca="1">IFERROR(VLOOKUP(R177,Размеры!A:C,3,FALSE),"")</f>
        <v>61 XL</v>
      </c>
      <c r="AC177" s="97" t="str">
        <f ca="1">VLOOKUP(I177,ЦветПолный!A:B,2,FALSE)</f>
        <v>53</v>
      </c>
      <c r="AD177" s="97" t="str">
        <f ca="1">IFERROR(VLOOKUP(R177,Размеры!A:D,4,FALSE),"")</f>
        <v>61</v>
      </c>
      <c r="AE177" s="97">
        <f ca="1">IF(LEFT(IFERROR(VLOOKUP(LOOKUP(2,1/SEARCH(B177,Товары!A:A),Товары!A:A),Товары!A:B,2,0),""),6)=MID(Z177,1,6),1,0)</f>
        <v>1</v>
      </c>
      <c r="AG177" s="97">
        <f ca="1">SUMIF(Группа!A:A,C177,Группа!C:C)</f>
        <v>1</v>
      </c>
      <c r="AH177" s="97">
        <f ca="1">SUMIF(Группа!B:B,AA177,Группа!C:C)</f>
        <v>1</v>
      </c>
      <c r="AI177" s="97">
        <f ca="1">SUMIF(Формы!A:A,D177,Формы!B:B)</f>
        <v>1</v>
      </c>
      <c r="AJ177" s="97">
        <f ca="1">SUMIF(Материал!A:A,K177,Материал!B:B)</f>
        <v>1</v>
      </c>
      <c r="AK177" s="97">
        <f ca="1">SUMIF(Размеры!A:A,R177,Размеры!E:E)</f>
        <v>1</v>
      </c>
      <c r="AL177" s="97">
        <f ca="1">SUMIF(Сезон!A:A,F177,Сезон!B:B)</f>
        <v>1</v>
      </c>
      <c r="AM177" s="97">
        <f ca="1">SUMIF(Состав!A:A,J177,Состав!B:B)</f>
        <v>1</v>
      </c>
      <c r="AN177" s="97">
        <f ca="1">VLOOKUP(I177,ЦветПолный!A:C,3,0)</f>
        <v>1</v>
      </c>
      <c r="AO177" s="97">
        <f ca="1">SUMIF(Цвет!A:A,Y177,Цвет!B:B)</f>
        <v>1</v>
      </c>
      <c r="AP177" s="97">
        <f ca="1">_xlfn.XLOOKUP(L177,Пол!A:A,Пол!B:B,0,0)</f>
        <v>1</v>
      </c>
      <c r="AQ177" s="97">
        <f ca="1">SUMIF(Марка!A:A,G177,Марка!B:B)</f>
        <v>1</v>
      </c>
      <c r="AR177" s="97">
        <f ca="1">SUMIF(Страна!A:A,M177,Страна!B:B)</f>
        <v>1</v>
      </c>
      <c r="AS177" s="64" t="str">
        <f ca="1">IF(VLOOKUP(V177,Товары!A:B,2,FALSE)=A177,"Есть в 1С","ERR")</f>
        <v>Есть в 1С</v>
      </c>
      <c r="AT177" s="65" t="str">
        <f ca="1">IF(VLOOKUP(A177,Товары!B:B,1,FALSE)=A177,"Есть в 1С","ERR")</f>
        <v>Есть в 1С</v>
      </c>
      <c r="AU177" s="96" t="str">
        <f ca="1">VLOOKUP(V177,Товары!A:B,2,FALSE)</f>
        <v>21-514-53</v>
      </c>
      <c r="AV177" s="94" t="str">
        <f ca="1">VLOOKUP(V177,Товары!A:B,1,FALSE)</f>
        <v>Шляпа BAILEY арт. 81720BH MULLAN (бежевый / черный) {sand}</v>
      </c>
    </row>
    <row r="178" spans="1:48" x14ac:dyDescent="0.25">
      <c r="A178" s="110" t="str">
        <f t="shared" ca="1" si="22"/>
        <v>21-514-53</v>
      </c>
      <c r="B178" s="107" t="str">
        <f ca="1">_xlfn.LET(_xlpm.CAPS,0,_xlpm.Style,_xlfn.XLOOKUP($A178,Строчный!$A:$A,Строчный!B:B,"ERR",0),IF(_xlpm.CAPS=0,_xlpm.Style,LOWER(_xlpm.Style)))</f>
        <v>81720BH MULLAN</v>
      </c>
      <c r="C178" s="81" t="str">
        <f ca="1">PROPER(_xlfn.XLOOKUP($A178,Строчный!$A:$A,Строчный!C:C,"ERR",0))</f>
        <v>Шляпы</v>
      </c>
      <c r="D178" s="81" t="str">
        <f ca="1">_xlfn.LET(_xlpm.DATA,(_xlfn.XLOOKUP($A178,Строчный!$A:$A,Строчный!D:D,"ERR",0)),UPPER(MID(_xlpm.DATA,1,1))&amp;LOWER(MID(_xlpm.DATA,2,LEN(_xlpm.DATA)-1)))</f>
        <v>Шляпа федора</v>
      </c>
      <c r="E178" s="81" t="str">
        <f ca="1">PROPER(_xlfn.XLOOKUP($A178,Строчный!$A:$A,Строчный!E:E,"ERR",0))</f>
        <v>The Hollywood</v>
      </c>
      <c r="F178" s="81" t="str">
        <f ca="1">LOWER(_xlfn.XLOOKUP($A178,Строчный!$A:$A,Строчный!F:F,"ERR",0))</f>
        <v>летний</v>
      </c>
      <c r="G178" s="81" t="str">
        <f ca="1">UPPER(_xlfn.XLOOKUP($A178,Строчный!$A:$A,Строчный!G:G,"ERR",0))</f>
        <v>BAILEY</v>
      </c>
      <c r="H178" s="81" t="str">
        <f ca="1">LOWER(_xlfn.XLOOKUP($A178,Строчный!$A:$A,Строчный!H:H,"ERR",0))</f>
        <v>sand</v>
      </c>
      <c r="I178" s="81" t="str">
        <f ca="1">LOWER(_xlfn.XLOOKUP($A178,Строчный!$A:$A,Строчный!I:I,"ERR",0))</f>
        <v>бежевый / черный</v>
      </c>
      <c r="J178" s="81" t="str">
        <f ca="1">SUBSTITUTE(LOWER(_xlfn.XLOOKUP($A178,Строчный!$A:$A,Строчный!J:J,"ERR",0)),"подклад","Подклад")</f>
        <v>50% бумага - 50% полипропилен</v>
      </c>
      <c r="K178" s="81" t="str">
        <f ca="1">LOWER(_xlfn.XLOOKUP($A178,Строчный!$A:$A,Строчный!K:K,"ERR",0))</f>
        <v>бумажные</v>
      </c>
      <c r="L178" s="81" t="str">
        <f ca="1">PROPER(_xlfn.XLOOKUP($A178,Строчный!$A:$A,Строчный!L:L,"ERR",0))</f>
        <v>Унисекс</v>
      </c>
      <c r="M178" s="113" t="str">
        <f ca="1">PROPER(_xlfn.XLOOKUP($A178,Строчный!$A:$A,Строчный!M:M,"ERR",0))</f>
        <v>Китай</v>
      </c>
      <c r="N178" s="81" t="str">
        <f ca="1">UPPER(_xlfn.XLOOKUP($A178,Строчный!$A:$A,Строчный!O:O,"ERR",0))</f>
        <v/>
      </c>
      <c r="O178" s="107" t="str">
        <f ca="1">PROPER(_xlfn.XLOOKUP($A178,Строчный!$A:$A,Строчный!P:P,"ERR",0))</f>
        <v/>
      </c>
      <c r="P178" s="90">
        <f ca="1">VALUE(_xlfn.XLOOKUP($A178,Строчный!$A:$A,Строчный!N:N,"ERR",0))</f>
        <v>2310.75</v>
      </c>
      <c r="Q178" s="89" t="str">
        <f ca="1">_xlfn.XLOOKUP($G178,Фабрика!A:A,Фабрика!B:B,"ERR",0)</f>
        <v>Bollman Headwear Europe Ltd; 2 Merchants drive, Caelisle, Cumbria CA3 0JW, United Kingdom</v>
      </c>
      <c r="R178" s="80" t="str">
        <f ca="1">_xlfn.XLOOKUP(RIGHT(Z178,2),Размеры!D:D,Размеры!A:A,"ERR",0)</f>
        <v>59</v>
      </c>
      <c r="S178" s="80">
        <f ca="1">VALUE(_xlfn.XLOOKUP($Z178,Строчный!$R:$R,Строчный!T:T,"ERR",0))</f>
        <v>13</v>
      </c>
      <c r="T178" s="14" t="s">
        <v>265</v>
      </c>
      <c r="U178" s="101" t="str">
        <f t="shared" ca="1" si="18"/>
        <v>Шляпа BAILEY арт. 81720BH MULLAN (бежевый / черный)</v>
      </c>
      <c r="V178" s="100" t="str">
        <f t="shared" ca="1" si="19"/>
        <v>Шляпа BAILEY арт. 81720BH MULLAN (бежевый / черный) {sand}</v>
      </c>
      <c r="W178" s="18" t="str">
        <f t="shared" ca="1" si="20"/>
        <v>бежевый</v>
      </c>
      <c r="X178" s="18" t="str">
        <f t="shared" ca="1" si="21"/>
        <v>черный</v>
      </c>
      <c r="Y178" s="117" t="str">
        <f ca="1">_xlfn.LET(_xlpm.FormColors,_xlfn.XLOOKUP(A178,Строчный!A:A,Строчный!Q:Q,"",0),IF(_xlpm.FormColors=0,IFERROR(MID(I178,FIND("-",I178)+1,LEN(I178)),IFERROR(MID(I178,1,FIND("/",I178)-2),I178)),_xlpm.FormColors))</f>
        <v>бежевый</v>
      </c>
      <c r="Z178" s="73" t="str">
        <f ca="1"/>
        <v>21-514-53-59</v>
      </c>
      <c r="AA178" s="75" t="str">
        <f ca="1">VLOOKUP(C178,Группа!A:B,2,FALSE)</f>
        <v>Шляпа</v>
      </c>
      <c r="AB178" s="97" t="str">
        <f ca="1">IFERROR(VLOOKUP(R178,Размеры!A:C,3,FALSE),"")</f>
        <v>59 L</v>
      </c>
      <c r="AC178" s="97" t="str">
        <f ca="1">VLOOKUP(I178,ЦветПолный!A:B,2,FALSE)</f>
        <v>53</v>
      </c>
      <c r="AD178" s="97" t="str">
        <f ca="1">IFERROR(VLOOKUP(R178,Размеры!A:D,4,FALSE),"")</f>
        <v>59</v>
      </c>
      <c r="AE178" s="97">
        <f ca="1">IF(LEFT(IFERROR(VLOOKUP(LOOKUP(2,1/SEARCH(B178,Товары!A:A),Товары!A:A),Товары!A:B,2,0),""),6)=MID(Z178,1,6),1,0)</f>
        <v>1</v>
      </c>
      <c r="AG178" s="97">
        <f ca="1">SUMIF(Группа!A:A,C178,Группа!C:C)</f>
        <v>1</v>
      </c>
      <c r="AH178" s="97">
        <f ca="1">SUMIF(Группа!B:B,AA178,Группа!C:C)</f>
        <v>1</v>
      </c>
      <c r="AI178" s="97">
        <f ca="1">SUMIF(Формы!A:A,D178,Формы!B:B)</f>
        <v>1</v>
      </c>
      <c r="AJ178" s="97">
        <f ca="1">SUMIF(Материал!A:A,K178,Материал!B:B)</f>
        <v>1</v>
      </c>
      <c r="AK178" s="97">
        <f ca="1">SUMIF(Размеры!A:A,R178,Размеры!E:E)</f>
        <v>1</v>
      </c>
      <c r="AL178" s="97">
        <f ca="1">SUMIF(Сезон!A:A,F178,Сезон!B:B)</f>
        <v>1</v>
      </c>
      <c r="AM178" s="97">
        <f ca="1">SUMIF(Состав!A:A,J178,Состав!B:B)</f>
        <v>1</v>
      </c>
      <c r="AN178" s="97">
        <f ca="1">VLOOKUP(I178,ЦветПолный!A:C,3,0)</f>
        <v>1</v>
      </c>
      <c r="AO178" s="97">
        <f ca="1">SUMIF(Цвет!A:A,Y178,Цвет!B:B)</f>
        <v>1</v>
      </c>
      <c r="AP178" s="97">
        <f ca="1">_xlfn.XLOOKUP(L178,Пол!A:A,Пол!B:B,0,0)</f>
        <v>1</v>
      </c>
      <c r="AQ178" s="97">
        <f ca="1">SUMIF(Марка!A:A,G178,Марка!B:B)</f>
        <v>1</v>
      </c>
      <c r="AR178" s="97">
        <f ca="1">SUMIF(Страна!A:A,M178,Страна!B:B)</f>
        <v>1</v>
      </c>
      <c r="AS178" s="64" t="str">
        <f ca="1">IF(VLOOKUP(V178,Товары!A:B,2,FALSE)=A178,"Есть в 1С","ERR")</f>
        <v>Есть в 1С</v>
      </c>
      <c r="AT178" s="65" t="str">
        <f ca="1">IF(VLOOKUP(A178,Товары!B:B,1,FALSE)=A178,"Есть в 1С","ERR")</f>
        <v>Есть в 1С</v>
      </c>
      <c r="AU178" s="96" t="str">
        <f ca="1">VLOOKUP(V178,Товары!A:B,2,FALSE)</f>
        <v>21-514-53</v>
      </c>
      <c r="AV178" s="94" t="str">
        <f ca="1">VLOOKUP(V178,Товары!A:B,1,FALSE)</f>
        <v>Шляпа BAILEY арт. 81720BH MULLAN (бежевый / черный) {sand}</v>
      </c>
    </row>
    <row r="179" spans="1:48" x14ac:dyDescent="0.25">
      <c r="A179" s="110" t="str">
        <f t="shared" ca="1" si="22"/>
        <v>21-514-53</v>
      </c>
      <c r="B179" s="107" t="str">
        <f ca="1">_xlfn.LET(_xlpm.CAPS,0,_xlpm.Style,_xlfn.XLOOKUP($A179,Строчный!$A:$A,Строчный!B:B,"ERR",0),IF(_xlpm.CAPS=0,_xlpm.Style,LOWER(_xlpm.Style)))</f>
        <v>81720BH MULLAN</v>
      </c>
      <c r="C179" s="81" t="str">
        <f ca="1">PROPER(_xlfn.XLOOKUP($A179,Строчный!$A:$A,Строчный!C:C,"ERR",0))</f>
        <v>Шляпы</v>
      </c>
      <c r="D179" s="81" t="str">
        <f ca="1">_xlfn.LET(_xlpm.DATA,(_xlfn.XLOOKUP($A179,Строчный!$A:$A,Строчный!D:D,"ERR",0)),UPPER(MID(_xlpm.DATA,1,1))&amp;LOWER(MID(_xlpm.DATA,2,LEN(_xlpm.DATA)-1)))</f>
        <v>Шляпа федора</v>
      </c>
      <c r="E179" s="81" t="str">
        <f ca="1">PROPER(_xlfn.XLOOKUP($A179,Строчный!$A:$A,Строчный!E:E,"ERR",0))</f>
        <v>The Hollywood</v>
      </c>
      <c r="F179" s="81" t="str">
        <f ca="1">LOWER(_xlfn.XLOOKUP($A179,Строчный!$A:$A,Строчный!F:F,"ERR",0))</f>
        <v>летний</v>
      </c>
      <c r="G179" s="81" t="str">
        <f ca="1">UPPER(_xlfn.XLOOKUP($A179,Строчный!$A:$A,Строчный!G:G,"ERR",0))</f>
        <v>BAILEY</v>
      </c>
      <c r="H179" s="81" t="str">
        <f ca="1">LOWER(_xlfn.XLOOKUP($A179,Строчный!$A:$A,Строчный!H:H,"ERR",0))</f>
        <v>sand</v>
      </c>
      <c r="I179" s="81" t="str">
        <f ca="1">LOWER(_xlfn.XLOOKUP($A179,Строчный!$A:$A,Строчный!I:I,"ERR",0))</f>
        <v>бежевый / черный</v>
      </c>
      <c r="J179" s="81" t="str">
        <f ca="1">SUBSTITUTE(LOWER(_xlfn.XLOOKUP($A179,Строчный!$A:$A,Строчный!J:J,"ERR",0)),"подклад","Подклад")</f>
        <v>50% бумага - 50% полипропилен</v>
      </c>
      <c r="K179" s="81" t="str">
        <f ca="1">LOWER(_xlfn.XLOOKUP($A179,Строчный!$A:$A,Строчный!K:K,"ERR",0))</f>
        <v>бумажные</v>
      </c>
      <c r="L179" s="81" t="str">
        <f ca="1">PROPER(_xlfn.XLOOKUP($A179,Строчный!$A:$A,Строчный!L:L,"ERR",0))</f>
        <v>Унисекс</v>
      </c>
      <c r="M179" s="113" t="str">
        <f ca="1">PROPER(_xlfn.XLOOKUP($A179,Строчный!$A:$A,Строчный!M:M,"ERR",0))</f>
        <v>Китай</v>
      </c>
      <c r="N179" s="81" t="str">
        <f ca="1">UPPER(_xlfn.XLOOKUP($A179,Строчный!$A:$A,Строчный!O:O,"ERR",0))</f>
        <v/>
      </c>
      <c r="O179" s="107" t="str">
        <f ca="1">PROPER(_xlfn.XLOOKUP($A179,Строчный!$A:$A,Строчный!P:P,"ERR",0))</f>
        <v/>
      </c>
      <c r="P179" s="90">
        <f ca="1">VALUE(_xlfn.XLOOKUP($A179,Строчный!$A:$A,Строчный!N:N,"ERR",0))</f>
        <v>2310.75</v>
      </c>
      <c r="Q179" s="89" t="str">
        <f ca="1">_xlfn.XLOOKUP($G179,Фабрика!A:A,Фабрика!B:B,"ERR",0)</f>
        <v>Bollman Headwear Europe Ltd; 2 Merchants drive, Caelisle, Cumbria CA3 0JW, United Kingdom</v>
      </c>
      <c r="R179" s="80" t="str">
        <f ca="1">_xlfn.XLOOKUP(RIGHT(Z179,2),Размеры!D:D,Размеры!A:A,"ERR",0)</f>
        <v>57</v>
      </c>
      <c r="S179" s="80">
        <f ca="1">VALUE(_xlfn.XLOOKUP($Z179,Строчный!$R:$R,Строчный!T:T,"ERR",0))</f>
        <v>12</v>
      </c>
      <c r="T179" s="14" t="s">
        <v>265</v>
      </c>
      <c r="U179" s="101" t="str">
        <f t="shared" ca="1" si="18"/>
        <v>Шляпа BAILEY арт. 81720BH MULLAN (бежевый / черный)</v>
      </c>
      <c r="V179" s="100" t="str">
        <f t="shared" ca="1" si="19"/>
        <v>Шляпа BAILEY арт. 81720BH MULLAN (бежевый / черный) {sand}</v>
      </c>
      <c r="W179" s="18" t="str">
        <f t="shared" ca="1" si="20"/>
        <v>бежевый</v>
      </c>
      <c r="X179" s="18" t="str">
        <f t="shared" ca="1" si="21"/>
        <v>черный</v>
      </c>
      <c r="Y179" s="117" t="str">
        <f ca="1">_xlfn.LET(_xlpm.FormColors,_xlfn.XLOOKUP(A179,Строчный!A:A,Строчный!Q:Q,"",0),IF(_xlpm.FormColors=0,IFERROR(MID(I179,FIND("-",I179)+1,LEN(I179)),IFERROR(MID(I179,1,FIND("/",I179)-2),I179)),_xlpm.FormColors))</f>
        <v>бежевый</v>
      </c>
      <c r="Z179" s="73" t="str">
        <f ca="1"/>
        <v>21-514-53-57</v>
      </c>
      <c r="AA179" s="75" t="str">
        <f ca="1">VLOOKUP(C179,Группа!A:B,2,FALSE)</f>
        <v>Шляпа</v>
      </c>
      <c r="AB179" s="97" t="str">
        <f ca="1">IFERROR(VLOOKUP(R179,Размеры!A:C,3,FALSE),"")</f>
        <v>57 M</v>
      </c>
      <c r="AC179" s="97" t="str">
        <f ca="1">VLOOKUP(I179,ЦветПолный!A:B,2,FALSE)</f>
        <v>53</v>
      </c>
      <c r="AD179" s="97" t="str">
        <f ca="1">IFERROR(VLOOKUP(R179,Размеры!A:D,4,FALSE),"")</f>
        <v>57</v>
      </c>
      <c r="AE179" s="97">
        <f ca="1">IF(LEFT(IFERROR(VLOOKUP(LOOKUP(2,1/SEARCH(B179,Товары!A:A),Товары!A:A),Товары!A:B,2,0),""),6)=MID(Z179,1,6),1,0)</f>
        <v>1</v>
      </c>
      <c r="AG179" s="97">
        <f ca="1">SUMIF(Группа!A:A,C179,Группа!C:C)</f>
        <v>1</v>
      </c>
      <c r="AH179" s="97">
        <f ca="1">SUMIF(Группа!B:B,AA179,Группа!C:C)</f>
        <v>1</v>
      </c>
      <c r="AI179" s="97">
        <f ca="1">SUMIF(Формы!A:A,D179,Формы!B:B)</f>
        <v>1</v>
      </c>
      <c r="AJ179" s="97">
        <f ca="1">SUMIF(Материал!A:A,K179,Материал!B:B)</f>
        <v>1</v>
      </c>
      <c r="AK179" s="97">
        <f ca="1">SUMIF(Размеры!A:A,R179,Размеры!E:E)</f>
        <v>1</v>
      </c>
      <c r="AL179" s="97">
        <f ca="1">SUMIF(Сезон!A:A,F179,Сезон!B:B)</f>
        <v>1</v>
      </c>
      <c r="AM179" s="97">
        <f ca="1">SUMIF(Состав!A:A,J179,Состав!B:B)</f>
        <v>1</v>
      </c>
      <c r="AN179" s="97">
        <f ca="1">VLOOKUP(I179,ЦветПолный!A:C,3,0)</f>
        <v>1</v>
      </c>
      <c r="AO179" s="97">
        <f ca="1">SUMIF(Цвет!A:A,Y179,Цвет!B:B)</f>
        <v>1</v>
      </c>
      <c r="AP179" s="97">
        <f ca="1">_xlfn.XLOOKUP(L179,Пол!A:A,Пол!B:B,0,0)</f>
        <v>1</v>
      </c>
      <c r="AQ179" s="97">
        <f ca="1">SUMIF(Марка!A:A,G179,Марка!B:B)</f>
        <v>1</v>
      </c>
      <c r="AR179" s="97">
        <f ca="1">SUMIF(Страна!A:A,M179,Страна!B:B)</f>
        <v>1</v>
      </c>
      <c r="AS179" s="64" t="str">
        <f ca="1">IF(VLOOKUP(V179,Товары!A:B,2,FALSE)=A179,"Есть в 1С","ERR")</f>
        <v>Есть в 1С</v>
      </c>
      <c r="AT179" s="65" t="str">
        <f ca="1">IF(VLOOKUP(A179,Товары!B:B,1,FALSE)=A179,"Есть в 1С","ERR")</f>
        <v>Есть в 1С</v>
      </c>
      <c r="AU179" s="96" t="str">
        <f ca="1">VLOOKUP(V179,Товары!A:B,2,FALSE)</f>
        <v>21-514-53</v>
      </c>
      <c r="AV179" s="94" t="str">
        <f ca="1">VLOOKUP(V179,Товары!A:B,1,FALSE)</f>
        <v>Шляпа BAILEY арт. 81720BH MULLAN (бежевый / черный) {sand}</v>
      </c>
    </row>
    <row r="180" spans="1:48" x14ac:dyDescent="0.25">
      <c r="A180" s="110" t="str">
        <f t="shared" ca="1" si="22"/>
        <v>21-514-53</v>
      </c>
      <c r="B180" s="107" t="str">
        <f ca="1">_xlfn.LET(_xlpm.CAPS,0,_xlpm.Style,_xlfn.XLOOKUP($A180,Строчный!$A:$A,Строчный!B:B,"ERR",0),IF(_xlpm.CAPS=0,_xlpm.Style,LOWER(_xlpm.Style)))</f>
        <v>81720BH MULLAN</v>
      </c>
      <c r="C180" s="81" t="str">
        <f ca="1">PROPER(_xlfn.XLOOKUP($A180,Строчный!$A:$A,Строчный!C:C,"ERR",0))</f>
        <v>Шляпы</v>
      </c>
      <c r="D180" s="81" t="str">
        <f ca="1">_xlfn.LET(_xlpm.DATA,(_xlfn.XLOOKUP($A180,Строчный!$A:$A,Строчный!D:D,"ERR",0)),UPPER(MID(_xlpm.DATA,1,1))&amp;LOWER(MID(_xlpm.DATA,2,LEN(_xlpm.DATA)-1)))</f>
        <v>Шляпа федора</v>
      </c>
      <c r="E180" s="81" t="str">
        <f ca="1">PROPER(_xlfn.XLOOKUP($A180,Строчный!$A:$A,Строчный!E:E,"ERR",0))</f>
        <v>The Hollywood</v>
      </c>
      <c r="F180" s="81" t="str">
        <f ca="1">LOWER(_xlfn.XLOOKUP($A180,Строчный!$A:$A,Строчный!F:F,"ERR",0))</f>
        <v>летний</v>
      </c>
      <c r="G180" s="81" t="str">
        <f ca="1">UPPER(_xlfn.XLOOKUP($A180,Строчный!$A:$A,Строчный!G:G,"ERR",0))</f>
        <v>BAILEY</v>
      </c>
      <c r="H180" s="81" t="str">
        <f ca="1">LOWER(_xlfn.XLOOKUP($A180,Строчный!$A:$A,Строчный!H:H,"ERR",0))</f>
        <v>sand</v>
      </c>
      <c r="I180" s="81" t="str">
        <f ca="1">LOWER(_xlfn.XLOOKUP($A180,Строчный!$A:$A,Строчный!I:I,"ERR",0))</f>
        <v>бежевый / черный</v>
      </c>
      <c r="J180" s="81" t="str">
        <f ca="1">SUBSTITUTE(LOWER(_xlfn.XLOOKUP($A180,Строчный!$A:$A,Строчный!J:J,"ERR",0)),"подклад","Подклад")</f>
        <v>50% бумага - 50% полипропилен</v>
      </c>
      <c r="K180" s="81" t="str">
        <f ca="1">LOWER(_xlfn.XLOOKUP($A180,Строчный!$A:$A,Строчный!K:K,"ERR",0))</f>
        <v>бумажные</v>
      </c>
      <c r="L180" s="81" t="str">
        <f ca="1">PROPER(_xlfn.XLOOKUP($A180,Строчный!$A:$A,Строчный!L:L,"ERR",0))</f>
        <v>Унисекс</v>
      </c>
      <c r="M180" s="113" t="str">
        <f ca="1">PROPER(_xlfn.XLOOKUP($A180,Строчный!$A:$A,Строчный!M:M,"ERR",0))</f>
        <v>Китай</v>
      </c>
      <c r="N180" s="81" t="str">
        <f ca="1">UPPER(_xlfn.XLOOKUP($A180,Строчный!$A:$A,Строчный!O:O,"ERR",0))</f>
        <v/>
      </c>
      <c r="O180" s="107" t="str">
        <f ca="1">PROPER(_xlfn.XLOOKUP($A180,Строчный!$A:$A,Строчный!P:P,"ERR",0))</f>
        <v/>
      </c>
      <c r="P180" s="90">
        <f ca="1">VALUE(_xlfn.XLOOKUP($A180,Строчный!$A:$A,Строчный!N:N,"ERR",0))</f>
        <v>2310.75</v>
      </c>
      <c r="Q180" s="89" t="str">
        <f ca="1">_xlfn.XLOOKUP($G180,Фабрика!A:A,Фабрика!B:B,"ERR",0)</f>
        <v>Bollman Headwear Europe Ltd; 2 Merchants drive, Caelisle, Cumbria CA3 0JW, United Kingdom</v>
      </c>
      <c r="R180" s="80" t="str">
        <f ca="1">_xlfn.XLOOKUP(RIGHT(Z180,2),Размеры!D:D,Размеры!A:A,"ERR",0)</f>
        <v>55</v>
      </c>
      <c r="S180" s="80">
        <f ca="1">VALUE(_xlfn.XLOOKUP($Z180,Строчный!$R:$R,Строчный!T:T,"ERR",0))</f>
        <v>4</v>
      </c>
      <c r="T180" s="14" t="s">
        <v>265</v>
      </c>
      <c r="U180" s="101" t="str">
        <f t="shared" ca="1" si="18"/>
        <v>Шляпа BAILEY арт. 81720BH MULLAN (бежевый / черный)</v>
      </c>
      <c r="V180" s="100" t="str">
        <f t="shared" ca="1" si="19"/>
        <v>Шляпа BAILEY арт. 81720BH MULLAN (бежевый / черный) {sand}</v>
      </c>
      <c r="W180" s="18" t="str">
        <f t="shared" ca="1" si="20"/>
        <v>бежевый</v>
      </c>
      <c r="X180" s="18" t="str">
        <f t="shared" ca="1" si="21"/>
        <v>черный</v>
      </c>
      <c r="Y180" s="117" t="str">
        <f ca="1">_xlfn.LET(_xlpm.FormColors,_xlfn.XLOOKUP(A180,Строчный!A:A,Строчный!Q:Q,"",0),IF(_xlpm.FormColors=0,IFERROR(MID(I180,FIND("-",I180)+1,LEN(I180)),IFERROR(MID(I180,1,FIND("/",I180)-2),I180)),_xlpm.FormColors))</f>
        <v>бежевый</v>
      </c>
      <c r="Z180" s="73" t="str">
        <f ca="1"/>
        <v>21-514-53-55</v>
      </c>
      <c r="AA180" s="75" t="str">
        <f ca="1">VLOOKUP(C180,Группа!A:B,2,FALSE)</f>
        <v>Шляпа</v>
      </c>
      <c r="AB180" s="97" t="str">
        <f ca="1">IFERROR(VLOOKUP(R180,Размеры!A:C,3,FALSE),"")</f>
        <v>55 S</v>
      </c>
      <c r="AC180" s="97" t="str">
        <f ca="1">VLOOKUP(I180,ЦветПолный!A:B,2,FALSE)</f>
        <v>53</v>
      </c>
      <c r="AD180" s="97" t="str">
        <f ca="1">IFERROR(VLOOKUP(R180,Размеры!A:D,4,FALSE),"")</f>
        <v>55</v>
      </c>
      <c r="AE180" s="97">
        <f ca="1">IF(LEFT(IFERROR(VLOOKUP(LOOKUP(2,1/SEARCH(B180,Товары!A:A),Товары!A:A),Товары!A:B,2,0),""),6)=MID(Z180,1,6),1,0)</f>
        <v>1</v>
      </c>
      <c r="AG180" s="97">
        <f ca="1">SUMIF(Группа!A:A,C180,Группа!C:C)</f>
        <v>1</v>
      </c>
      <c r="AH180" s="97">
        <f ca="1">SUMIF(Группа!B:B,AA180,Группа!C:C)</f>
        <v>1</v>
      </c>
      <c r="AI180" s="97">
        <f ca="1">SUMIF(Формы!A:A,D180,Формы!B:B)</f>
        <v>1</v>
      </c>
      <c r="AJ180" s="97">
        <f ca="1">SUMIF(Материал!A:A,K180,Материал!B:B)</f>
        <v>1</v>
      </c>
      <c r="AK180" s="97">
        <f ca="1">SUMIF(Размеры!A:A,R180,Размеры!E:E)</f>
        <v>1</v>
      </c>
      <c r="AL180" s="97">
        <f ca="1">SUMIF(Сезон!A:A,F180,Сезон!B:B)</f>
        <v>1</v>
      </c>
      <c r="AM180" s="97">
        <f ca="1">SUMIF(Состав!A:A,J180,Состав!B:B)</f>
        <v>1</v>
      </c>
      <c r="AN180" s="97">
        <f ca="1">VLOOKUP(I180,ЦветПолный!A:C,3,0)</f>
        <v>1</v>
      </c>
      <c r="AO180" s="97">
        <f ca="1">SUMIF(Цвет!A:A,Y180,Цвет!B:B)</f>
        <v>1</v>
      </c>
      <c r="AP180" s="97">
        <f ca="1">_xlfn.XLOOKUP(L180,Пол!A:A,Пол!B:B,0,0)</f>
        <v>1</v>
      </c>
      <c r="AQ180" s="97">
        <f ca="1">SUMIF(Марка!A:A,G180,Марка!B:B)</f>
        <v>1</v>
      </c>
      <c r="AR180" s="97">
        <f ca="1">SUMIF(Страна!A:A,M180,Страна!B:B)</f>
        <v>1</v>
      </c>
      <c r="AS180" s="64" t="str">
        <f ca="1">IF(VLOOKUP(V180,Товары!A:B,2,FALSE)=A180,"Есть в 1С","ERR")</f>
        <v>Есть в 1С</v>
      </c>
      <c r="AT180" s="65" t="str">
        <f ca="1">IF(VLOOKUP(A180,Товары!B:B,1,FALSE)=A180,"Есть в 1С","ERR")</f>
        <v>Есть в 1С</v>
      </c>
      <c r="AU180" s="96" t="str">
        <f ca="1">VLOOKUP(V180,Товары!A:B,2,FALSE)</f>
        <v>21-514-53</v>
      </c>
      <c r="AV180" s="94" t="str">
        <f ca="1">VLOOKUP(V180,Товары!A:B,1,FALSE)</f>
        <v>Шляпа BAILEY арт. 81720BH MULLAN (бежевый / черный) {sand}</v>
      </c>
    </row>
    <row r="181" spans="1:48" x14ac:dyDescent="0.25">
      <c r="A181" s="110" t="str">
        <f t="shared" ca="1" si="22"/>
        <v>21-514-14</v>
      </c>
      <c r="B181" s="107" t="str">
        <f ca="1">_xlfn.LET(_xlpm.CAPS,0,_xlpm.Style,_xlfn.XLOOKUP($A181,Строчный!$A:$A,Строчный!B:B,"ERR",0),IF(_xlpm.CAPS=0,_xlpm.Style,LOWER(_xlpm.Style)))</f>
        <v>81720BH MULLAN</v>
      </c>
      <c r="C181" s="81" t="str">
        <f ca="1">PROPER(_xlfn.XLOOKUP($A181,Строчный!$A:$A,Строчный!C:C,"ERR",0))</f>
        <v>Шляпы</v>
      </c>
      <c r="D181" s="81" t="str">
        <f ca="1">_xlfn.LET(_xlpm.DATA,(_xlfn.XLOOKUP($A181,Строчный!$A:$A,Строчный!D:D,"ERR",0)),UPPER(MID(_xlpm.DATA,1,1))&amp;LOWER(MID(_xlpm.DATA,2,LEN(_xlpm.DATA)-1)))</f>
        <v>Шляпа федора</v>
      </c>
      <c r="E181" s="81" t="str">
        <f ca="1">PROPER(_xlfn.XLOOKUP($A181,Строчный!$A:$A,Строчный!E:E,"ERR",0))</f>
        <v>The Hollywood</v>
      </c>
      <c r="F181" s="81" t="str">
        <f ca="1">LOWER(_xlfn.XLOOKUP($A181,Строчный!$A:$A,Строчный!F:F,"ERR",0))</f>
        <v>летний</v>
      </c>
      <c r="G181" s="81" t="str">
        <f ca="1">UPPER(_xlfn.XLOOKUP($A181,Строчный!$A:$A,Строчный!G:G,"ERR",0))</f>
        <v>BAILEY</v>
      </c>
      <c r="H181" s="81" t="str">
        <f ca="1">LOWER(_xlfn.XLOOKUP($A181,Строчный!$A:$A,Строчный!H:H,"ERR",0))</f>
        <v>copper</v>
      </c>
      <c r="I181" s="81" t="str">
        <f ca="1">LOWER(_xlfn.XLOOKUP($A181,Строчный!$A:$A,Строчный!I:I,"ERR",0))</f>
        <v>коричневый</v>
      </c>
      <c r="J181" s="81" t="str">
        <f ca="1">SUBSTITUTE(LOWER(_xlfn.XLOOKUP($A181,Строчный!$A:$A,Строчный!J:J,"ERR",0)),"подклад","Подклад")</f>
        <v>50% бумага - 50% полипропилен</v>
      </c>
      <c r="K181" s="81" t="str">
        <f ca="1">LOWER(_xlfn.XLOOKUP($A181,Строчный!$A:$A,Строчный!K:K,"ERR",0))</f>
        <v>бумажные</v>
      </c>
      <c r="L181" s="81" t="str">
        <f ca="1">PROPER(_xlfn.XLOOKUP($A181,Строчный!$A:$A,Строчный!L:L,"ERR",0))</f>
        <v>Унисекс</v>
      </c>
      <c r="M181" s="113" t="str">
        <f ca="1">PROPER(_xlfn.XLOOKUP($A181,Строчный!$A:$A,Строчный!M:M,"ERR",0))</f>
        <v>Китай</v>
      </c>
      <c r="N181" s="81" t="str">
        <f ca="1">UPPER(_xlfn.XLOOKUP($A181,Строчный!$A:$A,Строчный!O:O,"ERR",0))</f>
        <v/>
      </c>
      <c r="O181" s="107" t="str">
        <f ca="1">PROPER(_xlfn.XLOOKUP($A181,Строчный!$A:$A,Строчный!P:P,"ERR",0))</f>
        <v/>
      </c>
      <c r="P181" s="90">
        <f ca="1">VALUE(_xlfn.XLOOKUP($A181,Строчный!$A:$A,Строчный!N:N,"ERR",0))</f>
        <v>2310.75</v>
      </c>
      <c r="Q181" s="89" t="str">
        <f ca="1">_xlfn.XLOOKUP($G181,Фабрика!A:A,Фабрика!B:B,"ERR",0)</f>
        <v>Bollman Headwear Europe Ltd; 2 Merchants drive, Caelisle, Cumbria CA3 0JW, United Kingdom</v>
      </c>
      <c r="R181" s="80" t="str">
        <f ca="1">_xlfn.XLOOKUP(RIGHT(Z181,2),Размеры!D:D,Размеры!A:A,"ERR",0)</f>
        <v>61</v>
      </c>
      <c r="S181" s="80">
        <f ca="1">VALUE(_xlfn.XLOOKUP($Z181,Строчный!$R:$R,Строчный!T:T,"ERR",0))</f>
        <v>8</v>
      </c>
      <c r="T181" s="14" t="s">
        <v>265</v>
      </c>
      <c r="U181" s="101" t="str">
        <f t="shared" ca="1" si="18"/>
        <v>Шляпа BAILEY арт. 81720BH MULLAN (коричневый)</v>
      </c>
      <c r="V181" s="100" t="str">
        <f t="shared" ca="1" si="19"/>
        <v>Шляпа BAILEY арт. 81720BH MULLAN (коричневый) {copper}</v>
      </c>
      <c r="W181" s="18" t="str">
        <f t="shared" ca="1" si="20"/>
        <v>коричневый</v>
      </c>
      <c r="X181" s="18" t="str">
        <f t="shared" ca="1" si="21"/>
        <v>коричневый</v>
      </c>
      <c r="Y181" s="117" t="str">
        <f ca="1">_xlfn.LET(_xlpm.FormColors,_xlfn.XLOOKUP(A181,Строчный!A:A,Строчный!Q:Q,"",0),IF(_xlpm.FormColors=0,IFERROR(MID(I181,FIND("-",I181)+1,LEN(I181)),IFERROR(MID(I181,1,FIND("/",I181)-2),I181)),_xlpm.FormColors))</f>
        <v>коричневый</v>
      </c>
      <c r="Z181" s="73" t="str">
        <f ca="1"/>
        <v>21-514-14-61</v>
      </c>
      <c r="AA181" s="75" t="str">
        <f ca="1">VLOOKUP(C181,Группа!A:B,2,FALSE)</f>
        <v>Шляпа</v>
      </c>
      <c r="AB181" s="97" t="str">
        <f ca="1">IFERROR(VLOOKUP(R181,Размеры!A:C,3,FALSE),"")</f>
        <v>61 XL</v>
      </c>
      <c r="AC181" s="97" t="str">
        <f ca="1">VLOOKUP(I181,ЦветПолный!A:B,2,FALSE)</f>
        <v>14</v>
      </c>
      <c r="AD181" s="97" t="str">
        <f ca="1">IFERROR(VLOOKUP(R181,Размеры!A:D,4,FALSE),"")</f>
        <v>61</v>
      </c>
      <c r="AE181" s="97">
        <f ca="1">IF(LEFT(IFERROR(VLOOKUP(LOOKUP(2,1/SEARCH(B181,Товары!A:A),Товары!A:A),Товары!A:B,2,0),""),6)=MID(Z181,1,6),1,0)</f>
        <v>1</v>
      </c>
      <c r="AG181" s="97">
        <f ca="1">SUMIF(Группа!A:A,C181,Группа!C:C)</f>
        <v>1</v>
      </c>
      <c r="AH181" s="97">
        <f ca="1">SUMIF(Группа!B:B,AA181,Группа!C:C)</f>
        <v>1</v>
      </c>
      <c r="AI181" s="97">
        <f ca="1">SUMIF(Формы!A:A,D181,Формы!B:B)</f>
        <v>1</v>
      </c>
      <c r="AJ181" s="97">
        <f ca="1">SUMIF(Материал!A:A,K181,Материал!B:B)</f>
        <v>1</v>
      </c>
      <c r="AK181" s="97">
        <f ca="1">SUMIF(Размеры!A:A,R181,Размеры!E:E)</f>
        <v>1</v>
      </c>
      <c r="AL181" s="97">
        <f ca="1">SUMIF(Сезон!A:A,F181,Сезон!B:B)</f>
        <v>1</v>
      </c>
      <c r="AM181" s="97">
        <f ca="1">SUMIF(Состав!A:A,J181,Состав!B:B)</f>
        <v>1</v>
      </c>
      <c r="AN181" s="97">
        <f ca="1">VLOOKUP(I181,ЦветПолный!A:C,3,0)</f>
        <v>1</v>
      </c>
      <c r="AO181" s="97">
        <f ca="1">SUMIF(Цвет!A:A,Y181,Цвет!B:B)</f>
        <v>1</v>
      </c>
      <c r="AP181" s="97">
        <f ca="1">_xlfn.XLOOKUP(L181,Пол!A:A,Пол!B:B,0,0)</f>
        <v>1</v>
      </c>
      <c r="AQ181" s="97">
        <f ca="1">SUMIF(Марка!A:A,G181,Марка!B:B)</f>
        <v>1</v>
      </c>
      <c r="AR181" s="97">
        <f ca="1">SUMIF(Страна!A:A,M181,Страна!B:B)</f>
        <v>1</v>
      </c>
      <c r="AS181" s="64" t="str">
        <f ca="1">IF(VLOOKUP(V181,Товары!A:B,2,FALSE)=A181,"Есть в 1С","ERR")</f>
        <v>Есть в 1С</v>
      </c>
      <c r="AT181" s="65" t="str">
        <f ca="1">IF(VLOOKUP(A181,Товары!B:B,1,FALSE)=A181,"Есть в 1С","ERR")</f>
        <v>Есть в 1С</v>
      </c>
      <c r="AU181" s="96" t="str">
        <f ca="1">VLOOKUP(V181,Товары!A:B,2,FALSE)</f>
        <v>21-514-14</v>
      </c>
      <c r="AV181" s="94" t="str">
        <f ca="1">VLOOKUP(V181,Товары!A:B,1,FALSE)</f>
        <v>Шляпа BAILEY арт. 81720BH MULLAN (коричневый) {copper}</v>
      </c>
    </row>
    <row r="182" spans="1:48" x14ac:dyDescent="0.25">
      <c r="A182" s="110" t="str">
        <f t="shared" ca="1" si="22"/>
        <v>21-514-14</v>
      </c>
      <c r="B182" s="107" t="str">
        <f ca="1">_xlfn.LET(_xlpm.CAPS,0,_xlpm.Style,_xlfn.XLOOKUP($A182,Строчный!$A:$A,Строчный!B:B,"ERR",0),IF(_xlpm.CAPS=0,_xlpm.Style,LOWER(_xlpm.Style)))</f>
        <v>81720BH MULLAN</v>
      </c>
      <c r="C182" s="81" t="str">
        <f ca="1">PROPER(_xlfn.XLOOKUP($A182,Строчный!$A:$A,Строчный!C:C,"ERR",0))</f>
        <v>Шляпы</v>
      </c>
      <c r="D182" s="81" t="str">
        <f ca="1">_xlfn.LET(_xlpm.DATA,(_xlfn.XLOOKUP($A182,Строчный!$A:$A,Строчный!D:D,"ERR",0)),UPPER(MID(_xlpm.DATA,1,1))&amp;LOWER(MID(_xlpm.DATA,2,LEN(_xlpm.DATA)-1)))</f>
        <v>Шляпа федора</v>
      </c>
      <c r="E182" s="81" t="str">
        <f ca="1">PROPER(_xlfn.XLOOKUP($A182,Строчный!$A:$A,Строчный!E:E,"ERR",0))</f>
        <v>The Hollywood</v>
      </c>
      <c r="F182" s="81" t="str">
        <f ca="1">LOWER(_xlfn.XLOOKUP($A182,Строчный!$A:$A,Строчный!F:F,"ERR",0))</f>
        <v>летний</v>
      </c>
      <c r="G182" s="81" t="str">
        <f ca="1">UPPER(_xlfn.XLOOKUP($A182,Строчный!$A:$A,Строчный!G:G,"ERR",0))</f>
        <v>BAILEY</v>
      </c>
      <c r="H182" s="81" t="str">
        <f ca="1">LOWER(_xlfn.XLOOKUP($A182,Строчный!$A:$A,Строчный!H:H,"ERR",0))</f>
        <v>copper</v>
      </c>
      <c r="I182" s="81" t="str">
        <f ca="1">LOWER(_xlfn.XLOOKUP($A182,Строчный!$A:$A,Строчный!I:I,"ERR",0))</f>
        <v>коричневый</v>
      </c>
      <c r="J182" s="81" t="str">
        <f ca="1">SUBSTITUTE(LOWER(_xlfn.XLOOKUP($A182,Строчный!$A:$A,Строчный!J:J,"ERR",0)),"подклад","Подклад")</f>
        <v>50% бумага - 50% полипропилен</v>
      </c>
      <c r="K182" s="81" t="str">
        <f ca="1">LOWER(_xlfn.XLOOKUP($A182,Строчный!$A:$A,Строчный!K:K,"ERR",0))</f>
        <v>бумажные</v>
      </c>
      <c r="L182" s="81" t="str">
        <f ca="1">PROPER(_xlfn.XLOOKUP($A182,Строчный!$A:$A,Строчный!L:L,"ERR",0))</f>
        <v>Унисекс</v>
      </c>
      <c r="M182" s="113" t="str">
        <f ca="1">PROPER(_xlfn.XLOOKUP($A182,Строчный!$A:$A,Строчный!M:M,"ERR",0))</f>
        <v>Китай</v>
      </c>
      <c r="N182" s="81" t="str">
        <f ca="1">UPPER(_xlfn.XLOOKUP($A182,Строчный!$A:$A,Строчный!O:O,"ERR",0))</f>
        <v/>
      </c>
      <c r="O182" s="107" t="str">
        <f ca="1">PROPER(_xlfn.XLOOKUP($A182,Строчный!$A:$A,Строчный!P:P,"ERR",0))</f>
        <v/>
      </c>
      <c r="P182" s="90">
        <f ca="1">VALUE(_xlfn.XLOOKUP($A182,Строчный!$A:$A,Строчный!N:N,"ERR",0))</f>
        <v>2310.75</v>
      </c>
      <c r="Q182" s="89" t="str">
        <f ca="1">_xlfn.XLOOKUP($G182,Фабрика!A:A,Фабрика!B:B,"ERR",0)</f>
        <v>Bollman Headwear Europe Ltd; 2 Merchants drive, Caelisle, Cumbria CA3 0JW, United Kingdom</v>
      </c>
      <c r="R182" s="80" t="str">
        <f ca="1">_xlfn.XLOOKUP(RIGHT(Z182,2),Размеры!D:D,Размеры!A:A,"ERR",0)</f>
        <v>59</v>
      </c>
      <c r="S182" s="80">
        <f ca="1">VALUE(_xlfn.XLOOKUP($Z182,Строчный!$R:$R,Строчный!T:T,"ERR",0))</f>
        <v>14</v>
      </c>
      <c r="T182" s="14" t="s">
        <v>265</v>
      </c>
      <c r="U182" s="101" t="str">
        <f t="shared" ref="U182:U245" ca="1" si="23">CONCATENATE(AA182," ",G182," арт. ",B182," (",I182,")")</f>
        <v>Шляпа BAILEY арт. 81720BH MULLAN (коричневый)</v>
      </c>
      <c r="V182" s="100" t="str">
        <f t="shared" ref="V182:V245" ca="1" si="24">CONCATENATE(AA182," ",G182," арт. ",B182," (",I182,") {",H182,"}")</f>
        <v>Шляпа BAILEY арт. 81720BH MULLAN (коричневый) {copper}</v>
      </c>
      <c r="W182" s="18" t="str">
        <f t="shared" ref="W182:W245" ca="1" si="25">IFERROR(MID(I182,FIND("-",I182)+1,LEN(I182)),IFERROR(MID(I182,1,FIND("/",I182)-2),I182))</f>
        <v>коричневый</v>
      </c>
      <c r="X182" s="18" t="str">
        <f t="shared" ref="X182:X245" ca="1" si="26">IFERROR(MID(I182,FIND("-",I182)+1,LEN(I182)),IFERROR(MID(I182,FIND("/",I182)+2,LEN(I182)),I182))</f>
        <v>коричневый</v>
      </c>
      <c r="Y182" s="117" t="str">
        <f ca="1">_xlfn.LET(_xlpm.FormColors,_xlfn.XLOOKUP(A182,Строчный!A:A,Строчный!Q:Q,"",0),IF(_xlpm.FormColors=0,IFERROR(MID(I182,FIND("-",I182)+1,LEN(I182)),IFERROR(MID(I182,1,FIND("/",I182)-2),I182)),_xlpm.FormColors))</f>
        <v>коричневый</v>
      </c>
      <c r="Z182" s="73" t="str">
        <f ca="1"/>
        <v>21-514-14-59</v>
      </c>
      <c r="AA182" s="75" t="str">
        <f ca="1">VLOOKUP(C182,Группа!A:B,2,FALSE)</f>
        <v>Шляпа</v>
      </c>
      <c r="AB182" s="97" t="str">
        <f ca="1">IFERROR(VLOOKUP(R182,Размеры!A:C,3,FALSE),"")</f>
        <v>59 L</v>
      </c>
      <c r="AC182" s="97" t="str">
        <f ca="1">VLOOKUP(I182,ЦветПолный!A:B,2,FALSE)</f>
        <v>14</v>
      </c>
      <c r="AD182" s="97" t="str">
        <f ca="1">IFERROR(VLOOKUP(R182,Размеры!A:D,4,FALSE),"")</f>
        <v>59</v>
      </c>
      <c r="AE182" s="97">
        <f ca="1">IF(LEFT(IFERROR(VLOOKUP(LOOKUP(2,1/SEARCH(B182,Товары!A:A),Товары!A:A),Товары!A:B,2,0),""),6)=MID(Z182,1,6),1,0)</f>
        <v>1</v>
      </c>
      <c r="AG182" s="97">
        <f ca="1">SUMIF(Группа!A:A,C182,Группа!C:C)</f>
        <v>1</v>
      </c>
      <c r="AH182" s="97">
        <f ca="1">SUMIF(Группа!B:B,AA182,Группа!C:C)</f>
        <v>1</v>
      </c>
      <c r="AI182" s="97">
        <f ca="1">SUMIF(Формы!A:A,D182,Формы!B:B)</f>
        <v>1</v>
      </c>
      <c r="AJ182" s="97">
        <f ca="1">SUMIF(Материал!A:A,K182,Материал!B:B)</f>
        <v>1</v>
      </c>
      <c r="AK182" s="97">
        <f ca="1">SUMIF(Размеры!A:A,R182,Размеры!E:E)</f>
        <v>1</v>
      </c>
      <c r="AL182" s="97">
        <f ca="1">SUMIF(Сезон!A:A,F182,Сезон!B:B)</f>
        <v>1</v>
      </c>
      <c r="AM182" s="97">
        <f ca="1">SUMIF(Состав!A:A,J182,Состав!B:B)</f>
        <v>1</v>
      </c>
      <c r="AN182" s="97">
        <f ca="1">VLOOKUP(I182,ЦветПолный!A:C,3,0)</f>
        <v>1</v>
      </c>
      <c r="AO182" s="97">
        <f ca="1">SUMIF(Цвет!A:A,Y182,Цвет!B:B)</f>
        <v>1</v>
      </c>
      <c r="AP182" s="97">
        <f ca="1">_xlfn.XLOOKUP(L182,Пол!A:A,Пол!B:B,0,0)</f>
        <v>1</v>
      </c>
      <c r="AQ182" s="97">
        <f ca="1">SUMIF(Марка!A:A,G182,Марка!B:B)</f>
        <v>1</v>
      </c>
      <c r="AR182" s="97">
        <f ca="1">SUMIF(Страна!A:A,M182,Страна!B:B)</f>
        <v>1</v>
      </c>
      <c r="AS182" s="64" t="str">
        <f ca="1">IF(VLOOKUP(V182,Товары!A:B,2,FALSE)=A182,"Есть в 1С","ERR")</f>
        <v>Есть в 1С</v>
      </c>
      <c r="AT182" s="65" t="str">
        <f ca="1">IF(VLOOKUP(A182,Товары!B:B,1,FALSE)=A182,"Есть в 1С","ERR")</f>
        <v>Есть в 1С</v>
      </c>
      <c r="AU182" s="96" t="str">
        <f ca="1">VLOOKUP(V182,Товары!A:B,2,FALSE)</f>
        <v>21-514-14</v>
      </c>
      <c r="AV182" s="94" t="str">
        <f ca="1">VLOOKUP(V182,Товары!A:B,1,FALSE)</f>
        <v>Шляпа BAILEY арт. 81720BH MULLAN (коричневый) {copper}</v>
      </c>
    </row>
    <row r="183" spans="1:48" x14ac:dyDescent="0.25">
      <c r="A183" s="110" t="str">
        <f t="shared" ca="1" si="22"/>
        <v>21-514-14</v>
      </c>
      <c r="B183" s="107" t="str">
        <f ca="1">_xlfn.LET(_xlpm.CAPS,0,_xlpm.Style,_xlfn.XLOOKUP($A183,Строчный!$A:$A,Строчный!B:B,"ERR",0),IF(_xlpm.CAPS=0,_xlpm.Style,LOWER(_xlpm.Style)))</f>
        <v>81720BH MULLAN</v>
      </c>
      <c r="C183" s="81" t="str">
        <f ca="1">PROPER(_xlfn.XLOOKUP($A183,Строчный!$A:$A,Строчный!C:C,"ERR",0))</f>
        <v>Шляпы</v>
      </c>
      <c r="D183" s="81" t="str">
        <f ca="1">_xlfn.LET(_xlpm.DATA,(_xlfn.XLOOKUP($A183,Строчный!$A:$A,Строчный!D:D,"ERR",0)),UPPER(MID(_xlpm.DATA,1,1))&amp;LOWER(MID(_xlpm.DATA,2,LEN(_xlpm.DATA)-1)))</f>
        <v>Шляпа федора</v>
      </c>
      <c r="E183" s="81" t="str">
        <f ca="1">PROPER(_xlfn.XLOOKUP($A183,Строчный!$A:$A,Строчный!E:E,"ERR",0))</f>
        <v>The Hollywood</v>
      </c>
      <c r="F183" s="81" t="str">
        <f ca="1">LOWER(_xlfn.XLOOKUP($A183,Строчный!$A:$A,Строчный!F:F,"ERR",0))</f>
        <v>летний</v>
      </c>
      <c r="G183" s="81" t="str">
        <f ca="1">UPPER(_xlfn.XLOOKUP($A183,Строчный!$A:$A,Строчный!G:G,"ERR",0))</f>
        <v>BAILEY</v>
      </c>
      <c r="H183" s="81" t="str">
        <f ca="1">LOWER(_xlfn.XLOOKUP($A183,Строчный!$A:$A,Строчный!H:H,"ERR",0))</f>
        <v>copper</v>
      </c>
      <c r="I183" s="81" t="str">
        <f ca="1">LOWER(_xlfn.XLOOKUP($A183,Строчный!$A:$A,Строчный!I:I,"ERR",0))</f>
        <v>коричневый</v>
      </c>
      <c r="J183" s="81" t="str">
        <f ca="1">SUBSTITUTE(LOWER(_xlfn.XLOOKUP($A183,Строчный!$A:$A,Строчный!J:J,"ERR",0)),"подклад","Подклад")</f>
        <v>50% бумага - 50% полипропилен</v>
      </c>
      <c r="K183" s="81" t="str">
        <f ca="1">LOWER(_xlfn.XLOOKUP($A183,Строчный!$A:$A,Строчный!K:K,"ERR",0))</f>
        <v>бумажные</v>
      </c>
      <c r="L183" s="81" t="str">
        <f ca="1">PROPER(_xlfn.XLOOKUP($A183,Строчный!$A:$A,Строчный!L:L,"ERR",0))</f>
        <v>Унисекс</v>
      </c>
      <c r="M183" s="113" t="str">
        <f ca="1">PROPER(_xlfn.XLOOKUP($A183,Строчный!$A:$A,Строчный!M:M,"ERR",0))</f>
        <v>Китай</v>
      </c>
      <c r="N183" s="81" t="str">
        <f ca="1">UPPER(_xlfn.XLOOKUP($A183,Строчный!$A:$A,Строчный!O:O,"ERR",0))</f>
        <v/>
      </c>
      <c r="O183" s="107" t="str">
        <f ca="1">PROPER(_xlfn.XLOOKUP($A183,Строчный!$A:$A,Строчный!P:P,"ERR",0))</f>
        <v/>
      </c>
      <c r="P183" s="90">
        <f ca="1">VALUE(_xlfn.XLOOKUP($A183,Строчный!$A:$A,Строчный!N:N,"ERR",0))</f>
        <v>2310.75</v>
      </c>
      <c r="Q183" s="89" t="str">
        <f ca="1">_xlfn.XLOOKUP($G183,Фабрика!A:A,Фабрика!B:B,"ERR",0)</f>
        <v>Bollman Headwear Europe Ltd; 2 Merchants drive, Caelisle, Cumbria CA3 0JW, United Kingdom</v>
      </c>
      <c r="R183" s="80" t="str">
        <f ca="1">_xlfn.XLOOKUP(RIGHT(Z183,2),Размеры!D:D,Размеры!A:A,"ERR",0)</f>
        <v>57</v>
      </c>
      <c r="S183" s="80">
        <f ca="1">VALUE(_xlfn.XLOOKUP($Z183,Строчный!$R:$R,Строчный!T:T,"ERR",0))</f>
        <v>12</v>
      </c>
      <c r="T183" s="14" t="s">
        <v>265</v>
      </c>
      <c r="U183" s="101" t="str">
        <f t="shared" ca="1" si="23"/>
        <v>Шляпа BAILEY арт. 81720BH MULLAN (коричневый)</v>
      </c>
      <c r="V183" s="100" t="str">
        <f t="shared" ca="1" si="24"/>
        <v>Шляпа BAILEY арт. 81720BH MULLAN (коричневый) {copper}</v>
      </c>
      <c r="W183" s="18" t="str">
        <f t="shared" ca="1" si="25"/>
        <v>коричневый</v>
      </c>
      <c r="X183" s="18" t="str">
        <f t="shared" ca="1" si="26"/>
        <v>коричневый</v>
      </c>
      <c r="Y183" s="117" t="str">
        <f ca="1">_xlfn.LET(_xlpm.FormColors,_xlfn.XLOOKUP(A183,Строчный!A:A,Строчный!Q:Q,"",0),IF(_xlpm.FormColors=0,IFERROR(MID(I183,FIND("-",I183)+1,LEN(I183)),IFERROR(MID(I183,1,FIND("/",I183)-2),I183)),_xlpm.FormColors))</f>
        <v>коричневый</v>
      </c>
      <c r="Z183" s="73" t="str">
        <f ca="1"/>
        <v>21-514-14-57</v>
      </c>
      <c r="AA183" s="75" t="str">
        <f ca="1">VLOOKUP(C183,Группа!A:B,2,FALSE)</f>
        <v>Шляпа</v>
      </c>
      <c r="AB183" s="97" t="str">
        <f ca="1">IFERROR(VLOOKUP(R183,Размеры!A:C,3,FALSE),"")</f>
        <v>57 M</v>
      </c>
      <c r="AC183" s="97" t="str">
        <f ca="1">VLOOKUP(I183,ЦветПолный!A:B,2,FALSE)</f>
        <v>14</v>
      </c>
      <c r="AD183" s="97" t="str">
        <f ca="1">IFERROR(VLOOKUP(R183,Размеры!A:D,4,FALSE),"")</f>
        <v>57</v>
      </c>
      <c r="AE183" s="97">
        <f ca="1">IF(LEFT(IFERROR(VLOOKUP(LOOKUP(2,1/SEARCH(B183,Товары!A:A),Товары!A:A),Товары!A:B,2,0),""),6)=MID(Z183,1,6),1,0)</f>
        <v>1</v>
      </c>
      <c r="AG183" s="97">
        <f ca="1">SUMIF(Группа!A:A,C183,Группа!C:C)</f>
        <v>1</v>
      </c>
      <c r="AH183" s="97">
        <f ca="1">SUMIF(Группа!B:B,AA183,Группа!C:C)</f>
        <v>1</v>
      </c>
      <c r="AI183" s="97">
        <f ca="1">SUMIF(Формы!A:A,D183,Формы!B:B)</f>
        <v>1</v>
      </c>
      <c r="AJ183" s="97">
        <f ca="1">SUMIF(Материал!A:A,K183,Материал!B:B)</f>
        <v>1</v>
      </c>
      <c r="AK183" s="97">
        <f ca="1">SUMIF(Размеры!A:A,R183,Размеры!E:E)</f>
        <v>1</v>
      </c>
      <c r="AL183" s="97">
        <f ca="1">SUMIF(Сезон!A:A,F183,Сезон!B:B)</f>
        <v>1</v>
      </c>
      <c r="AM183" s="97">
        <f ca="1">SUMIF(Состав!A:A,J183,Состав!B:B)</f>
        <v>1</v>
      </c>
      <c r="AN183" s="97">
        <f ca="1">VLOOKUP(I183,ЦветПолный!A:C,3,0)</f>
        <v>1</v>
      </c>
      <c r="AO183" s="97">
        <f ca="1">SUMIF(Цвет!A:A,Y183,Цвет!B:B)</f>
        <v>1</v>
      </c>
      <c r="AP183" s="97">
        <f ca="1">_xlfn.XLOOKUP(L183,Пол!A:A,Пол!B:B,0,0)</f>
        <v>1</v>
      </c>
      <c r="AQ183" s="97">
        <f ca="1">SUMIF(Марка!A:A,G183,Марка!B:B)</f>
        <v>1</v>
      </c>
      <c r="AR183" s="97">
        <f ca="1">SUMIF(Страна!A:A,M183,Страна!B:B)</f>
        <v>1</v>
      </c>
      <c r="AS183" s="64" t="str">
        <f ca="1">IF(VLOOKUP(V183,Товары!A:B,2,FALSE)=A183,"Есть в 1С","ERR")</f>
        <v>Есть в 1С</v>
      </c>
      <c r="AT183" s="65" t="str">
        <f ca="1">IF(VLOOKUP(A183,Товары!B:B,1,FALSE)=A183,"Есть в 1С","ERR")</f>
        <v>Есть в 1С</v>
      </c>
      <c r="AU183" s="96" t="str">
        <f ca="1">VLOOKUP(V183,Товары!A:B,2,FALSE)</f>
        <v>21-514-14</v>
      </c>
      <c r="AV183" s="94" t="str">
        <f ca="1">VLOOKUP(V183,Товары!A:B,1,FALSE)</f>
        <v>Шляпа BAILEY арт. 81720BH MULLAN (коричневый) {copper}</v>
      </c>
    </row>
    <row r="184" spans="1:48" x14ac:dyDescent="0.25">
      <c r="A184" s="110" t="str">
        <f t="shared" ca="1" si="22"/>
        <v>21-514-14</v>
      </c>
      <c r="B184" s="107" t="str">
        <f ca="1">_xlfn.LET(_xlpm.CAPS,0,_xlpm.Style,_xlfn.XLOOKUP($A184,Строчный!$A:$A,Строчный!B:B,"ERR",0),IF(_xlpm.CAPS=0,_xlpm.Style,LOWER(_xlpm.Style)))</f>
        <v>81720BH MULLAN</v>
      </c>
      <c r="C184" s="81" t="str">
        <f ca="1">PROPER(_xlfn.XLOOKUP($A184,Строчный!$A:$A,Строчный!C:C,"ERR",0))</f>
        <v>Шляпы</v>
      </c>
      <c r="D184" s="81" t="str">
        <f ca="1">_xlfn.LET(_xlpm.DATA,(_xlfn.XLOOKUP($A184,Строчный!$A:$A,Строчный!D:D,"ERR",0)),UPPER(MID(_xlpm.DATA,1,1))&amp;LOWER(MID(_xlpm.DATA,2,LEN(_xlpm.DATA)-1)))</f>
        <v>Шляпа федора</v>
      </c>
      <c r="E184" s="81" t="str">
        <f ca="1">PROPER(_xlfn.XLOOKUP($A184,Строчный!$A:$A,Строчный!E:E,"ERR",0))</f>
        <v>The Hollywood</v>
      </c>
      <c r="F184" s="81" t="str">
        <f ca="1">LOWER(_xlfn.XLOOKUP($A184,Строчный!$A:$A,Строчный!F:F,"ERR",0))</f>
        <v>летний</v>
      </c>
      <c r="G184" s="81" t="str">
        <f ca="1">UPPER(_xlfn.XLOOKUP($A184,Строчный!$A:$A,Строчный!G:G,"ERR",0))</f>
        <v>BAILEY</v>
      </c>
      <c r="H184" s="81" t="str">
        <f ca="1">LOWER(_xlfn.XLOOKUP($A184,Строчный!$A:$A,Строчный!H:H,"ERR",0))</f>
        <v>copper</v>
      </c>
      <c r="I184" s="81" t="str">
        <f ca="1">LOWER(_xlfn.XLOOKUP($A184,Строчный!$A:$A,Строчный!I:I,"ERR",0))</f>
        <v>коричневый</v>
      </c>
      <c r="J184" s="81" t="str">
        <f ca="1">SUBSTITUTE(LOWER(_xlfn.XLOOKUP($A184,Строчный!$A:$A,Строчный!J:J,"ERR",0)),"подклад","Подклад")</f>
        <v>50% бумага - 50% полипропилен</v>
      </c>
      <c r="K184" s="81" t="str">
        <f ca="1">LOWER(_xlfn.XLOOKUP($A184,Строчный!$A:$A,Строчный!K:K,"ERR",0))</f>
        <v>бумажные</v>
      </c>
      <c r="L184" s="81" t="str">
        <f ca="1">PROPER(_xlfn.XLOOKUP($A184,Строчный!$A:$A,Строчный!L:L,"ERR",0))</f>
        <v>Унисекс</v>
      </c>
      <c r="M184" s="113" t="str">
        <f ca="1">PROPER(_xlfn.XLOOKUP($A184,Строчный!$A:$A,Строчный!M:M,"ERR",0))</f>
        <v>Китай</v>
      </c>
      <c r="N184" s="81" t="str">
        <f ca="1">UPPER(_xlfn.XLOOKUP($A184,Строчный!$A:$A,Строчный!O:O,"ERR",0))</f>
        <v/>
      </c>
      <c r="O184" s="107" t="str">
        <f ca="1">PROPER(_xlfn.XLOOKUP($A184,Строчный!$A:$A,Строчный!P:P,"ERR",0))</f>
        <v/>
      </c>
      <c r="P184" s="90">
        <f ca="1">VALUE(_xlfn.XLOOKUP($A184,Строчный!$A:$A,Строчный!N:N,"ERR",0))</f>
        <v>2310.75</v>
      </c>
      <c r="Q184" s="89" t="str">
        <f ca="1">_xlfn.XLOOKUP($G184,Фабрика!A:A,Фабрика!B:B,"ERR",0)</f>
        <v>Bollman Headwear Europe Ltd; 2 Merchants drive, Caelisle, Cumbria CA3 0JW, United Kingdom</v>
      </c>
      <c r="R184" s="80" t="str">
        <f ca="1">_xlfn.XLOOKUP(RIGHT(Z184,2),Размеры!D:D,Размеры!A:A,"ERR",0)</f>
        <v>55</v>
      </c>
      <c r="S184" s="80">
        <f ca="1">VALUE(_xlfn.XLOOKUP($Z184,Строчный!$R:$R,Строчный!T:T,"ERR",0))</f>
        <v>5</v>
      </c>
      <c r="T184" s="14" t="s">
        <v>265</v>
      </c>
      <c r="U184" s="101" t="str">
        <f t="shared" ca="1" si="23"/>
        <v>Шляпа BAILEY арт. 81720BH MULLAN (коричневый)</v>
      </c>
      <c r="V184" s="100" t="str">
        <f t="shared" ca="1" si="24"/>
        <v>Шляпа BAILEY арт. 81720BH MULLAN (коричневый) {copper}</v>
      </c>
      <c r="W184" s="18" t="str">
        <f t="shared" ca="1" si="25"/>
        <v>коричневый</v>
      </c>
      <c r="X184" s="18" t="str">
        <f t="shared" ca="1" si="26"/>
        <v>коричневый</v>
      </c>
      <c r="Y184" s="117" t="str">
        <f ca="1">_xlfn.LET(_xlpm.FormColors,_xlfn.XLOOKUP(A184,Строчный!A:A,Строчный!Q:Q,"",0),IF(_xlpm.FormColors=0,IFERROR(MID(I184,FIND("-",I184)+1,LEN(I184)),IFERROR(MID(I184,1,FIND("/",I184)-2),I184)),_xlpm.FormColors))</f>
        <v>коричневый</v>
      </c>
      <c r="Z184" s="73" t="str">
        <f ca="1"/>
        <v>21-514-14-55</v>
      </c>
      <c r="AA184" s="75" t="str">
        <f ca="1">VLOOKUP(C184,Группа!A:B,2,FALSE)</f>
        <v>Шляпа</v>
      </c>
      <c r="AB184" s="97" t="str">
        <f ca="1">IFERROR(VLOOKUP(R184,Размеры!A:C,3,FALSE),"")</f>
        <v>55 S</v>
      </c>
      <c r="AC184" s="97" t="str">
        <f ca="1">VLOOKUP(I184,ЦветПолный!A:B,2,FALSE)</f>
        <v>14</v>
      </c>
      <c r="AD184" s="97" t="str">
        <f ca="1">IFERROR(VLOOKUP(R184,Размеры!A:D,4,FALSE),"")</f>
        <v>55</v>
      </c>
      <c r="AE184" s="97">
        <f ca="1">IF(LEFT(IFERROR(VLOOKUP(LOOKUP(2,1/SEARCH(B184,Товары!A:A),Товары!A:A),Товары!A:B,2,0),""),6)=MID(Z184,1,6),1,0)</f>
        <v>1</v>
      </c>
      <c r="AG184" s="97">
        <f ca="1">SUMIF(Группа!A:A,C184,Группа!C:C)</f>
        <v>1</v>
      </c>
      <c r="AH184" s="97">
        <f ca="1">SUMIF(Группа!B:B,AA184,Группа!C:C)</f>
        <v>1</v>
      </c>
      <c r="AI184" s="97">
        <f ca="1">SUMIF(Формы!A:A,D184,Формы!B:B)</f>
        <v>1</v>
      </c>
      <c r="AJ184" s="97">
        <f ca="1">SUMIF(Материал!A:A,K184,Материал!B:B)</f>
        <v>1</v>
      </c>
      <c r="AK184" s="97">
        <f ca="1">SUMIF(Размеры!A:A,R184,Размеры!E:E)</f>
        <v>1</v>
      </c>
      <c r="AL184" s="97">
        <f ca="1">SUMIF(Сезон!A:A,F184,Сезон!B:B)</f>
        <v>1</v>
      </c>
      <c r="AM184" s="97">
        <f ca="1">SUMIF(Состав!A:A,J184,Состав!B:B)</f>
        <v>1</v>
      </c>
      <c r="AN184" s="97">
        <f ca="1">VLOOKUP(I184,ЦветПолный!A:C,3,0)</f>
        <v>1</v>
      </c>
      <c r="AO184" s="97">
        <f ca="1">SUMIF(Цвет!A:A,Y184,Цвет!B:B)</f>
        <v>1</v>
      </c>
      <c r="AP184" s="97">
        <f ca="1">_xlfn.XLOOKUP(L184,Пол!A:A,Пол!B:B,0,0)</f>
        <v>1</v>
      </c>
      <c r="AQ184" s="97">
        <f ca="1">SUMIF(Марка!A:A,G184,Марка!B:B)</f>
        <v>1</v>
      </c>
      <c r="AR184" s="97">
        <f ca="1">SUMIF(Страна!A:A,M184,Страна!B:B)</f>
        <v>1</v>
      </c>
      <c r="AS184" s="64" t="str">
        <f ca="1">IF(VLOOKUP(V184,Товары!A:B,2,FALSE)=A184,"Есть в 1С","ERR")</f>
        <v>Есть в 1С</v>
      </c>
      <c r="AT184" s="65" t="str">
        <f ca="1">IF(VLOOKUP(A184,Товары!B:B,1,FALSE)=A184,"Есть в 1С","ERR")</f>
        <v>Есть в 1С</v>
      </c>
      <c r="AU184" s="96" t="str">
        <f ca="1">VLOOKUP(V184,Товары!A:B,2,FALSE)</f>
        <v>21-514-14</v>
      </c>
      <c r="AV184" s="94" t="str">
        <f ca="1">VLOOKUP(V184,Товары!A:B,1,FALSE)</f>
        <v>Шляпа BAILEY арт. 81720BH MULLAN (коричневый) {copper}</v>
      </c>
    </row>
    <row r="185" spans="1:48" x14ac:dyDescent="0.25">
      <c r="A185" s="110" t="str">
        <f t="shared" ca="1" si="22"/>
        <v>21-512-17</v>
      </c>
      <c r="B185" s="107" t="str">
        <f ca="1">_xlfn.LET(_xlpm.CAPS,0,_xlpm.Style,_xlfn.XLOOKUP($A185,Строчный!$A:$A,Строчный!B:B,"ERR",0),IF(_xlpm.CAPS=0,_xlpm.Style,LOWER(_xlpm.Style)))</f>
        <v>81717BH CRAIG</v>
      </c>
      <c r="C185" s="81" t="str">
        <f ca="1">PROPER(_xlfn.XLOOKUP($A185,Строчный!$A:$A,Строчный!C:C,"ERR",0))</f>
        <v>Шляпы</v>
      </c>
      <c r="D185" s="81" t="str">
        <f ca="1">_xlfn.LET(_xlpm.DATA,(_xlfn.XLOOKUP($A185,Строчный!$A:$A,Строчный!D:D,"ERR",0)),UPPER(MID(_xlpm.DATA,1,1))&amp;LOWER(MID(_xlpm.DATA,2,LEN(_xlpm.DATA)-1)))</f>
        <v>Шляпа трилби</v>
      </c>
      <c r="E185" s="81" t="str">
        <f ca="1">PROPER(_xlfn.XLOOKUP($A185,Строчный!$A:$A,Строчный!E:E,"ERR",0))</f>
        <v>The Hollywood</v>
      </c>
      <c r="F185" s="81" t="str">
        <f ca="1">LOWER(_xlfn.XLOOKUP($A185,Строчный!$A:$A,Строчный!F:F,"ERR",0))</f>
        <v>летний</v>
      </c>
      <c r="G185" s="81" t="str">
        <f ca="1">UPPER(_xlfn.XLOOKUP($A185,Строчный!$A:$A,Строчный!G:G,"ERR",0))</f>
        <v>BAILEY</v>
      </c>
      <c r="H185" s="81" t="str">
        <f ca="1">LOWER(_xlfn.XLOOKUP($A185,Строчный!$A:$A,Строчный!H:H,"ERR",0))</f>
        <v>white</v>
      </c>
      <c r="I185" s="81" t="str">
        <f ca="1">LOWER(_xlfn.XLOOKUP($A185,Строчный!$A:$A,Строчный!I:I,"ERR",0))</f>
        <v>белый</v>
      </c>
      <c r="J185" s="81" t="str">
        <f ca="1">SUBSTITUTE(LOWER(_xlfn.XLOOKUP($A185,Строчный!$A:$A,Строчный!J:J,"ERR",0)),"подклад","Подклад")</f>
        <v>100% полипропилен</v>
      </c>
      <c r="K185" s="81" t="str">
        <f ca="1">LOWER(_xlfn.XLOOKUP($A185,Строчный!$A:$A,Строчный!K:K,"ERR",0))</f>
        <v/>
      </c>
      <c r="L185" s="81" t="str">
        <f ca="1">PROPER(_xlfn.XLOOKUP($A185,Строчный!$A:$A,Строчный!L:L,"ERR",0))</f>
        <v>Унисекс</v>
      </c>
      <c r="M185" s="113" t="str">
        <f ca="1">PROPER(_xlfn.XLOOKUP($A185,Строчный!$A:$A,Строчный!M:M,"ERR",0))</f>
        <v>Китай</v>
      </c>
      <c r="N185" s="81" t="str">
        <f ca="1">UPPER(_xlfn.XLOOKUP($A185,Строчный!$A:$A,Строчный!O:O,"ERR",0))</f>
        <v/>
      </c>
      <c r="O185" s="107" t="str">
        <f ca="1">PROPER(_xlfn.XLOOKUP($A185,Строчный!$A:$A,Строчный!P:P,"ERR",0))</f>
        <v/>
      </c>
      <c r="P185" s="90">
        <f ca="1">VALUE(_xlfn.XLOOKUP($A185,Строчный!$A:$A,Строчный!N:N,"ERR",0))</f>
        <v>2234.7000000000003</v>
      </c>
      <c r="Q185" s="89" t="str">
        <f ca="1">_xlfn.XLOOKUP($G185,Фабрика!A:A,Фабрика!B:B,"ERR",0)</f>
        <v>Bollman Headwear Europe Ltd; 2 Merchants drive, Caelisle, Cumbria CA3 0JW, United Kingdom</v>
      </c>
      <c r="R185" s="80" t="str">
        <f ca="1">_xlfn.XLOOKUP(RIGHT(Z185,2),Размеры!D:D,Размеры!A:A,"ERR",0)</f>
        <v>61</v>
      </c>
      <c r="S185" s="80">
        <f ca="1">VALUE(_xlfn.XLOOKUP($Z185,Строчный!$R:$R,Строчный!T:T,"ERR",0))</f>
        <v>4</v>
      </c>
      <c r="T185" s="14" t="s">
        <v>265</v>
      </c>
      <c r="U185" s="101" t="str">
        <f t="shared" ca="1" si="23"/>
        <v>Шляпа BAILEY арт. 81717BH CRAIG (белый)</v>
      </c>
      <c r="V185" s="100" t="str">
        <f t="shared" ca="1" si="24"/>
        <v>Шляпа BAILEY арт. 81717BH CRAIG (белый) {white}</v>
      </c>
      <c r="W185" s="18" t="str">
        <f t="shared" ca="1" si="25"/>
        <v>белый</v>
      </c>
      <c r="X185" s="18" t="str">
        <f t="shared" ca="1" si="26"/>
        <v>белый</v>
      </c>
      <c r="Y185" s="117" t="str">
        <f ca="1">_xlfn.LET(_xlpm.FormColors,_xlfn.XLOOKUP(A185,Строчный!A:A,Строчный!Q:Q,"",0),IF(_xlpm.FormColors=0,IFERROR(MID(I185,FIND("-",I185)+1,LEN(I185)),IFERROR(MID(I185,1,FIND("/",I185)-2),I185)),_xlpm.FormColors))</f>
        <v>белый</v>
      </c>
      <c r="Z185" s="73" t="str">
        <f ca="1"/>
        <v>21-512-17-61</v>
      </c>
      <c r="AA185" s="75" t="str">
        <f ca="1">VLOOKUP(C185,Группа!A:B,2,FALSE)</f>
        <v>Шляпа</v>
      </c>
      <c r="AB185" s="97" t="str">
        <f ca="1">IFERROR(VLOOKUP(R185,Размеры!A:C,3,FALSE),"")</f>
        <v>61 XL</v>
      </c>
      <c r="AC185" s="97" t="str">
        <f ca="1">VLOOKUP(I185,ЦветПолный!A:B,2,FALSE)</f>
        <v>17</v>
      </c>
      <c r="AD185" s="97" t="str">
        <f ca="1">IFERROR(VLOOKUP(R185,Размеры!A:D,4,FALSE),"")</f>
        <v>61</v>
      </c>
      <c r="AE185" s="97">
        <f ca="1">IF(LEFT(IFERROR(VLOOKUP(LOOKUP(2,1/SEARCH(B185,Товары!A:A),Товары!A:A),Товары!A:B,2,0),""),6)=MID(Z185,1,6),1,0)</f>
        <v>1</v>
      </c>
      <c r="AG185" s="97">
        <f ca="1">SUMIF(Группа!A:A,C185,Группа!C:C)</f>
        <v>1</v>
      </c>
      <c r="AH185" s="97">
        <f ca="1">SUMIF(Группа!B:B,AA185,Группа!C:C)</f>
        <v>1</v>
      </c>
      <c r="AI185" s="97">
        <f ca="1">SUMIF(Формы!A:A,D185,Формы!B:B)</f>
        <v>1</v>
      </c>
      <c r="AJ185" s="97">
        <f ca="1">SUMIF(Материал!A:A,K185,Материал!B:B)</f>
        <v>0</v>
      </c>
      <c r="AK185" s="97">
        <f ca="1">SUMIF(Размеры!A:A,R185,Размеры!E:E)</f>
        <v>1</v>
      </c>
      <c r="AL185" s="97">
        <f ca="1">SUMIF(Сезон!A:A,F185,Сезон!B:B)</f>
        <v>1</v>
      </c>
      <c r="AM185" s="97">
        <f ca="1">SUMIF(Состав!A:A,J185,Состав!B:B)</f>
        <v>1</v>
      </c>
      <c r="AN185" s="97">
        <f ca="1">VLOOKUP(I185,ЦветПолный!A:C,3,0)</f>
        <v>1</v>
      </c>
      <c r="AO185" s="97">
        <f ca="1">SUMIF(Цвет!A:A,Y185,Цвет!B:B)</f>
        <v>1</v>
      </c>
      <c r="AP185" s="97">
        <f ca="1">_xlfn.XLOOKUP(L185,Пол!A:A,Пол!B:B,0,0)</f>
        <v>1</v>
      </c>
      <c r="AQ185" s="97">
        <f ca="1">SUMIF(Марка!A:A,G185,Марка!B:B)</f>
        <v>1</v>
      </c>
      <c r="AR185" s="97">
        <f ca="1">SUMIF(Страна!A:A,M185,Страна!B:B)</f>
        <v>1</v>
      </c>
      <c r="AS185" s="64" t="str">
        <f ca="1">IF(VLOOKUP(V185,Товары!A:B,2,FALSE)=A185,"Есть в 1С","ERR")</f>
        <v>Есть в 1С</v>
      </c>
      <c r="AT185" s="65" t="str">
        <f ca="1">IF(VLOOKUP(A185,Товары!B:B,1,FALSE)=A185,"Есть в 1С","ERR")</f>
        <v>Есть в 1С</v>
      </c>
      <c r="AU185" s="96" t="str">
        <f ca="1">VLOOKUP(V185,Товары!A:B,2,FALSE)</f>
        <v>21-512-17</v>
      </c>
      <c r="AV185" s="94" t="str">
        <f ca="1">VLOOKUP(V185,Товары!A:B,1,FALSE)</f>
        <v>Шляпа BAILEY арт. 81717BH CRAIG (белый) {white}</v>
      </c>
    </row>
    <row r="186" spans="1:48" x14ac:dyDescent="0.25">
      <c r="A186" s="110" t="str">
        <f t="shared" ca="1" si="22"/>
        <v>21-512-17</v>
      </c>
      <c r="B186" s="107" t="str">
        <f ca="1">_xlfn.LET(_xlpm.CAPS,0,_xlpm.Style,_xlfn.XLOOKUP($A186,Строчный!$A:$A,Строчный!B:B,"ERR",0),IF(_xlpm.CAPS=0,_xlpm.Style,LOWER(_xlpm.Style)))</f>
        <v>81717BH CRAIG</v>
      </c>
      <c r="C186" s="81" t="str">
        <f ca="1">PROPER(_xlfn.XLOOKUP($A186,Строчный!$A:$A,Строчный!C:C,"ERR",0))</f>
        <v>Шляпы</v>
      </c>
      <c r="D186" s="81" t="str">
        <f ca="1">_xlfn.LET(_xlpm.DATA,(_xlfn.XLOOKUP($A186,Строчный!$A:$A,Строчный!D:D,"ERR",0)),UPPER(MID(_xlpm.DATA,1,1))&amp;LOWER(MID(_xlpm.DATA,2,LEN(_xlpm.DATA)-1)))</f>
        <v>Шляпа трилби</v>
      </c>
      <c r="E186" s="81" t="str">
        <f ca="1">PROPER(_xlfn.XLOOKUP($A186,Строчный!$A:$A,Строчный!E:E,"ERR",0))</f>
        <v>The Hollywood</v>
      </c>
      <c r="F186" s="81" t="str">
        <f ca="1">LOWER(_xlfn.XLOOKUP($A186,Строчный!$A:$A,Строчный!F:F,"ERR",0))</f>
        <v>летний</v>
      </c>
      <c r="G186" s="81" t="str">
        <f ca="1">UPPER(_xlfn.XLOOKUP($A186,Строчный!$A:$A,Строчный!G:G,"ERR",0))</f>
        <v>BAILEY</v>
      </c>
      <c r="H186" s="81" t="str">
        <f ca="1">LOWER(_xlfn.XLOOKUP($A186,Строчный!$A:$A,Строчный!H:H,"ERR",0))</f>
        <v>white</v>
      </c>
      <c r="I186" s="81" t="str">
        <f ca="1">LOWER(_xlfn.XLOOKUP($A186,Строчный!$A:$A,Строчный!I:I,"ERR",0))</f>
        <v>белый</v>
      </c>
      <c r="J186" s="81" t="str">
        <f ca="1">SUBSTITUTE(LOWER(_xlfn.XLOOKUP($A186,Строчный!$A:$A,Строчный!J:J,"ERR",0)),"подклад","Подклад")</f>
        <v>100% полипропилен</v>
      </c>
      <c r="K186" s="81" t="str">
        <f ca="1">LOWER(_xlfn.XLOOKUP($A186,Строчный!$A:$A,Строчный!K:K,"ERR",0))</f>
        <v/>
      </c>
      <c r="L186" s="81" t="str">
        <f ca="1">PROPER(_xlfn.XLOOKUP($A186,Строчный!$A:$A,Строчный!L:L,"ERR",0))</f>
        <v>Унисекс</v>
      </c>
      <c r="M186" s="113" t="str">
        <f ca="1">PROPER(_xlfn.XLOOKUP($A186,Строчный!$A:$A,Строчный!M:M,"ERR",0))</f>
        <v>Китай</v>
      </c>
      <c r="N186" s="81" t="str">
        <f ca="1">UPPER(_xlfn.XLOOKUP($A186,Строчный!$A:$A,Строчный!O:O,"ERR",0))</f>
        <v/>
      </c>
      <c r="O186" s="107" t="str">
        <f ca="1">PROPER(_xlfn.XLOOKUP($A186,Строчный!$A:$A,Строчный!P:P,"ERR",0))</f>
        <v/>
      </c>
      <c r="P186" s="90">
        <f ca="1">VALUE(_xlfn.XLOOKUP($A186,Строчный!$A:$A,Строчный!N:N,"ERR",0))</f>
        <v>2234.7000000000003</v>
      </c>
      <c r="Q186" s="89" t="str">
        <f ca="1">_xlfn.XLOOKUP($G186,Фабрика!A:A,Фабрика!B:B,"ERR",0)</f>
        <v>Bollman Headwear Europe Ltd; 2 Merchants drive, Caelisle, Cumbria CA3 0JW, United Kingdom</v>
      </c>
      <c r="R186" s="80" t="str">
        <f ca="1">_xlfn.XLOOKUP(RIGHT(Z186,2),Размеры!D:D,Размеры!A:A,"ERR",0)</f>
        <v>59</v>
      </c>
      <c r="S186" s="80">
        <f ca="1">VALUE(_xlfn.XLOOKUP($Z186,Строчный!$R:$R,Строчный!T:T,"ERR",0))</f>
        <v>6</v>
      </c>
      <c r="T186" s="14" t="s">
        <v>265</v>
      </c>
      <c r="U186" s="101" t="str">
        <f t="shared" ca="1" si="23"/>
        <v>Шляпа BAILEY арт. 81717BH CRAIG (белый)</v>
      </c>
      <c r="V186" s="100" t="str">
        <f t="shared" ca="1" si="24"/>
        <v>Шляпа BAILEY арт. 81717BH CRAIG (белый) {white}</v>
      </c>
      <c r="W186" s="18" t="str">
        <f t="shared" ca="1" si="25"/>
        <v>белый</v>
      </c>
      <c r="X186" s="18" t="str">
        <f t="shared" ca="1" si="26"/>
        <v>белый</v>
      </c>
      <c r="Y186" s="117" t="str">
        <f ca="1">_xlfn.LET(_xlpm.FormColors,_xlfn.XLOOKUP(A186,Строчный!A:A,Строчный!Q:Q,"",0),IF(_xlpm.FormColors=0,IFERROR(MID(I186,FIND("-",I186)+1,LEN(I186)),IFERROR(MID(I186,1,FIND("/",I186)-2),I186)),_xlpm.FormColors))</f>
        <v>белый</v>
      </c>
      <c r="Z186" s="73" t="str">
        <f ca="1"/>
        <v>21-512-17-59</v>
      </c>
      <c r="AA186" s="75" t="str">
        <f ca="1">VLOOKUP(C186,Группа!A:B,2,FALSE)</f>
        <v>Шляпа</v>
      </c>
      <c r="AB186" s="97" t="str">
        <f ca="1">IFERROR(VLOOKUP(R186,Размеры!A:C,3,FALSE),"")</f>
        <v>59 L</v>
      </c>
      <c r="AC186" s="97" t="str">
        <f ca="1">VLOOKUP(I186,ЦветПолный!A:B,2,FALSE)</f>
        <v>17</v>
      </c>
      <c r="AD186" s="97" t="str">
        <f ca="1">IFERROR(VLOOKUP(R186,Размеры!A:D,4,FALSE),"")</f>
        <v>59</v>
      </c>
      <c r="AE186" s="97">
        <f ca="1">IF(LEFT(IFERROR(VLOOKUP(LOOKUP(2,1/SEARCH(B186,Товары!A:A),Товары!A:A),Товары!A:B,2,0),""),6)=MID(Z186,1,6),1,0)</f>
        <v>1</v>
      </c>
      <c r="AG186" s="97">
        <f ca="1">SUMIF(Группа!A:A,C186,Группа!C:C)</f>
        <v>1</v>
      </c>
      <c r="AH186" s="97">
        <f ca="1">SUMIF(Группа!B:B,AA186,Группа!C:C)</f>
        <v>1</v>
      </c>
      <c r="AI186" s="97">
        <f ca="1">SUMIF(Формы!A:A,D186,Формы!B:B)</f>
        <v>1</v>
      </c>
      <c r="AJ186" s="97">
        <f ca="1">SUMIF(Материал!A:A,K186,Материал!B:B)</f>
        <v>0</v>
      </c>
      <c r="AK186" s="97">
        <f ca="1">SUMIF(Размеры!A:A,R186,Размеры!E:E)</f>
        <v>1</v>
      </c>
      <c r="AL186" s="97">
        <f ca="1">SUMIF(Сезон!A:A,F186,Сезон!B:B)</f>
        <v>1</v>
      </c>
      <c r="AM186" s="97">
        <f ca="1">SUMIF(Состав!A:A,J186,Состав!B:B)</f>
        <v>1</v>
      </c>
      <c r="AN186" s="97">
        <f ca="1">VLOOKUP(I186,ЦветПолный!A:C,3,0)</f>
        <v>1</v>
      </c>
      <c r="AO186" s="97">
        <f ca="1">SUMIF(Цвет!A:A,Y186,Цвет!B:B)</f>
        <v>1</v>
      </c>
      <c r="AP186" s="97">
        <f ca="1">_xlfn.XLOOKUP(L186,Пол!A:A,Пол!B:B,0,0)</f>
        <v>1</v>
      </c>
      <c r="AQ186" s="97">
        <f ca="1">SUMIF(Марка!A:A,G186,Марка!B:B)</f>
        <v>1</v>
      </c>
      <c r="AR186" s="97">
        <f ca="1">SUMIF(Страна!A:A,M186,Страна!B:B)</f>
        <v>1</v>
      </c>
      <c r="AS186" s="64" t="str">
        <f ca="1">IF(VLOOKUP(V186,Товары!A:B,2,FALSE)=A186,"Есть в 1С","ERR")</f>
        <v>Есть в 1С</v>
      </c>
      <c r="AT186" s="65" t="str">
        <f ca="1">IF(VLOOKUP(A186,Товары!B:B,1,FALSE)=A186,"Есть в 1С","ERR")</f>
        <v>Есть в 1С</v>
      </c>
      <c r="AU186" s="96" t="str">
        <f ca="1">VLOOKUP(V186,Товары!A:B,2,FALSE)</f>
        <v>21-512-17</v>
      </c>
      <c r="AV186" s="94" t="str">
        <f ca="1">VLOOKUP(V186,Товары!A:B,1,FALSE)</f>
        <v>Шляпа BAILEY арт. 81717BH CRAIG (белый) {white}</v>
      </c>
    </row>
    <row r="187" spans="1:48" x14ac:dyDescent="0.25">
      <c r="A187" s="110" t="str">
        <f t="shared" ca="1" si="22"/>
        <v>21-512-17</v>
      </c>
      <c r="B187" s="107" t="str">
        <f ca="1">_xlfn.LET(_xlpm.CAPS,0,_xlpm.Style,_xlfn.XLOOKUP($A187,Строчный!$A:$A,Строчный!B:B,"ERR",0),IF(_xlpm.CAPS=0,_xlpm.Style,LOWER(_xlpm.Style)))</f>
        <v>81717BH CRAIG</v>
      </c>
      <c r="C187" s="81" t="str">
        <f ca="1">PROPER(_xlfn.XLOOKUP($A187,Строчный!$A:$A,Строчный!C:C,"ERR",0))</f>
        <v>Шляпы</v>
      </c>
      <c r="D187" s="81" t="str">
        <f ca="1">_xlfn.LET(_xlpm.DATA,(_xlfn.XLOOKUP($A187,Строчный!$A:$A,Строчный!D:D,"ERR",0)),UPPER(MID(_xlpm.DATA,1,1))&amp;LOWER(MID(_xlpm.DATA,2,LEN(_xlpm.DATA)-1)))</f>
        <v>Шляпа трилби</v>
      </c>
      <c r="E187" s="81" t="str">
        <f ca="1">PROPER(_xlfn.XLOOKUP($A187,Строчный!$A:$A,Строчный!E:E,"ERR",0))</f>
        <v>The Hollywood</v>
      </c>
      <c r="F187" s="81" t="str">
        <f ca="1">LOWER(_xlfn.XLOOKUP($A187,Строчный!$A:$A,Строчный!F:F,"ERR",0))</f>
        <v>летний</v>
      </c>
      <c r="G187" s="81" t="str">
        <f ca="1">UPPER(_xlfn.XLOOKUP($A187,Строчный!$A:$A,Строчный!G:G,"ERR",0))</f>
        <v>BAILEY</v>
      </c>
      <c r="H187" s="81" t="str">
        <f ca="1">LOWER(_xlfn.XLOOKUP($A187,Строчный!$A:$A,Строчный!H:H,"ERR",0))</f>
        <v>white</v>
      </c>
      <c r="I187" s="81" t="str">
        <f ca="1">LOWER(_xlfn.XLOOKUP($A187,Строчный!$A:$A,Строчный!I:I,"ERR",0))</f>
        <v>белый</v>
      </c>
      <c r="J187" s="81" t="str">
        <f ca="1">SUBSTITUTE(LOWER(_xlfn.XLOOKUP($A187,Строчный!$A:$A,Строчный!J:J,"ERR",0)),"подклад","Подклад")</f>
        <v>100% полипропилен</v>
      </c>
      <c r="K187" s="81" t="str">
        <f ca="1">LOWER(_xlfn.XLOOKUP($A187,Строчный!$A:$A,Строчный!K:K,"ERR",0))</f>
        <v/>
      </c>
      <c r="L187" s="81" t="str">
        <f ca="1">PROPER(_xlfn.XLOOKUP($A187,Строчный!$A:$A,Строчный!L:L,"ERR",0))</f>
        <v>Унисекс</v>
      </c>
      <c r="M187" s="113" t="str">
        <f ca="1">PROPER(_xlfn.XLOOKUP($A187,Строчный!$A:$A,Строчный!M:M,"ERR",0))</f>
        <v>Китай</v>
      </c>
      <c r="N187" s="81" t="str">
        <f ca="1">UPPER(_xlfn.XLOOKUP($A187,Строчный!$A:$A,Строчный!O:O,"ERR",0))</f>
        <v/>
      </c>
      <c r="O187" s="107" t="str">
        <f ca="1">PROPER(_xlfn.XLOOKUP($A187,Строчный!$A:$A,Строчный!P:P,"ERR",0))</f>
        <v/>
      </c>
      <c r="P187" s="90">
        <f ca="1">VALUE(_xlfn.XLOOKUP($A187,Строчный!$A:$A,Строчный!N:N,"ERR",0))</f>
        <v>2234.7000000000003</v>
      </c>
      <c r="Q187" s="89" t="str">
        <f ca="1">_xlfn.XLOOKUP($G187,Фабрика!A:A,Фабрика!B:B,"ERR",0)</f>
        <v>Bollman Headwear Europe Ltd; 2 Merchants drive, Caelisle, Cumbria CA3 0JW, United Kingdom</v>
      </c>
      <c r="R187" s="80" t="str">
        <f ca="1">_xlfn.XLOOKUP(RIGHT(Z187,2),Размеры!D:D,Размеры!A:A,"ERR",0)</f>
        <v>57</v>
      </c>
      <c r="S187" s="80">
        <f ca="1">VALUE(_xlfn.XLOOKUP($Z187,Строчный!$R:$R,Строчный!T:T,"ERR",0))</f>
        <v>4</v>
      </c>
      <c r="T187" s="14" t="s">
        <v>265</v>
      </c>
      <c r="U187" s="101" t="str">
        <f t="shared" ca="1" si="23"/>
        <v>Шляпа BAILEY арт. 81717BH CRAIG (белый)</v>
      </c>
      <c r="V187" s="100" t="str">
        <f t="shared" ca="1" si="24"/>
        <v>Шляпа BAILEY арт. 81717BH CRAIG (белый) {white}</v>
      </c>
      <c r="W187" s="18" t="str">
        <f t="shared" ca="1" si="25"/>
        <v>белый</v>
      </c>
      <c r="X187" s="18" t="str">
        <f t="shared" ca="1" si="26"/>
        <v>белый</v>
      </c>
      <c r="Y187" s="117" t="str">
        <f ca="1">_xlfn.LET(_xlpm.FormColors,_xlfn.XLOOKUP(A187,Строчный!A:A,Строчный!Q:Q,"",0),IF(_xlpm.FormColors=0,IFERROR(MID(I187,FIND("-",I187)+1,LEN(I187)),IFERROR(MID(I187,1,FIND("/",I187)-2),I187)),_xlpm.FormColors))</f>
        <v>белый</v>
      </c>
      <c r="Z187" s="73" t="str">
        <f ca="1"/>
        <v>21-512-17-57</v>
      </c>
      <c r="AA187" s="75" t="str">
        <f ca="1">VLOOKUP(C187,Группа!A:B,2,FALSE)</f>
        <v>Шляпа</v>
      </c>
      <c r="AB187" s="97" t="str">
        <f ca="1">IFERROR(VLOOKUP(R187,Размеры!A:C,3,FALSE),"")</f>
        <v>57 M</v>
      </c>
      <c r="AC187" s="97" t="str">
        <f ca="1">VLOOKUP(I187,ЦветПолный!A:B,2,FALSE)</f>
        <v>17</v>
      </c>
      <c r="AD187" s="97" t="str">
        <f ca="1">IFERROR(VLOOKUP(R187,Размеры!A:D,4,FALSE),"")</f>
        <v>57</v>
      </c>
      <c r="AE187" s="97">
        <f ca="1">IF(LEFT(IFERROR(VLOOKUP(LOOKUP(2,1/SEARCH(B187,Товары!A:A),Товары!A:A),Товары!A:B,2,0),""),6)=MID(Z187,1,6),1,0)</f>
        <v>1</v>
      </c>
      <c r="AG187" s="97">
        <f ca="1">SUMIF(Группа!A:A,C187,Группа!C:C)</f>
        <v>1</v>
      </c>
      <c r="AH187" s="97">
        <f ca="1">SUMIF(Группа!B:B,AA187,Группа!C:C)</f>
        <v>1</v>
      </c>
      <c r="AI187" s="97">
        <f ca="1">SUMIF(Формы!A:A,D187,Формы!B:B)</f>
        <v>1</v>
      </c>
      <c r="AJ187" s="97">
        <f ca="1">SUMIF(Материал!A:A,K187,Материал!B:B)</f>
        <v>0</v>
      </c>
      <c r="AK187" s="97">
        <f ca="1">SUMIF(Размеры!A:A,R187,Размеры!E:E)</f>
        <v>1</v>
      </c>
      <c r="AL187" s="97">
        <f ca="1">SUMIF(Сезон!A:A,F187,Сезон!B:B)</f>
        <v>1</v>
      </c>
      <c r="AM187" s="97">
        <f ca="1">SUMIF(Состав!A:A,J187,Состав!B:B)</f>
        <v>1</v>
      </c>
      <c r="AN187" s="97">
        <f ca="1">VLOOKUP(I187,ЦветПолный!A:C,3,0)</f>
        <v>1</v>
      </c>
      <c r="AO187" s="97">
        <f ca="1">SUMIF(Цвет!A:A,Y187,Цвет!B:B)</f>
        <v>1</v>
      </c>
      <c r="AP187" s="97">
        <f ca="1">_xlfn.XLOOKUP(L187,Пол!A:A,Пол!B:B,0,0)</f>
        <v>1</v>
      </c>
      <c r="AQ187" s="97">
        <f ca="1">SUMIF(Марка!A:A,G187,Марка!B:B)</f>
        <v>1</v>
      </c>
      <c r="AR187" s="97">
        <f ca="1">SUMIF(Страна!A:A,M187,Страна!B:B)</f>
        <v>1</v>
      </c>
      <c r="AS187" s="64" t="str">
        <f ca="1">IF(VLOOKUP(V187,Товары!A:B,2,FALSE)=A187,"Есть в 1С","ERR")</f>
        <v>Есть в 1С</v>
      </c>
      <c r="AT187" s="65" t="str">
        <f ca="1">IF(VLOOKUP(A187,Товары!B:B,1,FALSE)=A187,"Есть в 1С","ERR")</f>
        <v>Есть в 1С</v>
      </c>
      <c r="AU187" s="96" t="str">
        <f ca="1">VLOOKUP(V187,Товары!A:B,2,FALSE)</f>
        <v>21-512-17</v>
      </c>
      <c r="AV187" s="94" t="str">
        <f ca="1">VLOOKUP(V187,Товары!A:B,1,FALSE)</f>
        <v>Шляпа BAILEY арт. 81717BH CRAIG (белый) {white}</v>
      </c>
    </row>
    <row r="188" spans="1:48" x14ac:dyDescent="0.25">
      <c r="A188" s="110" t="str">
        <f t="shared" ca="1" si="22"/>
        <v>21-512-15</v>
      </c>
      <c r="B188" s="107" t="str">
        <f ca="1">_xlfn.LET(_xlpm.CAPS,0,_xlpm.Style,_xlfn.XLOOKUP($A188,Строчный!$A:$A,Строчный!B:B,"ERR",0),IF(_xlpm.CAPS=0,_xlpm.Style,LOWER(_xlpm.Style)))</f>
        <v>81717BH CRAIG</v>
      </c>
      <c r="C188" s="81" t="str">
        <f ca="1">PROPER(_xlfn.XLOOKUP($A188,Строчный!$A:$A,Строчный!C:C,"ERR",0))</f>
        <v>Шляпы</v>
      </c>
      <c r="D188" s="81" t="str">
        <f ca="1">_xlfn.LET(_xlpm.DATA,(_xlfn.XLOOKUP($A188,Строчный!$A:$A,Строчный!D:D,"ERR",0)),UPPER(MID(_xlpm.DATA,1,1))&amp;LOWER(MID(_xlpm.DATA,2,LEN(_xlpm.DATA)-1)))</f>
        <v>Шляпа трилби</v>
      </c>
      <c r="E188" s="81" t="str">
        <f ca="1">PROPER(_xlfn.XLOOKUP($A188,Строчный!$A:$A,Строчный!E:E,"ERR",0))</f>
        <v>The Hollywood</v>
      </c>
      <c r="F188" s="81" t="str">
        <f ca="1">LOWER(_xlfn.XLOOKUP($A188,Строчный!$A:$A,Строчный!F:F,"ERR",0))</f>
        <v>летний</v>
      </c>
      <c r="G188" s="81" t="str">
        <f ca="1">UPPER(_xlfn.XLOOKUP($A188,Строчный!$A:$A,Строчный!G:G,"ERR",0))</f>
        <v>BAILEY</v>
      </c>
      <c r="H188" s="81" t="str">
        <f ca="1">LOWER(_xlfn.XLOOKUP($A188,Строчный!$A:$A,Строчный!H:H,"ERR",0))</f>
        <v>tan</v>
      </c>
      <c r="I188" s="81" t="str">
        <f ca="1">LOWER(_xlfn.XLOOKUP($A188,Строчный!$A:$A,Строчный!I:I,"ERR",0))</f>
        <v>светло-коричневый</v>
      </c>
      <c r="J188" s="81" t="str">
        <f ca="1">SUBSTITUTE(LOWER(_xlfn.XLOOKUP($A188,Строчный!$A:$A,Строчный!J:J,"ERR",0)),"подклад","Подклад")</f>
        <v>100% полипропилен</v>
      </c>
      <c r="K188" s="81" t="str">
        <f ca="1">LOWER(_xlfn.XLOOKUP($A188,Строчный!$A:$A,Строчный!K:K,"ERR",0))</f>
        <v/>
      </c>
      <c r="L188" s="81" t="str">
        <f ca="1">PROPER(_xlfn.XLOOKUP($A188,Строчный!$A:$A,Строчный!L:L,"ERR",0))</f>
        <v>Унисекс</v>
      </c>
      <c r="M188" s="113" t="str">
        <f ca="1">PROPER(_xlfn.XLOOKUP($A188,Строчный!$A:$A,Строчный!M:M,"ERR",0))</f>
        <v>Китай</v>
      </c>
      <c r="N188" s="81" t="str">
        <f ca="1">UPPER(_xlfn.XLOOKUP($A188,Строчный!$A:$A,Строчный!O:O,"ERR",0))</f>
        <v/>
      </c>
      <c r="O188" s="107" t="str">
        <f ca="1">PROPER(_xlfn.XLOOKUP($A188,Строчный!$A:$A,Строчный!P:P,"ERR",0))</f>
        <v/>
      </c>
      <c r="P188" s="90">
        <f ca="1">VALUE(_xlfn.XLOOKUP($A188,Строчный!$A:$A,Строчный!N:N,"ERR",0))</f>
        <v>2234.7000000000003</v>
      </c>
      <c r="Q188" s="89" t="str">
        <f ca="1">_xlfn.XLOOKUP($G188,Фабрика!A:A,Фабрика!B:B,"ERR",0)</f>
        <v>Bollman Headwear Europe Ltd; 2 Merchants drive, Caelisle, Cumbria CA3 0JW, United Kingdom</v>
      </c>
      <c r="R188" s="80" t="str">
        <f ca="1">_xlfn.XLOOKUP(RIGHT(Z188,2),Размеры!D:D,Размеры!A:A,"ERR",0)</f>
        <v>61</v>
      </c>
      <c r="S188" s="80">
        <f ca="1">VALUE(_xlfn.XLOOKUP($Z188,Строчный!$R:$R,Строчный!T:T,"ERR",0))</f>
        <v>2</v>
      </c>
      <c r="T188" s="14" t="s">
        <v>265</v>
      </c>
      <c r="U188" s="101" t="str">
        <f t="shared" ca="1" si="23"/>
        <v>Шляпа BAILEY арт. 81717BH CRAIG (светло-коричневый)</v>
      </c>
      <c r="V188" s="100" t="str">
        <f t="shared" ca="1" si="24"/>
        <v>Шляпа BAILEY арт. 81717BH CRAIG (светло-коричневый) {tan}</v>
      </c>
      <c r="W188" s="18" t="str">
        <f t="shared" ca="1" si="25"/>
        <v>коричневый</v>
      </c>
      <c r="X188" s="18" t="str">
        <f t="shared" ca="1" si="26"/>
        <v>коричневый</v>
      </c>
      <c r="Y188" s="117" t="str">
        <f ca="1">_xlfn.LET(_xlpm.FormColors,_xlfn.XLOOKUP(A188,Строчный!A:A,Строчный!Q:Q,"",0),IF(_xlpm.FormColors=0,IFERROR(MID(I188,FIND("-",I188)+1,LEN(I188)),IFERROR(MID(I188,1,FIND("/",I188)-2),I188)),_xlpm.FormColors))</f>
        <v>коричневый</v>
      </c>
      <c r="Z188" s="73" t="str">
        <f ca="1"/>
        <v>21-512-15-61</v>
      </c>
      <c r="AA188" s="75" t="str">
        <f ca="1">VLOOKUP(C188,Группа!A:B,2,FALSE)</f>
        <v>Шляпа</v>
      </c>
      <c r="AB188" s="97" t="str">
        <f ca="1">IFERROR(VLOOKUP(R188,Размеры!A:C,3,FALSE),"")</f>
        <v>61 XL</v>
      </c>
      <c r="AC188" s="97" t="str">
        <f ca="1">VLOOKUP(I188,ЦветПолный!A:B,2,FALSE)</f>
        <v>15</v>
      </c>
      <c r="AD188" s="97" t="str">
        <f ca="1">IFERROR(VLOOKUP(R188,Размеры!A:D,4,FALSE),"")</f>
        <v>61</v>
      </c>
      <c r="AE188" s="97">
        <f ca="1">IF(LEFT(IFERROR(VLOOKUP(LOOKUP(2,1/SEARCH(B188,Товары!A:A),Товары!A:A),Товары!A:B,2,0),""),6)=MID(Z188,1,6),1,0)</f>
        <v>1</v>
      </c>
      <c r="AG188" s="97">
        <f ca="1">SUMIF(Группа!A:A,C188,Группа!C:C)</f>
        <v>1</v>
      </c>
      <c r="AH188" s="97">
        <f ca="1">SUMIF(Группа!B:B,AA188,Группа!C:C)</f>
        <v>1</v>
      </c>
      <c r="AI188" s="97">
        <f ca="1">SUMIF(Формы!A:A,D188,Формы!B:B)</f>
        <v>1</v>
      </c>
      <c r="AJ188" s="97">
        <f ca="1">SUMIF(Материал!A:A,K188,Материал!B:B)</f>
        <v>0</v>
      </c>
      <c r="AK188" s="97">
        <f ca="1">SUMIF(Размеры!A:A,R188,Размеры!E:E)</f>
        <v>1</v>
      </c>
      <c r="AL188" s="97">
        <f ca="1">SUMIF(Сезон!A:A,F188,Сезон!B:B)</f>
        <v>1</v>
      </c>
      <c r="AM188" s="97">
        <f ca="1">SUMIF(Состав!A:A,J188,Состав!B:B)</f>
        <v>1</v>
      </c>
      <c r="AN188" s="97">
        <f ca="1">VLOOKUP(I188,ЦветПолный!A:C,3,0)</f>
        <v>1</v>
      </c>
      <c r="AO188" s="97">
        <f ca="1">SUMIF(Цвет!A:A,Y188,Цвет!B:B)</f>
        <v>1</v>
      </c>
      <c r="AP188" s="97">
        <f ca="1">_xlfn.XLOOKUP(L188,Пол!A:A,Пол!B:B,0,0)</f>
        <v>1</v>
      </c>
      <c r="AQ188" s="97">
        <f ca="1">SUMIF(Марка!A:A,G188,Марка!B:B)</f>
        <v>1</v>
      </c>
      <c r="AR188" s="97">
        <f ca="1">SUMIF(Страна!A:A,M188,Страна!B:B)</f>
        <v>1</v>
      </c>
      <c r="AS188" s="64" t="str">
        <f ca="1">IF(VLOOKUP(V188,Товары!A:B,2,FALSE)=A188,"Есть в 1С","ERR")</f>
        <v>Есть в 1С</v>
      </c>
      <c r="AT188" s="65" t="str">
        <f ca="1">IF(VLOOKUP(A188,Товары!B:B,1,FALSE)=A188,"Есть в 1С","ERR")</f>
        <v>Есть в 1С</v>
      </c>
      <c r="AU188" s="96" t="str">
        <f ca="1">VLOOKUP(V188,Товары!A:B,2,FALSE)</f>
        <v>21-512-15</v>
      </c>
      <c r="AV188" s="94" t="str">
        <f ca="1">VLOOKUP(V188,Товары!A:B,1,FALSE)</f>
        <v>Шляпа BAILEY арт. 81717BH CRAIG (светло-коричневый) {tan}</v>
      </c>
    </row>
    <row r="189" spans="1:48" x14ac:dyDescent="0.25">
      <c r="A189" s="110" t="str">
        <f t="shared" ca="1" si="22"/>
        <v>21-512-15</v>
      </c>
      <c r="B189" s="107" t="str">
        <f ca="1">_xlfn.LET(_xlpm.CAPS,0,_xlpm.Style,_xlfn.XLOOKUP($A189,Строчный!$A:$A,Строчный!B:B,"ERR",0),IF(_xlpm.CAPS=0,_xlpm.Style,LOWER(_xlpm.Style)))</f>
        <v>81717BH CRAIG</v>
      </c>
      <c r="C189" s="81" t="str">
        <f ca="1">PROPER(_xlfn.XLOOKUP($A189,Строчный!$A:$A,Строчный!C:C,"ERR",0))</f>
        <v>Шляпы</v>
      </c>
      <c r="D189" s="81" t="str">
        <f ca="1">_xlfn.LET(_xlpm.DATA,(_xlfn.XLOOKUP($A189,Строчный!$A:$A,Строчный!D:D,"ERR",0)),UPPER(MID(_xlpm.DATA,1,1))&amp;LOWER(MID(_xlpm.DATA,2,LEN(_xlpm.DATA)-1)))</f>
        <v>Шляпа трилби</v>
      </c>
      <c r="E189" s="81" t="str">
        <f ca="1">PROPER(_xlfn.XLOOKUP($A189,Строчный!$A:$A,Строчный!E:E,"ERR",0))</f>
        <v>The Hollywood</v>
      </c>
      <c r="F189" s="81" t="str">
        <f ca="1">LOWER(_xlfn.XLOOKUP($A189,Строчный!$A:$A,Строчный!F:F,"ERR",0))</f>
        <v>летний</v>
      </c>
      <c r="G189" s="81" t="str">
        <f ca="1">UPPER(_xlfn.XLOOKUP($A189,Строчный!$A:$A,Строчный!G:G,"ERR",0))</f>
        <v>BAILEY</v>
      </c>
      <c r="H189" s="81" t="str">
        <f ca="1">LOWER(_xlfn.XLOOKUP($A189,Строчный!$A:$A,Строчный!H:H,"ERR",0))</f>
        <v>tan</v>
      </c>
      <c r="I189" s="81" t="str">
        <f ca="1">LOWER(_xlfn.XLOOKUP($A189,Строчный!$A:$A,Строчный!I:I,"ERR",0))</f>
        <v>светло-коричневый</v>
      </c>
      <c r="J189" s="81" t="str">
        <f ca="1">SUBSTITUTE(LOWER(_xlfn.XLOOKUP($A189,Строчный!$A:$A,Строчный!J:J,"ERR",0)),"подклад","Подклад")</f>
        <v>100% полипропилен</v>
      </c>
      <c r="K189" s="81" t="str">
        <f ca="1">LOWER(_xlfn.XLOOKUP($A189,Строчный!$A:$A,Строчный!K:K,"ERR",0))</f>
        <v/>
      </c>
      <c r="L189" s="81" t="str">
        <f ca="1">PROPER(_xlfn.XLOOKUP($A189,Строчный!$A:$A,Строчный!L:L,"ERR",0))</f>
        <v>Унисекс</v>
      </c>
      <c r="M189" s="113" t="str">
        <f ca="1">PROPER(_xlfn.XLOOKUP($A189,Строчный!$A:$A,Строчный!M:M,"ERR",0))</f>
        <v>Китай</v>
      </c>
      <c r="N189" s="81" t="str">
        <f ca="1">UPPER(_xlfn.XLOOKUP($A189,Строчный!$A:$A,Строчный!O:O,"ERR",0))</f>
        <v/>
      </c>
      <c r="O189" s="107" t="str">
        <f ca="1">PROPER(_xlfn.XLOOKUP($A189,Строчный!$A:$A,Строчный!P:P,"ERR",0))</f>
        <v/>
      </c>
      <c r="P189" s="90">
        <f ca="1">VALUE(_xlfn.XLOOKUP($A189,Строчный!$A:$A,Строчный!N:N,"ERR",0))</f>
        <v>2234.7000000000003</v>
      </c>
      <c r="Q189" s="89" t="str">
        <f ca="1">_xlfn.XLOOKUP($G189,Фабрика!A:A,Фабрика!B:B,"ERR",0)</f>
        <v>Bollman Headwear Europe Ltd; 2 Merchants drive, Caelisle, Cumbria CA3 0JW, United Kingdom</v>
      </c>
      <c r="R189" s="80" t="str">
        <f ca="1">_xlfn.XLOOKUP(RIGHT(Z189,2),Размеры!D:D,Размеры!A:A,"ERR",0)</f>
        <v>59</v>
      </c>
      <c r="S189" s="80">
        <f ca="1">VALUE(_xlfn.XLOOKUP($Z189,Строчный!$R:$R,Строчный!T:T,"ERR",0))</f>
        <v>3</v>
      </c>
      <c r="T189" s="14" t="s">
        <v>265</v>
      </c>
      <c r="U189" s="101" t="str">
        <f t="shared" ca="1" si="23"/>
        <v>Шляпа BAILEY арт. 81717BH CRAIG (светло-коричневый)</v>
      </c>
      <c r="V189" s="100" t="str">
        <f t="shared" ca="1" si="24"/>
        <v>Шляпа BAILEY арт. 81717BH CRAIG (светло-коричневый) {tan}</v>
      </c>
      <c r="W189" s="18" t="str">
        <f t="shared" ca="1" si="25"/>
        <v>коричневый</v>
      </c>
      <c r="X189" s="18" t="str">
        <f t="shared" ca="1" si="26"/>
        <v>коричневый</v>
      </c>
      <c r="Y189" s="117" t="str">
        <f ca="1">_xlfn.LET(_xlpm.FormColors,_xlfn.XLOOKUP(A189,Строчный!A:A,Строчный!Q:Q,"",0),IF(_xlpm.FormColors=0,IFERROR(MID(I189,FIND("-",I189)+1,LEN(I189)),IFERROR(MID(I189,1,FIND("/",I189)-2),I189)),_xlpm.FormColors))</f>
        <v>коричневый</v>
      </c>
      <c r="Z189" s="73" t="str">
        <f ca="1"/>
        <v>21-512-15-59</v>
      </c>
      <c r="AA189" s="75" t="str">
        <f ca="1">VLOOKUP(C189,Группа!A:B,2,FALSE)</f>
        <v>Шляпа</v>
      </c>
      <c r="AB189" s="97" t="str">
        <f ca="1">IFERROR(VLOOKUP(R189,Размеры!A:C,3,FALSE),"")</f>
        <v>59 L</v>
      </c>
      <c r="AC189" s="97" t="str">
        <f ca="1">VLOOKUP(I189,ЦветПолный!A:B,2,FALSE)</f>
        <v>15</v>
      </c>
      <c r="AD189" s="97" t="str">
        <f ca="1">IFERROR(VLOOKUP(R189,Размеры!A:D,4,FALSE),"")</f>
        <v>59</v>
      </c>
      <c r="AE189" s="97">
        <f ca="1">IF(LEFT(IFERROR(VLOOKUP(LOOKUP(2,1/SEARCH(B189,Товары!A:A),Товары!A:A),Товары!A:B,2,0),""),6)=MID(Z189,1,6),1,0)</f>
        <v>1</v>
      </c>
      <c r="AG189" s="97">
        <f ca="1">SUMIF(Группа!A:A,C189,Группа!C:C)</f>
        <v>1</v>
      </c>
      <c r="AH189" s="97">
        <f ca="1">SUMIF(Группа!B:B,AA189,Группа!C:C)</f>
        <v>1</v>
      </c>
      <c r="AI189" s="97">
        <f ca="1">SUMIF(Формы!A:A,D189,Формы!B:B)</f>
        <v>1</v>
      </c>
      <c r="AJ189" s="97">
        <f ca="1">SUMIF(Материал!A:A,K189,Материал!B:B)</f>
        <v>0</v>
      </c>
      <c r="AK189" s="97">
        <f ca="1">SUMIF(Размеры!A:A,R189,Размеры!E:E)</f>
        <v>1</v>
      </c>
      <c r="AL189" s="97">
        <f ca="1">SUMIF(Сезон!A:A,F189,Сезон!B:B)</f>
        <v>1</v>
      </c>
      <c r="AM189" s="97">
        <f ca="1">SUMIF(Состав!A:A,J189,Состав!B:B)</f>
        <v>1</v>
      </c>
      <c r="AN189" s="97">
        <f ca="1">VLOOKUP(I189,ЦветПолный!A:C,3,0)</f>
        <v>1</v>
      </c>
      <c r="AO189" s="97">
        <f ca="1">SUMIF(Цвет!A:A,Y189,Цвет!B:B)</f>
        <v>1</v>
      </c>
      <c r="AP189" s="97">
        <f ca="1">_xlfn.XLOOKUP(L189,Пол!A:A,Пол!B:B,0,0)</f>
        <v>1</v>
      </c>
      <c r="AQ189" s="97">
        <f ca="1">SUMIF(Марка!A:A,G189,Марка!B:B)</f>
        <v>1</v>
      </c>
      <c r="AR189" s="97">
        <f ca="1">SUMIF(Страна!A:A,M189,Страна!B:B)</f>
        <v>1</v>
      </c>
      <c r="AS189" s="64" t="str">
        <f ca="1">IF(VLOOKUP(V189,Товары!A:B,2,FALSE)=A189,"Есть в 1С","ERR")</f>
        <v>Есть в 1С</v>
      </c>
      <c r="AT189" s="65" t="str">
        <f ca="1">IF(VLOOKUP(A189,Товары!B:B,1,FALSE)=A189,"Есть в 1С","ERR")</f>
        <v>Есть в 1С</v>
      </c>
      <c r="AU189" s="96" t="str">
        <f ca="1">VLOOKUP(V189,Товары!A:B,2,FALSE)</f>
        <v>21-512-15</v>
      </c>
      <c r="AV189" s="94" t="str">
        <f ca="1">VLOOKUP(V189,Товары!A:B,1,FALSE)</f>
        <v>Шляпа BAILEY арт. 81717BH CRAIG (светло-коричневый) {tan}</v>
      </c>
    </row>
    <row r="190" spans="1:48" x14ac:dyDescent="0.25">
      <c r="A190" s="110" t="str">
        <f t="shared" ca="1" si="22"/>
        <v>21-512-15</v>
      </c>
      <c r="B190" s="107" t="str">
        <f ca="1">_xlfn.LET(_xlpm.CAPS,0,_xlpm.Style,_xlfn.XLOOKUP($A190,Строчный!$A:$A,Строчный!B:B,"ERR",0),IF(_xlpm.CAPS=0,_xlpm.Style,LOWER(_xlpm.Style)))</f>
        <v>81717BH CRAIG</v>
      </c>
      <c r="C190" s="81" t="str">
        <f ca="1">PROPER(_xlfn.XLOOKUP($A190,Строчный!$A:$A,Строчный!C:C,"ERR",0))</f>
        <v>Шляпы</v>
      </c>
      <c r="D190" s="81" t="str">
        <f ca="1">_xlfn.LET(_xlpm.DATA,(_xlfn.XLOOKUP($A190,Строчный!$A:$A,Строчный!D:D,"ERR",0)),UPPER(MID(_xlpm.DATA,1,1))&amp;LOWER(MID(_xlpm.DATA,2,LEN(_xlpm.DATA)-1)))</f>
        <v>Шляпа трилби</v>
      </c>
      <c r="E190" s="81" t="str">
        <f ca="1">PROPER(_xlfn.XLOOKUP($A190,Строчный!$A:$A,Строчный!E:E,"ERR",0))</f>
        <v>The Hollywood</v>
      </c>
      <c r="F190" s="81" t="str">
        <f ca="1">LOWER(_xlfn.XLOOKUP($A190,Строчный!$A:$A,Строчный!F:F,"ERR",0))</f>
        <v>летний</v>
      </c>
      <c r="G190" s="81" t="str">
        <f ca="1">UPPER(_xlfn.XLOOKUP($A190,Строчный!$A:$A,Строчный!G:G,"ERR",0))</f>
        <v>BAILEY</v>
      </c>
      <c r="H190" s="81" t="str">
        <f ca="1">LOWER(_xlfn.XLOOKUP($A190,Строчный!$A:$A,Строчный!H:H,"ERR",0))</f>
        <v>tan</v>
      </c>
      <c r="I190" s="81" t="str">
        <f ca="1">LOWER(_xlfn.XLOOKUP($A190,Строчный!$A:$A,Строчный!I:I,"ERR",0))</f>
        <v>светло-коричневый</v>
      </c>
      <c r="J190" s="81" t="str">
        <f ca="1">SUBSTITUTE(LOWER(_xlfn.XLOOKUP($A190,Строчный!$A:$A,Строчный!J:J,"ERR",0)),"подклад","Подклад")</f>
        <v>100% полипропилен</v>
      </c>
      <c r="K190" s="81" t="str">
        <f ca="1">LOWER(_xlfn.XLOOKUP($A190,Строчный!$A:$A,Строчный!K:K,"ERR",0))</f>
        <v/>
      </c>
      <c r="L190" s="81" t="str">
        <f ca="1">PROPER(_xlfn.XLOOKUP($A190,Строчный!$A:$A,Строчный!L:L,"ERR",0))</f>
        <v>Унисекс</v>
      </c>
      <c r="M190" s="113" t="str">
        <f ca="1">PROPER(_xlfn.XLOOKUP($A190,Строчный!$A:$A,Строчный!M:M,"ERR",0))</f>
        <v>Китай</v>
      </c>
      <c r="N190" s="81" t="str">
        <f ca="1">UPPER(_xlfn.XLOOKUP($A190,Строчный!$A:$A,Строчный!O:O,"ERR",0))</f>
        <v/>
      </c>
      <c r="O190" s="107" t="str">
        <f ca="1">PROPER(_xlfn.XLOOKUP($A190,Строчный!$A:$A,Строчный!P:P,"ERR",0))</f>
        <v/>
      </c>
      <c r="P190" s="90">
        <f ca="1">VALUE(_xlfn.XLOOKUP($A190,Строчный!$A:$A,Строчный!N:N,"ERR",0))</f>
        <v>2234.7000000000003</v>
      </c>
      <c r="Q190" s="89" t="str">
        <f ca="1">_xlfn.XLOOKUP($G190,Фабрика!A:A,Фабрика!B:B,"ERR",0)</f>
        <v>Bollman Headwear Europe Ltd; 2 Merchants drive, Caelisle, Cumbria CA3 0JW, United Kingdom</v>
      </c>
      <c r="R190" s="80" t="str">
        <f ca="1">_xlfn.XLOOKUP(RIGHT(Z190,2),Размеры!D:D,Размеры!A:A,"ERR",0)</f>
        <v>57</v>
      </c>
      <c r="S190" s="80">
        <f ca="1">VALUE(_xlfn.XLOOKUP($Z190,Строчный!$R:$R,Строчный!T:T,"ERR",0))</f>
        <v>2</v>
      </c>
      <c r="T190" s="14" t="s">
        <v>265</v>
      </c>
      <c r="U190" s="101" t="str">
        <f t="shared" ca="1" si="23"/>
        <v>Шляпа BAILEY арт. 81717BH CRAIG (светло-коричневый)</v>
      </c>
      <c r="V190" s="100" t="str">
        <f t="shared" ca="1" si="24"/>
        <v>Шляпа BAILEY арт. 81717BH CRAIG (светло-коричневый) {tan}</v>
      </c>
      <c r="W190" s="18" t="str">
        <f t="shared" ca="1" si="25"/>
        <v>коричневый</v>
      </c>
      <c r="X190" s="18" t="str">
        <f t="shared" ca="1" si="26"/>
        <v>коричневый</v>
      </c>
      <c r="Y190" s="117" t="str">
        <f ca="1">_xlfn.LET(_xlpm.FormColors,_xlfn.XLOOKUP(A190,Строчный!A:A,Строчный!Q:Q,"",0),IF(_xlpm.FormColors=0,IFERROR(MID(I190,FIND("-",I190)+1,LEN(I190)),IFERROR(MID(I190,1,FIND("/",I190)-2),I190)),_xlpm.FormColors))</f>
        <v>коричневый</v>
      </c>
      <c r="Z190" s="73" t="str">
        <f ca="1"/>
        <v>21-512-15-57</v>
      </c>
      <c r="AA190" s="75" t="str">
        <f ca="1">VLOOKUP(C190,Группа!A:B,2,FALSE)</f>
        <v>Шляпа</v>
      </c>
      <c r="AB190" s="97" t="str">
        <f ca="1">IFERROR(VLOOKUP(R190,Размеры!A:C,3,FALSE),"")</f>
        <v>57 M</v>
      </c>
      <c r="AC190" s="97" t="str">
        <f ca="1">VLOOKUP(I190,ЦветПолный!A:B,2,FALSE)</f>
        <v>15</v>
      </c>
      <c r="AD190" s="97" t="str">
        <f ca="1">IFERROR(VLOOKUP(R190,Размеры!A:D,4,FALSE),"")</f>
        <v>57</v>
      </c>
      <c r="AE190" s="97">
        <f ca="1">IF(LEFT(IFERROR(VLOOKUP(LOOKUP(2,1/SEARCH(B190,Товары!A:A),Товары!A:A),Товары!A:B,2,0),""),6)=MID(Z190,1,6),1,0)</f>
        <v>1</v>
      </c>
      <c r="AG190" s="97">
        <f ca="1">SUMIF(Группа!A:A,C190,Группа!C:C)</f>
        <v>1</v>
      </c>
      <c r="AH190" s="97">
        <f ca="1">SUMIF(Группа!B:B,AA190,Группа!C:C)</f>
        <v>1</v>
      </c>
      <c r="AI190" s="97">
        <f ca="1">SUMIF(Формы!A:A,D190,Формы!B:B)</f>
        <v>1</v>
      </c>
      <c r="AJ190" s="97">
        <f ca="1">SUMIF(Материал!A:A,K190,Материал!B:B)</f>
        <v>0</v>
      </c>
      <c r="AK190" s="97">
        <f ca="1">SUMIF(Размеры!A:A,R190,Размеры!E:E)</f>
        <v>1</v>
      </c>
      <c r="AL190" s="97">
        <f ca="1">SUMIF(Сезон!A:A,F190,Сезон!B:B)</f>
        <v>1</v>
      </c>
      <c r="AM190" s="97">
        <f ca="1">SUMIF(Состав!A:A,J190,Состав!B:B)</f>
        <v>1</v>
      </c>
      <c r="AN190" s="97">
        <f ca="1">VLOOKUP(I190,ЦветПолный!A:C,3,0)</f>
        <v>1</v>
      </c>
      <c r="AO190" s="97">
        <f ca="1">SUMIF(Цвет!A:A,Y190,Цвет!B:B)</f>
        <v>1</v>
      </c>
      <c r="AP190" s="97">
        <f ca="1">_xlfn.XLOOKUP(L190,Пол!A:A,Пол!B:B,0,0)</f>
        <v>1</v>
      </c>
      <c r="AQ190" s="97">
        <f ca="1">SUMIF(Марка!A:A,G190,Марка!B:B)</f>
        <v>1</v>
      </c>
      <c r="AR190" s="97">
        <f ca="1">SUMIF(Страна!A:A,M190,Страна!B:B)</f>
        <v>1</v>
      </c>
      <c r="AS190" s="64" t="str">
        <f ca="1">IF(VLOOKUP(V190,Товары!A:B,2,FALSE)=A190,"Есть в 1С","ERR")</f>
        <v>Есть в 1С</v>
      </c>
      <c r="AT190" s="65" t="str">
        <f ca="1">IF(VLOOKUP(A190,Товары!B:B,1,FALSE)=A190,"Есть в 1С","ERR")</f>
        <v>Есть в 1С</v>
      </c>
      <c r="AU190" s="96" t="str">
        <f ca="1">VLOOKUP(V190,Товары!A:B,2,FALSE)</f>
        <v>21-512-15</v>
      </c>
      <c r="AV190" s="94" t="str">
        <f ca="1">VLOOKUP(V190,Товары!A:B,1,FALSE)</f>
        <v>Шляпа BAILEY арт. 81717BH CRAIG (светло-коричневый) {tan}</v>
      </c>
    </row>
    <row r="191" spans="1:48" x14ac:dyDescent="0.25">
      <c r="A191" s="110" t="str">
        <f t="shared" ca="1" si="22"/>
        <v>21-512-02</v>
      </c>
      <c r="B191" s="107" t="str">
        <f ca="1">_xlfn.LET(_xlpm.CAPS,0,_xlpm.Style,_xlfn.XLOOKUP($A191,Строчный!$A:$A,Строчный!B:B,"ERR",0),IF(_xlpm.CAPS=0,_xlpm.Style,LOWER(_xlpm.Style)))</f>
        <v>81717BH CRAIG</v>
      </c>
      <c r="C191" s="81" t="str">
        <f ca="1">PROPER(_xlfn.XLOOKUP($A191,Строчный!$A:$A,Строчный!C:C,"ERR",0))</f>
        <v>Шляпы</v>
      </c>
      <c r="D191" s="81" t="str">
        <f ca="1">_xlfn.LET(_xlpm.DATA,(_xlfn.XLOOKUP($A191,Строчный!$A:$A,Строчный!D:D,"ERR",0)),UPPER(MID(_xlpm.DATA,1,1))&amp;LOWER(MID(_xlpm.DATA,2,LEN(_xlpm.DATA)-1)))</f>
        <v>Шляпа трилби</v>
      </c>
      <c r="E191" s="81" t="str">
        <f ca="1">PROPER(_xlfn.XLOOKUP($A191,Строчный!$A:$A,Строчный!E:E,"ERR",0))</f>
        <v>The Hollywood</v>
      </c>
      <c r="F191" s="81" t="str">
        <f ca="1">LOWER(_xlfn.XLOOKUP($A191,Строчный!$A:$A,Строчный!F:F,"ERR",0))</f>
        <v>всесезон</v>
      </c>
      <c r="G191" s="81" t="str">
        <f ca="1">UPPER(_xlfn.XLOOKUP($A191,Строчный!$A:$A,Строчный!G:G,"ERR",0))</f>
        <v>BAILEY</v>
      </c>
      <c r="H191" s="81" t="str">
        <f ca="1">LOWER(_xlfn.XLOOKUP($A191,Строчный!$A:$A,Строчный!H:H,"ERR",0))</f>
        <v>natural</v>
      </c>
      <c r="I191" s="81" t="str">
        <f ca="1">LOWER(_xlfn.XLOOKUP($A191,Строчный!$A:$A,Строчный!I:I,"ERR",0))</f>
        <v>бежевый</v>
      </c>
      <c r="J191" s="81" t="str">
        <f ca="1">SUBSTITUTE(LOWER(_xlfn.XLOOKUP($A191,Строчный!$A:$A,Строчный!J:J,"ERR",0)),"подклад","Подклад")</f>
        <v>100% полипропилен</v>
      </c>
      <c r="K191" s="81" t="str">
        <f ca="1">LOWER(_xlfn.XLOOKUP($A191,Строчный!$A:$A,Строчный!K:K,"ERR",0))</f>
        <v/>
      </c>
      <c r="L191" s="81" t="str">
        <f ca="1">PROPER(_xlfn.XLOOKUP($A191,Строчный!$A:$A,Строчный!L:L,"ERR",0))</f>
        <v>Унисекс</v>
      </c>
      <c r="M191" s="113" t="str">
        <f ca="1">PROPER(_xlfn.XLOOKUP($A191,Строчный!$A:$A,Строчный!M:M,"ERR",0))</f>
        <v>Китай</v>
      </c>
      <c r="N191" s="81" t="str">
        <f ca="1">UPPER(_xlfn.XLOOKUP($A191,Строчный!$A:$A,Строчный!O:O,"ERR",0))</f>
        <v/>
      </c>
      <c r="O191" s="107" t="str">
        <f ca="1">PROPER(_xlfn.XLOOKUP($A191,Строчный!$A:$A,Строчный!P:P,"ERR",0))</f>
        <v/>
      </c>
      <c r="P191" s="90">
        <f ca="1">VALUE(_xlfn.XLOOKUP($A191,Строчный!$A:$A,Строчный!N:N,"ERR",0))</f>
        <v>2234.7000000000003</v>
      </c>
      <c r="Q191" s="89" t="str">
        <f ca="1">_xlfn.XLOOKUP($G191,Фабрика!A:A,Фабрика!B:B,"ERR",0)</f>
        <v>Bollman Headwear Europe Ltd; 2 Merchants drive, Caelisle, Cumbria CA3 0JW, United Kingdom</v>
      </c>
      <c r="R191" s="80" t="str">
        <f ca="1">_xlfn.XLOOKUP(RIGHT(Z191,2),Размеры!D:D,Размеры!A:A,"ERR",0)</f>
        <v>61</v>
      </c>
      <c r="S191" s="80">
        <f ca="1">VALUE(_xlfn.XLOOKUP($Z191,Строчный!$R:$R,Строчный!T:T,"ERR",0))</f>
        <v>5</v>
      </c>
      <c r="T191" s="14" t="s">
        <v>265</v>
      </c>
      <c r="U191" s="101" t="str">
        <f t="shared" ca="1" si="23"/>
        <v>Шляпа BAILEY арт. 81717BH CRAIG (бежевый)</v>
      </c>
      <c r="V191" s="100" t="str">
        <f t="shared" ca="1" si="24"/>
        <v>Шляпа BAILEY арт. 81717BH CRAIG (бежевый) {natural}</v>
      </c>
      <c r="W191" s="18" t="str">
        <f t="shared" ca="1" si="25"/>
        <v>бежевый</v>
      </c>
      <c r="X191" s="18" t="str">
        <f t="shared" ca="1" si="26"/>
        <v>бежевый</v>
      </c>
      <c r="Y191" s="117" t="str">
        <f ca="1">_xlfn.LET(_xlpm.FormColors,_xlfn.XLOOKUP(A191,Строчный!A:A,Строчный!Q:Q,"",0),IF(_xlpm.FormColors=0,IFERROR(MID(I191,FIND("-",I191)+1,LEN(I191)),IFERROR(MID(I191,1,FIND("/",I191)-2),I191)),_xlpm.FormColors))</f>
        <v>бежевый</v>
      </c>
      <c r="Z191" s="73" t="str">
        <f ca="1"/>
        <v>21-512-02-61</v>
      </c>
      <c r="AA191" s="75" t="str">
        <f ca="1">VLOOKUP(C191,Группа!A:B,2,FALSE)</f>
        <v>Шляпа</v>
      </c>
      <c r="AB191" s="97" t="str">
        <f ca="1">IFERROR(VLOOKUP(R191,Размеры!A:C,3,FALSE),"")</f>
        <v>61 XL</v>
      </c>
      <c r="AC191" s="97" t="str">
        <f ca="1">VLOOKUP(I191,ЦветПолный!A:B,2,FALSE)</f>
        <v>02</v>
      </c>
      <c r="AD191" s="97" t="str">
        <f ca="1">IFERROR(VLOOKUP(R191,Размеры!A:D,4,FALSE),"")</f>
        <v>61</v>
      </c>
      <c r="AE191" s="97">
        <f ca="1">IF(LEFT(IFERROR(VLOOKUP(LOOKUP(2,1/SEARCH(B191,Товары!A:A),Товары!A:A),Товары!A:B,2,0),""),6)=MID(Z191,1,6),1,0)</f>
        <v>1</v>
      </c>
      <c r="AG191" s="97">
        <f ca="1">SUMIF(Группа!A:A,C191,Группа!C:C)</f>
        <v>1</v>
      </c>
      <c r="AH191" s="97">
        <f ca="1">SUMIF(Группа!B:B,AA191,Группа!C:C)</f>
        <v>1</v>
      </c>
      <c r="AI191" s="97">
        <f ca="1">SUMIF(Формы!A:A,D191,Формы!B:B)</f>
        <v>1</v>
      </c>
      <c r="AJ191" s="97">
        <f ca="1">SUMIF(Материал!A:A,K191,Материал!B:B)</f>
        <v>0</v>
      </c>
      <c r="AK191" s="97">
        <f ca="1">SUMIF(Размеры!A:A,R191,Размеры!E:E)</f>
        <v>1</v>
      </c>
      <c r="AL191" s="97">
        <f ca="1">SUMIF(Сезон!A:A,F191,Сезон!B:B)</f>
        <v>1</v>
      </c>
      <c r="AM191" s="97">
        <f ca="1">SUMIF(Состав!A:A,J191,Состав!B:B)</f>
        <v>1</v>
      </c>
      <c r="AN191" s="97">
        <f ca="1">VLOOKUP(I191,ЦветПолный!A:C,3,0)</f>
        <v>1</v>
      </c>
      <c r="AO191" s="97">
        <f ca="1">SUMIF(Цвет!A:A,Y191,Цвет!B:B)</f>
        <v>1</v>
      </c>
      <c r="AP191" s="97">
        <f ca="1">_xlfn.XLOOKUP(L191,Пол!A:A,Пол!B:B,0,0)</f>
        <v>1</v>
      </c>
      <c r="AQ191" s="97">
        <f ca="1">SUMIF(Марка!A:A,G191,Марка!B:B)</f>
        <v>1</v>
      </c>
      <c r="AR191" s="97">
        <f ca="1">SUMIF(Страна!A:A,M191,Страна!B:B)</f>
        <v>1</v>
      </c>
      <c r="AS191" s="64" t="str">
        <f ca="1">IF(VLOOKUP(V191,Товары!A:B,2,FALSE)=A191,"Есть в 1С","ERR")</f>
        <v>Есть в 1С</v>
      </c>
      <c r="AT191" s="65" t="str">
        <f ca="1">IF(VLOOKUP(A191,Товары!B:B,1,FALSE)=A191,"Есть в 1С","ERR")</f>
        <v>Есть в 1С</v>
      </c>
      <c r="AU191" s="96" t="str">
        <f ca="1">VLOOKUP(V191,Товары!A:B,2,FALSE)</f>
        <v>21-512-02</v>
      </c>
      <c r="AV191" s="94" t="str">
        <f ca="1">VLOOKUP(V191,Товары!A:B,1,FALSE)</f>
        <v>Шляпа BAILEY арт. 81717BH CRAIG (бежевый) {natural}</v>
      </c>
    </row>
    <row r="192" spans="1:48" x14ac:dyDescent="0.25">
      <c r="A192" s="110" t="str">
        <f t="shared" ca="1" si="22"/>
        <v>21-512-02</v>
      </c>
      <c r="B192" s="107" t="str">
        <f ca="1">_xlfn.LET(_xlpm.CAPS,0,_xlpm.Style,_xlfn.XLOOKUP($A192,Строчный!$A:$A,Строчный!B:B,"ERR",0),IF(_xlpm.CAPS=0,_xlpm.Style,LOWER(_xlpm.Style)))</f>
        <v>81717BH CRAIG</v>
      </c>
      <c r="C192" s="81" t="str">
        <f ca="1">PROPER(_xlfn.XLOOKUP($A192,Строчный!$A:$A,Строчный!C:C,"ERR",0))</f>
        <v>Шляпы</v>
      </c>
      <c r="D192" s="81" t="str">
        <f ca="1">_xlfn.LET(_xlpm.DATA,(_xlfn.XLOOKUP($A192,Строчный!$A:$A,Строчный!D:D,"ERR",0)),UPPER(MID(_xlpm.DATA,1,1))&amp;LOWER(MID(_xlpm.DATA,2,LEN(_xlpm.DATA)-1)))</f>
        <v>Шляпа трилби</v>
      </c>
      <c r="E192" s="81" t="str">
        <f ca="1">PROPER(_xlfn.XLOOKUP($A192,Строчный!$A:$A,Строчный!E:E,"ERR",0))</f>
        <v>The Hollywood</v>
      </c>
      <c r="F192" s="81" t="str">
        <f ca="1">LOWER(_xlfn.XLOOKUP($A192,Строчный!$A:$A,Строчный!F:F,"ERR",0))</f>
        <v>всесезон</v>
      </c>
      <c r="G192" s="81" t="str">
        <f ca="1">UPPER(_xlfn.XLOOKUP($A192,Строчный!$A:$A,Строчный!G:G,"ERR",0))</f>
        <v>BAILEY</v>
      </c>
      <c r="H192" s="81" t="str">
        <f ca="1">LOWER(_xlfn.XLOOKUP($A192,Строчный!$A:$A,Строчный!H:H,"ERR",0))</f>
        <v>natural</v>
      </c>
      <c r="I192" s="81" t="str">
        <f ca="1">LOWER(_xlfn.XLOOKUP($A192,Строчный!$A:$A,Строчный!I:I,"ERR",0))</f>
        <v>бежевый</v>
      </c>
      <c r="J192" s="81" t="str">
        <f ca="1">SUBSTITUTE(LOWER(_xlfn.XLOOKUP($A192,Строчный!$A:$A,Строчный!J:J,"ERR",0)),"подклад","Подклад")</f>
        <v>100% полипропилен</v>
      </c>
      <c r="K192" s="81" t="str">
        <f ca="1">LOWER(_xlfn.XLOOKUP($A192,Строчный!$A:$A,Строчный!K:K,"ERR",0))</f>
        <v/>
      </c>
      <c r="L192" s="81" t="str">
        <f ca="1">PROPER(_xlfn.XLOOKUP($A192,Строчный!$A:$A,Строчный!L:L,"ERR",0))</f>
        <v>Унисекс</v>
      </c>
      <c r="M192" s="113" t="str">
        <f ca="1">PROPER(_xlfn.XLOOKUP($A192,Строчный!$A:$A,Строчный!M:M,"ERR",0))</f>
        <v>Китай</v>
      </c>
      <c r="N192" s="81" t="str">
        <f ca="1">UPPER(_xlfn.XLOOKUP($A192,Строчный!$A:$A,Строчный!O:O,"ERR",0))</f>
        <v/>
      </c>
      <c r="O192" s="107" t="str">
        <f ca="1">PROPER(_xlfn.XLOOKUP($A192,Строчный!$A:$A,Строчный!P:P,"ERR",0))</f>
        <v/>
      </c>
      <c r="P192" s="90">
        <f ca="1">VALUE(_xlfn.XLOOKUP($A192,Строчный!$A:$A,Строчный!N:N,"ERR",0))</f>
        <v>2234.7000000000003</v>
      </c>
      <c r="Q192" s="89" t="str">
        <f ca="1">_xlfn.XLOOKUP($G192,Фабрика!A:A,Фабрика!B:B,"ERR",0)</f>
        <v>Bollman Headwear Europe Ltd; 2 Merchants drive, Caelisle, Cumbria CA3 0JW, United Kingdom</v>
      </c>
      <c r="R192" s="80" t="str">
        <f ca="1">_xlfn.XLOOKUP(RIGHT(Z192,2),Размеры!D:D,Размеры!A:A,"ERR",0)</f>
        <v>59</v>
      </c>
      <c r="S192" s="80">
        <f ca="1">VALUE(_xlfn.XLOOKUP($Z192,Строчный!$R:$R,Строчный!T:T,"ERR",0))</f>
        <v>4</v>
      </c>
      <c r="T192" s="14" t="s">
        <v>265</v>
      </c>
      <c r="U192" s="101" t="str">
        <f t="shared" ca="1" si="23"/>
        <v>Шляпа BAILEY арт. 81717BH CRAIG (бежевый)</v>
      </c>
      <c r="V192" s="100" t="str">
        <f t="shared" ca="1" si="24"/>
        <v>Шляпа BAILEY арт. 81717BH CRAIG (бежевый) {natural}</v>
      </c>
      <c r="W192" s="18" t="str">
        <f t="shared" ca="1" si="25"/>
        <v>бежевый</v>
      </c>
      <c r="X192" s="18" t="str">
        <f t="shared" ca="1" si="26"/>
        <v>бежевый</v>
      </c>
      <c r="Y192" s="117" t="str">
        <f ca="1">_xlfn.LET(_xlpm.FormColors,_xlfn.XLOOKUP(A192,Строчный!A:A,Строчный!Q:Q,"",0),IF(_xlpm.FormColors=0,IFERROR(MID(I192,FIND("-",I192)+1,LEN(I192)),IFERROR(MID(I192,1,FIND("/",I192)-2),I192)),_xlpm.FormColors))</f>
        <v>бежевый</v>
      </c>
      <c r="Z192" s="73" t="str">
        <f ca="1"/>
        <v>21-512-02-59</v>
      </c>
      <c r="AA192" s="75" t="str">
        <f ca="1">VLOOKUP(C192,Группа!A:B,2,FALSE)</f>
        <v>Шляпа</v>
      </c>
      <c r="AB192" s="97" t="str">
        <f ca="1">IFERROR(VLOOKUP(R192,Размеры!A:C,3,FALSE),"")</f>
        <v>59 L</v>
      </c>
      <c r="AC192" s="97" t="str">
        <f ca="1">VLOOKUP(I192,ЦветПолный!A:B,2,FALSE)</f>
        <v>02</v>
      </c>
      <c r="AD192" s="97" t="str">
        <f ca="1">IFERROR(VLOOKUP(R192,Размеры!A:D,4,FALSE),"")</f>
        <v>59</v>
      </c>
      <c r="AE192" s="97">
        <f ca="1">IF(LEFT(IFERROR(VLOOKUP(LOOKUP(2,1/SEARCH(B192,Товары!A:A),Товары!A:A),Товары!A:B,2,0),""),6)=MID(Z192,1,6),1,0)</f>
        <v>1</v>
      </c>
      <c r="AG192" s="97">
        <f ca="1">SUMIF(Группа!A:A,C192,Группа!C:C)</f>
        <v>1</v>
      </c>
      <c r="AH192" s="97">
        <f ca="1">SUMIF(Группа!B:B,AA192,Группа!C:C)</f>
        <v>1</v>
      </c>
      <c r="AI192" s="97">
        <f ca="1">SUMIF(Формы!A:A,D192,Формы!B:B)</f>
        <v>1</v>
      </c>
      <c r="AJ192" s="97">
        <f ca="1">SUMIF(Материал!A:A,K192,Материал!B:B)</f>
        <v>0</v>
      </c>
      <c r="AK192" s="97">
        <f ca="1">SUMIF(Размеры!A:A,R192,Размеры!E:E)</f>
        <v>1</v>
      </c>
      <c r="AL192" s="97">
        <f ca="1">SUMIF(Сезон!A:A,F192,Сезон!B:B)</f>
        <v>1</v>
      </c>
      <c r="AM192" s="97">
        <f ca="1">SUMIF(Состав!A:A,J192,Состав!B:B)</f>
        <v>1</v>
      </c>
      <c r="AN192" s="97">
        <f ca="1">VLOOKUP(I192,ЦветПолный!A:C,3,0)</f>
        <v>1</v>
      </c>
      <c r="AO192" s="97">
        <f ca="1">SUMIF(Цвет!A:A,Y192,Цвет!B:B)</f>
        <v>1</v>
      </c>
      <c r="AP192" s="97">
        <f ca="1">_xlfn.XLOOKUP(L192,Пол!A:A,Пол!B:B,0,0)</f>
        <v>1</v>
      </c>
      <c r="AQ192" s="97">
        <f ca="1">SUMIF(Марка!A:A,G192,Марка!B:B)</f>
        <v>1</v>
      </c>
      <c r="AR192" s="97">
        <f ca="1">SUMIF(Страна!A:A,M192,Страна!B:B)</f>
        <v>1</v>
      </c>
      <c r="AS192" s="64" t="str">
        <f ca="1">IF(VLOOKUP(V192,Товары!A:B,2,FALSE)=A192,"Есть в 1С","ERR")</f>
        <v>Есть в 1С</v>
      </c>
      <c r="AT192" s="65" t="str">
        <f ca="1">IF(VLOOKUP(A192,Товары!B:B,1,FALSE)=A192,"Есть в 1С","ERR")</f>
        <v>Есть в 1С</v>
      </c>
      <c r="AU192" s="96" t="str">
        <f ca="1">VLOOKUP(V192,Товары!A:B,2,FALSE)</f>
        <v>21-512-02</v>
      </c>
      <c r="AV192" s="94" t="str">
        <f ca="1">VLOOKUP(V192,Товары!A:B,1,FALSE)</f>
        <v>Шляпа BAILEY арт. 81717BH CRAIG (бежевый) {natural}</v>
      </c>
    </row>
    <row r="193" spans="1:48" x14ac:dyDescent="0.25">
      <c r="A193" s="110" t="str">
        <f t="shared" ca="1" si="22"/>
        <v>21-512-02</v>
      </c>
      <c r="B193" s="107" t="str">
        <f ca="1">_xlfn.LET(_xlpm.CAPS,0,_xlpm.Style,_xlfn.XLOOKUP($A193,Строчный!$A:$A,Строчный!B:B,"ERR",0),IF(_xlpm.CAPS=0,_xlpm.Style,LOWER(_xlpm.Style)))</f>
        <v>81717BH CRAIG</v>
      </c>
      <c r="C193" s="81" t="str">
        <f ca="1">PROPER(_xlfn.XLOOKUP($A193,Строчный!$A:$A,Строчный!C:C,"ERR",0))</f>
        <v>Шляпы</v>
      </c>
      <c r="D193" s="81" t="str">
        <f ca="1">_xlfn.LET(_xlpm.DATA,(_xlfn.XLOOKUP($A193,Строчный!$A:$A,Строчный!D:D,"ERR",0)),UPPER(MID(_xlpm.DATA,1,1))&amp;LOWER(MID(_xlpm.DATA,2,LEN(_xlpm.DATA)-1)))</f>
        <v>Шляпа трилби</v>
      </c>
      <c r="E193" s="81" t="str">
        <f ca="1">PROPER(_xlfn.XLOOKUP($A193,Строчный!$A:$A,Строчный!E:E,"ERR",0))</f>
        <v>The Hollywood</v>
      </c>
      <c r="F193" s="81" t="str">
        <f ca="1">LOWER(_xlfn.XLOOKUP($A193,Строчный!$A:$A,Строчный!F:F,"ERR",0))</f>
        <v>всесезон</v>
      </c>
      <c r="G193" s="81" t="str">
        <f ca="1">UPPER(_xlfn.XLOOKUP($A193,Строчный!$A:$A,Строчный!G:G,"ERR",0))</f>
        <v>BAILEY</v>
      </c>
      <c r="H193" s="81" t="str">
        <f ca="1">LOWER(_xlfn.XLOOKUP($A193,Строчный!$A:$A,Строчный!H:H,"ERR",0))</f>
        <v>natural</v>
      </c>
      <c r="I193" s="81" t="str">
        <f ca="1">LOWER(_xlfn.XLOOKUP($A193,Строчный!$A:$A,Строчный!I:I,"ERR",0))</f>
        <v>бежевый</v>
      </c>
      <c r="J193" s="81" t="str">
        <f ca="1">SUBSTITUTE(LOWER(_xlfn.XLOOKUP($A193,Строчный!$A:$A,Строчный!J:J,"ERR",0)),"подклад","Подклад")</f>
        <v>100% полипропилен</v>
      </c>
      <c r="K193" s="81" t="str">
        <f ca="1">LOWER(_xlfn.XLOOKUP($A193,Строчный!$A:$A,Строчный!K:K,"ERR",0))</f>
        <v/>
      </c>
      <c r="L193" s="81" t="str">
        <f ca="1">PROPER(_xlfn.XLOOKUP($A193,Строчный!$A:$A,Строчный!L:L,"ERR",0))</f>
        <v>Унисекс</v>
      </c>
      <c r="M193" s="113" t="str">
        <f ca="1">PROPER(_xlfn.XLOOKUP($A193,Строчный!$A:$A,Строчный!M:M,"ERR",0))</f>
        <v>Китай</v>
      </c>
      <c r="N193" s="81" t="str">
        <f ca="1">UPPER(_xlfn.XLOOKUP($A193,Строчный!$A:$A,Строчный!O:O,"ERR",0))</f>
        <v/>
      </c>
      <c r="O193" s="107" t="str">
        <f ca="1">PROPER(_xlfn.XLOOKUP($A193,Строчный!$A:$A,Строчный!P:P,"ERR",0))</f>
        <v/>
      </c>
      <c r="P193" s="90">
        <f ca="1">VALUE(_xlfn.XLOOKUP($A193,Строчный!$A:$A,Строчный!N:N,"ERR",0))</f>
        <v>2234.7000000000003</v>
      </c>
      <c r="Q193" s="89" t="str">
        <f ca="1">_xlfn.XLOOKUP($G193,Фабрика!A:A,Фабрика!B:B,"ERR",0)</f>
        <v>Bollman Headwear Europe Ltd; 2 Merchants drive, Caelisle, Cumbria CA3 0JW, United Kingdom</v>
      </c>
      <c r="R193" s="80" t="str">
        <f ca="1">_xlfn.XLOOKUP(RIGHT(Z193,2),Размеры!D:D,Размеры!A:A,"ERR",0)</f>
        <v>57</v>
      </c>
      <c r="S193" s="80">
        <f ca="1">VALUE(_xlfn.XLOOKUP($Z193,Строчный!$R:$R,Строчный!T:T,"ERR",0))</f>
        <v>2</v>
      </c>
      <c r="T193" s="14" t="s">
        <v>265</v>
      </c>
      <c r="U193" s="101" t="str">
        <f t="shared" ca="1" si="23"/>
        <v>Шляпа BAILEY арт. 81717BH CRAIG (бежевый)</v>
      </c>
      <c r="V193" s="100" t="str">
        <f t="shared" ca="1" si="24"/>
        <v>Шляпа BAILEY арт. 81717BH CRAIG (бежевый) {natural}</v>
      </c>
      <c r="W193" s="18" t="str">
        <f t="shared" ca="1" si="25"/>
        <v>бежевый</v>
      </c>
      <c r="X193" s="18" t="str">
        <f t="shared" ca="1" si="26"/>
        <v>бежевый</v>
      </c>
      <c r="Y193" s="117" t="str">
        <f ca="1">_xlfn.LET(_xlpm.FormColors,_xlfn.XLOOKUP(A193,Строчный!A:A,Строчный!Q:Q,"",0),IF(_xlpm.FormColors=0,IFERROR(MID(I193,FIND("-",I193)+1,LEN(I193)),IFERROR(MID(I193,1,FIND("/",I193)-2),I193)),_xlpm.FormColors))</f>
        <v>бежевый</v>
      </c>
      <c r="Z193" s="73" t="str">
        <f ca="1"/>
        <v>21-512-02-57</v>
      </c>
      <c r="AA193" s="75" t="str">
        <f ca="1">VLOOKUP(C193,Группа!A:B,2,FALSE)</f>
        <v>Шляпа</v>
      </c>
      <c r="AB193" s="97" t="str">
        <f ca="1">IFERROR(VLOOKUP(R193,Размеры!A:C,3,FALSE),"")</f>
        <v>57 M</v>
      </c>
      <c r="AC193" s="97" t="str">
        <f ca="1">VLOOKUP(I193,ЦветПолный!A:B,2,FALSE)</f>
        <v>02</v>
      </c>
      <c r="AD193" s="97" t="str">
        <f ca="1">IFERROR(VLOOKUP(R193,Размеры!A:D,4,FALSE),"")</f>
        <v>57</v>
      </c>
      <c r="AE193" s="97">
        <f ca="1">IF(LEFT(IFERROR(VLOOKUP(LOOKUP(2,1/SEARCH(B193,Товары!A:A),Товары!A:A),Товары!A:B,2,0),""),6)=MID(Z193,1,6),1,0)</f>
        <v>1</v>
      </c>
      <c r="AG193" s="97">
        <f ca="1">SUMIF(Группа!A:A,C193,Группа!C:C)</f>
        <v>1</v>
      </c>
      <c r="AH193" s="97">
        <f ca="1">SUMIF(Группа!B:B,AA193,Группа!C:C)</f>
        <v>1</v>
      </c>
      <c r="AI193" s="97">
        <f ca="1">SUMIF(Формы!A:A,D193,Формы!B:B)</f>
        <v>1</v>
      </c>
      <c r="AJ193" s="97">
        <f ca="1">SUMIF(Материал!A:A,K193,Материал!B:B)</f>
        <v>0</v>
      </c>
      <c r="AK193" s="97">
        <f ca="1">SUMIF(Размеры!A:A,R193,Размеры!E:E)</f>
        <v>1</v>
      </c>
      <c r="AL193" s="97">
        <f ca="1">SUMIF(Сезон!A:A,F193,Сезон!B:B)</f>
        <v>1</v>
      </c>
      <c r="AM193" s="97">
        <f ca="1">SUMIF(Состав!A:A,J193,Состав!B:B)</f>
        <v>1</v>
      </c>
      <c r="AN193" s="97">
        <f ca="1">VLOOKUP(I193,ЦветПолный!A:C,3,0)</f>
        <v>1</v>
      </c>
      <c r="AO193" s="97">
        <f ca="1">SUMIF(Цвет!A:A,Y193,Цвет!B:B)</f>
        <v>1</v>
      </c>
      <c r="AP193" s="97">
        <f ca="1">_xlfn.XLOOKUP(L193,Пол!A:A,Пол!B:B,0,0)</f>
        <v>1</v>
      </c>
      <c r="AQ193" s="97">
        <f ca="1">SUMIF(Марка!A:A,G193,Марка!B:B)</f>
        <v>1</v>
      </c>
      <c r="AR193" s="97">
        <f ca="1">SUMIF(Страна!A:A,M193,Страна!B:B)</f>
        <v>1</v>
      </c>
      <c r="AS193" s="64" t="str">
        <f ca="1">IF(VLOOKUP(V193,Товары!A:B,2,FALSE)=A193,"Есть в 1С","ERR")</f>
        <v>Есть в 1С</v>
      </c>
      <c r="AT193" s="65" t="str">
        <f ca="1">IF(VLOOKUP(A193,Товары!B:B,1,FALSE)=A193,"Есть в 1С","ERR")</f>
        <v>Есть в 1С</v>
      </c>
      <c r="AU193" s="96" t="str">
        <f ca="1">VLOOKUP(V193,Товары!A:B,2,FALSE)</f>
        <v>21-512-02</v>
      </c>
      <c r="AV193" s="94" t="str">
        <f ca="1">VLOOKUP(V193,Товары!A:B,1,FALSE)</f>
        <v>Шляпа BAILEY арт. 81717BH CRAIG (бежевый) {natural}</v>
      </c>
    </row>
    <row r="194" spans="1:48" x14ac:dyDescent="0.25">
      <c r="A194" s="110" t="str">
        <f t="shared" ca="1" si="22"/>
        <v>21-505-03</v>
      </c>
      <c r="B194" s="107" t="str">
        <f ca="1">_xlfn.LET(_xlpm.CAPS,0,_xlpm.Style,_xlfn.XLOOKUP($A194,Строчный!$A:$A,Строчный!B:B,"ERR",0),IF(_xlpm.CAPS=0,_xlpm.Style,LOWER(_xlpm.Style)))</f>
        <v>81702BH BERLE</v>
      </c>
      <c r="C194" s="81" t="str">
        <f ca="1">PROPER(_xlfn.XLOOKUP($A194,Строчный!$A:$A,Строчный!C:C,"ERR",0))</f>
        <v>Шляпы</v>
      </c>
      <c r="D194" s="81" t="str">
        <f ca="1">_xlfn.LET(_xlpm.DATA,(_xlfn.XLOOKUP($A194,Строчный!$A:$A,Строчный!D:D,"ERR",0)),UPPER(MID(_xlpm.DATA,1,1))&amp;LOWER(MID(_xlpm.DATA,2,LEN(_xlpm.DATA)-1)))</f>
        <v>Шляпа хомбург</v>
      </c>
      <c r="E194" s="81" t="str">
        <f ca="1">PROPER(_xlfn.XLOOKUP($A194,Строчный!$A:$A,Строчный!E:E,"ERR",0))</f>
        <v>The Hollywood</v>
      </c>
      <c r="F194" s="81" t="str">
        <f ca="1">LOWER(_xlfn.XLOOKUP($A194,Строчный!$A:$A,Строчный!F:F,"ERR",0))</f>
        <v>летний</v>
      </c>
      <c r="G194" s="81" t="str">
        <f ca="1">UPPER(_xlfn.XLOOKUP($A194,Строчный!$A:$A,Строчный!G:G,"ERR",0))</f>
        <v>BAILEY</v>
      </c>
      <c r="H194" s="81" t="str">
        <f ca="1">LOWER(_xlfn.XLOOKUP($A194,Строчный!$A:$A,Строчный!H:H,"ERR",0))</f>
        <v>kapok green</v>
      </c>
      <c r="I194" s="81" t="str">
        <f ca="1">LOWER(_xlfn.XLOOKUP($A194,Строчный!$A:$A,Строчный!I:I,"ERR",0))</f>
        <v>зеленый</v>
      </c>
      <c r="J194" s="81" t="str">
        <f ca="1">SUBSTITUTE(LOWER(_xlfn.XLOOKUP($A194,Строчный!$A:$A,Строчный!J:J,"ERR",0)),"подклад","Подклад")</f>
        <v>84% бумага - 12% полипропилен - 4% полиэстер</v>
      </c>
      <c r="K194" s="81" t="str">
        <f ca="1">LOWER(_xlfn.XLOOKUP($A194,Строчный!$A:$A,Строчный!K:K,"ERR",0))</f>
        <v>бумажные</v>
      </c>
      <c r="L194" s="81" t="str">
        <f ca="1">PROPER(_xlfn.XLOOKUP($A194,Строчный!$A:$A,Строчный!L:L,"ERR",0))</f>
        <v>Унисекс</v>
      </c>
      <c r="M194" s="113" t="str">
        <f ca="1">PROPER(_xlfn.XLOOKUP($A194,Строчный!$A:$A,Строчный!M:M,"ERR",0))</f>
        <v>Китай</v>
      </c>
      <c r="N194" s="81" t="str">
        <f ca="1">UPPER(_xlfn.XLOOKUP($A194,Строчный!$A:$A,Строчный!O:O,"ERR",0))</f>
        <v/>
      </c>
      <c r="O194" s="107" t="str">
        <f ca="1">PROPER(_xlfn.XLOOKUP($A194,Строчный!$A:$A,Строчный!P:P,"ERR",0))</f>
        <v/>
      </c>
      <c r="P194" s="90">
        <f ca="1">VALUE(_xlfn.XLOOKUP($A194,Строчный!$A:$A,Строчный!N:N,"ERR",0))</f>
        <v>2568.15</v>
      </c>
      <c r="Q194" s="89" t="str">
        <f ca="1">_xlfn.XLOOKUP($G194,Фабрика!A:A,Фабрика!B:B,"ERR",0)</f>
        <v>Bollman Headwear Europe Ltd; 2 Merchants drive, Caelisle, Cumbria CA3 0JW, United Kingdom</v>
      </c>
      <c r="R194" s="80" t="str">
        <f ca="1">_xlfn.XLOOKUP(RIGHT(Z194,2),Размеры!D:D,Размеры!A:A,"ERR",0)</f>
        <v>61</v>
      </c>
      <c r="S194" s="80">
        <f ca="1">VALUE(_xlfn.XLOOKUP($Z194,Строчный!$R:$R,Строчный!T:T,"ERR",0))</f>
        <v>4</v>
      </c>
      <c r="T194" s="14" t="s">
        <v>265</v>
      </c>
      <c r="U194" s="101" t="str">
        <f t="shared" ca="1" si="23"/>
        <v>Шляпа BAILEY арт. 81702BH BERLE (зеленый)</v>
      </c>
      <c r="V194" s="100" t="str">
        <f t="shared" ca="1" si="24"/>
        <v>Шляпа BAILEY арт. 81702BH BERLE (зеленый) {kapok green}</v>
      </c>
      <c r="W194" s="18" t="str">
        <f t="shared" ca="1" si="25"/>
        <v>зеленый</v>
      </c>
      <c r="X194" s="18" t="str">
        <f t="shared" ca="1" si="26"/>
        <v>зеленый</v>
      </c>
      <c r="Y194" s="117" t="str">
        <f ca="1">_xlfn.LET(_xlpm.FormColors,_xlfn.XLOOKUP(A194,Строчный!A:A,Строчный!Q:Q,"",0),IF(_xlpm.FormColors=0,IFERROR(MID(I194,FIND("-",I194)+1,LEN(I194)),IFERROR(MID(I194,1,FIND("/",I194)-2),I194)),_xlpm.FormColors))</f>
        <v>зеленый</v>
      </c>
      <c r="Z194" s="73" t="str">
        <f ca="1"/>
        <v>21-505-03-61</v>
      </c>
      <c r="AA194" s="75" t="str">
        <f ca="1">VLOOKUP(C194,Группа!A:B,2,FALSE)</f>
        <v>Шляпа</v>
      </c>
      <c r="AB194" s="97" t="str">
        <f ca="1">IFERROR(VLOOKUP(R194,Размеры!A:C,3,FALSE),"")</f>
        <v>61 XL</v>
      </c>
      <c r="AC194" s="97" t="str">
        <f ca="1">VLOOKUP(I194,ЦветПолный!A:B,2,FALSE)</f>
        <v>11</v>
      </c>
      <c r="AD194" s="97" t="str">
        <f ca="1">IFERROR(VLOOKUP(R194,Размеры!A:D,4,FALSE),"")</f>
        <v>61</v>
      </c>
      <c r="AE194" s="97">
        <f ca="1">IF(LEFT(IFERROR(VLOOKUP(LOOKUP(2,1/SEARCH(B194,Товары!A:A),Товары!A:A),Товары!A:B,2,0),""),6)=MID(Z194,1,6),1,0)</f>
        <v>1</v>
      </c>
      <c r="AG194" s="97">
        <f ca="1">SUMIF(Группа!A:A,C194,Группа!C:C)</f>
        <v>1</v>
      </c>
      <c r="AH194" s="97">
        <f ca="1">SUMIF(Группа!B:B,AA194,Группа!C:C)</f>
        <v>1</v>
      </c>
      <c r="AI194" s="97">
        <f ca="1">SUMIF(Формы!A:A,D194,Формы!B:B)</f>
        <v>1</v>
      </c>
      <c r="AJ194" s="97">
        <f ca="1">SUMIF(Материал!A:A,K194,Материал!B:B)</f>
        <v>1</v>
      </c>
      <c r="AK194" s="97">
        <f ca="1">SUMIF(Размеры!A:A,R194,Размеры!E:E)</f>
        <v>1</v>
      </c>
      <c r="AL194" s="97">
        <f ca="1">SUMIF(Сезон!A:A,F194,Сезон!B:B)</f>
        <v>1</v>
      </c>
      <c r="AM194" s="97">
        <f ca="1">SUMIF(Состав!A:A,J194,Состав!B:B)</f>
        <v>1</v>
      </c>
      <c r="AN194" s="97">
        <f ca="1">VLOOKUP(I194,ЦветПолный!A:C,3,0)</f>
        <v>1</v>
      </c>
      <c r="AO194" s="97">
        <f ca="1">SUMIF(Цвет!A:A,Y194,Цвет!B:B)</f>
        <v>1</v>
      </c>
      <c r="AP194" s="97">
        <f ca="1">_xlfn.XLOOKUP(L194,Пол!A:A,Пол!B:B,0,0)</f>
        <v>1</v>
      </c>
      <c r="AQ194" s="97">
        <f ca="1">SUMIF(Марка!A:A,G194,Марка!B:B)</f>
        <v>1</v>
      </c>
      <c r="AR194" s="97">
        <f ca="1">SUMIF(Страна!A:A,M194,Страна!B:B)</f>
        <v>1</v>
      </c>
      <c r="AS194" s="64" t="str">
        <f ca="1">IF(VLOOKUP(V194,Товары!A:B,2,FALSE)=A194,"Есть в 1С","ERR")</f>
        <v>Есть в 1С</v>
      </c>
      <c r="AT194" s="65" t="str">
        <f ca="1">IF(VLOOKUP(A194,Товары!B:B,1,FALSE)=A194,"Есть в 1С","ERR")</f>
        <v>Есть в 1С</v>
      </c>
      <c r="AU194" s="96" t="str">
        <f ca="1">VLOOKUP(V194,Товары!A:B,2,FALSE)</f>
        <v>21-505-03</v>
      </c>
      <c r="AV194" s="94" t="str">
        <f ca="1">VLOOKUP(V194,Товары!A:B,1,FALSE)</f>
        <v>Шляпа BAILEY арт. 81702BH BERLE (зеленый) {kapok green}</v>
      </c>
    </row>
    <row r="195" spans="1:48" x14ac:dyDescent="0.25">
      <c r="A195" s="110" t="str">
        <f t="shared" ref="A195:A258" ca="1" si="27">LEFT(Z195,9)</f>
        <v>21-505-03</v>
      </c>
      <c r="B195" s="107" t="str">
        <f ca="1">_xlfn.LET(_xlpm.CAPS,0,_xlpm.Style,_xlfn.XLOOKUP($A195,Строчный!$A:$A,Строчный!B:B,"ERR",0),IF(_xlpm.CAPS=0,_xlpm.Style,LOWER(_xlpm.Style)))</f>
        <v>81702BH BERLE</v>
      </c>
      <c r="C195" s="81" t="str">
        <f ca="1">PROPER(_xlfn.XLOOKUP($A195,Строчный!$A:$A,Строчный!C:C,"ERR",0))</f>
        <v>Шляпы</v>
      </c>
      <c r="D195" s="81" t="str">
        <f ca="1">_xlfn.LET(_xlpm.DATA,(_xlfn.XLOOKUP($A195,Строчный!$A:$A,Строчный!D:D,"ERR",0)),UPPER(MID(_xlpm.DATA,1,1))&amp;LOWER(MID(_xlpm.DATA,2,LEN(_xlpm.DATA)-1)))</f>
        <v>Шляпа хомбург</v>
      </c>
      <c r="E195" s="81" t="str">
        <f ca="1">PROPER(_xlfn.XLOOKUP($A195,Строчный!$A:$A,Строчный!E:E,"ERR",0))</f>
        <v>The Hollywood</v>
      </c>
      <c r="F195" s="81" t="str">
        <f ca="1">LOWER(_xlfn.XLOOKUP($A195,Строчный!$A:$A,Строчный!F:F,"ERR",0))</f>
        <v>летний</v>
      </c>
      <c r="G195" s="81" t="str">
        <f ca="1">UPPER(_xlfn.XLOOKUP($A195,Строчный!$A:$A,Строчный!G:G,"ERR",0))</f>
        <v>BAILEY</v>
      </c>
      <c r="H195" s="81" t="str">
        <f ca="1">LOWER(_xlfn.XLOOKUP($A195,Строчный!$A:$A,Строчный!H:H,"ERR",0))</f>
        <v>kapok green</v>
      </c>
      <c r="I195" s="81" t="str">
        <f ca="1">LOWER(_xlfn.XLOOKUP($A195,Строчный!$A:$A,Строчный!I:I,"ERR",0))</f>
        <v>зеленый</v>
      </c>
      <c r="J195" s="81" t="str">
        <f ca="1">SUBSTITUTE(LOWER(_xlfn.XLOOKUP($A195,Строчный!$A:$A,Строчный!J:J,"ERR",0)),"подклад","Подклад")</f>
        <v>84% бумага - 12% полипропилен - 4% полиэстер</v>
      </c>
      <c r="K195" s="81" t="str">
        <f ca="1">LOWER(_xlfn.XLOOKUP($A195,Строчный!$A:$A,Строчный!K:K,"ERR",0))</f>
        <v>бумажные</v>
      </c>
      <c r="L195" s="81" t="str">
        <f ca="1">PROPER(_xlfn.XLOOKUP($A195,Строчный!$A:$A,Строчный!L:L,"ERR",0))</f>
        <v>Унисекс</v>
      </c>
      <c r="M195" s="113" t="str">
        <f ca="1">PROPER(_xlfn.XLOOKUP($A195,Строчный!$A:$A,Строчный!M:M,"ERR",0))</f>
        <v>Китай</v>
      </c>
      <c r="N195" s="81" t="str">
        <f ca="1">UPPER(_xlfn.XLOOKUP($A195,Строчный!$A:$A,Строчный!O:O,"ERR",0))</f>
        <v/>
      </c>
      <c r="O195" s="107" t="str">
        <f ca="1">PROPER(_xlfn.XLOOKUP($A195,Строчный!$A:$A,Строчный!P:P,"ERR",0))</f>
        <v/>
      </c>
      <c r="P195" s="90">
        <f ca="1">VALUE(_xlfn.XLOOKUP($A195,Строчный!$A:$A,Строчный!N:N,"ERR",0))</f>
        <v>2568.15</v>
      </c>
      <c r="Q195" s="89" t="str">
        <f ca="1">_xlfn.XLOOKUP($G195,Фабрика!A:A,Фабрика!B:B,"ERR",0)</f>
        <v>Bollman Headwear Europe Ltd; 2 Merchants drive, Caelisle, Cumbria CA3 0JW, United Kingdom</v>
      </c>
      <c r="R195" s="80" t="str">
        <f ca="1">_xlfn.XLOOKUP(RIGHT(Z195,2),Размеры!D:D,Размеры!A:A,"ERR",0)</f>
        <v>59</v>
      </c>
      <c r="S195" s="80">
        <f ca="1">VALUE(_xlfn.XLOOKUP($Z195,Строчный!$R:$R,Строчный!T:T,"ERR",0))</f>
        <v>7</v>
      </c>
      <c r="T195" s="14" t="s">
        <v>265</v>
      </c>
      <c r="U195" s="101" t="str">
        <f t="shared" ca="1" si="23"/>
        <v>Шляпа BAILEY арт. 81702BH BERLE (зеленый)</v>
      </c>
      <c r="V195" s="100" t="str">
        <f t="shared" ca="1" si="24"/>
        <v>Шляпа BAILEY арт. 81702BH BERLE (зеленый) {kapok green}</v>
      </c>
      <c r="W195" s="18" t="str">
        <f t="shared" ca="1" si="25"/>
        <v>зеленый</v>
      </c>
      <c r="X195" s="18" t="str">
        <f t="shared" ca="1" si="26"/>
        <v>зеленый</v>
      </c>
      <c r="Y195" s="117" t="str">
        <f ca="1">_xlfn.LET(_xlpm.FormColors,_xlfn.XLOOKUP(A195,Строчный!A:A,Строчный!Q:Q,"",0),IF(_xlpm.FormColors=0,IFERROR(MID(I195,FIND("-",I195)+1,LEN(I195)),IFERROR(MID(I195,1,FIND("/",I195)-2),I195)),_xlpm.FormColors))</f>
        <v>зеленый</v>
      </c>
      <c r="Z195" s="73" t="str">
        <f ca="1"/>
        <v>21-505-03-59</v>
      </c>
      <c r="AA195" s="75" t="str">
        <f ca="1">VLOOKUP(C195,Группа!A:B,2,FALSE)</f>
        <v>Шляпа</v>
      </c>
      <c r="AB195" s="97" t="str">
        <f ca="1">IFERROR(VLOOKUP(R195,Размеры!A:C,3,FALSE),"")</f>
        <v>59 L</v>
      </c>
      <c r="AC195" s="97" t="str">
        <f ca="1">VLOOKUP(I195,ЦветПолный!A:B,2,FALSE)</f>
        <v>11</v>
      </c>
      <c r="AD195" s="97" t="str">
        <f ca="1">IFERROR(VLOOKUP(R195,Размеры!A:D,4,FALSE),"")</f>
        <v>59</v>
      </c>
      <c r="AE195" s="97">
        <f ca="1">IF(LEFT(IFERROR(VLOOKUP(LOOKUP(2,1/SEARCH(B195,Товары!A:A),Товары!A:A),Товары!A:B,2,0),""),6)=MID(Z195,1,6),1,0)</f>
        <v>1</v>
      </c>
      <c r="AG195" s="97">
        <f ca="1">SUMIF(Группа!A:A,C195,Группа!C:C)</f>
        <v>1</v>
      </c>
      <c r="AH195" s="97">
        <f ca="1">SUMIF(Группа!B:B,AA195,Группа!C:C)</f>
        <v>1</v>
      </c>
      <c r="AI195" s="97">
        <f ca="1">SUMIF(Формы!A:A,D195,Формы!B:B)</f>
        <v>1</v>
      </c>
      <c r="AJ195" s="97">
        <f ca="1">SUMIF(Материал!A:A,K195,Материал!B:B)</f>
        <v>1</v>
      </c>
      <c r="AK195" s="97">
        <f ca="1">SUMIF(Размеры!A:A,R195,Размеры!E:E)</f>
        <v>1</v>
      </c>
      <c r="AL195" s="97">
        <f ca="1">SUMIF(Сезон!A:A,F195,Сезон!B:B)</f>
        <v>1</v>
      </c>
      <c r="AM195" s="97">
        <f ca="1">SUMIF(Состав!A:A,J195,Состав!B:B)</f>
        <v>1</v>
      </c>
      <c r="AN195" s="97">
        <f ca="1">VLOOKUP(I195,ЦветПолный!A:C,3,0)</f>
        <v>1</v>
      </c>
      <c r="AO195" s="97">
        <f ca="1">SUMIF(Цвет!A:A,Y195,Цвет!B:B)</f>
        <v>1</v>
      </c>
      <c r="AP195" s="97">
        <f ca="1">_xlfn.XLOOKUP(L195,Пол!A:A,Пол!B:B,0,0)</f>
        <v>1</v>
      </c>
      <c r="AQ195" s="97">
        <f ca="1">SUMIF(Марка!A:A,G195,Марка!B:B)</f>
        <v>1</v>
      </c>
      <c r="AR195" s="97">
        <f ca="1">SUMIF(Страна!A:A,M195,Страна!B:B)</f>
        <v>1</v>
      </c>
      <c r="AS195" s="64" t="str">
        <f ca="1">IF(VLOOKUP(V195,Товары!A:B,2,FALSE)=A195,"Есть в 1С","ERR")</f>
        <v>Есть в 1С</v>
      </c>
      <c r="AT195" s="65" t="str">
        <f ca="1">IF(VLOOKUP(A195,Товары!B:B,1,FALSE)=A195,"Есть в 1С","ERR")</f>
        <v>Есть в 1С</v>
      </c>
      <c r="AU195" s="96" t="str">
        <f ca="1">VLOOKUP(V195,Товары!A:B,2,FALSE)</f>
        <v>21-505-03</v>
      </c>
      <c r="AV195" s="94" t="str">
        <f ca="1">VLOOKUP(V195,Товары!A:B,1,FALSE)</f>
        <v>Шляпа BAILEY арт. 81702BH BERLE (зеленый) {kapok green}</v>
      </c>
    </row>
    <row r="196" spans="1:48" x14ac:dyDescent="0.25">
      <c r="A196" s="110" t="str">
        <f t="shared" ca="1" si="27"/>
        <v>21-505-03</v>
      </c>
      <c r="B196" s="107" t="str">
        <f ca="1">_xlfn.LET(_xlpm.CAPS,0,_xlpm.Style,_xlfn.XLOOKUP($A196,Строчный!$A:$A,Строчный!B:B,"ERR",0),IF(_xlpm.CAPS=0,_xlpm.Style,LOWER(_xlpm.Style)))</f>
        <v>81702BH BERLE</v>
      </c>
      <c r="C196" s="81" t="str">
        <f ca="1">PROPER(_xlfn.XLOOKUP($A196,Строчный!$A:$A,Строчный!C:C,"ERR",0))</f>
        <v>Шляпы</v>
      </c>
      <c r="D196" s="81" t="str">
        <f ca="1">_xlfn.LET(_xlpm.DATA,(_xlfn.XLOOKUP($A196,Строчный!$A:$A,Строчный!D:D,"ERR",0)),UPPER(MID(_xlpm.DATA,1,1))&amp;LOWER(MID(_xlpm.DATA,2,LEN(_xlpm.DATA)-1)))</f>
        <v>Шляпа хомбург</v>
      </c>
      <c r="E196" s="81" t="str">
        <f ca="1">PROPER(_xlfn.XLOOKUP($A196,Строчный!$A:$A,Строчный!E:E,"ERR",0))</f>
        <v>The Hollywood</v>
      </c>
      <c r="F196" s="81" t="str">
        <f ca="1">LOWER(_xlfn.XLOOKUP($A196,Строчный!$A:$A,Строчный!F:F,"ERR",0))</f>
        <v>летний</v>
      </c>
      <c r="G196" s="81" t="str">
        <f ca="1">UPPER(_xlfn.XLOOKUP($A196,Строчный!$A:$A,Строчный!G:G,"ERR",0))</f>
        <v>BAILEY</v>
      </c>
      <c r="H196" s="81" t="str">
        <f ca="1">LOWER(_xlfn.XLOOKUP($A196,Строчный!$A:$A,Строчный!H:H,"ERR",0))</f>
        <v>kapok green</v>
      </c>
      <c r="I196" s="81" t="str">
        <f ca="1">LOWER(_xlfn.XLOOKUP($A196,Строчный!$A:$A,Строчный!I:I,"ERR",0))</f>
        <v>зеленый</v>
      </c>
      <c r="J196" s="81" t="str">
        <f ca="1">SUBSTITUTE(LOWER(_xlfn.XLOOKUP($A196,Строчный!$A:$A,Строчный!J:J,"ERR",0)),"подклад","Подклад")</f>
        <v>84% бумага - 12% полипропилен - 4% полиэстер</v>
      </c>
      <c r="K196" s="81" t="str">
        <f ca="1">LOWER(_xlfn.XLOOKUP($A196,Строчный!$A:$A,Строчный!K:K,"ERR",0))</f>
        <v>бумажные</v>
      </c>
      <c r="L196" s="81" t="str">
        <f ca="1">PROPER(_xlfn.XLOOKUP($A196,Строчный!$A:$A,Строчный!L:L,"ERR",0))</f>
        <v>Унисекс</v>
      </c>
      <c r="M196" s="113" t="str">
        <f ca="1">PROPER(_xlfn.XLOOKUP($A196,Строчный!$A:$A,Строчный!M:M,"ERR",0))</f>
        <v>Китай</v>
      </c>
      <c r="N196" s="81" t="str">
        <f ca="1">UPPER(_xlfn.XLOOKUP($A196,Строчный!$A:$A,Строчный!O:O,"ERR",0))</f>
        <v/>
      </c>
      <c r="O196" s="107" t="str">
        <f ca="1">PROPER(_xlfn.XLOOKUP($A196,Строчный!$A:$A,Строчный!P:P,"ERR",0))</f>
        <v/>
      </c>
      <c r="P196" s="90">
        <f ca="1">VALUE(_xlfn.XLOOKUP($A196,Строчный!$A:$A,Строчный!N:N,"ERR",0))</f>
        <v>2568.15</v>
      </c>
      <c r="Q196" s="89" t="str">
        <f ca="1">_xlfn.XLOOKUP($G196,Фабрика!A:A,Фабрика!B:B,"ERR",0)</f>
        <v>Bollman Headwear Europe Ltd; 2 Merchants drive, Caelisle, Cumbria CA3 0JW, United Kingdom</v>
      </c>
      <c r="R196" s="80" t="str">
        <f ca="1">_xlfn.XLOOKUP(RIGHT(Z196,2),Размеры!D:D,Размеры!A:A,"ERR",0)</f>
        <v>57</v>
      </c>
      <c r="S196" s="80">
        <f ca="1">VALUE(_xlfn.XLOOKUP($Z196,Строчный!$R:$R,Строчный!T:T,"ERR",0))</f>
        <v>6</v>
      </c>
      <c r="T196" s="14" t="s">
        <v>265</v>
      </c>
      <c r="U196" s="101" t="str">
        <f t="shared" ca="1" si="23"/>
        <v>Шляпа BAILEY арт. 81702BH BERLE (зеленый)</v>
      </c>
      <c r="V196" s="100" t="str">
        <f t="shared" ca="1" si="24"/>
        <v>Шляпа BAILEY арт. 81702BH BERLE (зеленый) {kapok green}</v>
      </c>
      <c r="W196" s="18" t="str">
        <f t="shared" ca="1" si="25"/>
        <v>зеленый</v>
      </c>
      <c r="X196" s="18" t="str">
        <f t="shared" ca="1" si="26"/>
        <v>зеленый</v>
      </c>
      <c r="Y196" s="117" t="str">
        <f ca="1">_xlfn.LET(_xlpm.FormColors,_xlfn.XLOOKUP(A196,Строчный!A:A,Строчный!Q:Q,"",0),IF(_xlpm.FormColors=0,IFERROR(MID(I196,FIND("-",I196)+1,LEN(I196)),IFERROR(MID(I196,1,FIND("/",I196)-2),I196)),_xlpm.FormColors))</f>
        <v>зеленый</v>
      </c>
      <c r="Z196" s="73" t="str">
        <f ca="1"/>
        <v>21-505-03-57</v>
      </c>
      <c r="AA196" s="75" t="str">
        <f ca="1">VLOOKUP(C196,Группа!A:B,2,FALSE)</f>
        <v>Шляпа</v>
      </c>
      <c r="AB196" s="97" t="str">
        <f ca="1">IFERROR(VLOOKUP(R196,Размеры!A:C,3,FALSE),"")</f>
        <v>57 M</v>
      </c>
      <c r="AC196" s="97" t="str">
        <f ca="1">VLOOKUP(I196,ЦветПолный!A:B,2,FALSE)</f>
        <v>11</v>
      </c>
      <c r="AD196" s="97" t="str">
        <f ca="1">IFERROR(VLOOKUP(R196,Размеры!A:D,4,FALSE),"")</f>
        <v>57</v>
      </c>
      <c r="AE196" s="97">
        <f ca="1">IF(LEFT(IFERROR(VLOOKUP(LOOKUP(2,1/SEARCH(B196,Товары!A:A),Товары!A:A),Товары!A:B,2,0),""),6)=MID(Z196,1,6),1,0)</f>
        <v>1</v>
      </c>
      <c r="AG196" s="97">
        <f ca="1">SUMIF(Группа!A:A,C196,Группа!C:C)</f>
        <v>1</v>
      </c>
      <c r="AH196" s="97">
        <f ca="1">SUMIF(Группа!B:B,AA196,Группа!C:C)</f>
        <v>1</v>
      </c>
      <c r="AI196" s="97">
        <f ca="1">SUMIF(Формы!A:A,D196,Формы!B:B)</f>
        <v>1</v>
      </c>
      <c r="AJ196" s="97">
        <f ca="1">SUMIF(Материал!A:A,K196,Материал!B:B)</f>
        <v>1</v>
      </c>
      <c r="AK196" s="97">
        <f ca="1">SUMIF(Размеры!A:A,R196,Размеры!E:E)</f>
        <v>1</v>
      </c>
      <c r="AL196" s="97">
        <f ca="1">SUMIF(Сезон!A:A,F196,Сезон!B:B)</f>
        <v>1</v>
      </c>
      <c r="AM196" s="97">
        <f ca="1">SUMIF(Состав!A:A,J196,Состав!B:B)</f>
        <v>1</v>
      </c>
      <c r="AN196" s="97">
        <f ca="1">VLOOKUP(I196,ЦветПолный!A:C,3,0)</f>
        <v>1</v>
      </c>
      <c r="AO196" s="97">
        <f ca="1">SUMIF(Цвет!A:A,Y196,Цвет!B:B)</f>
        <v>1</v>
      </c>
      <c r="AP196" s="97">
        <f ca="1">_xlfn.XLOOKUP(L196,Пол!A:A,Пол!B:B,0,0)</f>
        <v>1</v>
      </c>
      <c r="AQ196" s="97">
        <f ca="1">SUMIF(Марка!A:A,G196,Марка!B:B)</f>
        <v>1</v>
      </c>
      <c r="AR196" s="97">
        <f ca="1">SUMIF(Страна!A:A,M196,Страна!B:B)</f>
        <v>1</v>
      </c>
      <c r="AS196" s="64" t="str">
        <f ca="1">IF(VLOOKUP(V196,Товары!A:B,2,FALSE)=A196,"Есть в 1С","ERR")</f>
        <v>Есть в 1С</v>
      </c>
      <c r="AT196" s="65" t="str">
        <f ca="1">IF(VLOOKUP(A196,Товары!B:B,1,FALSE)=A196,"Есть в 1С","ERR")</f>
        <v>Есть в 1С</v>
      </c>
      <c r="AU196" s="96" t="str">
        <f ca="1">VLOOKUP(V196,Товары!A:B,2,FALSE)</f>
        <v>21-505-03</v>
      </c>
      <c r="AV196" s="94" t="str">
        <f ca="1">VLOOKUP(V196,Товары!A:B,1,FALSE)</f>
        <v>Шляпа BAILEY арт. 81702BH BERLE (зеленый) {kapok green}</v>
      </c>
    </row>
    <row r="197" spans="1:48" x14ac:dyDescent="0.25">
      <c r="A197" s="110" t="str">
        <f t="shared" ca="1" si="27"/>
        <v>21-505-03</v>
      </c>
      <c r="B197" s="107" t="str">
        <f ca="1">_xlfn.LET(_xlpm.CAPS,0,_xlpm.Style,_xlfn.XLOOKUP($A197,Строчный!$A:$A,Строчный!B:B,"ERR",0),IF(_xlpm.CAPS=0,_xlpm.Style,LOWER(_xlpm.Style)))</f>
        <v>81702BH BERLE</v>
      </c>
      <c r="C197" s="81" t="str">
        <f ca="1">PROPER(_xlfn.XLOOKUP($A197,Строчный!$A:$A,Строчный!C:C,"ERR",0))</f>
        <v>Шляпы</v>
      </c>
      <c r="D197" s="81" t="str">
        <f ca="1">_xlfn.LET(_xlpm.DATA,(_xlfn.XLOOKUP($A197,Строчный!$A:$A,Строчный!D:D,"ERR",0)),UPPER(MID(_xlpm.DATA,1,1))&amp;LOWER(MID(_xlpm.DATA,2,LEN(_xlpm.DATA)-1)))</f>
        <v>Шляпа хомбург</v>
      </c>
      <c r="E197" s="81" t="str">
        <f ca="1">PROPER(_xlfn.XLOOKUP($A197,Строчный!$A:$A,Строчный!E:E,"ERR",0))</f>
        <v>The Hollywood</v>
      </c>
      <c r="F197" s="81" t="str">
        <f ca="1">LOWER(_xlfn.XLOOKUP($A197,Строчный!$A:$A,Строчный!F:F,"ERR",0))</f>
        <v>летний</v>
      </c>
      <c r="G197" s="81" t="str">
        <f ca="1">UPPER(_xlfn.XLOOKUP($A197,Строчный!$A:$A,Строчный!G:G,"ERR",0))</f>
        <v>BAILEY</v>
      </c>
      <c r="H197" s="81" t="str">
        <f ca="1">LOWER(_xlfn.XLOOKUP($A197,Строчный!$A:$A,Строчный!H:H,"ERR",0))</f>
        <v>kapok green</v>
      </c>
      <c r="I197" s="81" t="str">
        <f ca="1">LOWER(_xlfn.XLOOKUP($A197,Строчный!$A:$A,Строчный!I:I,"ERR",0))</f>
        <v>зеленый</v>
      </c>
      <c r="J197" s="81" t="str">
        <f ca="1">SUBSTITUTE(LOWER(_xlfn.XLOOKUP($A197,Строчный!$A:$A,Строчный!J:J,"ERR",0)),"подклад","Подклад")</f>
        <v>84% бумага - 12% полипропилен - 4% полиэстер</v>
      </c>
      <c r="K197" s="81" t="str">
        <f ca="1">LOWER(_xlfn.XLOOKUP($A197,Строчный!$A:$A,Строчный!K:K,"ERR",0))</f>
        <v>бумажные</v>
      </c>
      <c r="L197" s="81" t="str">
        <f ca="1">PROPER(_xlfn.XLOOKUP($A197,Строчный!$A:$A,Строчный!L:L,"ERR",0))</f>
        <v>Унисекс</v>
      </c>
      <c r="M197" s="113" t="str">
        <f ca="1">PROPER(_xlfn.XLOOKUP($A197,Строчный!$A:$A,Строчный!M:M,"ERR",0))</f>
        <v>Китай</v>
      </c>
      <c r="N197" s="81" t="str">
        <f ca="1">UPPER(_xlfn.XLOOKUP($A197,Строчный!$A:$A,Строчный!O:O,"ERR",0))</f>
        <v/>
      </c>
      <c r="O197" s="107" t="str">
        <f ca="1">PROPER(_xlfn.XLOOKUP($A197,Строчный!$A:$A,Строчный!P:P,"ERR",0))</f>
        <v/>
      </c>
      <c r="P197" s="90">
        <f ca="1">VALUE(_xlfn.XLOOKUP($A197,Строчный!$A:$A,Строчный!N:N,"ERR",0))</f>
        <v>2568.15</v>
      </c>
      <c r="Q197" s="89" t="str">
        <f ca="1">_xlfn.XLOOKUP($G197,Фабрика!A:A,Фабрика!B:B,"ERR",0)</f>
        <v>Bollman Headwear Europe Ltd; 2 Merchants drive, Caelisle, Cumbria CA3 0JW, United Kingdom</v>
      </c>
      <c r="R197" s="80" t="str">
        <f ca="1">_xlfn.XLOOKUP(RIGHT(Z197,2),Размеры!D:D,Размеры!A:A,"ERR",0)</f>
        <v>55</v>
      </c>
      <c r="S197" s="80">
        <f ca="1">VALUE(_xlfn.XLOOKUP($Z197,Строчный!$R:$R,Строчный!T:T,"ERR",0))</f>
        <v>2</v>
      </c>
      <c r="T197" s="14" t="s">
        <v>265</v>
      </c>
      <c r="U197" s="101" t="str">
        <f t="shared" ca="1" si="23"/>
        <v>Шляпа BAILEY арт. 81702BH BERLE (зеленый)</v>
      </c>
      <c r="V197" s="100" t="str">
        <f t="shared" ca="1" si="24"/>
        <v>Шляпа BAILEY арт. 81702BH BERLE (зеленый) {kapok green}</v>
      </c>
      <c r="W197" s="18" t="str">
        <f t="shared" ca="1" si="25"/>
        <v>зеленый</v>
      </c>
      <c r="X197" s="18" t="str">
        <f t="shared" ca="1" si="26"/>
        <v>зеленый</v>
      </c>
      <c r="Y197" s="117" t="str">
        <f ca="1">_xlfn.LET(_xlpm.FormColors,_xlfn.XLOOKUP(A197,Строчный!A:A,Строчный!Q:Q,"",0),IF(_xlpm.FormColors=0,IFERROR(MID(I197,FIND("-",I197)+1,LEN(I197)),IFERROR(MID(I197,1,FIND("/",I197)-2),I197)),_xlpm.FormColors))</f>
        <v>зеленый</v>
      </c>
      <c r="Z197" s="73" t="str">
        <f ca="1"/>
        <v>21-505-03-55</v>
      </c>
      <c r="AA197" s="75" t="str">
        <f ca="1">VLOOKUP(C197,Группа!A:B,2,FALSE)</f>
        <v>Шляпа</v>
      </c>
      <c r="AB197" s="97" t="str">
        <f ca="1">IFERROR(VLOOKUP(R197,Размеры!A:C,3,FALSE),"")</f>
        <v>55 S</v>
      </c>
      <c r="AC197" s="97" t="str">
        <f ca="1">VLOOKUP(I197,ЦветПолный!A:B,2,FALSE)</f>
        <v>11</v>
      </c>
      <c r="AD197" s="97" t="str">
        <f ca="1">IFERROR(VLOOKUP(R197,Размеры!A:D,4,FALSE),"")</f>
        <v>55</v>
      </c>
      <c r="AE197" s="97">
        <f ca="1">IF(LEFT(IFERROR(VLOOKUP(LOOKUP(2,1/SEARCH(B197,Товары!A:A),Товары!A:A),Товары!A:B,2,0),""),6)=MID(Z197,1,6),1,0)</f>
        <v>1</v>
      </c>
      <c r="AG197" s="97">
        <f ca="1">SUMIF(Группа!A:A,C197,Группа!C:C)</f>
        <v>1</v>
      </c>
      <c r="AH197" s="97">
        <f ca="1">SUMIF(Группа!B:B,AA197,Группа!C:C)</f>
        <v>1</v>
      </c>
      <c r="AI197" s="97">
        <f ca="1">SUMIF(Формы!A:A,D197,Формы!B:B)</f>
        <v>1</v>
      </c>
      <c r="AJ197" s="97">
        <f ca="1">SUMIF(Материал!A:A,K197,Материал!B:B)</f>
        <v>1</v>
      </c>
      <c r="AK197" s="97">
        <f ca="1">SUMIF(Размеры!A:A,R197,Размеры!E:E)</f>
        <v>1</v>
      </c>
      <c r="AL197" s="97">
        <f ca="1">SUMIF(Сезон!A:A,F197,Сезон!B:B)</f>
        <v>1</v>
      </c>
      <c r="AM197" s="97">
        <f ca="1">SUMIF(Состав!A:A,J197,Состав!B:B)</f>
        <v>1</v>
      </c>
      <c r="AN197" s="97">
        <f ca="1">VLOOKUP(I197,ЦветПолный!A:C,3,0)</f>
        <v>1</v>
      </c>
      <c r="AO197" s="97">
        <f ca="1">SUMIF(Цвет!A:A,Y197,Цвет!B:B)</f>
        <v>1</v>
      </c>
      <c r="AP197" s="97">
        <f ca="1">_xlfn.XLOOKUP(L197,Пол!A:A,Пол!B:B,0,0)</f>
        <v>1</v>
      </c>
      <c r="AQ197" s="97">
        <f ca="1">SUMIF(Марка!A:A,G197,Марка!B:B)</f>
        <v>1</v>
      </c>
      <c r="AR197" s="97">
        <f ca="1">SUMIF(Страна!A:A,M197,Страна!B:B)</f>
        <v>1</v>
      </c>
      <c r="AS197" s="64" t="str">
        <f ca="1">IF(VLOOKUP(V197,Товары!A:B,2,FALSE)=A197,"Есть в 1С","ERR")</f>
        <v>Есть в 1С</v>
      </c>
      <c r="AT197" s="65" t="str">
        <f ca="1">IF(VLOOKUP(A197,Товары!B:B,1,FALSE)=A197,"Есть в 1С","ERR")</f>
        <v>Есть в 1С</v>
      </c>
      <c r="AU197" s="96" t="str">
        <f ca="1">VLOOKUP(V197,Товары!A:B,2,FALSE)</f>
        <v>21-505-03</v>
      </c>
      <c r="AV197" s="94" t="str">
        <f ca="1">VLOOKUP(V197,Товары!A:B,1,FALSE)</f>
        <v>Шляпа BAILEY арт. 81702BH BERLE (зеленый) {kapok green}</v>
      </c>
    </row>
    <row r="198" spans="1:48" x14ac:dyDescent="0.25">
      <c r="A198" s="110" t="str">
        <f t="shared" ca="1" si="27"/>
        <v>21-505-02</v>
      </c>
      <c r="B198" s="107" t="str">
        <f ca="1">_xlfn.LET(_xlpm.CAPS,0,_xlpm.Style,_xlfn.XLOOKUP($A198,Строчный!$A:$A,Строчный!B:B,"ERR",0),IF(_xlpm.CAPS=0,_xlpm.Style,LOWER(_xlpm.Style)))</f>
        <v>81702BH BERLE</v>
      </c>
      <c r="C198" s="81" t="str">
        <f ca="1">PROPER(_xlfn.XLOOKUP($A198,Строчный!$A:$A,Строчный!C:C,"ERR",0))</f>
        <v>Шляпы</v>
      </c>
      <c r="D198" s="81" t="str">
        <f ca="1">_xlfn.LET(_xlpm.DATA,(_xlfn.XLOOKUP($A198,Строчный!$A:$A,Строчный!D:D,"ERR",0)),UPPER(MID(_xlpm.DATA,1,1))&amp;LOWER(MID(_xlpm.DATA,2,LEN(_xlpm.DATA)-1)))</f>
        <v>Шляпа хомбург</v>
      </c>
      <c r="E198" s="81" t="str">
        <f ca="1">PROPER(_xlfn.XLOOKUP($A198,Строчный!$A:$A,Строчный!E:E,"ERR",0))</f>
        <v>The Hollywood</v>
      </c>
      <c r="F198" s="81" t="str">
        <f ca="1">LOWER(_xlfn.XLOOKUP($A198,Строчный!$A:$A,Строчный!F:F,"ERR",0))</f>
        <v>летний</v>
      </c>
      <c r="G198" s="81" t="str">
        <f ca="1">UPPER(_xlfn.XLOOKUP($A198,Строчный!$A:$A,Строчный!G:G,"ERR",0))</f>
        <v>BAILEY</v>
      </c>
      <c r="H198" s="81" t="str">
        <f ca="1">LOWER(_xlfn.XLOOKUP($A198,Строчный!$A:$A,Строчный!H:H,"ERR",0))</f>
        <v>natural</v>
      </c>
      <c r="I198" s="81" t="str">
        <f ca="1">LOWER(_xlfn.XLOOKUP($A198,Строчный!$A:$A,Строчный!I:I,"ERR",0))</f>
        <v>бежевый</v>
      </c>
      <c r="J198" s="81" t="str">
        <f ca="1">SUBSTITUTE(LOWER(_xlfn.XLOOKUP($A198,Строчный!$A:$A,Строчный!J:J,"ERR",0)),"подклад","Подклад")</f>
        <v>84% бумага - 12% полипропилен - 4% полиэстер</v>
      </c>
      <c r="K198" s="81" t="str">
        <f ca="1">LOWER(_xlfn.XLOOKUP($A198,Строчный!$A:$A,Строчный!K:K,"ERR",0))</f>
        <v>бумажные</v>
      </c>
      <c r="L198" s="81" t="str">
        <f ca="1">PROPER(_xlfn.XLOOKUP($A198,Строчный!$A:$A,Строчный!L:L,"ERR",0))</f>
        <v>Унисекс</v>
      </c>
      <c r="M198" s="113" t="str">
        <f ca="1">PROPER(_xlfn.XLOOKUP($A198,Строчный!$A:$A,Строчный!M:M,"ERR",0))</f>
        <v>Китай</v>
      </c>
      <c r="N198" s="81" t="str">
        <f ca="1">UPPER(_xlfn.XLOOKUP($A198,Строчный!$A:$A,Строчный!O:O,"ERR",0))</f>
        <v/>
      </c>
      <c r="O198" s="107" t="str">
        <f ca="1">PROPER(_xlfn.XLOOKUP($A198,Строчный!$A:$A,Строчный!P:P,"ERR",0))</f>
        <v/>
      </c>
      <c r="P198" s="90">
        <f ca="1">VALUE(_xlfn.XLOOKUP($A198,Строчный!$A:$A,Строчный!N:N,"ERR",0))</f>
        <v>2568.15</v>
      </c>
      <c r="Q198" s="89" t="str">
        <f ca="1">_xlfn.XLOOKUP($G198,Фабрика!A:A,Фабрика!B:B,"ERR",0)</f>
        <v>Bollman Headwear Europe Ltd; 2 Merchants drive, Caelisle, Cumbria CA3 0JW, United Kingdom</v>
      </c>
      <c r="R198" s="80" t="str">
        <f ca="1">_xlfn.XLOOKUP(RIGHT(Z198,2),Размеры!D:D,Размеры!A:A,"ERR",0)</f>
        <v>61</v>
      </c>
      <c r="S198" s="80">
        <f ca="1">VALUE(_xlfn.XLOOKUP($Z198,Строчный!$R:$R,Строчный!T:T,"ERR",0))</f>
        <v>4</v>
      </c>
      <c r="T198" s="14" t="s">
        <v>265</v>
      </c>
      <c r="U198" s="101" t="str">
        <f t="shared" ca="1" si="23"/>
        <v>Шляпа BAILEY арт. 81702BH BERLE (бежевый)</v>
      </c>
      <c r="V198" s="100" t="str">
        <f t="shared" ca="1" si="24"/>
        <v>Шляпа BAILEY арт. 81702BH BERLE (бежевый) {natural}</v>
      </c>
      <c r="W198" s="18" t="str">
        <f t="shared" ca="1" si="25"/>
        <v>бежевый</v>
      </c>
      <c r="X198" s="18" t="str">
        <f t="shared" ca="1" si="26"/>
        <v>бежевый</v>
      </c>
      <c r="Y198" s="117" t="str">
        <f ca="1">_xlfn.LET(_xlpm.FormColors,_xlfn.XLOOKUP(A198,Строчный!A:A,Строчный!Q:Q,"",0),IF(_xlpm.FormColors=0,IFERROR(MID(I198,FIND("-",I198)+1,LEN(I198)),IFERROR(MID(I198,1,FIND("/",I198)-2),I198)),_xlpm.FormColors))</f>
        <v>бежевый</v>
      </c>
      <c r="Z198" s="73" t="str">
        <f ca="1"/>
        <v>21-505-02-61</v>
      </c>
      <c r="AA198" s="75" t="str">
        <f ca="1">VLOOKUP(C198,Группа!A:B,2,FALSE)</f>
        <v>Шляпа</v>
      </c>
      <c r="AB198" s="97" t="str">
        <f ca="1">IFERROR(VLOOKUP(R198,Размеры!A:C,3,FALSE),"")</f>
        <v>61 XL</v>
      </c>
      <c r="AC198" s="97" t="str">
        <f ca="1">VLOOKUP(I198,ЦветПолный!A:B,2,FALSE)</f>
        <v>02</v>
      </c>
      <c r="AD198" s="97" t="str">
        <f ca="1">IFERROR(VLOOKUP(R198,Размеры!A:D,4,FALSE),"")</f>
        <v>61</v>
      </c>
      <c r="AE198" s="97">
        <f ca="1">IF(LEFT(IFERROR(VLOOKUP(LOOKUP(2,1/SEARCH(B198,Товары!A:A),Товары!A:A),Товары!A:B,2,0),""),6)=MID(Z198,1,6),1,0)</f>
        <v>1</v>
      </c>
      <c r="AG198" s="97">
        <f ca="1">SUMIF(Группа!A:A,C198,Группа!C:C)</f>
        <v>1</v>
      </c>
      <c r="AH198" s="97">
        <f ca="1">SUMIF(Группа!B:B,AA198,Группа!C:C)</f>
        <v>1</v>
      </c>
      <c r="AI198" s="97">
        <f ca="1">SUMIF(Формы!A:A,D198,Формы!B:B)</f>
        <v>1</v>
      </c>
      <c r="AJ198" s="97">
        <f ca="1">SUMIF(Материал!A:A,K198,Материал!B:B)</f>
        <v>1</v>
      </c>
      <c r="AK198" s="97">
        <f ca="1">SUMIF(Размеры!A:A,R198,Размеры!E:E)</f>
        <v>1</v>
      </c>
      <c r="AL198" s="97">
        <f ca="1">SUMIF(Сезон!A:A,F198,Сезон!B:B)</f>
        <v>1</v>
      </c>
      <c r="AM198" s="97">
        <f ca="1">SUMIF(Состав!A:A,J198,Состав!B:B)</f>
        <v>1</v>
      </c>
      <c r="AN198" s="97">
        <f ca="1">VLOOKUP(I198,ЦветПолный!A:C,3,0)</f>
        <v>1</v>
      </c>
      <c r="AO198" s="97">
        <f ca="1">SUMIF(Цвет!A:A,Y198,Цвет!B:B)</f>
        <v>1</v>
      </c>
      <c r="AP198" s="97">
        <f ca="1">_xlfn.XLOOKUP(L198,Пол!A:A,Пол!B:B,0,0)</f>
        <v>1</v>
      </c>
      <c r="AQ198" s="97">
        <f ca="1">SUMIF(Марка!A:A,G198,Марка!B:B)</f>
        <v>1</v>
      </c>
      <c r="AR198" s="97">
        <f ca="1">SUMIF(Страна!A:A,M198,Страна!B:B)</f>
        <v>1</v>
      </c>
      <c r="AS198" s="64" t="e">
        <f ca="1">IF(VLOOKUP(V198,Товары!A:B,2,FALSE)=A198,"Есть в 1С","ERR")</f>
        <v>#N/A</v>
      </c>
      <c r="AT198" s="65" t="e">
        <f ca="1">IF(VLOOKUP(A198,Товары!B:B,1,FALSE)=A198,"Есть в 1С","ERR")</f>
        <v>#N/A</v>
      </c>
      <c r="AU198" s="96" t="e">
        <f ca="1">VLOOKUP(V198,Товары!A:B,2,FALSE)</f>
        <v>#N/A</v>
      </c>
      <c r="AV198" s="94" t="e">
        <f ca="1">VLOOKUP(V198,Товары!A:B,1,FALSE)</f>
        <v>#N/A</v>
      </c>
    </row>
    <row r="199" spans="1:48" x14ac:dyDescent="0.25">
      <c r="A199" s="110" t="str">
        <f t="shared" ca="1" si="27"/>
        <v>21-505-02</v>
      </c>
      <c r="B199" s="107" t="str">
        <f ca="1">_xlfn.LET(_xlpm.CAPS,0,_xlpm.Style,_xlfn.XLOOKUP($A199,Строчный!$A:$A,Строчный!B:B,"ERR",0),IF(_xlpm.CAPS=0,_xlpm.Style,LOWER(_xlpm.Style)))</f>
        <v>81702BH BERLE</v>
      </c>
      <c r="C199" s="81" t="str">
        <f ca="1">PROPER(_xlfn.XLOOKUP($A199,Строчный!$A:$A,Строчный!C:C,"ERR",0))</f>
        <v>Шляпы</v>
      </c>
      <c r="D199" s="81" t="str">
        <f ca="1">_xlfn.LET(_xlpm.DATA,(_xlfn.XLOOKUP($A199,Строчный!$A:$A,Строчный!D:D,"ERR",0)),UPPER(MID(_xlpm.DATA,1,1))&amp;LOWER(MID(_xlpm.DATA,2,LEN(_xlpm.DATA)-1)))</f>
        <v>Шляпа хомбург</v>
      </c>
      <c r="E199" s="81" t="str">
        <f ca="1">PROPER(_xlfn.XLOOKUP($A199,Строчный!$A:$A,Строчный!E:E,"ERR",0))</f>
        <v>The Hollywood</v>
      </c>
      <c r="F199" s="81" t="str">
        <f ca="1">LOWER(_xlfn.XLOOKUP($A199,Строчный!$A:$A,Строчный!F:F,"ERR",0))</f>
        <v>летний</v>
      </c>
      <c r="G199" s="81" t="str">
        <f ca="1">UPPER(_xlfn.XLOOKUP($A199,Строчный!$A:$A,Строчный!G:G,"ERR",0))</f>
        <v>BAILEY</v>
      </c>
      <c r="H199" s="81" t="str">
        <f ca="1">LOWER(_xlfn.XLOOKUP($A199,Строчный!$A:$A,Строчный!H:H,"ERR",0))</f>
        <v>natural</v>
      </c>
      <c r="I199" s="81" t="str">
        <f ca="1">LOWER(_xlfn.XLOOKUP($A199,Строчный!$A:$A,Строчный!I:I,"ERR",0))</f>
        <v>бежевый</v>
      </c>
      <c r="J199" s="81" t="str">
        <f ca="1">SUBSTITUTE(LOWER(_xlfn.XLOOKUP($A199,Строчный!$A:$A,Строчный!J:J,"ERR",0)),"подклад","Подклад")</f>
        <v>84% бумага - 12% полипропилен - 4% полиэстер</v>
      </c>
      <c r="K199" s="81" t="str">
        <f ca="1">LOWER(_xlfn.XLOOKUP($A199,Строчный!$A:$A,Строчный!K:K,"ERR",0))</f>
        <v>бумажные</v>
      </c>
      <c r="L199" s="81" t="str">
        <f ca="1">PROPER(_xlfn.XLOOKUP($A199,Строчный!$A:$A,Строчный!L:L,"ERR",0))</f>
        <v>Унисекс</v>
      </c>
      <c r="M199" s="113" t="str">
        <f ca="1">PROPER(_xlfn.XLOOKUP($A199,Строчный!$A:$A,Строчный!M:M,"ERR",0))</f>
        <v>Китай</v>
      </c>
      <c r="N199" s="81" t="str">
        <f ca="1">UPPER(_xlfn.XLOOKUP($A199,Строчный!$A:$A,Строчный!O:O,"ERR",0))</f>
        <v/>
      </c>
      <c r="O199" s="107" t="str">
        <f ca="1">PROPER(_xlfn.XLOOKUP($A199,Строчный!$A:$A,Строчный!P:P,"ERR",0))</f>
        <v/>
      </c>
      <c r="P199" s="90">
        <f ca="1">VALUE(_xlfn.XLOOKUP($A199,Строчный!$A:$A,Строчный!N:N,"ERR",0))</f>
        <v>2568.15</v>
      </c>
      <c r="Q199" s="89" t="str">
        <f ca="1">_xlfn.XLOOKUP($G199,Фабрика!A:A,Фабрика!B:B,"ERR",0)</f>
        <v>Bollman Headwear Europe Ltd; 2 Merchants drive, Caelisle, Cumbria CA3 0JW, United Kingdom</v>
      </c>
      <c r="R199" s="80" t="str">
        <f ca="1">_xlfn.XLOOKUP(RIGHT(Z199,2),Размеры!D:D,Размеры!A:A,"ERR",0)</f>
        <v>59</v>
      </c>
      <c r="S199" s="80">
        <f ca="1">VALUE(_xlfn.XLOOKUP($Z199,Строчный!$R:$R,Строчный!T:T,"ERR",0))</f>
        <v>8</v>
      </c>
      <c r="T199" s="14" t="s">
        <v>265</v>
      </c>
      <c r="U199" s="101" t="str">
        <f t="shared" ca="1" si="23"/>
        <v>Шляпа BAILEY арт. 81702BH BERLE (бежевый)</v>
      </c>
      <c r="V199" s="100" t="str">
        <f t="shared" ca="1" si="24"/>
        <v>Шляпа BAILEY арт. 81702BH BERLE (бежевый) {natural}</v>
      </c>
      <c r="W199" s="18" t="str">
        <f t="shared" ca="1" si="25"/>
        <v>бежевый</v>
      </c>
      <c r="X199" s="18" t="str">
        <f t="shared" ca="1" si="26"/>
        <v>бежевый</v>
      </c>
      <c r="Y199" s="117" t="str">
        <f ca="1">_xlfn.LET(_xlpm.FormColors,_xlfn.XLOOKUP(A199,Строчный!A:A,Строчный!Q:Q,"",0),IF(_xlpm.FormColors=0,IFERROR(MID(I199,FIND("-",I199)+1,LEN(I199)),IFERROR(MID(I199,1,FIND("/",I199)-2),I199)),_xlpm.FormColors))</f>
        <v>бежевый</v>
      </c>
      <c r="Z199" s="73" t="str">
        <f ca="1"/>
        <v>21-505-02-59</v>
      </c>
      <c r="AA199" s="75" t="str">
        <f ca="1">VLOOKUP(C199,Группа!A:B,2,FALSE)</f>
        <v>Шляпа</v>
      </c>
      <c r="AB199" s="97" t="str">
        <f ca="1">IFERROR(VLOOKUP(R199,Размеры!A:C,3,FALSE),"")</f>
        <v>59 L</v>
      </c>
      <c r="AC199" s="97" t="str">
        <f ca="1">VLOOKUP(I199,ЦветПолный!A:B,2,FALSE)</f>
        <v>02</v>
      </c>
      <c r="AD199" s="97" t="str">
        <f ca="1">IFERROR(VLOOKUP(R199,Размеры!A:D,4,FALSE),"")</f>
        <v>59</v>
      </c>
      <c r="AE199" s="97">
        <f ca="1">IF(LEFT(IFERROR(VLOOKUP(LOOKUP(2,1/SEARCH(B199,Товары!A:A),Товары!A:A),Товары!A:B,2,0),""),6)=MID(Z199,1,6),1,0)</f>
        <v>1</v>
      </c>
      <c r="AG199" s="97">
        <f ca="1">SUMIF(Группа!A:A,C199,Группа!C:C)</f>
        <v>1</v>
      </c>
      <c r="AH199" s="97">
        <f ca="1">SUMIF(Группа!B:B,AA199,Группа!C:C)</f>
        <v>1</v>
      </c>
      <c r="AI199" s="97">
        <f ca="1">SUMIF(Формы!A:A,D199,Формы!B:B)</f>
        <v>1</v>
      </c>
      <c r="AJ199" s="97">
        <f ca="1">SUMIF(Материал!A:A,K199,Материал!B:B)</f>
        <v>1</v>
      </c>
      <c r="AK199" s="97">
        <f ca="1">SUMIF(Размеры!A:A,R199,Размеры!E:E)</f>
        <v>1</v>
      </c>
      <c r="AL199" s="97">
        <f ca="1">SUMIF(Сезон!A:A,F199,Сезон!B:B)</f>
        <v>1</v>
      </c>
      <c r="AM199" s="97">
        <f ca="1">SUMIF(Состав!A:A,J199,Состав!B:B)</f>
        <v>1</v>
      </c>
      <c r="AN199" s="97">
        <f ca="1">VLOOKUP(I199,ЦветПолный!A:C,3,0)</f>
        <v>1</v>
      </c>
      <c r="AO199" s="97">
        <f ca="1">SUMIF(Цвет!A:A,Y199,Цвет!B:B)</f>
        <v>1</v>
      </c>
      <c r="AP199" s="97">
        <f ca="1">_xlfn.XLOOKUP(L199,Пол!A:A,Пол!B:B,0,0)</f>
        <v>1</v>
      </c>
      <c r="AQ199" s="97">
        <f ca="1">SUMIF(Марка!A:A,G199,Марка!B:B)</f>
        <v>1</v>
      </c>
      <c r="AR199" s="97">
        <f ca="1">SUMIF(Страна!A:A,M199,Страна!B:B)</f>
        <v>1</v>
      </c>
      <c r="AS199" s="64" t="e">
        <f ca="1">IF(VLOOKUP(V199,Товары!A:B,2,FALSE)=A199,"Есть в 1С","ERR")</f>
        <v>#N/A</v>
      </c>
      <c r="AT199" s="65" t="e">
        <f ca="1">IF(VLOOKUP(A199,Товары!B:B,1,FALSE)=A199,"Есть в 1С","ERR")</f>
        <v>#N/A</v>
      </c>
      <c r="AU199" s="96" t="e">
        <f ca="1">VLOOKUP(V199,Товары!A:B,2,FALSE)</f>
        <v>#N/A</v>
      </c>
      <c r="AV199" s="94" t="e">
        <f ca="1">VLOOKUP(V199,Товары!A:B,1,FALSE)</f>
        <v>#N/A</v>
      </c>
    </row>
    <row r="200" spans="1:48" x14ac:dyDescent="0.25">
      <c r="A200" s="110" t="str">
        <f t="shared" ca="1" si="27"/>
        <v>21-505-02</v>
      </c>
      <c r="B200" s="107" t="str">
        <f ca="1">_xlfn.LET(_xlpm.CAPS,0,_xlpm.Style,_xlfn.XLOOKUP($A200,Строчный!$A:$A,Строчный!B:B,"ERR",0),IF(_xlpm.CAPS=0,_xlpm.Style,LOWER(_xlpm.Style)))</f>
        <v>81702BH BERLE</v>
      </c>
      <c r="C200" s="81" t="str">
        <f ca="1">PROPER(_xlfn.XLOOKUP($A200,Строчный!$A:$A,Строчный!C:C,"ERR",0))</f>
        <v>Шляпы</v>
      </c>
      <c r="D200" s="81" t="str">
        <f ca="1">_xlfn.LET(_xlpm.DATA,(_xlfn.XLOOKUP($A200,Строчный!$A:$A,Строчный!D:D,"ERR",0)),UPPER(MID(_xlpm.DATA,1,1))&amp;LOWER(MID(_xlpm.DATA,2,LEN(_xlpm.DATA)-1)))</f>
        <v>Шляпа хомбург</v>
      </c>
      <c r="E200" s="81" t="str">
        <f ca="1">PROPER(_xlfn.XLOOKUP($A200,Строчный!$A:$A,Строчный!E:E,"ERR",0))</f>
        <v>The Hollywood</v>
      </c>
      <c r="F200" s="81" t="str">
        <f ca="1">LOWER(_xlfn.XLOOKUP($A200,Строчный!$A:$A,Строчный!F:F,"ERR",0))</f>
        <v>летний</v>
      </c>
      <c r="G200" s="81" t="str">
        <f ca="1">UPPER(_xlfn.XLOOKUP($A200,Строчный!$A:$A,Строчный!G:G,"ERR",0))</f>
        <v>BAILEY</v>
      </c>
      <c r="H200" s="81" t="str">
        <f ca="1">LOWER(_xlfn.XLOOKUP($A200,Строчный!$A:$A,Строчный!H:H,"ERR",0))</f>
        <v>natural</v>
      </c>
      <c r="I200" s="81" t="str">
        <f ca="1">LOWER(_xlfn.XLOOKUP($A200,Строчный!$A:$A,Строчный!I:I,"ERR",0))</f>
        <v>бежевый</v>
      </c>
      <c r="J200" s="81" t="str">
        <f ca="1">SUBSTITUTE(LOWER(_xlfn.XLOOKUP($A200,Строчный!$A:$A,Строчный!J:J,"ERR",0)),"подклад","Подклад")</f>
        <v>84% бумага - 12% полипропилен - 4% полиэстер</v>
      </c>
      <c r="K200" s="81" t="str">
        <f ca="1">LOWER(_xlfn.XLOOKUP($A200,Строчный!$A:$A,Строчный!K:K,"ERR",0))</f>
        <v>бумажные</v>
      </c>
      <c r="L200" s="81" t="str">
        <f ca="1">PROPER(_xlfn.XLOOKUP($A200,Строчный!$A:$A,Строчный!L:L,"ERR",0))</f>
        <v>Унисекс</v>
      </c>
      <c r="M200" s="113" t="str">
        <f ca="1">PROPER(_xlfn.XLOOKUP($A200,Строчный!$A:$A,Строчный!M:M,"ERR",0))</f>
        <v>Китай</v>
      </c>
      <c r="N200" s="81" t="str">
        <f ca="1">UPPER(_xlfn.XLOOKUP($A200,Строчный!$A:$A,Строчный!O:O,"ERR",0))</f>
        <v/>
      </c>
      <c r="O200" s="107" t="str">
        <f ca="1">PROPER(_xlfn.XLOOKUP($A200,Строчный!$A:$A,Строчный!P:P,"ERR",0))</f>
        <v/>
      </c>
      <c r="P200" s="90">
        <f ca="1">VALUE(_xlfn.XLOOKUP($A200,Строчный!$A:$A,Строчный!N:N,"ERR",0))</f>
        <v>2568.15</v>
      </c>
      <c r="Q200" s="89" t="str">
        <f ca="1">_xlfn.XLOOKUP($G200,Фабрика!A:A,Фабрика!B:B,"ERR",0)</f>
        <v>Bollman Headwear Europe Ltd; 2 Merchants drive, Caelisle, Cumbria CA3 0JW, United Kingdom</v>
      </c>
      <c r="R200" s="80" t="str">
        <f ca="1">_xlfn.XLOOKUP(RIGHT(Z200,2),Размеры!D:D,Размеры!A:A,"ERR",0)</f>
        <v>57</v>
      </c>
      <c r="S200" s="80">
        <f ca="1">VALUE(_xlfn.XLOOKUP($Z200,Строчный!$R:$R,Строчный!T:T,"ERR",0))</f>
        <v>6</v>
      </c>
      <c r="T200" s="14" t="s">
        <v>265</v>
      </c>
      <c r="U200" s="101" t="str">
        <f t="shared" ca="1" si="23"/>
        <v>Шляпа BAILEY арт. 81702BH BERLE (бежевый)</v>
      </c>
      <c r="V200" s="100" t="str">
        <f t="shared" ca="1" si="24"/>
        <v>Шляпа BAILEY арт. 81702BH BERLE (бежевый) {natural}</v>
      </c>
      <c r="W200" s="18" t="str">
        <f t="shared" ca="1" si="25"/>
        <v>бежевый</v>
      </c>
      <c r="X200" s="18" t="str">
        <f t="shared" ca="1" si="26"/>
        <v>бежевый</v>
      </c>
      <c r="Y200" s="117" t="str">
        <f ca="1">_xlfn.LET(_xlpm.FormColors,_xlfn.XLOOKUP(A200,Строчный!A:A,Строчный!Q:Q,"",0),IF(_xlpm.FormColors=0,IFERROR(MID(I200,FIND("-",I200)+1,LEN(I200)),IFERROR(MID(I200,1,FIND("/",I200)-2),I200)),_xlpm.FormColors))</f>
        <v>бежевый</v>
      </c>
      <c r="Z200" s="73" t="str">
        <f ca="1"/>
        <v>21-505-02-57</v>
      </c>
      <c r="AA200" s="75" t="str">
        <f ca="1">VLOOKUP(C200,Группа!A:B,2,FALSE)</f>
        <v>Шляпа</v>
      </c>
      <c r="AB200" s="97" t="str">
        <f ca="1">IFERROR(VLOOKUP(R200,Размеры!A:C,3,FALSE),"")</f>
        <v>57 M</v>
      </c>
      <c r="AC200" s="97" t="str">
        <f ca="1">VLOOKUP(I200,ЦветПолный!A:B,2,FALSE)</f>
        <v>02</v>
      </c>
      <c r="AD200" s="97" t="str">
        <f ca="1">IFERROR(VLOOKUP(R200,Размеры!A:D,4,FALSE),"")</f>
        <v>57</v>
      </c>
      <c r="AE200" s="97">
        <f ca="1">IF(LEFT(IFERROR(VLOOKUP(LOOKUP(2,1/SEARCH(B200,Товары!A:A),Товары!A:A),Товары!A:B,2,0),""),6)=MID(Z200,1,6),1,0)</f>
        <v>1</v>
      </c>
      <c r="AG200" s="97">
        <f ca="1">SUMIF(Группа!A:A,C200,Группа!C:C)</f>
        <v>1</v>
      </c>
      <c r="AH200" s="97">
        <f ca="1">SUMIF(Группа!B:B,AA200,Группа!C:C)</f>
        <v>1</v>
      </c>
      <c r="AI200" s="97">
        <f ca="1">SUMIF(Формы!A:A,D200,Формы!B:B)</f>
        <v>1</v>
      </c>
      <c r="AJ200" s="97">
        <f ca="1">SUMIF(Материал!A:A,K200,Материал!B:B)</f>
        <v>1</v>
      </c>
      <c r="AK200" s="97">
        <f ca="1">SUMIF(Размеры!A:A,R200,Размеры!E:E)</f>
        <v>1</v>
      </c>
      <c r="AL200" s="97">
        <f ca="1">SUMIF(Сезон!A:A,F200,Сезон!B:B)</f>
        <v>1</v>
      </c>
      <c r="AM200" s="97">
        <f ca="1">SUMIF(Состав!A:A,J200,Состав!B:B)</f>
        <v>1</v>
      </c>
      <c r="AN200" s="97">
        <f ca="1">VLOOKUP(I200,ЦветПолный!A:C,3,0)</f>
        <v>1</v>
      </c>
      <c r="AO200" s="97">
        <f ca="1">SUMIF(Цвет!A:A,Y200,Цвет!B:B)</f>
        <v>1</v>
      </c>
      <c r="AP200" s="97">
        <f ca="1">_xlfn.XLOOKUP(L200,Пол!A:A,Пол!B:B,0,0)</f>
        <v>1</v>
      </c>
      <c r="AQ200" s="97">
        <f ca="1">SUMIF(Марка!A:A,G200,Марка!B:B)</f>
        <v>1</v>
      </c>
      <c r="AR200" s="97">
        <f ca="1">SUMIF(Страна!A:A,M200,Страна!B:B)</f>
        <v>1</v>
      </c>
      <c r="AS200" s="64" t="e">
        <f ca="1">IF(VLOOKUP(V200,Товары!A:B,2,FALSE)=A200,"Есть в 1С","ERR")</f>
        <v>#N/A</v>
      </c>
      <c r="AT200" s="65" t="e">
        <f ca="1">IF(VLOOKUP(A200,Товары!B:B,1,FALSE)=A200,"Есть в 1С","ERR")</f>
        <v>#N/A</v>
      </c>
      <c r="AU200" s="96" t="e">
        <f ca="1">VLOOKUP(V200,Товары!A:B,2,FALSE)</f>
        <v>#N/A</v>
      </c>
      <c r="AV200" s="94" t="e">
        <f ca="1">VLOOKUP(V200,Товары!A:B,1,FALSE)</f>
        <v>#N/A</v>
      </c>
    </row>
    <row r="201" spans="1:48" x14ac:dyDescent="0.25">
      <c r="A201" s="110" t="str">
        <f t="shared" ca="1" si="27"/>
        <v>21-505-02</v>
      </c>
      <c r="B201" s="107" t="str">
        <f ca="1">_xlfn.LET(_xlpm.CAPS,0,_xlpm.Style,_xlfn.XLOOKUP($A201,Строчный!$A:$A,Строчный!B:B,"ERR",0),IF(_xlpm.CAPS=0,_xlpm.Style,LOWER(_xlpm.Style)))</f>
        <v>81702BH BERLE</v>
      </c>
      <c r="C201" s="81" t="str">
        <f ca="1">PROPER(_xlfn.XLOOKUP($A201,Строчный!$A:$A,Строчный!C:C,"ERR",0))</f>
        <v>Шляпы</v>
      </c>
      <c r="D201" s="81" t="str">
        <f ca="1">_xlfn.LET(_xlpm.DATA,(_xlfn.XLOOKUP($A201,Строчный!$A:$A,Строчный!D:D,"ERR",0)),UPPER(MID(_xlpm.DATA,1,1))&amp;LOWER(MID(_xlpm.DATA,2,LEN(_xlpm.DATA)-1)))</f>
        <v>Шляпа хомбург</v>
      </c>
      <c r="E201" s="81" t="str">
        <f ca="1">PROPER(_xlfn.XLOOKUP($A201,Строчный!$A:$A,Строчный!E:E,"ERR",0))</f>
        <v>The Hollywood</v>
      </c>
      <c r="F201" s="81" t="str">
        <f ca="1">LOWER(_xlfn.XLOOKUP($A201,Строчный!$A:$A,Строчный!F:F,"ERR",0))</f>
        <v>летний</v>
      </c>
      <c r="G201" s="81" t="str">
        <f ca="1">UPPER(_xlfn.XLOOKUP($A201,Строчный!$A:$A,Строчный!G:G,"ERR",0))</f>
        <v>BAILEY</v>
      </c>
      <c r="H201" s="81" t="str">
        <f ca="1">LOWER(_xlfn.XLOOKUP($A201,Строчный!$A:$A,Строчный!H:H,"ERR",0))</f>
        <v>natural</v>
      </c>
      <c r="I201" s="81" t="str">
        <f ca="1">LOWER(_xlfn.XLOOKUP($A201,Строчный!$A:$A,Строчный!I:I,"ERR",0))</f>
        <v>бежевый</v>
      </c>
      <c r="J201" s="81" t="str">
        <f ca="1">SUBSTITUTE(LOWER(_xlfn.XLOOKUP($A201,Строчный!$A:$A,Строчный!J:J,"ERR",0)),"подклад","Подклад")</f>
        <v>84% бумага - 12% полипропилен - 4% полиэстер</v>
      </c>
      <c r="K201" s="81" t="str">
        <f ca="1">LOWER(_xlfn.XLOOKUP($A201,Строчный!$A:$A,Строчный!K:K,"ERR",0))</f>
        <v>бумажные</v>
      </c>
      <c r="L201" s="81" t="str">
        <f ca="1">PROPER(_xlfn.XLOOKUP($A201,Строчный!$A:$A,Строчный!L:L,"ERR",0))</f>
        <v>Унисекс</v>
      </c>
      <c r="M201" s="113" t="str">
        <f ca="1">PROPER(_xlfn.XLOOKUP($A201,Строчный!$A:$A,Строчный!M:M,"ERR",0))</f>
        <v>Китай</v>
      </c>
      <c r="N201" s="81" t="str">
        <f ca="1">UPPER(_xlfn.XLOOKUP($A201,Строчный!$A:$A,Строчный!O:O,"ERR",0))</f>
        <v/>
      </c>
      <c r="O201" s="107" t="str">
        <f ca="1">PROPER(_xlfn.XLOOKUP($A201,Строчный!$A:$A,Строчный!P:P,"ERR",0))</f>
        <v/>
      </c>
      <c r="P201" s="90">
        <f ca="1">VALUE(_xlfn.XLOOKUP($A201,Строчный!$A:$A,Строчный!N:N,"ERR",0))</f>
        <v>2568.15</v>
      </c>
      <c r="Q201" s="89" t="str">
        <f ca="1">_xlfn.XLOOKUP($G201,Фабрика!A:A,Фабрика!B:B,"ERR",0)</f>
        <v>Bollman Headwear Europe Ltd; 2 Merchants drive, Caelisle, Cumbria CA3 0JW, United Kingdom</v>
      </c>
      <c r="R201" s="80" t="str">
        <f ca="1">_xlfn.XLOOKUP(RIGHT(Z201,2),Размеры!D:D,Размеры!A:A,"ERR",0)</f>
        <v>55</v>
      </c>
      <c r="S201" s="80">
        <f ca="1">VALUE(_xlfn.XLOOKUP($Z201,Строчный!$R:$R,Строчный!T:T,"ERR",0))</f>
        <v>2</v>
      </c>
      <c r="T201" s="14" t="s">
        <v>265</v>
      </c>
      <c r="U201" s="101" t="str">
        <f t="shared" ca="1" si="23"/>
        <v>Шляпа BAILEY арт. 81702BH BERLE (бежевый)</v>
      </c>
      <c r="V201" s="100" t="str">
        <f t="shared" ca="1" si="24"/>
        <v>Шляпа BAILEY арт. 81702BH BERLE (бежевый) {natural}</v>
      </c>
      <c r="W201" s="18" t="str">
        <f t="shared" ca="1" si="25"/>
        <v>бежевый</v>
      </c>
      <c r="X201" s="18" t="str">
        <f t="shared" ca="1" si="26"/>
        <v>бежевый</v>
      </c>
      <c r="Y201" s="117" t="str">
        <f ca="1">_xlfn.LET(_xlpm.FormColors,_xlfn.XLOOKUP(A201,Строчный!A:A,Строчный!Q:Q,"",0),IF(_xlpm.FormColors=0,IFERROR(MID(I201,FIND("-",I201)+1,LEN(I201)),IFERROR(MID(I201,1,FIND("/",I201)-2),I201)),_xlpm.FormColors))</f>
        <v>бежевый</v>
      </c>
      <c r="Z201" s="73" t="str">
        <f ca="1"/>
        <v>21-505-02-55</v>
      </c>
      <c r="AA201" s="75" t="str">
        <f ca="1">VLOOKUP(C201,Группа!A:B,2,FALSE)</f>
        <v>Шляпа</v>
      </c>
      <c r="AB201" s="97" t="str">
        <f ca="1">IFERROR(VLOOKUP(R201,Размеры!A:C,3,FALSE),"")</f>
        <v>55 S</v>
      </c>
      <c r="AC201" s="97" t="str">
        <f ca="1">VLOOKUP(I201,ЦветПолный!A:B,2,FALSE)</f>
        <v>02</v>
      </c>
      <c r="AD201" s="97" t="str">
        <f ca="1">IFERROR(VLOOKUP(R201,Размеры!A:D,4,FALSE),"")</f>
        <v>55</v>
      </c>
      <c r="AE201" s="97">
        <f ca="1">IF(LEFT(IFERROR(VLOOKUP(LOOKUP(2,1/SEARCH(B201,Товары!A:A),Товары!A:A),Товары!A:B,2,0),""),6)=MID(Z201,1,6),1,0)</f>
        <v>1</v>
      </c>
      <c r="AG201" s="97">
        <f ca="1">SUMIF(Группа!A:A,C201,Группа!C:C)</f>
        <v>1</v>
      </c>
      <c r="AH201" s="97">
        <f ca="1">SUMIF(Группа!B:B,AA201,Группа!C:C)</f>
        <v>1</v>
      </c>
      <c r="AI201" s="97">
        <f ca="1">SUMIF(Формы!A:A,D201,Формы!B:B)</f>
        <v>1</v>
      </c>
      <c r="AJ201" s="97">
        <f ca="1">SUMIF(Материал!A:A,K201,Материал!B:B)</f>
        <v>1</v>
      </c>
      <c r="AK201" s="97">
        <f ca="1">SUMIF(Размеры!A:A,R201,Размеры!E:E)</f>
        <v>1</v>
      </c>
      <c r="AL201" s="97">
        <f ca="1">SUMIF(Сезон!A:A,F201,Сезон!B:B)</f>
        <v>1</v>
      </c>
      <c r="AM201" s="97">
        <f ca="1">SUMIF(Состав!A:A,J201,Состав!B:B)</f>
        <v>1</v>
      </c>
      <c r="AN201" s="97">
        <f ca="1">VLOOKUP(I201,ЦветПолный!A:C,3,0)</f>
        <v>1</v>
      </c>
      <c r="AO201" s="97">
        <f ca="1">SUMIF(Цвет!A:A,Y201,Цвет!B:B)</f>
        <v>1</v>
      </c>
      <c r="AP201" s="97">
        <f ca="1">_xlfn.XLOOKUP(L201,Пол!A:A,Пол!B:B,0,0)</f>
        <v>1</v>
      </c>
      <c r="AQ201" s="97">
        <f ca="1">SUMIF(Марка!A:A,G201,Марка!B:B)</f>
        <v>1</v>
      </c>
      <c r="AR201" s="97">
        <f ca="1">SUMIF(Страна!A:A,M201,Страна!B:B)</f>
        <v>1</v>
      </c>
      <c r="AS201" s="64" t="e">
        <f ca="1">IF(VLOOKUP(V201,Товары!A:B,2,FALSE)=A201,"Есть в 1С","ERR")</f>
        <v>#N/A</v>
      </c>
      <c r="AT201" s="65" t="e">
        <f ca="1">IF(VLOOKUP(A201,Товары!B:B,1,FALSE)=A201,"Есть в 1С","ERR")</f>
        <v>#N/A</v>
      </c>
      <c r="AU201" s="96" t="e">
        <f ca="1">VLOOKUP(V201,Товары!A:B,2,FALSE)</f>
        <v>#N/A</v>
      </c>
      <c r="AV201" s="94" t="e">
        <f ca="1">VLOOKUP(V201,Товары!A:B,1,FALSE)</f>
        <v>#N/A</v>
      </c>
    </row>
    <row r="202" spans="1:48" x14ac:dyDescent="0.25">
      <c r="A202" s="110" t="str">
        <f t="shared" ca="1" si="27"/>
        <v>21-478-02</v>
      </c>
      <c r="B202" s="107" t="str">
        <f ca="1">_xlfn.LET(_xlpm.CAPS,0,_xlpm.Style,_xlfn.XLOOKUP($A202,Строчный!$A:$A,Строчный!B:B,"ERR",0),IF(_xlpm.CAPS=0,_xlpm.Style,LOWER(_xlpm.Style)))</f>
        <v>22776BH CUBAN</v>
      </c>
      <c r="C202" s="81" t="str">
        <f ca="1">PROPER(_xlfn.XLOOKUP($A202,Строчный!$A:$A,Строчный!C:C,"ERR",0))</f>
        <v>Шляпы</v>
      </c>
      <c r="D202" s="81" t="str">
        <f ca="1">_xlfn.LET(_xlpm.DATA,(_xlfn.XLOOKUP($A202,Строчный!$A:$A,Строчный!D:D,"ERR",0)),UPPER(MID(_xlpm.DATA,1,1))&amp;LOWER(MID(_xlpm.DATA,2,LEN(_xlpm.DATA)-1)))</f>
        <v>Шляпа федора</v>
      </c>
      <c r="E202" s="81" t="str">
        <f ca="1">PROPER(_xlfn.XLOOKUP($A202,Строчный!$A:$A,Строчный!E:E,"ERR",0))</f>
        <v>The Hollywood</v>
      </c>
      <c r="F202" s="81" t="str">
        <f ca="1">LOWER(_xlfn.XLOOKUP($A202,Строчный!$A:$A,Строчный!F:F,"ERR",0))</f>
        <v>летний</v>
      </c>
      <c r="G202" s="81" t="str">
        <f ca="1">UPPER(_xlfn.XLOOKUP($A202,Строчный!$A:$A,Строчный!G:G,"ERR",0))</f>
        <v>BAILEY</v>
      </c>
      <c r="H202" s="81" t="str">
        <f ca="1">LOWER(_xlfn.XLOOKUP($A202,Строчный!$A:$A,Строчный!H:H,"ERR",0))</f>
        <v>natural</v>
      </c>
      <c r="I202" s="81" t="str">
        <f ca="1">LOWER(_xlfn.XLOOKUP($A202,Строчный!$A:$A,Строчный!I:I,"ERR",0))</f>
        <v>бежевый</v>
      </c>
      <c r="J202" s="81" t="str">
        <f ca="1">SUBSTITUTE(LOWER(_xlfn.XLOOKUP($A202,Строчный!$A:$A,Строчный!J:J,"ERR",0)),"подклад","Подклад")</f>
        <v>100% солома токилья</v>
      </c>
      <c r="K202" s="81" t="str">
        <f ca="1">LOWER(_xlfn.XLOOKUP($A202,Строчный!$A:$A,Строчный!K:K,"ERR",0))</f>
        <v>соломенные</v>
      </c>
      <c r="L202" s="81" t="str">
        <f ca="1">PROPER(_xlfn.XLOOKUP($A202,Строчный!$A:$A,Строчный!L:L,"ERR",0))</f>
        <v>Унисекс</v>
      </c>
      <c r="M202" s="113" t="str">
        <f ca="1">PROPER(_xlfn.XLOOKUP($A202,Строчный!$A:$A,Строчный!M:M,"ERR",0))</f>
        <v>Соединенные Штаты</v>
      </c>
      <c r="N202" s="81" t="str">
        <f ca="1">UPPER(_xlfn.XLOOKUP($A202,Строчный!$A:$A,Строчный!O:O,"ERR",0))</f>
        <v/>
      </c>
      <c r="O202" s="107" t="str">
        <f ca="1">PROPER(_xlfn.XLOOKUP($A202,Строчный!$A:$A,Строчный!P:P,"ERR",0))</f>
        <v/>
      </c>
      <c r="P202" s="90">
        <f ca="1">VALUE(_xlfn.XLOOKUP($A202,Строчный!$A:$A,Строчный!N:N,"ERR",0))</f>
        <v>6171.75</v>
      </c>
      <c r="Q202" s="89" t="str">
        <f ca="1">_xlfn.XLOOKUP($G202,Фабрика!A:A,Фабрика!B:B,"ERR",0)</f>
        <v>Bollman Headwear Europe Ltd; 2 Merchants drive, Caelisle, Cumbria CA3 0JW, United Kingdom</v>
      </c>
      <c r="R202" s="80" t="str">
        <f ca="1">_xlfn.XLOOKUP(RIGHT(Z202,2),Размеры!D:D,Размеры!A:A,"ERR",0)</f>
        <v>59</v>
      </c>
      <c r="S202" s="80">
        <f ca="1">VALUE(_xlfn.XLOOKUP($Z202,Строчный!$R:$R,Строчный!T:T,"ERR",0))</f>
        <v>1</v>
      </c>
      <c r="T202" s="14" t="s">
        <v>265</v>
      </c>
      <c r="U202" s="101" t="str">
        <f t="shared" ca="1" si="23"/>
        <v>Шляпа BAILEY арт. 22776BH CUBAN (бежевый)</v>
      </c>
      <c r="V202" s="100" t="str">
        <f t="shared" ca="1" si="24"/>
        <v>Шляпа BAILEY арт. 22776BH CUBAN (бежевый) {natural}</v>
      </c>
      <c r="W202" s="18" t="str">
        <f t="shared" ca="1" si="25"/>
        <v>бежевый</v>
      </c>
      <c r="X202" s="18" t="str">
        <f t="shared" ca="1" si="26"/>
        <v>бежевый</v>
      </c>
      <c r="Y202" s="117" t="str">
        <f ca="1">_xlfn.LET(_xlpm.FormColors,_xlfn.XLOOKUP(A202,Строчный!A:A,Строчный!Q:Q,"",0),IF(_xlpm.FormColors=0,IFERROR(MID(I202,FIND("-",I202)+1,LEN(I202)),IFERROR(MID(I202,1,FIND("/",I202)-2),I202)),_xlpm.FormColors))</f>
        <v>бежевый</v>
      </c>
      <c r="Z202" s="73" t="str">
        <f ca="1"/>
        <v>21-478-02-59</v>
      </c>
      <c r="AA202" s="75" t="str">
        <f ca="1">VLOOKUP(C202,Группа!A:B,2,FALSE)</f>
        <v>Шляпа</v>
      </c>
      <c r="AB202" s="97" t="str">
        <f ca="1">IFERROR(VLOOKUP(R202,Размеры!A:C,3,FALSE),"")</f>
        <v>59 L</v>
      </c>
      <c r="AC202" s="97" t="str">
        <f ca="1">VLOOKUP(I202,ЦветПолный!A:B,2,FALSE)</f>
        <v>02</v>
      </c>
      <c r="AD202" s="97" t="str">
        <f ca="1">IFERROR(VLOOKUP(R202,Размеры!A:D,4,FALSE),"")</f>
        <v>59</v>
      </c>
      <c r="AE202" s="97">
        <f ca="1">IF(LEFT(IFERROR(VLOOKUP(LOOKUP(2,1/SEARCH(B202,Товары!A:A),Товары!A:A),Товары!A:B,2,0),""),6)=MID(Z202,1,6),1,0)</f>
        <v>1</v>
      </c>
      <c r="AG202" s="97">
        <f ca="1">SUMIF(Группа!A:A,C202,Группа!C:C)</f>
        <v>1</v>
      </c>
      <c r="AH202" s="97">
        <f ca="1">SUMIF(Группа!B:B,AA202,Группа!C:C)</f>
        <v>1</v>
      </c>
      <c r="AI202" s="97">
        <f ca="1">SUMIF(Формы!A:A,D202,Формы!B:B)</f>
        <v>1</v>
      </c>
      <c r="AJ202" s="97">
        <f ca="1">SUMIF(Материал!A:A,K202,Материал!B:B)</f>
        <v>1</v>
      </c>
      <c r="AK202" s="97">
        <f ca="1">SUMIF(Размеры!A:A,R202,Размеры!E:E)</f>
        <v>1</v>
      </c>
      <c r="AL202" s="97">
        <f ca="1">SUMIF(Сезон!A:A,F202,Сезон!B:B)</f>
        <v>1</v>
      </c>
      <c r="AM202" s="97">
        <f ca="1">SUMIF(Состав!A:A,J202,Состав!B:B)</f>
        <v>1</v>
      </c>
      <c r="AN202" s="97">
        <f ca="1">VLOOKUP(I202,ЦветПолный!A:C,3,0)</f>
        <v>1</v>
      </c>
      <c r="AO202" s="97">
        <f ca="1">SUMIF(Цвет!A:A,Y202,Цвет!B:B)</f>
        <v>1</v>
      </c>
      <c r="AP202" s="97">
        <f ca="1">_xlfn.XLOOKUP(L202,Пол!A:A,Пол!B:B,0,0)</f>
        <v>1</v>
      </c>
      <c r="AQ202" s="97">
        <f ca="1">SUMIF(Марка!A:A,G202,Марка!B:B)</f>
        <v>1</v>
      </c>
      <c r="AR202" s="97">
        <f ca="1">SUMIF(Страна!A:A,M202,Страна!B:B)</f>
        <v>1</v>
      </c>
      <c r="AS202" s="64" t="str">
        <f ca="1">IF(VLOOKUP(V202,Товары!A:B,2,FALSE)=A202,"Есть в 1С","ERR")</f>
        <v>Есть в 1С</v>
      </c>
      <c r="AT202" s="65" t="str">
        <f ca="1">IF(VLOOKUP(A202,Товары!B:B,1,FALSE)=A202,"Есть в 1С","ERR")</f>
        <v>Есть в 1С</v>
      </c>
      <c r="AU202" s="96" t="str">
        <f ca="1">VLOOKUP(V202,Товары!A:B,2,FALSE)</f>
        <v>21-478-02</v>
      </c>
      <c r="AV202" s="94" t="str">
        <f ca="1">VLOOKUP(V202,Товары!A:B,1,FALSE)</f>
        <v>Шляпа BAILEY арт. 22776BH CUBAN (бежевый) {natural}</v>
      </c>
    </row>
    <row r="203" spans="1:48" x14ac:dyDescent="0.25">
      <c r="A203" s="110" t="str">
        <f t="shared" ca="1" si="27"/>
        <v>21-478-02</v>
      </c>
      <c r="B203" s="107" t="str">
        <f ca="1">_xlfn.LET(_xlpm.CAPS,0,_xlpm.Style,_xlfn.XLOOKUP($A203,Строчный!$A:$A,Строчный!B:B,"ERR",0),IF(_xlpm.CAPS=0,_xlpm.Style,LOWER(_xlpm.Style)))</f>
        <v>22776BH CUBAN</v>
      </c>
      <c r="C203" s="81" t="str">
        <f ca="1">PROPER(_xlfn.XLOOKUP($A203,Строчный!$A:$A,Строчный!C:C,"ERR",0))</f>
        <v>Шляпы</v>
      </c>
      <c r="D203" s="81" t="str">
        <f ca="1">_xlfn.LET(_xlpm.DATA,(_xlfn.XLOOKUP($A203,Строчный!$A:$A,Строчный!D:D,"ERR",0)),UPPER(MID(_xlpm.DATA,1,1))&amp;LOWER(MID(_xlpm.DATA,2,LEN(_xlpm.DATA)-1)))</f>
        <v>Шляпа федора</v>
      </c>
      <c r="E203" s="81" t="str">
        <f ca="1">PROPER(_xlfn.XLOOKUP($A203,Строчный!$A:$A,Строчный!E:E,"ERR",0))</f>
        <v>The Hollywood</v>
      </c>
      <c r="F203" s="81" t="str">
        <f ca="1">LOWER(_xlfn.XLOOKUP($A203,Строчный!$A:$A,Строчный!F:F,"ERR",0))</f>
        <v>летний</v>
      </c>
      <c r="G203" s="81" t="str">
        <f ca="1">UPPER(_xlfn.XLOOKUP($A203,Строчный!$A:$A,Строчный!G:G,"ERR",0))</f>
        <v>BAILEY</v>
      </c>
      <c r="H203" s="81" t="str">
        <f ca="1">LOWER(_xlfn.XLOOKUP($A203,Строчный!$A:$A,Строчный!H:H,"ERR",0))</f>
        <v>natural</v>
      </c>
      <c r="I203" s="81" t="str">
        <f ca="1">LOWER(_xlfn.XLOOKUP($A203,Строчный!$A:$A,Строчный!I:I,"ERR",0))</f>
        <v>бежевый</v>
      </c>
      <c r="J203" s="81" t="str">
        <f ca="1">SUBSTITUTE(LOWER(_xlfn.XLOOKUP($A203,Строчный!$A:$A,Строчный!J:J,"ERR",0)),"подклад","Подклад")</f>
        <v>100% солома токилья</v>
      </c>
      <c r="K203" s="81" t="str">
        <f ca="1">LOWER(_xlfn.XLOOKUP($A203,Строчный!$A:$A,Строчный!K:K,"ERR",0))</f>
        <v>соломенные</v>
      </c>
      <c r="L203" s="81" t="str">
        <f ca="1">PROPER(_xlfn.XLOOKUP($A203,Строчный!$A:$A,Строчный!L:L,"ERR",0))</f>
        <v>Унисекс</v>
      </c>
      <c r="M203" s="113" t="str">
        <f ca="1">PROPER(_xlfn.XLOOKUP($A203,Строчный!$A:$A,Строчный!M:M,"ERR",0))</f>
        <v>Соединенные Штаты</v>
      </c>
      <c r="N203" s="81" t="str">
        <f ca="1">UPPER(_xlfn.XLOOKUP($A203,Строчный!$A:$A,Строчный!O:O,"ERR",0))</f>
        <v/>
      </c>
      <c r="O203" s="107" t="str">
        <f ca="1">PROPER(_xlfn.XLOOKUP($A203,Строчный!$A:$A,Строчный!P:P,"ERR",0))</f>
        <v/>
      </c>
      <c r="P203" s="90">
        <f ca="1">VALUE(_xlfn.XLOOKUP($A203,Строчный!$A:$A,Строчный!N:N,"ERR",0))</f>
        <v>6171.75</v>
      </c>
      <c r="Q203" s="89" t="str">
        <f ca="1">_xlfn.XLOOKUP($G203,Фабрика!A:A,Фабрика!B:B,"ERR",0)</f>
        <v>Bollman Headwear Europe Ltd; 2 Merchants drive, Caelisle, Cumbria CA3 0JW, United Kingdom</v>
      </c>
      <c r="R203" s="80" t="str">
        <f ca="1">_xlfn.XLOOKUP(RIGHT(Z203,2),Размеры!D:D,Размеры!A:A,"ERR",0)</f>
        <v>57</v>
      </c>
      <c r="S203" s="80">
        <f ca="1">VALUE(_xlfn.XLOOKUP($Z203,Строчный!$R:$R,Строчный!T:T,"ERR",0))</f>
        <v>1</v>
      </c>
      <c r="T203" s="14" t="s">
        <v>265</v>
      </c>
      <c r="U203" s="101" t="str">
        <f t="shared" ca="1" si="23"/>
        <v>Шляпа BAILEY арт. 22776BH CUBAN (бежевый)</v>
      </c>
      <c r="V203" s="100" t="str">
        <f t="shared" ca="1" si="24"/>
        <v>Шляпа BAILEY арт. 22776BH CUBAN (бежевый) {natural}</v>
      </c>
      <c r="W203" s="18" t="str">
        <f t="shared" ca="1" si="25"/>
        <v>бежевый</v>
      </c>
      <c r="X203" s="18" t="str">
        <f t="shared" ca="1" si="26"/>
        <v>бежевый</v>
      </c>
      <c r="Y203" s="117" t="str">
        <f ca="1">_xlfn.LET(_xlpm.FormColors,_xlfn.XLOOKUP(A203,Строчный!A:A,Строчный!Q:Q,"",0),IF(_xlpm.FormColors=0,IFERROR(MID(I203,FIND("-",I203)+1,LEN(I203)),IFERROR(MID(I203,1,FIND("/",I203)-2),I203)),_xlpm.FormColors))</f>
        <v>бежевый</v>
      </c>
      <c r="Z203" s="73" t="str">
        <f ca="1"/>
        <v>21-478-02-57</v>
      </c>
      <c r="AA203" s="75" t="str">
        <f ca="1">VLOOKUP(C203,Группа!A:B,2,FALSE)</f>
        <v>Шляпа</v>
      </c>
      <c r="AB203" s="97" t="str">
        <f ca="1">IFERROR(VLOOKUP(R203,Размеры!A:C,3,FALSE),"")</f>
        <v>57 M</v>
      </c>
      <c r="AC203" s="97" t="str">
        <f ca="1">VLOOKUP(I203,ЦветПолный!A:B,2,FALSE)</f>
        <v>02</v>
      </c>
      <c r="AD203" s="97" t="str">
        <f ca="1">IFERROR(VLOOKUP(R203,Размеры!A:D,4,FALSE),"")</f>
        <v>57</v>
      </c>
      <c r="AE203" s="97">
        <f ca="1">IF(LEFT(IFERROR(VLOOKUP(LOOKUP(2,1/SEARCH(B203,Товары!A:A),Товары!A:A),Товары!A:B,2,0),""),6)=MID(Z203,1,6),1,0)</f>
        <v>1</v>
      </c>
      <c r="AG203" s="97">
        <f ca="1">SUMIF(Группа!A:A,C203,Группа!C:C)</f>
        <v>1</v>
      </c>
      <c r="AH203" s="97">
        <f ca="1">SUMIF(Группа!B:B,AA203,Группа!C:C)</f>
        <v>1</v>
      </c>
      <c r="AI203" s="97">
        <f ca="1">SUMIF(Формы!A:A,D203,Формы!B:B)</f>
        <v>1</v>
      </c>
      <c r="AJ203" s="97">
        <f ca="1">SUMIF(Материал!A:A,K203,Материал!B:B)</f>
        <v>1</v>
      </c>
      <c r="AK203" s="97">
        <f ca="1">SUMIF(Размеры!A:A,R203,Размеры!E:E)</f>
        <v>1</v>
      </c>
      <c r="AL203" s="97">
        <f ca="1">SUMIF(Сезон!A:A,F203,Сезон!B:B)</f>
        <v>1</v>
      </c>
      <c r="AM203" s="97">
        <f ca="1">SUMIF(Состав!A:A,J203,Состав!B:B)</f>
        <v>1</v>
      </c>
      <c r="AN203" s="97">
        <f ca="1">VLOOKUP(I203,ЦветПолный!A:C,3,0)</f>
        <v>1</v>
      </c>
      <c r="AO203" s="97">
        <f ca="1">SUMIF(Цвет!A:A,Y203,Цвет!B:B)</f>
        <v>1</v>
      </c>
      <c r="AP203" s="97">
        <f ca="1">_xlfn.XLOOKUP(L203,Пол!A:A,Пол!B:B,0,0)</f>
        <v>1</v>
      </c>
      <c r="AQ203" s="97">
        <f ca="1">SUMIF(Марка!A:A,G203,Марка!B:B)</f>
        <v>1</v>
      </c>
      <c r="AR203" s="97">
        <f ca="1">SUMIF(Страна!A:A,M203,Страна!B:B)</f>
        <v>1</v>
      </c>
      <c r="AS203" s="64" t="str">
        <f ca="1">IF(VLOOKUP(V203,Товары!A:B,2,FALSE)=A203,"Есть в 1С","ERR")</f>
        <v>Есть в 1С</v>
      </c>
      <c r="AT203" s="65" t="str">
        <f ca="1">IF(VLOOKUP(A203,Товары!B:B,1,FALSE)=A203,"Есть в 1С","ERR")</f>
        <v>Есть в 1С</v>
      </c>
      <c r="AU203" s="96" t="str">
        <f ca="1">VLOOKUP(V203,Товары!A:B,2,FALSE)</f>
        <v>21-478-02</v>
      </c>
      <c r="AV203" s="94" t="str">
        <f ca="1">VLOOKUP(V203,Товары!A:B,1,FALSE)</f>
        <v>Шляпа BAILEY арт. 22776BH CUBAN (бежевый) {natural}</v>
      </c>
    </row>
    <row r="204" spans="1:48" x14ac:dyDescent="0.25">
      <c r="A204" s="110" t="str">
        <f t="shared" ca="1" si="27"/>
        <v>21-469-02</v>
      </c>
      <c r="B204" s="107" t="str">
        <f ca="1">_xlfn.LET(_xlpm.CAPS,0,_xlpm.Style,_xlfn.XLOOKUP($A204,Строчный!$A:$A,Строчный!B:B,"ERR",0),IF(_xlpm.CAPS=0,_xlpm.Style,LOWER(_xlpm.Style)))</f>
        <v>90109BH KETER</v>
      </c>
      <c r="C204" s="81" t="str">
        <f ca="1">PROPER(_xlfn.XLOOKUP($A204,Строчный!$A:$A,Строчный!C:C,"ERR",0))</f>
        <v>Кепки</v>
      </c>
      <c r="D204" s="81" t="str">
        <f ca="1">_xlfn.LET(_xlpm.DATA,(_xlfn.XLOOKUP($A204,Строчный!$A:$A,Строчный!D:D,"ERR",0)),UPPER(MID(_xlpm.DATA,1,1))&amp;LOWER(MID(_xlpm.DATA,2,LEN(_xlpm.DATA)-1)))</f>
        <v>Кепка плоская</v>
      </c>
      <c r="E204" s="81" t="str">
        <f ca="1">PROPER(_xlfn.XLOOKUP($A204,Строчный!$A:$A,Строчный!E:E,"ERR",0))</f>
        <v>The Hollywood</v>
      </c>
      <c r="F204" s="81" t="str">
        <f ca="1">LOWER(_xlfn.XLOOKUP($A204,Строчный!$A:$A,Строчный!F:F,"ERR",0))</f>
        <v>летний</v>
      </c>
      <c r="G204" s="81" t="str">
        <f ca="1">UPPER(_xlfn.XLOOKUP($A204,Строчный!$A:$A,Строчный!G:G,"ERR",0))</f>
        <v>BAILEY</v>
      </c>
      <c r="H204" s="81" t="str">
        <f ca="1">LOWER(_xlfn.XLOOKUP($A204,Строчный!$A:$A,Строчный!H:H,"ERR",0))</f>
        <v>beige</v>
      </c>
      <c r="I204" s="81" t="str">
        <f ca="1">LOWER(_xlfn.XLOOKUP($A204,Строчный!$A:$A,Строчный!I:I,"ERR",0))</f>
        <v>бежевый</v>
      </c>
      <c r="J204" s="81" t="str">
        <f ca="1">SUBSTITUTE(LOWER(_xlfn.XLOOKUP($A204,Строчный!$A:$A,Строчный!J:J,"ERR",0)),"подклад","Подклад")</f>
        <v>100% хлопок / Подклад: 100% полиэстер</v>
      </c>
      <c r="K204" s="81" t="str">
        <f ca="1">LOWER(_xlfn.XLOOKUP($A204,Строчный!$A:$A,Строчный!K:K,"ERR",0))</f>
        <v>хлопковые</v>
      </c>
      <c r="L204" s="81" t="str">
        <f ca="1">PROPER(_xlfn.XLOOKUP($A204,Строчный!$A:$A,Строчный!L:L,"ERR",0))</f>
        <v>Унисекс</v>
      </c>
      <c r="M204" s="113" t="str">
        <f ca="1">PROPER(_xlfn.XLOOKUP($A204,Строчный!$A:$A,Строчный!M:M,"ERR",0))</f>
        <v>Китай</v>
      </c>
      <c r="N204" s="81" t="str">
        <f ca="1">UPPER(_xlfn.XLOOKUP($A204,Строчный!$A:$A,Строчный!O:O,"ERR",0))</f>
        <v/>
      </c>
      <c r="O204" s="107" t="str">
        <f ca="1">PROPER(_xlfn.XLOOKUP($A204,Строчный!$A:$A,Строчный!P:P,"ERR",0))</f>
        <v/>
      </c>
      <c r="P204" s="90">
        <f ca="1">VALUE(_xlfn.XLOOKUP($A204,Строчный!$A:$A,Строчный!N:N,"ERR",0))</f>
        <v>1737.45</v>
      </c>
      <c r="Q204" s="89" t="str">
        <f ca="1">_xlfn.XLOOKUP($G204,Фабрика!A:A,Фабрика!B:B,"ERR",0)</f>
        <v>Bollman Headwear Europe Ltd; 2 Merchants drive, Caelisle, Cumbria CA3 0JW, United Kingdom</v>
      </c>
      <c r="R204" s="80" t="str">
        <f ca="1">_xlfn.XLOOKUP(RIGHT(Z204,2),Размеры!D:D,Размеры!A:A,"ERR",0)</f>
        <v>61</v>
      </c>
      <c r="S204" s="80">
        <f ca="1">VALUE(_xlfn.XLOOKUP($Z204,Строчный!$R:$R,Строчный!T:T,"ERR",0))</f>
        <v>4</v>
      </c>
      <c r="T204" s="14" t="s">
        <v>265</v>
      </c>
      <c r="U204" s="101" t="str">
        <f t="shared" ca="1" si="23"/>
        <v>Кепка BAILEY арт. 90109BH KETER (бежевый)</v>
      </c>
      <c r="V204" s="100" t="str">
        <f t="shared" ca="1" si="24"/>
        <v>Кепка BAILEY арт. 90109BH KETER (бежевый) {beige}</v>
      </c>
      <c r="W204" s="18" t="str">
        <f t="shared" ca="1" si="25"/>
        <v>бежевый</v>
      </c>
      <c r="X204" s="18" t="str">
        <f t="shared" ca="1" si="26"/>
        <v>бежевый</v>
      </c>
      <c r="Y204" s="117" t="str">
        <f ca="1">_xlfn.LET(_xlpm.FormColors,_xlfn.XLOOKUP(A204,Строчный!A:A,Строчный!Q:Q,"",0),IF(_xlpm.FormColors=0,IFERROR(MID(I204,FIND("-",I204)+1,LEN(I204)),IFERROR(MID(I204,1,FIND("/",I204)-2),I204)),_xlpm.FormColors))</f>
        <v>бежевый</v>
      </c>
      <c r="Z204" s="73" t="str">
        <f ca="1"/>
        <v>21-469-02-61</v>
      </c>
      <c r="AA204" s="75" t="str">
        <f ca="1">VLOOKUP(C204,Группа!A:B,2,FALSE)</f>
        <v>Кепка</v>
      </c>
      <c r="AB204" s="97" t="str">
        <f ca="1">IFERROR(VLOOKUP(R204,Размеры!A:C,3,FALSE),"")</f>
        <v>61 XL</v>
      </c>
      <c r="AC204" s="97" t="str">
        <f ca="1">VLOOKUP(I204,ЦветПолный!A:B,2,FALSE)</f>
        <v>02</v>
      </c>
      <c r="AD204" s="97" t="str">
        <f ca="1">IFERROR(VLOOKUP(R204,Размеры!A:D,4,FALSE),"")</f>
        <v>61</v>
      </c>
      <c r="AE204" s="97">
        <f ca="1">IF(LEFT(IFERROR(VLOOKUP(LOOKUP(2,1/SEARCH(B204,Товары!A:A),Товары!A:A),Товары!A:B,2,0),""),6)=MID(Z204,1,6),1,0)</f>
        <v>1</v>
      </c>
      <c r="AG204" s="97">
        <f ca="1">SUMIF(Группа!A:A,C204,Группа!C:C)</f>
        <v>1</v>
      </c>
      <c r="AH204" s="97">
        <f ca="1">SUMIF(Группа!B:B,AA204,Группа!C:C)</f>
        <v>1</v>
      </c>
      <c r="AI204" s="97">
        <f ca="1">SUMIF(Формы!A:A,D204,Формы!B:B)</f>
        <v>1</v>
      </c>
      <c r="AJ204" s="97">
        <f ca="1">SUMIF(Материал!A:A,K204,Материал!B:B)</f>
        <v>1</v>
      </c>
      <c r="AK204" s="97">
        <f ca="1">SUMIF(Размеры!A:A,R204,Размеры!E:E)</f>
        <v>1</v>
      </c>
      <c r="AL204" s="97">
        <f ca="1">SUMIF(Сезон!A:A,F204,Сезон!B:B)</f>
        <v>1</v>
      </c>
      <c r="AM204" s="97">
        <f ca="1">SUMIF(Состав!A:A,J204,Состав!B:B)</f>
        <v>0</v>
      </c>
      <c r="AN204" s="97">
        <f ca="1">VLOOKUP(I204,ЦветПолный!A:C,3,0)</f>
        <v>1</v>
      </c>
      <c r="AO204" s="97">
        <f ca="1">SUMIF(Цвет!A:A,Y204,Цвет!B:B)</f>
        <v>1</v>
      </c>
      <c r="AP204" s="97">
        <f ca="1">_xlfn.XLOOKUP(L204,Пол!A:A,Пол!B:B,0,0)</f>
        <v>1</v>
      </c>
      <c r="AQ204" s="97">
        <f ca="1">SUMIF(Марка!A:A,G204,Марка!B:B)</f>
        <v>1</v>
      </c>
      <c r="AR204" s="97">
        <f ca="1">SUMIF(Страна!A:A,M204,Страна!B:B)</f>
        <v>1</v>
      </c>
      <c r="AS204" s="64" t="str">
        <f ca="1">IF(VLOOKUP(V204,Товары!A:B,2,FALSE)=A204,"Есть в 1С","ERR")</f>
        <v>Есть в 1С</v>
      </c>
      <c r="AT204" s="65" t="str">
        <f ca="1">IF(VLOOKUP(A204,Товары!B:B,1,FALSE)=A204,"Есть в 1С","ERR")</f>
        <v>Есть в 1С</v>
      </c>
      <c r="AU204" s="96" t="str">
        <f ca="1">VLOOKUP(V204,Товары!A:B,2,FALSE)</f>
        <v>21-469-02</v>
      </c>
      <c r="AV204" s="94" t="str">
        <f ca="1">VLOOKUP(V204,Товары!A:B,1,FALSE)</f>
        <v>Кепка BAILEY арт. 90109BH KETER (бежевый) {beige}</v>
      </c>
    </row>
    <row r="205" spans="1:48" x14ac:dyDescent="0.25">
      <c r="A205" s="110" t="str">
        <f t="shared" ca="1" si="27"/>
        <v>21-469-02</v>
      </c>
      <c r="B205" s="107" t="str">
        <f ca="1">_xlfn.LET(_xlpm.CAPS,0,_xlpm.Style,_xlfn.XLOOKUP($A205,Строчный!$A:$A,Строчный!B:B,"ERR",0),IF(_xlpm.CAPS=0,_xlpm.Style,LOWER(_xlpm.Style)))</f>
        <v>90109BH KETER</v>
      </c>
      <c r="C205" s="81" t="str">
        <f ca="1">PROPER(_xlfn.XLOOKUP($A205,Строчный!$A:$A,Строчный!C:C,"ERR",0))</f>
        <v>Кепки</v>
      </c>
      <c r="D205" s="81" t="str">
        <f ca="1">_xlfn.LET(_xlpm.DATA,(_xlfn.XLOOKUP($A205,Строчный!$A:$A,Строчный!D:D,"ERR",0)),UPPER(MID(_xlpm.DATA,1,1))&amp;LOWER(MID(_xlpm.DATA,2,LEN(_xlpm.DATA)-1)))</f>
        <v>Кепка плоская</v>
      </c>
      <c r="E205" s="81" t="str">
        <f ca="1">PROPER(_xlfn.XLOOKUP($A205,Строчный!$A:$A,Строчный!E:E,"ERR",0))</f>
        <v>The Hollywood</v>
      </c>
      <c r="F205" s="81" t="str">
        <f ca="1">LOWER(_xlfn.XLOOKUP($A205,Строчный!$A:$A,Строчный!F:F,"ERR",0))</f>
        <v>летний</v>
      </c>
      <c r="G205" s="81" t="str">
        <f ca="1">UPPER(_xlfn.XLOOKUP($A205,Строчный!$A:$A,Строчный!G:G,"ERR",0))</f>
        <v>BAILEY</v>
      </c>
      <c r="H205" s="81" t="str">
        <f ca="1">LOWER(_xlfn.XLOOKUP($A205,Строчный!$A:$A,Строчный!H:H,"ERR",0))</f>
        <v>beige</v>
      </c>
      <c r="I205" s="81" t="str">
        <f ca="1">LOWER(_xlfn.XLOOKUP($A205,Строчный!$A:$A,Строчный!I:I,"ERR",0))</f>
        <v>бежевый</v>
      </c>
      <c r="J205" s="81" t="str">
        <f ca="1">SUBSTITUTE(LOWER(_xlfn.XLOOKUP($A205,Строчный!$A:$A,Строчный!J:J,"ERR",0)),"подклад","Подклад")</f>
        <v>100% хлопок / Подклад: 100% полиэстер</v>
      </c>
      <c r="K205" s="81" t="str">
        <f ca="1">LOWER(_xlfn.XLOOKUP($A205,Строчный!$A:$A,Строчный!K:K,"ERR",0))</f>
        <v>хлопковые</v>
      </c>
      <c r="L205" s="81" t="str">
        <f ca="1">PROPER(_xlfn.XLOOKUP($A205,Строчный!$A:$A,Строчный!L:L,"ERR",0))</f>
        <v>Унисекс</v>
      </c>
      <c r="M205" s="113" t="str">
        <f ca="1">PROPER(_xlfn.XLOOKUP($A205,Строчный!$A:$A,Строчный!M:M,"ERR",0))</f>
        <v>Китай</v>
      </c>
      <c r="N205" s="81" t="str">
        <f ca="1">UPPER(_xlfn.XLOOKUP($A205,Строчный!$A:$A,Строчный!O:O,"ERR",0))</f>
        <v/>
      </c>
      <c r="O205" s="107" t="str">
        <f ca="1">PROPER(_xlfn.XLOOKUP($A205,Строчный!$A:$A,Строчный!P:P,"ERR",0))</f>
        <v/>
      </c>
      <c r="P205" s="90">
        <f ca="1">VALUE(_xlfn.XLOOKUP($A205,Строчный!$A:$A,Строчный!N:N,"ERR",0))</f>
        <v>1737.45</v>
      </c>
      <c r="Q205" s="89" t="str">
        <f ca="1">_xlfn.XLOOKUP($G205,Фабрика!A:A,Фабрика!B:B,"ERR",0)</f>
        <v>Bollman Headwear Europe Ltd; 2 Merchants drive, Caelisle, Cumbria CA3 0JW, United Kingdom</v>
      </c>
      <c r="R205" s="80" t="str">
        <f ca="1">_xlfn.XLOOKUP(RIGHT(Z205,2),Размеры!D:D,Размеры!A:A,"ERR",0)</f>
        <v>59</v>
      </c>
      <c r="S205" s="80">
        <f ca="1">VALUE(_xlfn.XLOOKUP($Z205,Строчный!$R:$R,Строчный!T:T,"ERR",0))</f>
        <v>8</v>
      </c>
      <c r="T205" s="14" t="s">
        <v>265</v>
      </c>
      <c r="U205" s="101" t="str">
        <f t="shared" ca="1" si="23"/>
        <v>Кепка BAILEY арт. 90109BH KETER (бежевый)</v>
      </c>
      <c r="V205" s="100" t="str">
        <f t="shared" ca="1" si="24"/>
        <v>Кепка BAILEY арт. 90109BH KETER (бежевый) {beige}</v>
      </c>
      <c r="W205" s="18" t="str">
        <f t="shared" ca="1" si="25"/>
        <v>бежевый</v>
      </c>
      <c r="X205" s="18" t="str">
        <f t="shared" ca="1" si="26"/>
        <v>бежевый</v>
      </c>
      <c r="Y205" s="117" t="str">
        <f ca="1">_xlfn.LET(_xlpm.FormColors,_xlfn.XLOOKUP(A205,Строчный!A:A,Строчный!Q:Q,"",0),IF(_xlpm.FormColors=0,IFERROR(MID(I205,FIND("-",I205)+1,LEN(I205)),IFERROR(MID(I205,1,FIND("/",I205)-2),I205)),_xlpm.FormColors))</f>
        <v>бежевый</v>
      </c>
      <c r="Z205" s="73" t="str">
        <f ca="1"/>
        <v>21-469-02-59</v>
      </c>
      <c r="AA205" s="75" t="str">
        <f ca="1">VLOOKUP(C205,Группа!A:B,2,FALSE)</f>
        <v>Кепка</v>
      </c>
      <c r="AB205" s="97" t="str">
        <f ca="1">IFERROR(VLOOKUP(R205,Размеры!A:C,3,FALSE),"")</f>
        <v>59 L</v>
      </c>
      <c r="AC205" s="97" t="str">
        <f ca="1">VLOOKUP(I205,ЦветПолный!A:B,2,FALSE)</f>
        <v>02</v>
      </c>
      <c r="AD205" s="97" t="str">
        <f ca="1">IFERROR(VLOOKUP(R205,Размеры!A:D,4,FALSE),"")</f>
        <v>59</v>
      </c>
      <c r="AE205" s="97">
        <f ca="1">IF(LEFT(IFERROR(VLOOKUP(LOOKUP(2,1/SEARCH(B205,Товары!A:A),Товары!A:A),Товары!A:B,2,0),""),6)=MID(Z205,1,6),1,0)</f>
        <v>1</v>
      </c>
      <c r="AG205" s="97">
        <f ca="1">SUMIF(Группа!A:A,C205,Группа!C:C)</f>
        <v>1</v>
      </c>
      <c r="AH205" s="97">
        <f ca="1">SUMIF(Группа!B:B,AA205,Группа!C:C)</f>
        <v>1</v>
      </c>
      <c r="AI205" s="97">
        <f ca="1">SUMIF(Формы!A:A,D205,Формы!B:B)</f>
        <v>1</v>
      </c>
      <c r="AJ205" s="97">
        <f ca="1">SUMIF(Материал!A:A,K205,Материал!B:B)</f>
        <v>1</v>
      </c>
      <c r="AK205" s="97">
        <f ca="1">SUMIF(Размеры!A:A,R205,Размеры!E:E)</f>
        <v>1</v>
      </c>
      <c r="AL205" s="97">
        <f ca="1">SUMIF(Сезон!A:A,F205,Сезон!B:B)</f>
        <v>1</v>
      </c>
      <c r="AM205" s="97">
        <f ca="1">SUMIF(Состав!A:A,J205,Состав!B:B)</f>
        <v>0</v>
      </c>
      <c r="AN205" s="97">
        <f ca="1">VLOOKUP(I205,ЦветПолный!A:C,3,0)</f>
        <v>1</v>
      </c>
      <c r="AO205" s="97">
        <f ca="1">SUMIF(Цвет!A:A,Y205,Цвет!B:B)</f>
        <v>1</v>
      </c>
      <c r="AP205" s="97">
        <f ca="1">_xlfn.XLOOKUP(L205,Пол!A:A,Пол!B:B,0,0)</f>
        <v>1</v>
      </c>
      <c r="AQ205" s="97">
        <f ca="1">SUMIF(Марка!A:A,G205,Марка!B:B)</f>
        <v>1</v>
      </c>
      <c r="AR205" s="97">
        <f ca="1">SUMIF(Страна!A:A,M205,Страна!B:B)</f>
        <v>1</v>
      </c>
      <c r="AS205" s="64" t="str">
        <f ca="1">IF(VLOOKUP(V205,Товары!A:B,2,FALSE)=A205,"Есть в 1С","ERR")</f>
        <v>Есть в 1С</v>
      </c>
      <c r="AT205" s="65" t="str">
        <f ca="1">IF(VLOOKUP(A205,Товары!B:B,1,FALSE)=A205,"Есть в 1С","ERR")</f>
        <v>Есть в 1С</v>
      </c>
      <c r="AU205" s="96" t="str">
        <f ca="1">VLOOKUP(V205,Товары!A:B,2,FALSE)</f>
        <v>21-469-02</v>
      </c>
      <c r="AV205" s="94" t="str">
        <f ca="1">VLOOKUP(V205,Товары!A:B,1,FALSE)</f>
        <v>Кепка BAILEY арт. 90109BH KETER (бежевый) {beige}</v>
      </c>
    </row>
    <row r="206" spans="1:48" x14ac:dyDescent="0.25">
      <c r="A206" s="110" t="str">
        <f t="shared" ca="1" si="27"/>
        <v>21-469-02</v>
      </c>
      <c r="B206" s="107" t="str">
        <f ca="1">_xlfn.LET(_xlpm.CAPS,0,_xlpm.Style,_xlfn.XLOOKUP($A206,Строчный!$A:$A,Строчный!B:B,"ERR",0),IF(_xlpm.CAPS=0,_xlpm.Style,LOWER(_xlpm.Style)))</f>
        <v>90109BH KETER</v>
      </c>
      <c r="C206" s="81" t="str">
        <f ca="1">PROPER(_xlfn.XLOOKUP($A206,Строчный!$A:$A,Строчный!C:C,"ERR",0))</f>
        <v>Кепки</v>
      </c>
      <c r="D206" s="81" t="str">
        <f ca="1">_xlfn.LET(_xlpm.DATA,(_xlfn.XLOOKUP($A206,Строчный!$A:$A,Строчный!D:D,"ERR",0)),UPPER(MID(_xlpm.DATA,1,1))&amp;LOWER(MID(_xlpm.DATA,2,LEN(_xlpm.DATA)-1)))</f>
        <v>Кепка плоская</v>
      </c>
      <c r="E206" s="81" t="str">
        <f ca="1">PROPER(_xlfn.XLOOKUP($A206,Строчный!$A:$A,Строчный!E:E,"ERR",0))</f>
        <v>The Hollywood</v>
      </c>
      <c r="F206" s="81" t="str">
        <f ca="1">LOWER(_xlfn.XLOOKUP($A206,Строчный!$A:$A,Строчный!F:F,"ERR",0))</f>
        <v>летний</v>
      </c>
      <c r="G206" s="81" t="str">
        <f ca="1">UPPER(_xlfn.XLOOKUP($A206,Строчный!$A:$A,Строчный!G:G,"ERR",0))</f>
        <v>BAILEY</v>
      </c>
      <c r="H206" s="81" t="str">
        <f ca="1">LOWER(_xlfn.XLOOKUP($A206,Строчный!$A:$A,Строчный!H:H,"ERR",0))</f>
        <v>beige</v>
      </c>
      <c r="I206" s="81" t="str">
        <f ca="1">LOWER(_xlfn.XLOOKUP($A206,Строчный!$A:$A,Строчный!I:I,"ERR",0))</f>
        <v>бежевый</v>
      </c>
      <c r="J206" s="81" t="str">
        <f ca="1">SUBSTITUTE(LOWER(_xlfn.XLOOKUP($A206,Строчный!$A:$A,Строчный!J:J,"ERR",0)),"подклад","Подклад")</f>
        <v>100% хлопок / Подклад: 100% полиэстер</v>
      </c>
      <c r="K206" s="81" t="str">
        <f ca="1">LOWER(_xlfn.XLOOKUP($A206,Строчный!$A:$A,Строчный!K:K,"ERR",0))</f>
        <v>хлопковые</v>
      </c>
      <c r="L206" s="81" t="str">
        <f ca="1">PROPER(_xlfn.XLOOKUP($A206,Строчный!$A:$A,Строчный!L:L,"ERR",0))</f>
        <v>Унисекс</v>
      </c>
      <c r="M206" s="113" t="str">
        <f ca="1">PROPER(_xlfn.XLOOKUP($A206,Строчный!$A:$A,Строчный!M:M,"ERR",0))</f>
        <v>Китай</v>
      </c>
      <c r="N206" s="81" t="str">
        <f ca="1">UPPER(_xlfn.XLOOKUP($A206,Строчный!$A:$A,Строчный!O:O,"ERR",0))</f>
        <v/>
      </c>
      <c r="O206" s="107" t="str">
        <f ca="1">PROPER(_xlfn.XLOOKUP($A206,Строчный!$A:$A,Строчный!P:P,"ERR",0))</f>
        <v/>
      </c>
      <c r="P206" s="90">
        <f ca="1">VALUE(_xlfn.XLOOKUP($A206,Строчный!$A:$A,Строчный!N:N,"ERR",0))</f>
        <v>1737.45</v>
      </c>
      <c r="Q206" s="89" t="str">
        <f ca="1">_xlfn.XLOOKUP($G206,Фабрика!A:A,Фабрика!B:B,"ERR",0)</f>
        <v>Bollman Headwear Europe Ltd; 2 Merchants drive, Caelisle, Cumbria CA3 0JW, United Kingdom</v>
      </c>
      <c r="R206" s="80" t="str">
        <f ca="1">_xlfn.XLOOKUP(RIGHT(Z206,2),Размеры!D:D,Размеры!A:A,"ERR",0)</f>
        <v>57</v>
      </c>
      <c r="S206" s="80">
        <f ca="1">VALUE(_xlfn.XLOOKUP($Z206,Строчный!$R:$R,Строчный!T:T,"ERR",0))</f>
        <v>4</v>
      </c>
      <c r="T206" s="14" t="s">
        <v>265</v>
      </c>
      <c r="U206" s="101" t="str">
        <f t="shared" ca="1" si="23"/>
        <v>Кепка BAILEY арт. 90109BH KETER (бежевый)</v>
      </c>
      <c r="V206" s="100" t="str">
        <f t="shared" ca="1" si="24"/>
        <v>Кепка BAILEY арт. 90109BH KETER (бежевый) {beige}</v>
      </c>
      <c r="W206" s="18" t="str">
        <f t="shared" ca="1" si="25"/>
        <v>бежевый</v>
      </c>
      <c r="X206" s="18" t="str">
        <f t="shared" ca="1" si="26"/>
        <v>бежевый</v>
      </c>
      <c r="Y206" s="117" t="str">
        <f ca="1">_xlfn.LET(_xlpm.FormColors,_xlfn.XLOOKUP(A206,Строчный!A:A,Строчный!Q:Q,"",0),IF(_xlpm.FormColors=0,IFERROR(MID(I206,FIND("-",I206)+1,LEN(I206)),IFERROR(MID(I206,1,FIND("/",I206)-2),I206)),_xlpm.FormColors))</f>
        <v>бежевый</v>
      </c>
      <c r="Z206" s="73" t="str">
        <f ca="1"/>
        <v>21-469-02-57</v>
      </c>
      <c r="AA206" s="75" t="str">
        <f ca="1">VLOOKUP(C206,Группа!A:B,2,FALSE)</f>
        <v>Кепка</v>
      </c>
      <c r="AB206" s="97" t="str">
        <f ca="1">IFERROR(VLOOKUP(R206,Размеры!A:C,3,FALSE),"")</f>
        <v>57 M</v>
      </c>
      <c r="AC206" s="97" t="str">
        <f ca="1">VLOOKUP(I206,ЦветПолный!A:B,2,FALSE)</f>
        <v>02</v>
      </c>
      <c r="AD206" s="97" t="str">
        <f ca="1">IFERROR(VLOOKUP(R206,Размеры!A:D,4,FALSE),"")</f>
        <v>57</v>
      </c>
      <c r="AE206" s="97">
        <f ca="1">IF(LEFT(IFERROR(VLOOKUP(LOOKUP(2,1/SEARCH(B206,Товары!A:A),Товары!A:A),Товары!A:B,2,0),""),6)=MID(Z206,1,6),1,0)</f>
        <v>1</v>
      </c>
      <c r="AG206" s="97">
        <f ca="1">SUMIF(Группа!A:A,C206,Группа!C:C)</f>
        <v>1</v>
      </c>
      <c r="AH206" s="97">
        <f ca="1">SUMIF(Группа!B:B,AA206,Группа!C:C)</f>
        <v>1</v>
      </c>
      <c r="AI206" s="97">
        <f ca="1">SUMIF(Формы!A:A,D206,Формы!B:B)</f>
        <v>1</v>
      </c>
      <c r="AJ206" s="97">
        <f ca="1">SUMIF(Материал!A:A,K206,Материал!B:B)</f>
        <v>1</v>
      </c>
      <c r="AK206" s="97">
        <f ca="1">SUMIF(Размеры!A:A,R206,Размеры!E:E)</f>
        <v>1</v>
      </c>
      <c r="AL206" s="97">
        <f ca="1">SUMIF(Сезон!A:A,F206,Сезон!B:B)</f>
        <v>1</v>
      </c>
      <c r="AM206" s="97">
        <f ca="1">SUMIF(Состав!A:A,J206,Состав!B:B)</f>
        <v>0</v>
      </c>
      <c r="AN206" s="97">
        <f ca="1">VLOOKUP(I206,ЦветПолный!A:C,3,0)</f>
        <v>1</v>
      </c>
      <c r="AO206" s="97">
        <f ca="1">SUMIF(Цвет!A:A,Y206,Цвет!B:B)</f>
        <v>1</v>
      </c>
      <c r="AP206" s="97">
        <f ca="1">_xlfn.XLOOKUP(L206,Пол!A:A,Пол!B:B,0,0)</f>
        <v>1</v>
      </c>
      <c r="AQ206" s="97">
        <f ca="1">SUMIF(Марка!A:A,G206,Марка!B:B)</f>
        <v>1</v>
      </c>
      <c r="AR206" s="97">
        <f ca="1">SUMIF(Страна!A:A,M206,Страна!B:B)</f>
        <v>1</v>
      </c>
      <c r="AS206" s="64" t="str">
        <f ca="1">IF(VLOOKUP(V206,Товары!A:B,2,FALSE)=A206,"Есть в 1С","ERR")</f>
        <v>Есть в 1С</v>
      </c>
      <c r="AT206" s="65" t="str">
        <f ca="1">IF(VLOOKUP(A206,Товары!B:B,1,FALSE)=A206,"Есть в 1С","ERR")</f>
        <v>Есть в 1С</v>
      </c>
      <c r="AU206" s="96" t="str">
        <f ca="1">VLOOKUP(V206,Товары!A:B,2,FALSE)</f>
        <v>21-469-02</v>
      </c>
      <c r="AV206" s="94" t="str">
        <f ca="1">VLOOKUP(V206,Товары!A:B,1,FALSE)</f>
        <v>Кепка BAILEY арт. 90109BH KETER (бежевый) {beige}</v>
      </c>
    </row>
    <row r="207" spans="1:48" x14ac:dyDescent="0.25">
      <c r="A207" s="110" t="str">
        <f t="shared" ca="1" si="27"/>
        <v>21-469-02</v>
      </c>
      <c r="B207" s="107" t="str">
        <f ca="1">_xlfn.LET(_xlpm.CAPS,0,_xlpm.Style,_xlfn.XLOOKUP($A207,Строчный!$A:$A,Строчный!B:B,"ERR",0),IF(_xlpm.CAPS=0,_xlpm.Style,LOWER(_xlpm.Style)))</f>
        <v>90109BH KETER</v>
      </c>
      <c r="C207" s="81" t="str">
        <f ca="1">PROPER(_xlfn.XLOOKUP($A207,Строчный!$A:$A,Строчный!C:C,"ERR",0))</f>
        <v>Кепки</v>
      </c>
      <c r="D207" s="81" t="str">
        <f ca="1">_xlfn.LET(_xlpm.DATA,(_xlfn.XLOOKUP($A207,Строчный!$A:$A,Строчный!D:D,"ERR",0)),UPPER(MID(_xlpm.DATA,1,1))&amp;LOWER(MID(_xlpm.DATA,2,LEN(_xlpm.DATA)-1)))</f>
        <v>Кепка плоская</v>
      </c>
      <c r="E207" s="81" t="str">
        <f ca="1">PROPER(_xlfn.XLOOKUP($A207,Строчный!$A:$A,Строчный!E:E,"ERR",0))</f>
        <v>The Hollywood</v>
      </c>
      <c r="F207" s="81" t="str">
        <f ca="1">LOWER(_xlfn.XLOOKUP($A207,Строчный!$A:$A,Строчный!F:F,"ERR",0))</f>
        <v>летний</v>
      </c>
      <c r="G207" s="81" t="str">
        <f ca="1">UPPER(_xlfn.XLOOKUP($A207,Строчный!$A:$A,Строчный!G:G,"ERR",0))</f>
        <v>BAILEY</v>
      </c>
      <c r="H207" s="81" t="str">
        <f ca="1">LOWER(_xlfn.XLOOKUP($A207,Строчный!$A:$A,Строчный!H:H,"ERR",0))</f>
        <v>beige</v>
      </c>
      <c r="I207" s="81" t="str">
        <f ca="1">LOWER(_xlfn.XLOOKUP($A207,Строчный!$A:$A,Строчный!I:I,"ERR",0))</f>
        <v>бежевый</v>
      </c>
      <c r="J207" s="81" t="str">
        <f ca="1">SUBSTITUTE(LOWER(_xlfn.XLOOKUP($A207,Строчный!$A:$A,Строчный!J:J,"ERR",0)),"подклад","Подклад")</f>
        <v>100% хлопок / Подклад: 100% полиэстер</v>
      </c>
      <c r="K207" s="81" t="str">
        <f ca="1">LOWER(_xlfn.XLOOKUP($A207,Строчный!$A:$A,Строчный!K:K,"ERR",0))</f>
        <v>хлопковые</v>
      </c>
      <c r="L207" s="81" t="str">
        <f ca="1">PROPER(_xlfn.XLOOKUP($A207,Строчный!$A:$A,Строчный!L:L,"ERR",0))</f>
        <v>Унисекс</v>
      </c>
      <c r="M207" s="113" t="str">
        <f ca="1">PROPER(_xlfn.XLOOKUP($A207,Строчный!$A:$A,Строчный!M:M,"ERR",0))</f>
        <v>Китай</v>
      </c>
      <c r="N207" s="81" t="str">
        <f ca="1">UPPER(_xlfn.XLOOKUP($A207,Строчный!$A:$A,Строчный!O:O,"ERR",0))</f>
        <v/>
      </c>
      <c r="O207" s="107" t="str">
        <f ca="1">PROPER(_xlfn.XLOOKUP($A207,Строчный!$A:$A,Строчный!P:P,"ERR",0))</f>
        <v/>
      </c>
      <c r="P207" s="90">
        <f ca="1">VALUE(_xlfn.XLOOKUP($A207,Строчный!$A:$A,Строчный!N:N,"ERR",0))</f>
        <v>1737.45</v>
      </c>
      <c r="Q207" s="89" t="str">
        <f ca="1">_xlfn.XLOOKUP($G207,Фабрика!A:A,Фабрика!B:B,"ERR",0)</f>
        <v>Bollman Headwear Europe Ltd; 2 Merchants drive, Caelisle, Cumbria CA3 0JW, United Kingdom</v>
      </c>
      <c r="R207" s="80" t="str">
        <f ca="1">_xlfn.XLOOKUP(RIGHT(Z207,2),Размеры!D:D,Размеры!A:A,"ERR",0)</f>
        <v>55</v>
      </c>
      <c r="S207" s="80">
        <f ca="1">VALUE(_xlfn.XLOOKUP($Z207,Строчный!$R:$R,Строчный!T:T,"ERR",0))</f>
        <v>1</v>
      </c>
      <c r="T207" s="14" t="s">
        <v>265</v>
      </c>
      <c r="U207" s="101" t="str">
        <f t="shared" ca="1" si="23"/>
        <v>Кепка BAILEY арт. 90109BH KETER (бежевый)</v>
      </c>
      <c r="V207" s="100" t="str">
        <f t="shared" ca="1" si="24"/>
        <v>Кепка BAILEY арт. 90109BH KETER (бежевый) {beige}</v>
      </c>
      <c r="W207" s="18" t="str">
        <f t="shared" ca="1" si="25"/>
        <v>бежевый</v>
      </c>
      <c r="X207" s="18" t="str">
        <f t="shared" ca="1" si="26"/>
        <v>бежевый</v>
      </c>
      <c r="Y207" s="117" t="str">
        <f ca="1">_xlfn.LET(_xlpm.FormColors,_xlfn.XLOOKUP(A207,Строчный!A:A,Строчный!Q:Q,"",0),IF(_xlpm.FormColors=0,IFERROR(MID(I207,FIND("-",I207)+1,LEN(I207)),IFERROR(MID(I207,1,FIND("/",I207)-2),I207)),_xlpm.FormColors))</f>
        <v>бежевый</v>
      </c>
      <c r="Z207" s="73" t="str">
        <f ca="1"/>
        <v>21-469-02-55</v>
      </c>
      <c r="AA207" s="75" t="str">
        <f ca="1">VLOOKUP(C207,Группа!A:B,2,FALSE)</f>
        <v>Кепка</v>
      </c>
      <c r="AB207" s="97" t="str">
        <f ca="1">IFERROR(VLOOKUP(R207,Размеры!A:C,3,FALSE),"")</f>
        <v>55 S</v>
      </c>
      <c r="AC207" s="97" t="str">
        <f ca="1">VLOOKUP(I207,ЦветПолный!A:B,2,FALSE)</f>
        <v>02</v>
      </c>
      <c r="AD207" s="97" t="str">
        <f ca="1">IFERROR(VLOOKUP(R207,Размеры!A:D,4,FALSE),"")</f>
        <v>55</v>
      </c>
      <c r="AE207" s="97">
        <f ca="1">IF(LEFT(IFERROR(VLOOKUP(LOOKUP(2,1/SEARCH(B207,Товары!A:A),Товары!A:A),Товары!A:B,2,0),""),6)=MID(Z207,1,6),1,0)</f>
        <v>1</v>
      </c>
      <c r="AG207" s="97">
        <f ca="1">SUMIF(Группа!A:A,C207,Группа!C:C)</f>
        <v>1</v>
      </c>
      <c r="AH207" s="97">
        <f ca="1">SUMIF(Группа!B:B,AA207,Группа!C:C)</f>
        <v>1</v>
      </c>
      <c r="AI207" s="97">
        <f ca="1">SUMIF(Формы!A:A,D207,Формы!B:B)</f>
        <v>1</v>
      </c>
      <c r="AJ207" s="97">
        <f ca="1">SUMIF(Материал!A:A,K207,Материал!B:B)</f>
        <v>1</v>
      </c>
      <c r="AK207" s="97">
        <f ca="1">SUMIF(Размеры!A:A,R207,Размеры!E:E)</f>
        <v>1</v>
      </c>
      <c r="AL207" s="97">
        <f ca="1">SUMIF(Сезон!A:A,F207,Сезон!B:B)</f>
        <v>1</v>
      </c>
      <c r="AM207" s="97">
        <f ca="1">SUMIF(Состав!A:A,J207,Состав!B:B)</f>
        <v>0</v>
      </c>
      <c r="AN207" s="97">
        <f ca="1">VLOOKUP(I207,ЦветПолный!A:C,3,0)</f>
        <v>1</v>
      </c>
      <c r="AO207" s="97">
        <f ca="1">SUMIF(Цвет!A:A,Y207,Цвет!B:B)</f>
        <v>1</v>
      </c>
      <c r="AP207" s="97">
        <f ca="1">_xlfn.XLOOKUP(L207,Пол!A:A,Пол!B:B,0,0)</f>
        <v>1</v>
      </c>
      <c r="AQ207" s="97">
        <f ca="1">SUMIF(Марка!A:A,G207,Марка!B:B)</f>
        <v>1</v>
      </c>
      <c r="AR207" s="97">
        <f ca="1">SUMIF(Страна!A:A,M207,Страна!B:B)</f>
        <v>1</v>
      </c>
      <c r="AS207" s="64" t="str">
        <f ca="1">IF(VLOOKUP(V207,Товары!A:B,2,FALSE)=A207,"Есть в 1С","ERR")</f>
        <v>Есть в 1С</v>
      </c>
      <c r="AT207" s="65" t="str">
        <f ca="1">IF(VLOOKUP(A207,Товары!B:B,1,FALSE)=A207,"Есть в 1С","ERR")</f>
        <v>Есть в 1С</v>
      </c>
      <c r="AU207" s="96" t="str">
        <f ca="1">VLOOKUP(V207,Товары!A:B,2,FALSE)</f>
        <v>21-469-02</v>
      </c>
      <c r="AV207" s="94" t="str">
        <f ca="1">VLOOKUP(V207,Товары!A:B,1,FALSE)</f>
        <v>Кепка BAILEY арт. 90109BH KETER (бежевый) {beige}</v>
      </c>
    </row>
    <row r="208" spans="1:48" x14ac:dyDescent="0.25">
      <c r="A208" s="110" t="str">
        <f t="shared" ca="1" si="27"/>
        <v>21-432-08</v>
      </c>
      <c r="B208" s="107" t="str">
        <f ca="1">_xlfn.LET(_xlpm.CAPS,0,_xlpm.Style,_xlfn.XLOOKUP($A208,Строчный!$A:$A,Строчный!B:B,"ERR",0),IF(_xlpm.CAPS=0,_xlpm.Style,LOWER(_xlpm.Style)))</f>
        <v>20001BH COLVER</v>
      </c>
      <c r="C208" s="81" t="str">
        <f ca="1">PROPER(_xlfn.XLOOKUP($A208,Строчный!$A:$A,Строчный!C:C,"ERR",0))</f>
        <v>Шляпы</v>
      </c>
      <c r="D208" s="81" t="str">
        <f ca="1">_xlfn.LET(_xlpm.DATA,(_xlfn.XLOOKUP($A208,Строчный!$A:$A,Строчный!D:D,"ERR",0)),UPPER(MID(_xlpm.DATA,1,1))&amp;LOWER(MID(_xlpm.DATA,2,LEN(_xlpm.DATA)-1)))</f>
        <v>Шляпа федора</v>
      </c>
      <c r="E208" s="81" t="str">
        <f ca="1">PROPER(_xlfn.XLOOKUP($A208,Строчный!$A:$A,Строчный!E:E,"ERR",0))</f>
        <v>The Hollywood</v>
      </c>
      <c r="F208" s="81" t="str">
        <f ca="1">LOWER(_xlfn.XLOOKUP($A208,Строчный!$A:$A,Строчный!F:F,"ERR",0))</f>
        <v>всесезон</v>
      </c>
      <c r="G208" s="81" t="str">
        <f ca="1">UPPER(_xlfn.XLOOKUP($A208,Строчный!$A:$A,Строчный!G:G,"ERR",0))</f>
        <v>BAILEY</v>
      </c>
      <c r="H208" s="81" t="str">
        <f ca="1">LOWER(_xlfn.XLOOKUP($A208,Строчный!$A:$A,Строчный!H:H,"ERR",0))</f>
        <v>avion</v>
      </c>
      <c r="I208" s="81" t="str">
        <f ca="1">LOWER(_xlfn.XLOOKUP($A208,Строчный!$A:$A,Строчный!I:I,"ERR",0))</f>
        <v>серый</v>
      </c>
      <c r="J208" s="81" t="str">
        <f ca="1">SUBSTITUTE(LOWER(_xlfn.XLOOKUP($A208,Строчный!$A:$A,Строчный!J:J,"ERR",0)),"подклад","Подклад")</f>
        <v>100% шерсть</v>
      </c>
      <c r="K208" s="81" t="str">
        <f ca="1">LOWER(_xlfn.XLOOKUP($A208,Строчный!$A:$A,Строчный!K:K,"ERR",0))</f>
        <v>фетровые</v>
      </c>
      <c r="L208" s="81" t="str">
        <f ca="1">PROPER(_xlfn.XLOOKUP($A208,Строчный!$A:$A,Строчный!L:L,"ERR",0))</f>
        <v>Унисекс</v>
      </c>
      <c r="M208" s="113" t="str">
        <f ca="1">PROPER(_xlfn.XLOOKUP($A208,Строчный!$A:$A,Строчный!M:M,"ERR",0))</f>
        <v>Соединенные Штаты</v>
      </c>
      <c r="N208" s="81" t="str">
        <f ca="1">UPPER(_xlfn.XLOOKUP($A208,Строчный!$A:$A,Строчный!O:O,"ERR",0))</f>
        <v/>
      </c>
      <c r="O208" s="107" t="str">
        <f ca="1">PROPER(_xlfn.XLOOKUP($A208,Строчный!$A:$A,Строчный!P:P,"ERR",0))</f>
        <v/>
      </c>
      <c r="P208" s="90">
        <f ca="1">VALUE(_xlfn.XLOOKUP($A208,Строчный!$A:$A,Строчный!N:N,"ERR",0))</f>
        <v>702.00000000000011</v>
      </c>
      <c r="Q208" s="89" t="str">
        <f ca="1">_xlfn.XLOOKUP($G208,Фабрика!A:A,Фабрика!B:B,"ERR",0)</f>
        <v>Bollman Headwear Europe Ltd; 2 Merchants drive, Caelisle, Cumbria CA3 0JW, United Kingdom</v>
      </c>
      <c r="R208" s="80" t="str">
        <f ca="1">_xlfn.XLOOKUP(RIGHT(Z208,2),Размеры!D:D,Размеры!A:A,"ERR",0)</f>
        <v>57</v>
      </c>
      <c r="S208" s="80">
        <f ca="1">VALUE(_xlfn.XLOOKUP($Z208,Строчный!$R:$R,Строчный!T:T,"ERR",0))</f>
        <v>1</v>
      </c>
      <c r="T208" s="14" t="s">
        <v>265</v>
      </c>
      <c r="U208" s="101" t="str">
        <f t="shared" ca="1" si="23"/>
        <v>Шляпа BAILEY арт. 20001BH COLVER (серый)</v>
      </c>
      <c r="V208" s="100" t="str">
        <f t="shared" ca="1" si="24"/>
        <v>Шляпа BAILEY арт. 20001BH COLVER (серый) {avion}</v>
      </c>
      <c r="W208" s="18" t="str">
        <f t="shared" ca="1" si="25"/>
        <v>серый</v>
      </c>
      <c r="X208" s="18" t="str">
        <f t="shared" ca="1" si="26"/>
        <v>серый</v>
      </c>
      <c r="Y208" s="117" t="str">
        <f ca="1">_xlfn.LET(_xlpm.FormColors,_xlfn.XLOOKUP(A208,Строчный!A:A,Строчный!Q:Q,"",0),IF(_xlpm.FormColors=0,IFERROR(MID(I208,FIND("-",I208)+1,LEN(I208)),IFERROR(MID(I208,1,FIND("/",I208)-2),I208)),_xlpm.FormColors))</f>
        <v>серый</v>
      </c>
      <c r="Z208" s="73" t="str">
        <f ca="1"/>
        <v>21-432-08-57</v>
      </c>
      <c r="AA208" s="75" t="str">
        <f ca="1">VLOOKUP(C208,Группа!A:B,2,FALSE)</f>
        <v>Шляпа</v>
      </c>
      <c r="AB208" s="97" t="str">
        <f ca="1">IFERROR(VLOOKUP(R208,Размеры!A:C,3,FALSE),"")</f>
        <v>57 M</v>
      </c>
      <c r="AC208" s="97" t="str">
        <f ca="1">VLOOKUP(I208,ЦветПолный!A:B,2,FALSE)</f>
        <v>08</v>
      </c>
      <c r="AD208" s="97" t="str">
        <f ca="1">IFERROR(VLOOKUP(R208,Размеры!A:D,4,FALSE),"")</f>
        <v>57</v>
      </c>
      <c r="AE208" s="97">
        <f ca="1">IF(LEFT(IFERROR(VLOOKUP(LOOKUP(2,1/SEARCH(B208,Товары!A:A),Товары!A:A),Товары!A:B,2,0),""),6)=MID(Z208,1,6),1,0)</f>
        <v>1</v>
      </c>
      <c r="AG208" s="97">
        <f ca="1">SUMIF(Группа!A:A,C208,Группа!C:C)</f>
        <v>1</v>
      </c>
      <c r="AH208" s="97">
        <f ca="1">SUMIF(Группа!B:B,AA208,Группа!C:C)</f>
        <v>1</v>
      </c>
      <c r="AI208" s="97">
        <f ca="1">SUMIF(Формы!A:A,D208,Формы!B:B)</f>
        <v>1</v>
      </c>
      <c r="AJ208" s="97">
        <f ca="1">SUMIF(Материал!A:A,K208,Материал!B:B)</f>
        <v>1</v>
      </c>
      <c r="AK208" s="97">
        <f ca="1">SUMIF(Размеры!A:A,R208,Размеры!E:E)</f>
        <v>1</v>
      </c>
      <c r="AL208" s="97">
        <f ca="1">SUMIF(Сезон!A:A,F208,Сезон!B:B)</f>
        <v>1</v>
      </c>
      <c r="AM208" s="97">
        <f ca="1">SUMIF(Состав!A:A,J208,Состав!B:B)</f>
        <v>1</v>
      </c>
      <c r="AN208" s="97">
        <f ca="1">VLOOKUP(I208,ЦветПолный!A:C,3,0)</f>
        <v>1</v>
      </c>
      <c r="AO208" s="97">
        <f ca="1">SUMIF(Цвет!A:A,Y208,Цвет!B:B)</f>
        <v>1</v>
      </c>
      <c r="AP208" s="97">
        <f ca="1">_xlfn.XLOOKUP(L208,Пол!A:A,Пол!B:B,0,0)</f>
        <v>1</v>
      </c>
      <c r="AQ208" s="97">
        <f ca="1">SUMIF(Марка!A:A,G208,Марка!B:B)</f>
        <v>1</v>
      </c>
      <c r="AR208" s="97">
        <f ca="1">SUMIF(Страна!A:A,M208,Страна!B:B)</f>
        <v>1</v>
      </c>
      <c r="AS208" s="64" t="e">
        <f ca="1">IF(VLOOKUP(V208,Товары!A:B,2,FALSE)=A208,"Есть в 1С","ERR")</f>
        <v>#N/A</v>
      </c>
      <c r="AT208" s="65" t="str">
        <f ca="1">IF(VLOOKUP(A208,Товары!B:B,1,FALSE)=A208,"Есть в 1С","ERR")</f>
        <v>Есть в 1С</v>
      </c>
      <c r="AU208" s="96" t="e">
        <f ca="1">VLOOKUP(V208,Товары!A:B,2,FALSE)</f>
        <v>#N/A</v>
      </c>
      <c r="AV208" s="94" t="e">
        <f ca="1">VLOOKUP(V208,Товары!A:B,1,FALSE)</f>
        <v>#N/A</v>
      </c>
    </row>
    <row r="209" spans="1:48" x14ac:dyDescent="0.25">
      <c r="A209" s="110" t="str">
        <f t="shared" ca="1" si="27"/>
        <v>21-396-05</v>
      </c>
      <c r="B209" s="107" t="str">
        <f ca="1">_xlfn.LET(_xlpm.CAPS,0,_xlpm.Style,_xlfn.XLOOKUP($A209,Строчный!$A:$A,Строчный!B:B,"ERR",0),IF(_xlpm.CAPS=0,_xlpm.Style,LOWER(_xlpm.Style)))</f>
        <v>81710BH HOOPER</v>
      </c>
      <c r="C209" s="81" t="str">
        <f ca="1">PROPER(_xlfn.XLOOKUP($A209,Строчный!$A:$A,Строчный!C:C,"ERR",0))</f>
        <v>Шляпы</v>
      </c>
      <c r="D209" s="81" t="str">
        <f ca="1">_xlfn.LET(_xlpm.DATA,(_xlfn.XLOOKUP($A209,Строчный!$A:$A,Строчный!D:D,"ERR",0)),UPPER(MID(_xlpm.DATA,1,1))&amp;LOWER(MID(_xlpm.DATA,2,LEN(_xlpm.DATA)-1)))</f>
        <v>Шляпа хомбург</v>
      </c>
      <c r="E209" s="81" t="str">
        <f ca="1">PROPER(_xlfn.XLOOKUP($A209,Строчный!$A:$A,Строчный!E:E,"ERR",0))</f>
        <v>The Hollywood</v>
      </c>
      <c r="F209" s="81" t="str">
        <f ca="1">LOWER(_xlfn.XLOOKUP($A209,Строчный!$A:$A,Строчный!F:F,"ERR",0))</f>
        <v>летний</v>
      </c>
      <c r="G209" s="81" t="str">
        <f ca="1">UPPER(_xlfn.XLOOKUP($A209,Строчный!$A:$A,Строчный!G:G,"ERR",0))</f>
        <v>BAILEY</v>
      </c>
      <c r="H209" s="81" t="str">
        <f ca="1">LOWER(_xlfn.XLOOKUP($A209,Строчный!$A:$A,Строчный!H:H,"ERR",0))</f>
        <v>charcoal</v>
      </c>
      <c r="I209" s="81" t="str">
        <f ca="1">LOWER(_xlfn.XLOOKUP($A209,Строчный!$A:$A,Строчный!I:I,"ERR",0))</f>
        <v>темно-серый</v>
      </c>
      <c r="J209" s="81" t="str">
        <f ca="1">SUBSTITUTE(LOWER(_xlfn.XLOOKUP($A209,Строчный!$A:$A,Строчный!J:J,"ERR",0)),"подклад","Подклад")</f>
        <v>50% бумага - 50% полипропилен</v>
      </c>
      <c r="K209" s="81" t="str">
        <f ca="1">LOWER(_xlfn.XLOOKUP($A209,Строчный!$A:$A,Строчный!K:K,"ERR",0))</f>
        <v>бумажные</v>
      </c>
      <c r="L209" s="81" t="str">
        <f ca="1">PROPER(_xlfn.XLOOKUP($A209,Строчный!$A:$A,Строчный!L:L,"ERR",0))</f>
        <v>Унисекс</v>
      </c>
      <c r="M209" s="113" t="str">
        <f ca="1">PROPER(_xlfn.XLOOKUP($A209,Строчный!$A:$A,Строчный!M:M,"ERR",0))</f>
        <v>Китай</v>
      </c>
      <c r="N209" s="81" t="str">
        <f ca="1">UPPER(_xlfn.XLOOKUP($A209,Строчный!$A:$A,Строчный!O:O,"ERR",0))</f>
        <v/>
      </c>
      <c r="O209" s="107" t="str">
        <f ca="1">PROPER(_xlfn.XLOOKUP($A209,Строчный!$A:$A,Строчный!P:P,"ERR",0))</f>
        <v/>
      </c>
      <c r="P209" s="90">
        <f ca="1">VALUE(_xlfn.XLOOKUP($A209,Строчный!$A:$A,Строчный!N:N,"ERR",0))</f>
        <v>2094.3000000000002</v>
      </c>
      <c r="Q209" s="89" t="str">
        <f ca="1">_xlfn.XLOOKUP($G209,Фабрика!A:A,Фабрика!B:B,"ERR",0)</f>
        <v>Bollman Headwear Europe Ltd; 2 Merchants drive, Caelisle, Cumbria CA3 0JW, United Kingdom</v>
      </c>
      <c r="R209" s="80" t="str">
        <f ca="1">_xlfn.XLOOKUP(RIGHT(Z209,2),Размеры!D:D,Размеры!A:A,"ERR",0)</f>
        <v>61</v>
      </c>
      <c r="S209" s="80">
        <f ca="1">VALUE(_xlfn.XLOOKUP($Z209,Строчный!$R:$R,Строчный!T:T,"ERR",0))</f>
        <v>4</v>
      </c>
      <c r="T209" s="14" t="s">
        <v>265</v>
      </c>
      <c r="U209" s="101" t="str">
        <f t="shared" ca="1" si="23"/>
        <v>Шляпа BAILEY арт. 81710BH HOOPER (темно-серый)</v>
      </c>
      <c r="V209" s="100" t="str">
        <f t="shared" ca="1" si="24"/>
        <v>Шляпа BAILEY арт. 81710BH HOOPER (темно-серый) {charcoal}</v>
      </c>
      <c r="W209" s="18" t="str">
        <f t="shared" ca="1" si="25"/>
        <v>серый</v>
      </c>
      <c r="X209" s="18" t="str">
        <f t="shared" ca="1" si="26"/>
        <v>серый</v>
      </c>
      <c r="Y209" s="117" t="str">
        <f ca="1">_xlfn.LET(_xlpm.FormColors,_xlfn.XLOOKUP(A209,Строчный!A:A,Строчный!Q:Q,"",0),IF(_xlpm.FormColors=0,IFERROR(MID(I209,FIND("-",I209)+1,LEN(I209)),IFERROR(MID(I209,1,FIND("/",I209)-2),I209)),_xlpm.FormColors))</f>
        <v>серый</v>
      </c>
      <c r="Z209" s="73" t="str">
        <f ca="1"/>
        <v>21-396-05-61</v>
      </c>
      <c r="AA209" s="75" t="str">
        <f ca="1">VLOOKUP(C209,Группа!A:B,2,FALSE)</f>
        <v>Шляпа</v>
      </c>
      <c r="AB209" s="97" t="str">
        <f ca="1">IFERROR(VLOOKUP(R209,Размеры!A:C,3,FALSE),"")</f>
        <v>61 XL</v>
      </c>
      <c r="AC209" s="97" t="str">
        <f ca="1">VLOOKUP(I209,ЦветПолный!A:B,2,FALSE)</f>
        <v>05</v>
      </c>
      <c r="AD209" s="97" t="str">
        <f ca="1">IFERROR(VLOOKUP(R209,Размеры!A:D,4,FALSE),"")</f>
        <v>61</v>
      </c>
      <c r="AE209" s="97">
        <f ca="1">IF(LEFT(IFERROR(VLOOKUP(LOOKUP(2,1/SEARCH(B209,Товары!A:A),Товары!A:A),Товары!A:B,2,0),""),6)=MID(Z209,1,6),1,0)</f>
        <v>1</v>
      </c>
      <c r="AG209" s="97">
        <f ca="1">SUMIF(Группа!A:A,C209,Группа!C:C)</f>
        <v>1</v>
      </c>
      <c r="AH209" s="97">
        <f ca="1">SUMIF(Группа!B:B,AA209,Группа!C:C)</f>
        <v>1</v>
      </c>
      <c r="AI209" s="97">
        <f ca="1">SUMIF(Формы!A:A,D209,Формы!B:B)</f>
        <v>1</v>
      </c>
      <c r="AJ209" s="97">
        <f ca="1">SUMIF(Материал!A:A,K209,Материал!B:B)</f>
        <v>1</v>
      </c>
      <c r="AK209" s="97">
        <f ca="1">SUMIF(Размеры!A:A,R209,Размеры!E:E)</f>
        <v>1</v>
      </c>
      <c r="AL209" s="97">
        <f ca="1">SUMIF(Сезон!A:A,F209,Сезон!B:B)</f>
        <v>1</v>
      </c>
      <c r="AM209" s="97">
        <f ca="1">SUMIF(Состав!A:A,J209,Состав!B:B)</f>
        <v>1</v>
      </c>
      <c r="AN209" s="97">
        <f ca="1">VLOOKUP(I209,ЦветПолный!A:C,3,0)</f>
        <v>1</v>
      </c>
      <c r="AO209" s="97">
        <f ca="1">SUMIF(Цвет!A:A,Y209,Цвет!B:B)</f>
        <v>1</v>
      </c>
      <c r="AP209" s="97">
        <f ca="1">_xlfn.XLOOKUP(L209,Пол!A:A,Пол!B:B,0,0)</f>
        <v>1</v>
      </c>
      <c r="AQ209" s="97">
        <f ca="1">SUMIF(Марка!A:A,G209,Марка!B:B)</f>
        <v>1</v>
      </c>
      <c r="AR209" s="97">
        <f ca="1">SUMIF(Страна!A:A,M209,Страна!B:B)</f>
        <v>1</v>
      </c>
      <c r="AS209" s="64" t="e">
        <f ca="1">IF(VLOOKUP(V209,Товары!A:B,2,FALSE)=A209,"Есть в 1С","ERR")</f>
        <v>#N/A</v>
      </c>
      <c r="AT209" s="65" t="e">
        <f ca="1">IF(VLOOKUP(A209,Товары!B:B,1,FALSE)=A209,"Есть в 1С","ERR")</f>
        <v>#N/A</v>
      </c>
      <c r="AU209" s="96" t="e">
        <f ca="1">VLOOKUP(V209,Товары!A:B,2,FALSE)</f>
        <v>#N/A</v>
      </c>
      <c r="AV209" s="94" t="e">
        <f ca="1">VLOOKUP(V209,Товары!A:B,1,FALSE)</f>
        <v>#N/A</v>
      </c>
    </row>
    <row r="210" spans="1:48" x14ac:dyDescent="0.25">
      <c r="A210" s="110" t="str">
        <f t="shared" ca="1" si="27"/>
        <v>21-396-05</v>
      </c>
      <c r="B210" s="107" t="str">
        <f ca="1">_xlfn.LET(_xlpm.CAPS,0,_xlpm.Style,_xlfn.XLOOKUP($A210,Строчный!$A:$A,Строчный!B:B,"ERR",0),IF(_xlpm.CAPS=0,_xlpm.Style,LOWER(_xlpm.Style)))</f>
        <v>81710BH HOOPER</v>
      </c>
      <c r="C210" s="81" t="str">
        <f ca="1">PROPER(_xlfn.XLOOKUP($A210,Строчный!$A:$A,Строчный!C:C,"ERR",0))</f>
        <v>Шляпы</v>
      </c>
      <c r="D210" s="81" t="str">
        <f ca="1">_xlfn.LET(_xlpm.DATA,(_xlfn.XLOOKUP($A210,Строчный!$A:$A,Строчный!D:D,"ERR",0)),UPPER(MID(_xlpm.DATA,1,1))&amp;LOWER(MID(_xlpm.DATA,2,LEN(_xlpm.DATA)-1)))</f>
        <v>Шляпа хомбург</v>
      </c>
      <c r="E210" s="81" t="str">
        <f ca="1">PROPER(_xlfn.XLOOKUP($A210,Строчный!$A:$A,Строчный!E:E,"ERR",0))</f>
        <v>The Hollywood</v>
      </c>
      <c r="F210" s="81" t="str">
        <f ca="1">LOWER(_xlfn.XLOOKUP($A210,Строчный!$A:$A,Строчный!F:F,"ERR",0))</f>
        <v>летний</v>
      </c>
      <c r="G210" s="81" t="str">
        <f ca="1">UPPER(_xlfn.XLOOKUP($A210,Строчный!$A:$A,Строчный!G:G,"ERR",0))</f>
        <v>BAILEY</v>
      </c>
      <c r="H210" s="81" t="str">
        <f ca="1">LOWER(_xlfn.XLOOKUP($A210,Строчный!$A:$A,Строчный!H:H,"ERR",0))</f>
        <v>charcoal</v>
      </c>
      <c r="I210" s="81" t="str">
        <f ca="1">LOWER(_xlfn.XLOOKUP($A210,Строчный!$A:$A,Строчный!I:I,"ERR",0))</f>
        <v>темно-серый</v>
      </c>
      <c r="J210" s="81" t="str">
        <f ca="1">SUBSTITUTE(LOWER(_xlfn.XLOOKUP($A210,Строчный!$A:$A,Строчный!J:J,"ERR",0)),"подклад","Подклад")</f>
        <v>50% бумага - 50% полипропилен</v>
      </c>
      <c r="K210" s="81" t="str">
        <f ca="1">LOWER(_xlfn.XLOOKUP($A210,Строчный!$A:$A,Строчный!K:K,"ERR",0))</f>
        <v>бумажные</v>
      </c>
      <c r="L210" s="81" t="str">
        <f ca="1">PROPER(_xlfn.XLOOKUP($A210,Строчный!$A:$A,Строчный!L:L,"ERR",0))</f>
        <v>Унисекс</v>
      </c>
      <c r="M210" s="113" t="str">
        <f ca="1">PROPER(_xlfn.XLOOKUP($A210,Строчный!$A:$A,Строчный!M:M,"ERR",0))</f>
        <v>Китай</v>
      </c>
      <c r="N210" s="81" t="str">
        <f ca="1">UPPER(_xlfn.XLOOKUP($A210,Строчный!$A:$A,Строчный!O:O,"ERR",0))</f>
        <v/>
      </c>
      <c r="O210" s="107" t="str">
        <f ca="1">PROPER(_xlfn.XLOOKUP($A210,Строчный!$A:$A,Строчный!P:P,"ERR",0))</f>
        <v/>
      </c>
      <c r="P210" s="90">
        <f ca="1">VALUE(_xlfn.XLOOKUP($A210,Строчный!$A:$A,Строчный!N:N,"ERR",0))</f>
        <v>2094.3000000000002</v>
      </c>
      <c r="Q210" s="89" t="str">
        <f ca="1">_xlfn.XLOOKUP($G210,Фабрика!A:A,Фабрика!B:B,"ERR",0)</f>
        <v>Bollman Headwear Europe Ltd; 2 Merchants drive, Caelisle, Cumbria CA3 0JW, United Kingdom</v>
      </c>
      <c r="R210" s="80" t="str">
        <f ca="1">_xlfn.XLOOKUP(RIGHT(Z210,2),Размеры!D:D,Размеры!A:A,"ERR",0)</f>
        <v>59</v>
      </c>
      <c r="S210" s="80">
        <f ca="1">VALUE(_xlfn.XLOOKUP($Z210,Строчный!$R:$R,Строчный!T:T,"ERR",0))</f>
        <v>7</v>
      </c>
      <c r="T210" s="14" t="s">
        <v>265</v>
      </c>
      <c r="U210" s="101" t="str">
        <f t="shared" ca="1" si="23"/>
        <v>Шляпа BAILEY арт. 81710BH HOOPER (темно-серый)</v>
      </c>
      <c r="V210" s="100" t="str">
        <f t="shared" ca="1" si="24"/>
        <v>Шляпа BAILEY арт. 81710BH HOOPER (темно-серый) {charcoal}</v>
      </c>
      <c r="W210" s="18" t="str">
        <f t="shared" ca="1" si="25"/>
        <v>серый</v>
      </c>
      <c r="X210" s="18" t="str">
        <f t="shared" ca="1" si="26"/>
        <v>серый</v>
      </c>
      <c r="Y210" s="117" t="str">
        <f ca="1">_xlfn.LET(_xlpm.FormColors,_xlfn.XLOOKUP(A210,Строчный!A:A,Строчный!Q:Q,"",0),IF(_xlpm.FormColors=0,IFERROR(MID(I210,FIND("-",I210)+1,LEN(I210)),IFERROR(MID(I210,1,FIND("/",I210)-2),I210)),_xlpm.FormColors))</f>
        <v>серый</v>
      </c>
      <c r="Z210" s="73" t="str">
        <f ca="1"/>
        <v>21-396-05-59</v>
      </c>
      <c r="AA210" s="75" t="str">
        <f ca="1">VLOOKUP(C210,Группа!A:B,2,FALSE)</f>
        <v>Шляпа</v>
      </c>
      <c r="AB210" s="97" t="str">
        <f ca="1">IFERROR(VLOOKUP(R210,Размеры!A:C,3,FALSE),"")</f>
        <v>59 L</v>
      </c>
      <c r="AC210" s="97" t="str">
        <f ca="1">VLOOKUP(I210,ЦветПолный!A:B,2,FALSE)</f>
        <v>05</v>
      </c>
      <c r="AD210" s="97" t="str">
        <f ca="1">IFERROR(VLOOKUP(R210,Размеры!A:D,4,FALSE),"")</f>
        <v>59</v>
      </c>
      <c r="AE210" s="97">
        <f ca="1">IF(LEFT(IFERROR(VLOOKUP(LOOKUP(2,1/SEARCH(B210,Товары!A:A),Товары!A:A),Товары!A:B,2,0),""),6)=MID(Z210,1,6),1,0)</f>
        <v>1</v>
      </c>
      <c r="AG210" s="97">
        <f ca="1">SUMIF(Группа!A:A,C210,Группа!C:C)</f>
        <v>1</v>
      </c>
      <c r="AH210" s="97">
        <f ca="1">SUMIF(Группа!B:B,AA210,Группа!C:C)</f>
        <v>1</v>
      </c>
      <c r="AI210" s="97">
        <f ca="1">SUMIF(Формы!A:A,D210,Формы!B:B)</f>
        <v>1</v>
      </c>
      <c r="AJ210" s="97">
        <f ca="1">SUMIF(Материал!A:A,K210,Материал!B:B)</f>
        <v>1</v>
      </c>
      <c r="AK210" s="97">
        <f ca="1">SUMIF(Размеры!A:A,R210,Размеры!E:E)</f>
        <v>1</v>
      </c>
      <c r="AL210" s="97">
        <f ca="1">SUMIF(Сезон!A:A,F210,Сезон!B:B)</f>
        <v>1</v>
      </c>
      <c r="AM210" s="97">
        <f ca="1">SUMIF(Состав!A:A,J210,Состав!B:B)</f>
        <v>1</v>
      </c>
      <c r="AN210" s="97">
        <f ca="1">VLOOKUP(I210,ЦветПолный!A:C,3,0)</f>
        <v>1</v>
      </c>
      <c r="AO210" s="97">
        <f ca="1">SUMIF(Цвет!A:A,Y210,Цвет!B:B)</f>
        <v>1</v>
      </c>
      <c r="AP210" s="97">
        <f ca="1">_xlfn.XLOOKUP(L210,Пол!A:A,Пол!B:B,0,0)</f>
        <v>1</v>
      </c>
      <c r="AQ210" s="97">
        <f ca="1">SUMIF(Марка!A:A,G210,Марка!B:B)</f>
        <v>1</v>
      </c>
      <c r="AR210" s="97">
        <f ca="1">SUMIF(Страна!A:A,M210,Страна!B:B)</f>
        <v>1</v>
      </c>
      <c r="AS210" s="64" t="e">
        <f ca="1">IF(VLOOKUP(V210,Товары!A:B,2,FALSE)=A210,"Есть в 1С","ERR")</f>
        <v>#N/A</v>
      </c>
      <c r="AT210" s="65" t="e">
        <f ca="1">IF(VLOOKUP(A210,Товары!B:B,1,FALSE)=A210,"Есть в 1С","ERR")</f>
        <v>#N/A</v>
      </c>
      <c r="AU210" s="96" t="e">
        <f ca="1">VLOOKUP(V210,Товары!A:B,2,FALSE)</f>
        <v>#N/A</v>
      </c>
      <c r="AV210" s="94" t="e">
        <f ca="1">VLOOKUP(V210,Товары!A:B,1,FALSE)</f>
        <v>#N/A</v>
      </c>
    </row>
    <row r="211" spans="1:48" x14ac:dyDescent="0.25">
      <c r="A211" s="110" t="str">
        <f t="shared" ca="1" si="27"/>
        <v>21-396-05</v>
      </c>
      <c r="B211" s="107" t="str">
        <f ca="1">_xlfn.LET(_xlpm.CAPS,0,_xlpm.Style,_xlfn.XLOOKUP($A211,Строчный!$A:$A,Строчный!B:B,"ERR",0),IF(_xlpm.CAPS=0,_xlpm.Style,LOWER(_xlpm.Style)))</f>
        <v>81710BH HOOPER</v>
      </c>
      <c r="C211" s="81" t="str">
        <f ca="1">PROPER(_xlfn.XLOOKUP($A211,Строчный!$A:$A,Строчный!C:C,"ERR",0))</f>
        <v>Шляпы</v>
      </c>
      <c r="D211" s="81" t="str">
        <f ca="1">_xlfn.LET(_xlpm.DATA,(_xlfn.XLOOKUP($A211,Строчный!$A:$A,Строчный!D:D,"ERR",0)),UPPER(MID(_xlpm.DATA,1,1))&amp;LOWER(MID(_xlpm.DATA,2,LEN(_xlpm.DATA)-1)))</f>
        <v>Шляпа хомбург</v>
      </c>
      <c r="E211" s="81" t="str">
        <f ca="1">PROPER(_xlfn.XLOOKUP($A211,Строчный!$A:$A,Строчный!E:E,"ERR",0))</f>
        <v>The Hollywood</v>
      </c>
      <c r="F211" s="81" t="str">
        <f ca="1">LOWER(_xlfn.XLOOKUP($A211,Строчный!$A:$A,Строчный!F:F,"ERR",0))</f>
        <v>летний</v>
      </c>
      <c r="G211" s="81" t="str">
        <f ca="1">UPPER(_xlfn.XLOOKUP($A211,Строчный!$A:$A,Строчный!G:G,"ERR",0))</f>
        <v>BAILEY</v>
      </c>
      <c r="H211" s="81" t="str">
        <f ca="1">LOWER(_xlfn.XLOOKUP($A211,Строчный!$A:$A,Строчный!H:H,"ERR",0))</f>
        <v>charcoal</v>
      </c>
      <c r="I211" s="81" t="str">
        <f ca="1">LOWER(_xlfn.XLOOKUP($A211,Строчный!$A:$A,Строчный!I:I,"ERR",0))</f>
        <v>темно-серый</v>
      </c>
      <c r="J211" s="81" t="str">
        <f ca="1">SUBSTITUTE(LOWER(_xlfn.XLOOKUP($A211,Строчный!$A:$A,Строчный!J:J,"ERR",0)),"подклад","Подклад")</f>
        <v>50% бумага - 50% полипропилен</v>
      </c>
      <c r="K211" s="81" t="str">
        <f ca="1">LOWER(_xlfn.XLOOKUP($A211,Строчный!$A:$A,Строчный!K:K,"ERR",0))</f>
        <v>бумажные</v>
      </c>
      <c r="L211" s="81" t="str">
        <f ca="1">PROPER(_xlfn.XLOOKUP($A211,Строчный!$A:$A,Строчный!L:L,"ERR",0))</f>
        <v>Унисекс</v>
      </c>
      <c r="M211" s="113" t="str">
        <f ca="1">PROPER(_xlfn.XLOOKUP($A211,Строчный!$A:$A,Строчный!M:M,"ERR",0))</f>
        <v>Китай</v>
      </c>
      <c r="N211" s="81" t="str">
        <f ca="1">UPPER(_xlfn.XLOOKUP($A211,Строчный!$A:$A,Строчный!O:O,"ERR",0))</f>
        <v/>
      </c>
      <c r="O211" s="107" t="str">
        <f ca="1">PROPER(_xlfn.XLOOKUP($A211,Строчный!$A:$A,Строчный!P:P,"ERR",0))</f>
        <v/>
      </c>
      <c r="P211" s="90">
        <f ca="1">VALUE(_xlfn.XLOOKUP($A211,Строчный!$A:$A,Строчный!N:N,"ERR",0))</f>
        <v>2094.3000000000002</v>
      </c>
      <c r="Q211" s="89" t="str">
        <f ca="1">_xlfn.XLOOKUP($G211,Фабрика!A:A,Фабрика!B:B,"ERR",0)</f>
        <v>Bollman Headwear Europe Ltd; 2 Merchants drive, Caelisle, Cumbria CA3 0JW, United Kingdom</v>
      </c>
      <c r="R211" s="80" t="str">
        <f ca="1">_xlfn.XLOOKUP(RIGHT(Z211,2),Размеры!D:D,Размеры!A:A,"ERR",0)</f>
        <v>57</v>
      </c>
      <c r="S211" s="80">
        <f ca="1">VALUE(_xlfn.XLOOKUP($Z211,Строчный!$R:$R,Строчный!T:T,"ERR",0))</f>
        <v>4</v>
      </c>
      <c r="T211" s="14" t="s">
        <v>265</v>
      </c>
      <c r="U211" s="101" t="str">
        <f t="shared" ca="1" si="23"/>
        <v>Шляпа BAILEY арт. 81710BH HOOPER (темно-серый)</v>
      </c>
      <c r="V211" s="100" t="str">
        <f t="shared" ca="1" si="24"/>
        <v>Шляпа BAILEY арт. 81710BH HOOPER (темно-серый) {charcoal}</v>
      </c>
      <c r="W211" s="18" t="str">
        <f t="shared" ca="1" si="25"/>
        <v>серый</v>
      </c>
      <c r="X211" s="18" t="str">
        <f t="shared" ca="1" si="26"/>
        <v>серый</v>
      </c>
      <c r="Y211" s="117" t="str">
        <f ca="1">_xlfn.LET(_xlpm.FormColors,_xlfn.XLOOKUP(A211,Строчный!A:A,Строчный!Q:Q,"",0),IF(_xlpm.FormColors=0,IFERROR(MID(I211,FIND("-",I211)+1,LEN(I211)),IFERROR(MID(I211,1,FIND("/",I211)-2),I211)),_xlpm.FormColors))</f>
        <v>серый</v>
      </c>
      <c r="Z211" s="73" t="str">
        <f ca="1"/>
        <v>21-396-05-57</v>
      </c>
      <c r="AA211" s="75" t="str">
        <f ca="1">VLOOKUP(C211,Группа!A:B,2,FALSE)</f>
        <v>Шляпа</v>
      </c>
      <c r="AB211" s="97" t="str">
        <f ca="1">IFERROR(VLOOKUP(R211,Размеры!A:C,3,FALSE),"")</f>
        <v>57 M</v>
      </c>
      <c r="AC211" s="97" t="str">
        <f ca="1">VLOOKUP(I211,ЦветПолный!A:B,2,FALSE)</f>
        <v>05</v>
      </c>
      <c r="AD211" s="97" t="str">
        <f ca="1">IFERROR(VLOOKUP(R211,Размеры!A:D,4,FALSE),"")</f>
        <v>57</v>
      </c>
      <c r="AE211" s="97">
        <f ca="1">IF(LEFT(IFERROR(VLOOKUP(LOOKUP(2,1/SEARCH(B211,Товары!A:A),Товары!A:A),Товары!A:B,2,0),""),6)=MID(Z211,1,6),1,0)</f>
        <v>1</v>
      </c>
      <c r="AG211" s="97">
        <f ca="1">SUMIF(Группа!A:A,C211,Группа!C:C)</f>
        <v>1</v>
      </c>
      <c r="AH211" s="97">
        <f ca="1">SUMIF(Группа!B:B,AA211,Группа!C:C)</f>
        <v>1</v>
      </c>
      <c r="AI211" s="97">
        <f ca="1">SUMIF(Формы!A:A,D211,Формы!B:B)</f>
        <v>1</v>
      </c>
      <c r="AJ211" s="97">
        <f ca="1">SUMIF(Материал!A:A,K211,Материал!B:B)</f>
        <v>1</v>
      </c>
      <c r="AK211" s="97">
        <f ca="1">SUMIF(Размеры!A:A,R211,Размеры!E:E)</f>
        <v>1</v>
      </c>
      <c r="AL211" s="97">
        <f ca="1">SUMIF(Сезон!A:A,F211,Сезон!B:B)</f>
        <v>1</v>
      </c>
      <c r="AM211" s="97">
        <f ca="1">SUMIF(Состав!A:A,J211,Состав!B:B)</f>
        <v>1</v>
      </c>
      <c r="AN211" s="97">
        <f ca="1">VLOOKUP(I211,ЦветПолный!A:C,3,0)</f>
        <v>1</v>
      </c>
      <c r="AO211" s="97">
        <f ca="1">SUMIF(Цвет!A:A,Y211,Цвет!B:B)</f>
        <v>1</v>
      </c>
      <c r="AP211" s="97">
        <f ca="1">_xlfn.XLOOKUP(L211,Пол!A:A,Пол!B:B,0,0)</f>
        <v>1</v>
      </c>
      <c r="AQ211" s="97">
        <f ca="1">SUMIF(Марка!A:A,G211,Марка!B:B)</f>
        <v>1</v>
      </c>
      <c r="AR211" s="97">
        <f ca="1">SUMIF(Страна!A:A,M211,Страна!B:B)</f>
        <v>1</v>
      </c>
      <c r="AS211" s="64" t="e">
        <f ca="1">IF(VLOOKUP(V211,Товары!A:B,2,FALSE)=A211,"Есть в 1С","ERR")</f>
        <v>#N/A</v>
      </c>
      <c r="AT211" s="65" t="e">
        <f ca="1">IF(VLOOKUP(A211,Товары!B:B,1,FALSE)=A211,"Есть в 1С","ERR")</f>
        <v>#N/A</v>
      </c>
      <c r="AU211" s="96" t="e">
        <f ca="1">VLOOKUP(V211,Товары!A:B,2,FALSE)</f>
        <v>#N/A</v>
      </c>
      <c r="AV211" s="94" t="e">
        <f ca="1">VLOOKUP(V211,Товары!A:B,1,FALSE)</f>
        <v>#N/A</v>
      </c>
    </row>
    <row r="212" spans="1:48" x14ac:dyDescent="0.25">
      <c r="A212" s="110" t="str">
        <f t="shared" ca="1" si="27"/>
        <v>21-396-05</v>
      </c>
      <c r="B212" s="107" t="str">
        <f ca="1">_xlfn.LET(_xlpm.CAPS,0,_xlpm.Style,_xlfn.XLOOKUP($A212,Строчный!$A:$A,Строчный!B:B,"ERR",0),IF(_xlpm.CAPS=0,_xlpm.Style,LOWER(_xlpm.Style)))</f>
        <v>81710BH HOOPER</v>
      </c>
      <c r="C212" s="81" t="str">
        <f ca="1">PROPER(_xlfn.XLOOKUP($A212,Строчный!$A:$A,Строчный!C:C,"ERR",0))</f>
        <v>Шляпы</v>
      </c>
      <c r="D212" s="81" t="str">
        <f ca="1">_xlfn.LET(_xlpm.DATA,(_xlfn.XLOOKUP($A212,Строчный!$A:$A,Строчный!D:D,"ERR",0)),UPPER(MID(_xlpm.DATA,1,1))&amp;LOWER(MID(_xlpm.DATA,2,LEN(_xlpm.DATA)-1)))</f>
        <v>Шляпа хомбург</v>
      </c>
      <c r="E212" s="81" t="str">
        <f ca="1">PROPER(_xlfn.XLOOKUP($A212,Строчный!$A:$A,Строчный!E:E,"ERR",0))</f>
        <v>The Hollywood</v>
      </c>
      <c r="F212" s="81" t="str">
        <f ca="1">LOWER(_xlfn.XLOOKUP($A212,Строчный!$A:$A,Строчный!F:F,"ERR",0))</f>
        <v>летний</v>
      </c>
      <c r="G212" s="81" t="str">
        <f ca="1">UPPER(_xlfn.XLOOKUP($A212,Строчный!$A:$A,Строчный!G:G,"ERR",0))</f>
        <v>BAILEY</v>
      </c>
      <c r="H212" s="81" t="str">
        <f ca="1">LOWER(_xlfn.XLOOKUP($A212,Строчный!$A:$A,Строчный!H:H,"ERR",0))</f>
        <v>charcoal</v>
      </c>
      <c r="I212" s="81" t="str">
        <f ca="1">LOWER(_xlfn.XLOOKUP($A212,Строчный!$A:$A,Строчный!I:I,"ERR",0))</f>
        <v>темно-серый</v>
      </c>
      <c r="J212" s="81" t="str">
        <f ca="1">SUBSTITUTE(LOWER(_xlfn.XLOOKUP($A212,Строчный!$A:$A,Строчный!J:J,"ERR",0)),"подклад","Подклад")</f>
        <v>50% бумага - 50% полипропилен</v>
      </c>
      <c r="K212" s="81" t="str">
        <f ca="1">LOWER(_xlfn.XLOOKUP($A212,Строчный!$A:$A,Строчный!K:K,"ERR",0))</f>
        <v>бумажные</v>
      </c>
      <c r="L212" s="81" t="str">
        <f ca="1">PROPER(_xlfn.XLOOKUP($A212,Строчный!$A:$A,Строчный!L:L,"ERR",0))</f>
        <v>Унисекс</v>
      </c>
      <c r="M212" s="113" t="str">
        <f ca="1">PROPER(_xlfn.XLOOKUP($A212,Строчный!$A:$A,Строчный!M:M,"ERR",0))</f>
        <v>Китай</v>
      </c>
      <c r="N212" s="81" t="str">
        <f ca="1">UPPER(_xlfn.XLOOKUP($A212,Строчный!$A:$A,Строчный!O:O,"ERR",0))</f>
        <v/>
      </c>
      <c r="O212" s="107" t="str">
        <f ca="1">PROPER(_xlfn.XLOOKUP($A212,Строчный!$A:$A,Строчный!P:P,"ERR",0))</f>
        <v/>
      </c>
      <c r="P212" s="90">
        <f ca="1">VALUE(_xlfn.XLOOKUP($A212,Строчный!$A:$A,Строчный!N:N,"ERR",0))</f>
        <v>2094.3000000000002</v>
      </c>
      <c r="Q212" s="89" t="str">
        <f ca="1">_xlfn.XLOOKUP($G212,Фабрика!A:A,Фабрика!B:B,"ERR",0)</f>
        <v>Bollman Headwear Europe Ltd; 2 Merchants drive, Caelisle, Cumbria CA3 0JW, United Kingdom</v>
      </c>
      <c r="R212" s="80" t="str">
        <f ca="1">_xlfn.XLOOKUP(RIGHT(Z212,2),Размеры!D:D,Размеры!A:A,"ERR",0)</f>
        <v>55</v>
      </c>
      <c r="S212" s="80">
        <f ca="1">VALUE(_xlfn.XLOOKUP($Z212,Строчный!$R:$R,Строчный!T:T,"ERR",0))</f>
        <v>1</v>
      </c>
      <c r="T212" s="14" t="s">
        <v>265</v>
      </c>
      <c r="U212" s="101" t="str">
        <f t="shared" ca="1" si="23"/>
        <v>Шляпа BAILEY арт. 81710BH HOOPER (темно-серый)</v>
      </c>
      <c r="V212" s="100" t="str">
        <f t="shared" ca="1" si="24"/>
        <v>Шляпа BAILEY арт. 81710BH HOOPER (темно-серый) {charcoal}</v>
      </c>
      <c r="W212" s="18" t="str">
        <f t="shared" ca="1" si="25"/>
        <v>серый</v>
      </c>
      <c r="X212" s="18" t="str">
        <f t="shared" ca="1" si="26"/>
        <v>серый</v>
      </c>
      <c r="Y212" s="117" t="str">
        <f ca="1">_xlfn.LET(_xlpm.FormColors,_xlfn.XLOOKUP(A212,Строчный!A:A,Строчный!Q:Q,"",0),IF(_xlpm.FormColors=0,IFERROR(MID(I212,FIND("-",I212)+1,LEN(I212)),IFERROR(MID(I212,1,FIND("/",I212)-2),I212)),_xlpm.FormColors))</f>
        <v>серый</v>
      </c>
      <c r="Z212" s="73" t="str">
        <f ca="1"/>
        <v>21-396-05-55</v>
      </c>
      <c r="AA212" s="75" t="str">
        <f ca="1">VLOOKUP(C212,Группа!A:B,2,FALSE)</f>
        <v>Шляпа</v>
      </c>
      <c r="AB212" s="97" t="str">
        <f ca="1">IFERROR(VLOOKUP(R212,Размеры!A:C,3,FALSE),"")</f>
        <v>55 S</v>
      </c>
      <c r="AC212" s="97" t="str">
        <f ca="1">VLOOKUP(I212,ЦветПолный!A:B,2,FALSE)</f>
        <v>05</v>
      </c>
      <c r="AD212" s="97" t="str">
        <f ca="1">IFERROR(VLOOKUP(R212,Размеры!A:D,4,FALSE),"")</f>
        <v>55</v>
      </c>
      <c r="AE212" s="97">
        <f ca="1">IF(LEFT(IFERROR(VLOOKUP(LOOKUP(2,1/SEARCH(B212,Товары!A:A),Товары!A:A),Товары!A:B,2,0),""),6)=MID(Z212,1,6),1,0)</f>
        <v>1</v>
      </c>
      <c r="AG212" s="97">
        <f ca="1">SUMIF(Группа!A:A,C212,Группа!C:C)</f>
        <v>1</v>
      </c>
      <c r="AH212" s="97">
        <f ca="1">SUMIF(Группа!B:B,AA212,Группа!C:C)</f>
        <v>1</v>
      </c>
      <c r="AI212" s="97">
        <f ca="1">SUMIF(Формы!A:A,D212,Формы!B:B)</f>
        <v>1</v>
      </c>
      <c r="AJ212" s="97">
        <f ca="1">SUMIF(Материал!A:A,K212,Материал!B:B)</f>
        <v>1</v>
      </c>
      <c r="AK212" s="97">
        <f ca="1">SUMIF(Размеры!A:A,R212,Размеры!E:E)</f>
        <v>1</v>
      </c>
      <c r="AL212" s="97">
        <f ca="1">SUMIF(Сезон!A:A,F212,Сезон!B:B)</f>
        <v>1</v>
      </c>
      <c r="AM212" s="97">
        <f ca="1">SUMIF(Состав!A:A,J212,Состав!B:B)</f>
        <v>1</v>
      </c>
      <c r="AN212" s="97">
        <f ca="1">VLOOKUP(I212,ЦветПолный!A:C,3,0)</f>
        <v>1</v>
      </c>
      <c r="AO212" s="97">
        <f ca="1">SUMIF(Цвет!A:A,Y212,Цвет!B:B)</f>
        <v>1</v>
      </c>
      <c r="AP212" s="97">
        <f ca="1">_xlfn.XLOOKUP(L212,Пол!A:A,Пол!B:B,0,0)</f>
        <v>1</v>
      </c>
      <c r="AQ212" s="97">
        <f ca="1">SUMIF(Марка!A:A,G212,Марка!B:B)</f>
        <v>1</v>
      </c>
      <c r="AR212" s="97">
        <f ca="1">SUMIF(Страна!A:A,M212,Страна!B:B)</f>
        <v>1</v>
      </c>
      <c r="AS212" s="64" t="e">
        <f ca="1">IF(VLOOKUP(V212,Товары!A:B,2,FALSE)=A212,"Есть в 1С","ERR")</f>
        <v>#N/A</v>
      </c>
      <c r="AT212" s="65" t="e">
        <f ca="1">IF(VLOOKUP(A212,Товары!B:B,1,FALSE)=A212,"Есть в 1С","ERR")</f>
        <v>#N/A</v>
      </c>
      <c r="AU212" s="96" t="e">
        <f ca="1">VLOOKUP(V212,Товары!A:B,2,FALSE)</f>
        <v>#N/A</v>
      </c>
      <c r="AV212" s="94" t="e">
        <f ca="1">VLOOKUP(V212,Товары!A:B,1,FALSE)</f>
        <v>#N/A</v>
      </c>
    </row>
    <row r="213" spans="1:48" x14ac:dyDescent="0.25">
      <c r="A213" s="110" t="str">
        <f t="shared" ca="1" si="27"/>
        <v>21-297-02</v>
      </c>
      <c r="B213" s="107" t="str">
        <f ca="1">_xlfn.LET(_xlpm.CAPS,0,_xlpm.Style,_xlfn.XLOOKUP($A213,Строчный!$A:$A,Строчный!B:B,"ERR",0),IF(_xlpm.CAPS=0,_xlpm.Style,LOWER(_xlpm.Style)))</f>
        <v>22760BH LORING</v>
      </c>
      <c r="C213" s="81" t="str">
        <f ca="1">PROPER(_xlfn.XLOOKUP($A213,Строчный!$A:$A,Строчный!C:C,"ERR",0))</f>
        <v>Шляпы</v>
      </c>
      <c r="D213" s="81" t="str">
        <f ca="1">_xlfn.LET(_xlpm.DATA,(_xlfn.XLOOKUP($A213,Строчный!$A:$A,Строчный!D:D,"ERR",0)),UPPER(MID(_xlpm.DATA,1,1))&amp;LOWER(MID(_xlpm.DATA,2,LEN(_xlpm.DATA)-1)))</f>
        <v>Шляпа федора</v>
      </c>
      <c r="E213" s="81" t="str">
        <f ca="1">PROPER(_xlfn.XLOOKUP($A213,Строчный!$A:$A,Строчный!E:E,"ERR",0))</f>
        <v>The Hollywood</v>
      </c>
      <c r="F213" s="81" t="str">
        <f ca="1">LOWER(_xlfn.XLOOKUP($A213,Строчный!$A:$A,Строчный!F:F,"ERR",0))</f>
        <v>летний</v>
      </c>
      <c r="G213" s="81" t="str">
        <f ca="1">UPPER(_xlfn.XLOOKUP($A213,Строчный!$A:$A,Строчный!G:G,"ERR",0))</f>
        <v>BAILEY</v>
      </c>
      <c r="H213" s="81" t="str">
        <f ca="1">LOWER(_xlfn.XLOOKUP($A213,Строчный!$A:$A,Строчный!H:H,"ERR",0))</f>
        <v>natural</v>
      </c>
      <c r="I213" s="81" t="str">
        <f ca="1">LOWER(_xlfn.XLOOKUP($A213,Строчный!$A:$A,Строчный!I:I,"ERR",0))</f>
        <v>бежевый</v>
      </c>
      <c r="J213" s="81" t="str">
        <f ca="1">SUBSTITUTE(LOWER(_xlfn.XLOOKUP($A213,Строчный!$A:$A,Строчный!J:J,"ERR",0)),"подклад","Подклад")</f>
        <v>100% солома</v>
      </c>
      <c r="K213" s="81" t="str">
        <f ca="1">LOWER(_xlfn.XLOOKUP($A213,Строчный!$A:$A,Строчный!K:K,"ERR",0))</f>
        <v>соломенные</v>
      </c>
      <c r="L213" s="81" t="str">
        <f ca="1">PROPER(_xlfn.XLOOKUP($A213,Строчный!$A:$A,Строчный!L:L,"ERR",0))</f>
        <v>Унисекс</v>
      </c>
      <c r="M213" s="113" t="str">
        <f ca="1">PROPER(_xlfn.XLOOKUP($A213,Строчный!$A:$A,Строчный!M:M,"ERR",0))</f>
        <v>Соединенные Штаты</v>
      </c>
      <c r="N213" s="81" t="str">
        <f ca="1">UPPER(_xlfn.XLOOKUP($A213,Строчный!$A:$A,Строчный!O:O,"ERR",0))</f>
        <v/>
      </c>
      <c r="O213" s="107" t="str">
        <f ca="1">PROPER(_xlfn.XLOOKUP($A213,Строчный!$A:$A,Строчный!P:P,"ERR",0))</f>
        <v/>
      </c>
      <c r="P213" s="90">
        <f ca="1">VALUE(_xlfn.XLOOKUP($A213,Строчный!$A:$A,Строчный!N:N,"ERR",0))</f>
        <v>10711.35</v>
      </c>
      <c r="Q213" s="89" t="str">
        <f ca="1">_xlfn.XLOOKUP($G213,Фабрика!A:A,Фабрика!B:B,"ERR",0)</f>
        <v>Bollman Headwear Europe Ltd; 2 Merchants drive, Caelisle, Cumbria CA3 0JW, United Kingdom</v>
      </c>
      <c r="R213" s="80" t="str">
        <f ca="1">_xlfn.XLOOKUP(RIGHT(Z213,2),Размеры!D:D,Размеры!A:A,"ERR",0)</f>
        <v>59</v>
      </c>
      <c r="S213" s="80">
        <f ca="1">VALUE(_xlfn.XLOOKUP($Z213,Строчный!$R:$R,Строчный!T:T,"ERR",0))</f>
        <v>2</v>
      </c>
      <c r="T213" s="14" t="s">
        <v>265</v>
      </c>
      <c r="U213" s="101" t="str">
        <f t="shared" ca="1" si="23"/>
        <v>Шляпа BAILEY арт. 22760BH LORING (бежевый)</v>
      </c>
      <c r="V213" s="100" t="str">
        <f t="shared" ca="1" si="24"/>
        <v>Шляпа BAILEY арт. 22760BH LORING (бежевый) {natural}</v>
      </c>
      <c r="W213" s="18" t="str">
        <f t="shared" ca="1" si="25"/>
        <v>бежевый</v>
      </c>
      <c r="X213" s="18" t="str">
        <f t="shared" ca="1" si="26"/>
        <v>бежевый</v>
      </c>
      <c r="Y213" s="117" t="str">
        <f ca="1">_xlfn.LET(_xlpm.FormColors,_xlfn.XLOOKUP(A213,Строчный!A:A,Строчный!Q:Q,"",0),IF(_xlpm.FormColors=0,IFERROR(MID(I213,FIND("-",I213)+1,LEN(I213)),IFERROR(MID(I213,1,FIND("/",I213)-2),I213)),_xlpm.FormColors))</f>
        <v>бежевый</v>
      </c>
      <c r="Z213" s="73" t="str">
        <f ca="1"/>
        <v>21-297-02-59</v>
      </c>
      <c r="AA213" s="75" t="str">
        <f ca="1">VLOOKUP(C213,Группа!A:B,2,FALSE)</f>
        <v>Шляпа</v>
      </c>
      <c r="AB213" s="97" t="str">
        <f ca="1">IFERROR(VLOOKUP(R213,Размеры!A:C,3,FALSE),"")</f>
        <v>59 L</v>
      </c>
      <c r="AC213" s="97" t="str">
        <f ca="1">VLOOKUP(I213,ЦветПолный!A:B,2,FALSE)</f>
        <v>02</v>
      </c>
      <c r="AD213" s="97" t="str">
        <f ca="1">IFERROR(VLOOKUP(R213,Размеры!A:D,4,FALSE),"")</f>
        <v>59</v>
      </c>
      <c r="AE213" s="97">
        <f ca="1">IF(LEFT(IFERROR(VLOOKUP(LOOKUP(2,1/SEARCH(B213,Товары!A:A),Товары!A:A),Товары!A:B,2,0),""),6)=MID(Z213,1,6),1,0)</f>
        <v>1</v>
      </c>
      <c r="AG213" s="97">
        <f ca="1">SUMIF(Группа!A:A,C213,Группа!C:C)</f>
        <v>1</v>
      </c>
      <c r="AH213" s="97">
        <f ca="1">SUMIF(Группа!B:B,AA213,Группа!C:C)</f>
        <v>1</v>
      </c>
      <c r="AI213" s="97">
        <f ca="1">SUMIF(Формы!A:A,D213,Формы!B:B)</f>
        <v>1</v>
      </c>
      <c r="AJ213" s="97">
        <f ca="1">SUMIF(Материал!A:A,K213,Материал!B:B)</f>
        <v>1</v>
      </c>
      <c r="AK213" s="97">
        <f ca="1">SUMIF(Размеры!A:A,R213,Размеры!E:E)</f>
        <v>1</v>
      </c>
      <c r="AL213" s="97">
        <f ca="1">SUMIF(Сезон!A:A,F213,Сезон!B:B)</f>
        <v>1</v>
      </c>
      <c r="AM213" s="97">
        <f ca="1">SUMIF(Состав!A:A,J213,Состав!B:B)</f>
        <v>1</v>
      </c>
      <c r="AN213" s="97">
        <f ca="1">VLOOKUP(I213,ЦветПолный!A:C,3,0)</f>
        <v>1</v>
      </c>
      <c r="AO213" s="97">
        <f ca="1">SUMIF(Цвет!A:A,Y213,Цвет!B:B)</f>
        <v>1</v>
      </c>
      <c r="AP213" s="97">
        <f ca="1">_xlfn.XLOOKUP(L213,Пол!A:A,Пол!B:B,0,0)</f>
        <v>1</v>
      </c>
      <c r="AQ213" s="97">
        <f ca="1">SUMIF(Марка!A:A,G213,Марка!B:B)</f>
        <v>1</v>
      </c>
      <c r="AR213" s="97">
        <f ca="1">SUMIF(Страна!A:A,M213,Страна!B:B)</f>
        <v>1</v>
      </c>
      <c r="AS213" s="64" t="str">
        <f ca="1">IF(VLOOKUP(V213,Товары!A:B,2,FALSE)=A213,"Есть в 1С","ERR")</f>
        <v>Есть в 1С</v>
      </c>
      <c r="AT213" s="65" t="str">
        <f ca="1">IF(VLOOKUP(A213,Товары!B:B,1,FALSE)=A213,"Есть в 1С","ERR")</f>
        <v>Есть в 1С</v>
      </c>
      <c r="AU213" s="96" t="str">
        <f ca="1">VLOOKUP(V213,Товары!A:B,2,FALSE)</f>
        <v>21-297-02</v>
      </c>
      <c r="AV213" s="94" t="str">
        <f ca="1">VLOOKUP(V213,Товары!A:B,1,FALSE)</f>
        <v>Шляпа BAILEY арт. 22760BH LORING (бежевый) {natural}</v>
      </c>
    </row>
    <row r="214" spans="1:48" x14ac:dyDescent="0.25">
      <c r="A214" s="110" t="str">
        <f t="shared" ca="1" si="27"/>
        <v>21-297-02</v>
      </c>
      <c r="B214" s="107" t="str">
        <f ca="1">_xlfn.LET(_xlpm.CAPS,0,_xlpm.Style,_xlfn.XLOOKUP($A214,Строчный!$A:$A,Строчный!B:B,"ERR",0),IF(_xlpm.CAPS=0,_xlpm.Style,LOWER(_xlpm.Style)))</f>
        <v>22760BH LORING</v>
      </c>
      <c r="C214" s="81" t="str">
        <f ca="1">PROPER(_xlfn.XLOOKUP($A214,Строчный!$A:$A,Строчный!C:C,"ERR",0))</f>
        <v>Шляпы</v>
      </c>
      <c r="D214" s="81" t="str">
        <f ca="1">_xlfn.LET(_xlpm.DATA,(_xlfn.XLOOKUP($A214,Строчный!$A:$A,Строчный!D:D,"ERR",0)),UPPER(MID(_xlpm.DATA,1,1))&amp;LOWER(MID(_xlpm.DATA,2,LEN(_xlpm.DATA)-1)))</f>
        <v>Шляпа федора</v>
      </c>
      <c r="E214" s="81" t="str">
        <f ca="1">PROPER(_xlfn.XLOOKUP($A214,Строчный!$A:$A,Строчный!E:E,"ERR",0))</f>
        <v>The Hollywood</v>
      </c>
      <c r="F214" s="81" t="str">
        <f ca="1">LOWER(_xlfn.XLOOKUP($A214,Строчный!$A:$A,Строчный!F:F,"ERR",0))</f>
        <v>летний</v>
      </c>
      <c r="G214" s="81" t="str">
        <f ca="1">UPPER(_xlfn.XLOOKUP($A214,Строчный!$A:$A,Строчный!G:G,"ERR",0))</f>
        <v>BAILEY</v>
      </c>
      <c r="H214" s="81" t="str">
        <f ca="1">LOWER(_xlfn.XLOOKUP($A214,Строчный!$A:$A,Строчный!H:H,"ERR",0))</f>
        <v>natural</v>
      </c>
      <c r="I214" s="81" t="str">
        <f ca="1">LOWER(_xlfn.XLOOKUP($A214,Строчный!$A:$A,Строчный!I:I,"ERR",0))</f>
        <v>бежевый</v>
      </c>
      <c r="J214" s="81" t="str">
        <f ca="1">SUBSTITUTE(LOWER(_xlfn.XLOOKUP($A214,Строчный!$A:$A,Строчный!J:J,"ERR",0)),"подклад","Подклад")</f>
        <v>100% солома</v>
      </c>
      <c r="K214" s="81" t="str">
        <f ca="1">LOWER(_xlfn.XLOOKUP($A214,Строчный!$A:$A,Строчный!K:K,"ERR",0))</f>
        <v>соломенные</v>
      </c>
      <c r="L214" s="81" t="str">
        <f ca="1">PROPER(_xlfn.XLOOKUP($A214,Строчный!$A:$A,Строчный!L:L,"ERR",0))</f>
        <v>Унисекс</v>
      </c>
      <c r="M214" s="113" t="str">
        <f ca="1">PROPER(_xlfn.XLOOKUP($A214,Строчный!$A:$A,Строчный!M:M,"ERR",0))</f>
        <v>Соединенные Штаты</v>
      </c>
      <c r="N214" s="81" t="str">
        <f ca="1">UPPER(_xlfn.XLOOKUP($A214,Строчный!$A:$A,Строчный!O:O,"ERR",0))</f>
        <v/>
      </c>
      <c r="O214" s="107" t="str">
        <f ca="1">PROPER(_xlfn.XLOOKUP($A214,Строчный!$A:$A,Строчный!P:P,"ERR",0))</f>
        <v/>
      </c>
      <c r="P214" s="90">
        <f ca="1">VALUE(_xlfn.XLOOKUP($A214,Строчный!$A:$A,Строчный!N:N,"ERR",0))</f>
        <v>10711.35</v>
      </c>
      <c r="Q214" s="89" t="str">
        <f ca="1">_xlfn.XLOOKUP($G214,Фабрика!A:A,Фабрика!B:B,"ERR",0)</f>
        <v>Bollman Headwear Europe Ltd; 2 Merchants drive, Caelisle, Cumbria CA3 0JW, United Kingdom</v>
      </c>
      <c r="R214" s="80" t="str">
        <f ca="1">_xlfn.XLOOKUP(RIGHT(Z214,2),Размеры!D:D,Размеры!A:A,"ERR",0)</f>
        <v>57</v>
      </c>
      <c r="S214" s="80">
        <f ca="1">VALUE(_xlfn.XLOOKUP($Z214,Строчный!$R:$R,Строчный!T:T,"ERR",0))</f>
        <v>1</v>
      </c>
      <c r="T214" s="14" t="s">
        <v>265</v>
      </c>
      <c r="U214" s="101" t="str">
        <f t="shared" ca="1" si="23"/>
        <v>Шляпа BAILEY арт. 22760BH LORING (бежевый)</v>
      </c>
      <c r="V214" s="100" t="str">
        <f t="shared" ca="1" si="24"/>
        <v>Шляпа BAILEY арт. 22760BH LORING (бежевый) {natural}</v>
      </c>
      <c r="W214" s="18" t="str">
        <f t="shared" ca="1" si="25"/>
        <v>бежевый</v>
      </c>
      <c r="X214" s="18" t="str">
        <f t="shared" ca="1" si="26"/>
        <v>бежевый</v>
      </c>
      <c r="Y214" s="117" t="str">
        <f ca="1">_xlfn.LET(_xlpm.FormColors,_xlfn.XLOOKUP(A214,Строчный!A:A,Строчный!Q:Q,"",0),IF(_xlpm.FormColors=0,IFERROR(MID(I214,FIND("-",I214)+1,LEN(I214)),IFERROR(MID(I214,1,FIND("/",I214)-2),I214)),_xlpm.FormColors))</f>
        <v>бежевый</v>
      </c>
      <c r="Z214" s="73" t="str">
        <f ca="1"/>
        <v>21-297-02-57</v>
      </c>
      <c r="AA214" s="75" t="str">
        <f ca="1">VLOOKUP(C214,Группа!A:B,2,FALSE)</f>
        <v>Шляпа</v>
      </c>
      <c r="AB214" s="97" t="str">
        <f ca="1">IFERROR(VLOOKUP(R214,Размеры!A:C,3,FALSE),"")</f>
        <v>57 M</v>
      </c>
      <c r="AC214" s="97" t="str">
        <f ca="1">VLOOKUP(I214,ЦветПолный!A:B,2,FALSE)</f>
        <v>02</v>
      </c>
      <c r="AD214" s="97" t="str">
        <f ca="1">IFERROR(VLOOKUP(R214,Размеры!A:D,4,FALSE),"")</f>
        <v>57</v>
      </c>
      <c r="AE214" s="97">
        <f ca="1">IF(LEFT(IFERROR(VLOOKUP(LOOKUP(2,1/SEARCH(B214,Товары!A:A),Товары!A:A),Товары!A:B,2,0),""),6)=MID(Z214,1,6),1,0)</f>
        <v>1</v>
      </c>
      <c r="AG214" s="97">
        <f ca="1">SUMIF(Группа!A:A,C214,Группа!C:C)</f>
        <v>1</v>
      </c>
      <c r="AH214" s="97">
        <f ca="1">SUMIF(Группа!B:B,AA214,Группа!C:C)</f>
        <v>1</v>
      </c>
      <c r="AI214" s="97">
        <f ca="1">SUMIF(Формы!A:A,D214,Формы!B:B)</f>
        <v>1</v>
      </c>
      <c r="AJ214" s="97">
        <f ca="1">SUMIF(Материал!A:A,K214,Материал!B:B)</f>
        <v>1</v>
      </c>
      <c r="AK214" s="97">
        <f ca="1">SUMIF(Размеры!A:A,R214,Размеры!E:E)</f>
        <v>1</v>
      </c>
      <c r="AL214" s="97">
        <f ca="1">SUMIF(Сезон!A:A,F214,Сезон!B:B)</f>
        <v>1</v>
      </c>
      <c r="AM214" s="97">
        <f ca="1">SUMIF(Состав!A:A,J214,Состав!B:B)</f>
        <v>1</v>
      </c>
      <c r="AN214" s="97">
        <f ca="1">VLOOKUP(I214,ЦветПолный!A:C,3,0)</f>
        <v>1</v>
      </c>
      <c r="AO214" s="97">
        <f ca="1">SUMIF(Цвет!A:A,Y214,Цвет!B:B)</f>
        <v>1</v>
      </c>
      <c r="AP214" s="97">
        <f ca="1">_xlfn.XLOOKUP(L214,Пол!A:A,Пол!B:B,0,0)</f>
        <v>1</v>
      </c>
      <c r="AQ214" s="97">
        <f ca="1">SUMIF(Марка!A:A,G214,Марка!B:B)</f>
        <v>1</v>
      </c>
      <c r="AR214" s="97">
        <f ca="1">SUMIF(Страна!A:A,M214,Страна!B:B)</f>
        <v>1</v>
      </c>
      <c r="AS214" s="64" t="str">
        <f ca="1">IF(VLOOKUP(V214,Товары!A:B,2,FALSE)=A214,"Есть в 1С","ERR")</f>
        <v>Есть в 1С</v>
      </c>
      <c r="AT214" s="65" t="str">
        <f ca="1">IF(VLOOKUP(A214,Товары!B:B,1,FALSE)=A214,"Есть в 1С","ERR")</f>
        <v>Есть в 1С</v>
      </c>
      <c r="AU214" s="96" t="str">
        <f ca="1">VLOOKUP(V214,Товары!A:B,2,FALSE)</f>
        <v>21-297-02</v>
      </c>
      <c r="AV214" s="94" t="str">
        <f ca="1">VLOOKUP(V214,Товары!A:B,1,FALSE)</f>
        <v>Шляпа BAILEY арт. 22760BH LORING (бежевый) {natural}</v>
      </c>
    </row>
    <row r="215" spans="1:48" x14ac:dyDescent="0.25">
      <c r="A215" s="110" t="str">
        <f t="shared" ca="1" si="27"/>
        <v>21-288-02</v>
      </c>
      <c r="B215" s="107" t="str">
        <f ca="1">_xlfn.LET(_xlpm.CAPS,0,_xlpm.Style,_xlfn.XLOOKUP($A215,Строчный!$A:$A,Строчный!B:B,"ERR",0),IF(_xlpm.CAPS=0,_xlpm.Style,LOWER(_xlpm.Style)))</f>
        <v>22757BH SALTER</v>
      </c>
      <c r="C215" s="81" t="str">
        <f ca="1">PROPER(_xlfn.XLOOKUP($A215,Строчный!$A:$A,Строчный!C:C,"ERR",0))</f>
        <v>Шляпы</v>
      </c>
      <c r="D215" s="81" t="str">
        <f ca="1">_xlfn.LET(_xlpm.DATA,(_xlfn.XLOOKUP($A215,Строчный!$A:$A,Строчный!D:D,"ERR",0)),UPPER(MID(_xlpm.DATA,1,1))&amp;LOWER(MID(_xlpm.DATA,2,LEN(_xlpm.DATA)-1)))</f>
        <v>Шляпа федора</v>
      </c>
      <c r="E215" s="81" t="str">
        <f ca="1">PROPER(_xlfn.XLOOKUP($A215,Строчный!$A:$A,Строчный!E:E,"ERR",0))</f>
        <v>The Hollywood</v>
      </c>
      <c r="F215" s="81" t="str">
        <f ca="1">LOWER(_xlfn.XLOOKUP($A215,Строчный!$A:$A,Строчный!F:F,"ERR",0))</f>
        <v>летний</v>
      </c>
      <c r="G215" s="81" t="str">
        <f ca="1">UPPER(_xlfn.XLOOKUP($A215,Строчный!$A:$A,Строчный!G:G,"ERR",0))</f>
        <v>BAILEY</v>
      </c>
      <c r="H215" s="81" t="str">
        <f ca="1">LOWER(_xlfn.XLOOKUP($A215,Строчный!$A:$A,Строчный!H:H,"ERR",0))</f>
        <v>natural</v>
      </c>
      <c r="I215" s="81" t="str">
        <f ca="1">LOWER(_xlfn.XLOOKUP($A215,Строчный!$A:$A,Строчный!I:I,"ERR",0))</f>
        <v>бежевый</v>
      </c>
      <c r="J215" s="81" t="str">
        <f ca="1">SUBSTITUTE(LOWER(_xlfn.XLOOKUP($A215,Строчный!$A:$A,Строчный!J:J,"ERR",0)),"подклад","Подклад")</f>
        <v>100% солома токилла</v>
      </c>
      <c r="K215" s="81" t="str">
        <f ca="1">LOWER(_xlfn.XLOOKUP($A215,Строчный!$A:$A,Строчный!K:K,"ERR",0))</f>
        <v>соломенные</v>
      </c>
      <c r="L215" s="81" t="str">
        <f ca="1">PROPER(_xlfn.XLOOKUP($A215,Строчный!$A:$A,Строчный!L:L,"ERR",0))</f>
        <v>Унисекс</v>
      </c>
      <c r="M215" s="113" t="str">
        <f ca="1">PROPER(_xlfn.XLOOKUP($A215,Строчный!$A:$A,Строчный!M:M,"ERR",0))</f>
        <v>Соединенные Штаты</v>
      </c>
      <c r="N215" s="81" t="str">
        <f ca="1">UPPER(_xlfn.XLOOKUP($A215,Строчный!$A:$A,Строчный!O:O,"ERR",0))</f>
        <v/>
      </c>
      <c r="O215" s="107" t="str">
        <f ca="1">PROPER(_xlfn.XLOOKUP($A215,Строчный!$A:$A,Строчный!P:P,"ERR",0))</f>
        <v/>
      </c>
      <c r="P215" s="90">
        <f ca="1">VALUE(_xlfn.XLOOKUP($A215,Строчный!$A:$A,Строчный!N:N,"ERR",0))</f>
        <v>10945.35</v>
      </c>
      <c r="Q215" s="89" t="str">
        <f ca="1">_xlfn.XLOOKUP($G215,Фабрика!A:A,Фабрика!B:B,"ERR",0)</f>
        <v>Bollman Headwear Europe Ltd; 2 Merchants drive, Caelisle, Cumbria CA3 0JW, United Kingdom</v>
      </c>
      <c r="R215" s="80" t="str">
        <f ca="1">_xlfn.XLOOKUP(RIGHT(Z215,2),Размеры!D:D,Размеры!A:A,"ERR",0)</f>
        <v>63</v>
      </c>
      <c r="S215" s="80">
        <f ca="1">VALUE(_xlfn.XLOOKUP($Z215,Строчный!$R:$R,Строчный!T:T,"ERR",0))</f>
        <v>1</v>
      </c>
      <c r="T215" s="14" t="s">
        <v>265</v>
      </c>
      <c r="U215" s="101" t="str">
        <f t="shared" ca="1" si="23"/>
        <v>Шляпа BAILEY арт. 22757BH SALTER (бежевый)</v>
      </c>
      <c r="V215" s="100" t="str">
        <f t="shared" ca="1" si="24"/>
        <v>Шляпа BAILEY арт. 22757BH SALTER (бежевый) {natural}</v>
      </c>
      <c r="W215" s="18" t="str">
        <f t="shared" ca="1" si="25"/>
        <v>бежевый</v>
      </c>
      <c r="X215" s="18" t="str">
        <f t="shared" ca="1" si="26"/>
        <v>бежевый</v>
      </c>
      <c r="Y215" s="117" t="str">
        <f ca="1">_xlfn.LET(_xlpm.FormColors,_xlfn.XLOOKUP(A215,Строчный!A:A,Строчный!Q:Q,"",0),IF(_xlpm.FormColors=0,IFERROR(MID(I215,FIND("-",I215)+1,LEN(I215)),IFERROR(MID(I215,1,FIND("/",I215)-2),I215)),_xlpm.FormColors))</f>
        <v>бежевый</v>
      </c>
      <c r="Z215" s="73" t="str">
        <f ca="1"/>
        <v>21-288-02-63</v>
      </c>
      <c r="AA215" s="75" t="str">
        <f ca="1">VLOOKUP(C215,Группа!A:B,2,FALSE)</f>
        <v>Шляпа</v>
      </c>
      <c r="AB215" s="97" t="str">
        <f ca="1">IFERROR(VLOOKUP(R215,Размеры!A:C,3,FALSE),"")</f>
        <v>63 XXL</v>
      </c>
      <c r="AC215" s="97" t="str">
        <f ca="1">VLOOKUP(I215,ЦветПолный!A:B,2,FALSE)</f>
        <v>02</v>
      </c>
      <c r="AD215" s="97" t="str">
        <f ca="1">IFERROR(VLOOKUP(R215,Размеры!A:D,4,FALSE),"")</f>
        <v>63</v>
      </c>
      <c r="AE215" s="97">
        <f ca="1">IF(LEFT(IFERROR(VLOOKUP(LOOKUP(2,1/SEARCH(B215,Товары!A:A),Товары!A:A),Товары!A:B,2,0),""),6)=MID(Z215,1,6),1,0)</f>
        <v>1</v>
      </c>
      <c r="AG215" s="97">
        <f ca="1">SUMIF(Группа!A:A,C215,Группа!C:C)</f>
        <v>1</v>
      </c>
      <c r="AH215" s="97">
        <f ca="1">SUMIF(Группа!B:B,AA215,Группа!C:C)</f>
        <v>1</v>
      </c>
      <c r="AI215" s="97">
        <f ca="1">SUMIF(Формы!A:A,D215,Формы!B:B)</f>
        <v>1</v>
      </c>
      <c r="AJ215" s="97">
        <f ca="1">SUMIF(Материал!A:A,K215,Материал!B:B)</f>
        <v>1</v>
      </c>
      <c r="AK215" s="97">
        <f ca="1">SUMIF(Размеры!A:A,R215,Размеры!E:E)</f>
        <v>1</v>
      </c>
      <c r="AL215" s="97">
        <f ca="1">SUMIF(Сезон!A:A,F215,Сезон!B:B)</f>
        <v>1</v>
      </c>
      <c r="AM215" s="97">
        <f ca="1">SUMIF(Состав!A:A,J215,Состав!B:B)</f>
        <v>1</v>
      </c>
      <c r="AN215" s="97">
        <f ca="1">VLOOKUP(I215,ЦветПолный!A:C,3,0)</f>
        <v>1</v>
      </c>
      <c r="AO215" s="97">
        <f ca="1">SUMIF(Цвет!A:A,Y215,Цвет!B:B)</f>
        <v>1</v>
      </c>
      <c r="AP215" s="97">
        <f ca="1">_xlfn.XLOOKUP(L215,Пол!A:A,Пол!B:B,0,0)</f>
        <v>1</v>
      </c>
      <c r="AQ215" s="97">
        <f ca="1">SUMIF(Марка!A:A,G215,Марка!B:B)</f>
        <v>1</v>
      </c>
      <c r="AR215" s="97">
        <f ca="1">SUMIF(Страна!A:A,M215,Страна!B:B)</f>
        <v>1</v>
      </c>
      <c r="AS215" s="64" t="str">
        <f ca="1">IF(VLOOKUP(V215,Товары!A:B,2,FALSE)=A215,"Есть в 1С","ERR")</f>
        <v>Есть в 1С</v>
      </c>
      <c r="AT215" s="65" t="str">
        <f ca="1">IF(VLOOKUP(A215,Товары!B:B,1,FALSE)=A215,"Есть в 1С","ERR")</f>
        <v>Есть в 1С</v>
      </c>
      <c r="AU215" s="96" t="str">
        <f ca="1">VLOOKUP(V215,Товары!A:B,2,FALSE)</f>
        <v>21-288-02</v>
      </c>
      <c r="AV215" s="94" t="str">
        <f ca="1">VLOOKUP(V215,Товары!A:B,1,FALSE)</f>
        <v>Шляпа BAILEY арт. 22757BH SALTER (бежевый) {natural}</v>
      </c>
    </row>
    <row r="216" spans="1:48" x14ac:dyDescent="0.25">
      <c r="A216" s="110" t="str">
        <f t="shared" ca="1" si="27"/>
        <v>21-288-02</v>
      </c>
      <c r="B216" s="107" t="str">
        <f ca="1">_xlfn.LET(_xlpm.CAPS,0,_xlpm.Style,_xlfn.XLOOKUP($A216,Строчный!$A:$A,Строчный!B:B,"ERR",0),IF(_xlpm.CAPS=0,_xlpm.Style,LOWER(_xlpm.Style)))</f>
        <v>22757BH SALTER</v>
      </c>
      <c r="C216" s="81" t="str">
        <f ca="1">PROPER(_xlfn.XLOOKUP($A216,Строчный!$A:$A,Строчный!C:C,"ERR",0))</f>
        <v>Шляпы</v>
      </c>
      <c r="D216" s="81" t="str">
        <f ca="1">_xlfn.LET(_xlpm.DATA,(_xlfn.XLOOKUP($A216,Строчный!$A:$A,Строчный!D:D,"ERR",0)),UPPER(MID(_xlpm.DATA,1,1))&amp;LOWER(MID(_xlpm.DATA,2,LEN(_xlpm.DATA)-1)))</f>
        <v>Шляпа федора</v>
      </c>
      <c r="E216" s="81" t="str">
        <f ca="1">PROPER(_xlfn.XLOOKUP($A216,Строчный!$A:$A,Строчный!E:E,"ERR",0))</f>
        <v>The Hollywood</v>
      </c>
      <c r="F216" s="81" t="str">
        <f ca="1">LOWER(_xlfn.XLOOKUP($A216,Строчный!$A:$A,Строчный!F:F,"ERR",0))</f>
        <v>летний</v>
      </c>
      <c r="G216" s="81" t="str">
        <f ca="1">UPPER(_xlfn.XLOOKUP($A216,Строчный!$A:$A,Строчный!G:G,"ERR",0))</f>
        <v>BAILEY</v>
      </c>
      <c r="H216" s="81" t="str">
        <f ca="1">LOWER(_xlfn.XLOOKUP($A216,Строчный!$A:$A,Строчный!H:H,"ERR",0))</f>
        <v>natural</v>
      </c>
      <c r="I216" s="81" t="str">
        <f ca="1">LOWER(_xlfn.XLOOKUP($A216,Строчный!$A:$A,Строчный!I:I,"ERR",0))</f>
        <v>бежевый</v>
      </c>
      <c r="J216" s="81" t="str">
        <f ca="1">SUBSTITUTE(LOWER(_xlfn.XLOOKUP($A216,Строчный!$A:$A,Строчный!J:J,"ERR",0)),"подклад","Подклад")</f>
        <v>100% солома токилла</v>
      </c>
      <c r="K216" s="81" t="str">
        <f ca="1">LOWER(_xlfn.XLOOKUP($A216,Строчный!$A:$A,Строчный!K:K,"ERR",0))</f>
        <v>соломенные</v>
      </c>
      <c r="L216" s="81" t="str">
        <f ca="1">PROPER(_xlfn.XLOOKUP($A216,Строчный!$A:$A,Строчный!L:L,"ERR",0))</f>
        <v>Унисекс</v>
      </c>
      <c r="M216" s="113" t="str">
        <f ca="1">PROPER(_xlfn.XLOOKUP($A216,Строчный!$A:$A,Строчный!M:M,"ERR",0))</f>
        <v>Соединенные Штаты</v>
      </c>
      <c r="N216" s="81" t="str">
        <f ca="1">UPPER(_xlfn.XLOOKUP($A216,Строчный!$A:$A,Строчный!O:O,"ERR",0))</f>
        <v/>
      </c>
      <c r="O216" s="107" t="str">
        <f ca="1">PROPER(_xlfn.XLOOKUP($A216,Строчный!$A:$A,Строчный!P:P,"ERR",0))</f>
        <v/>
      </c>
      <c r="P216" s="90">
        <f ca="1">VALUE(_xlfn.XLOOKUP($A216,Строчный!$A:$A,Строчный!N:N,"ERR",0))</f>
        <v>10945.35</v>
      </c>
      <c r="Q216" s="89" t="str">
        <f ca="1">_xlfn.XLOOKUP($G216,Фабрика!A:A,Фабрика!B:B,"ERR",0)</f>
        <v>Bollman Headwear Europe Ltd; 2 Merchants drive, Caelisle, Cumbria CA3 0JW, United Kingdom</v>
      </c>
      <c r="R216" s="80" t="str">
        <f ca="1">_xlfn.XLOOKUP(RIGHT(Z216,2),Размеры!D:D,Размеры!A:A,"ERR",0)</f>
        <v>61</v>
      </c>
      <c r="S216" s="80">
        <f ca="1">VALUE(_xlfn.XLOOKUP($Z216,Строчный!$R:$R,Строчный!T:T,"ERR",0))</f>
        <v>2</v>
      </c>
      <c r="T216" s="14" t="s">
        <v>265</v>
      </c>
      <c r="U216" s="101" t="str">
        <f t="shared" ca="1" si="23"/>
        <v>Шляпа BAILEY арт. 22757BH SALTER (бежевый)</v>
      </c>
      <c r="V216" s="100" t="str">
        <f t="shared" ca="1" si="24"/>
        <v>Шляпа BAILEY арт. 22757BH SALTER (бежевый) {natural}</v>
      </c>
      <c r="W216" s="18" t="str">
        <f t="shared" ca="1" si="25"/>
        <v>бежевый</v>
      </c>
      <c r="X216" s="18" t="str">
        <f t="shared" ca="1" si="26"/>
        <v>бежевый</v>
      </c>
      <c r="Y216" s="117" t="str">
        <f ca="1">_xlfn.LET(_xlpm.FormColors,_xlfn.XLOOKUP(A216,Строчный!A:A,Строчный!Q:Q,"",0),IF(_xlpm.FormColors=0,IFERROR(MID(I216,FIND("-",I216)+1,LEN(I216)),IFERROR(MID(I216,1,FIND("/",I216)-2),I216)),_xlpm.FormColors))</f>
        <v>бежевый</v>
      </c>
      <c r="Z216" s="73" t="str">
        <f ca="1"/>
        <v>21-288-02-61</v>
      </c>
      <c r="AA216" s="75" t="str">
        <f ca="1">VLOOKUP(C216,Группа!A:B,2,FALSE)</f>
        <v>Шляпа</v>
      </c>
      <c r="AB216" s="97" t="str">
        <f ca="1">IFERROR(VLOOKUP(R216,Размеры!A:C,3,FALSE),"")</f>
        <v>61 XL</v>
      </c>
      <c r="AC216" s="97" t="str">
        <f ca="1">VLOOKUP(I216,ЦветПолный!A:B,2,FALSE)</f>
        <v>02</v>
      </c>
      <c r="AD216" s="97" t="str">
        <f ca="1">IFERROR(VLOOKUP(R216,Размеры!A:D,4,FALSE),"")</f>
        <v>61</v>
      </c>
      <c r="AE216" s="97">
        <f ca="1">IF(LEFT(IFERROR(VLOOKUP(LOOKUP(2,1/SEARCH(B216,Товары!A:A),Товары!A:A),Товары!A:B,2,0),""),6)=MID(Z216,1,6),1,0)</f>
        <v>1</v>
      </c>
      <c r="AG216" s="97">
        <f ca="1">SUMIF(Группа!A:A,C216,Группа!C:C)</f>
        <v>1</v>
      </c>
      <c r="AH216" s="97">
        <f ca="1">SUMIF(Группа!B:B,AA216,Группа!C:C)</f>
        <v>1</v>
      </c>
      <c r="AI216" s="97">
        <f ca="1">SUMIF(Формы!A:A,D216,Формы!B:B)</f>
        <v>1</v>
      </c>
      <c r="AJ216" s="97">
        <f ca="1">SUMIF(Материал!A:A,K216,Материал!B:B)</f>
        <v>1</v>
      </c>
      <c r="AK216" s="97">
        <f ca="1">SUMIF(Размеры!A:A,R216,Размеры!E:E)</f>
        <v>1</v>
      </c>
      <c r="AL216" s="97">
        <f ca="1">SUMIF(Сезон!A:A,F216,Сезон!B:B)</f>
        <v>1</v>
      </c>
      <c r="AM216" s="97">
        <f ca="1">SUMIF(Состав!A:A,J216,Состав!B:B)</f>
        <v>1</v>
      </c>
      <c r="AN216" s="97">
        <f ca="1">VLOOKUP(I216,ЦветПолный!A:C,3,0)</f>
        <v>1</v>
      </c>
      <c r="AO216" s="97">
        <f ca="1">SUMIF(Цвет!A:A,Y216,Цвет!B:B)</f>
        <v>1</v>
      </c>
      <c r="AP216" s="97">
        <f ca="1">_xlfn.XLOOKUP(L216,Пол!A:A,Пол!B:B,0,0)</f>
        <v>1</v>
      </c>
      <c r="AQ216" s="97">
        <f ca="1">SUMIF(Марка!A:A,G216,Марка!B:B)</f>
        <v>1</v>
      </c>
      <c r="AR216" s="97">
        <f ca="1">SUMIF(Страна!A:A,M216,Страна!B:B)</f>
        <v>1</v>
      </c>
      <c r="AS216" s="64" t="str">
        <f ca="1">IF(VLOOKUP(V216,Товары!A:B,2,FALSE)=A216,"Есть в 1С","ERR")</f>
        <v>Есть в 1С</v>
      </c>
      <c r="AT216" s="65" t="str">
        <f ca="1">IF(VLOOKUP(A216,Товары!B:B,1,FALSE)=A216,"Есть в 1С","ERR")</f>
        <v>Есть в 1С</v>
      </c>
      <c r="AU216" s="96" t="str">
        <f ca="1">VLOOKUP(V216,Товары!A:B,2,FALSE)</f>
        <v>21-288-02</v>
      </c>
      <c r="AV216" s="94" t="str">
        <f ca="1">VLOOKUP(V216,Товары!A:B,1,FALSE)</f>
        <v>Шляпа BAILEY арт. 22757BH SALTER (бежевый) {natural}</v>
      </c>
    </row>
    <row r="217" spans="1:48" x14ac:dyDescent="0.25">
      <c r="A217" s="110" t="str">
        <f t="shared" ca="1" si="27"/>
        <v>21-288-02</v>
      </c>
      <c r="B217" s="107" t="str">
        <f ca="1">_xlfn.LET(_xlpm.CAPS,0,_xlpm.Style,_xlfn.XLOOKUP($A217,Строчный!$A:$A,Строчный!B:B,"ERR",0),IF(_xlpm.CAPS=0,_xlpm.Style,LOWER(_xlpm.Style)))</f>
        <v>22757BH SALTER</v>
      </c>
      <c r="C217" s="81" t="str">
        <f ca="1">PROPER(_xlfn.XLOOKUP($A217,Строчный!$A:$A,Строчный!C:C,"ERR",0))</f>
        <v>Шляпы</v>
      </c>
      <c r="D217" s="81" t="str">
        <f ca="1">_xlfn.LET(_xlpm.DATA,(_xlfn.XLOOKUP($A217,Строчный!$A:$A,Строчный!D:D,"ERR",0)),UPPER(MID(_xlpm.DATA,1,1))&amp;LOWER(MID(_xlpm.DATA,2,LEN(_xlpm.DATA)-1)))</f>
        <v>Шляпа федора</v>
      </c>
      <c r="E217" s="81" t="str">
        <f ca="1">PROPER(_xlfn.XLOOKUP($A217,Строчный!$A:$A,Строчный!E:E,"ERR",0))</f>
        <v>The Hollywood</v>
      </c>
      <c r="F217" s="81" t="str">
        <f ca="1">LOWER(_xlfn.XLOOKUP($A217,Строчный!$A:$A,Строчный!F:F,"ERR",0))</f>
        <v>летний</v>
      </c>
      <c r="G217" s="81" t="str">
        <f ca="1">UPPER(_xlfn.XLOOKUP($A217,Строчный!$A:$A,Строчный!G:G,"ERR",0))</f>
        <v>BAILEY</v>
      </c>
      <c r="H217" s="81" t="str">
        <f ca="1">LOWER(_xlfn.XLOOKUP($A217,Строчный!$A:$A,Строчный!H:H,"ERR",0))</f>
        <v>natural</v>
      </c>
      <c r="I217" s="81" t="str">
        <f ca="1">LOWER(_xlfn.XLOOKUP($A217,Строчный!$A:$A,Строчный!I:I,"ERR",0))</f>
        <v>бежевый</v>
      </c>
      <c r="J217" s="81" t="str">
        <f ca="1">SUBSTITUTE(LOWER(_xlfn.XLOOKUP($A217,Строчный!$A:$A,Строчный!J:J,"ERR",0)),"подклад","Подклад")</f>
        <v>100% солома токилла</v>
      </c>
      <c r="K217" s="81" t="str">
        <f ca="1">LOWER(_xlfn.XLOOKUP($A217,Строчный!$A:$A,Строчный!K:K,"ERR",0))</f>
        <v>соломенные</v>
      </c>
      <c r="L217" s="81" t="str">
        <f ca="1">PROPER(_xlfn.XLOOKUP($A217,Строчный!$A:$A,Строчный!L:L,"ERR",0))</f>
        <v>Унисекс</v>
      </c>
      <c r="M217" s="113" t="str">
        <f ca="1">PROPER(_xlfn.XLOOKUP($A217,Строчный!$A:$A,Строчный!M:M,"ERR",0))</f>
        <v>Соединенные Штаты</v>
      </c>
      <c r="N217" s="81" t="str">
        <f ca="1">UPPER(_xlfn.XLOOKUP($A217,Строчный!$A:$A,Строчный!O:O,"ERR",0))</f>
        <v/>
      </c>
      <c r="O217" s="107" t="str">
        <f ca="1">PROPER(_xlfn.XLOOKUP($A217,Строчный!$A:$A,Строчный!P:P,"ERR",0))</f>
        <v/>
      </c>
      <c r="P217" s="90">
        <f ca="1">VALUE(_xlfn.XLOOKUP($A217,Строчный!$A:$A,Строчный!N:N,"ERR",0))</f>
        <v>10945.35</v>
      </c>
      <c r="Q217" s="89" t="str">
        <f ca="1">_xlfn.XLOOKUP($G217,Фабрика!A:A,Фабрика!B:B,"ERR",0)</f>
        <v>Bollman Headwear Europe Ltd; 2 Merchants drive, Caelisle, Cumbria CA3 0JW, United Kingdom</v>
      </c>
      <c r="R217" s="80" t="str">
        <f ca="1">_xlfn.XLOOKUP(RIGHT(Z217,2),Размеры!D:D,Размеры!A:A,"ERR",0)</f>
        <v>59</v>
      </c>
      <c r="S217" s="80">
        <f ca="1">VALUE(_xlfn.XLOOKUP($Z217,Строчный!$R:$R,Строчный!T:T,"ERR",0))</f>
        <v>1</v>
      </c>
      <c r="T217" s="14" t="s">
        <v>265</v>
      </c>
      <c r="U217" s="101" t="str">
        <f t="shared" ca="1" si="23"/>
        <v>Шляпа BAILEY арт. 22757BH SALTER (бежевый)</v>
      </c>
      <c r="V217" s="100" t="str">
        <f t="shared" ca="1" si="24"/>
        <v>Шляпа BAILEY арт. 22757BH SALTER (бежевый) {natural}</v>
      </c>
      <c r="W217" s="18" t="str">
        <f t="shared" ca="1" si="25"/>
        <v>бежевый</v>
      </c>
      <c r="X217" s="18" t="str">
        <f t="shared" ca="1" si="26"/>
        <v>бежевый</v>
      </c>
      <c r="Y217" s="117" t="str">
        <f ca="1">_xlfn.LET(_xlpm.FormColors,_xlfn.XLOOKUP(A217,Строчный!A:A,Строчный!Q:Q,"",0),IF(_xlpm.FormColors=0,IFERROR(MID(I217,FIND("-",I217)+1,LEN(I217)),IFERROR(MID(I217,1,FIND("/",I217)-2),I217)),_xlpm.FormColors))</f>
        <v>бежевый</v>
      </c>
      <c r="Z217" s="73" t="str">
        <f ca="1"/>
        <v>21-288-02-59</v>
      </c>
      <c r="AA217" s="75" t="str">
        <f ca="1">VLOOKUP(C217,Группа!A:B,2,FALSE)</f>
        <v>Шляпа</v>
      </c>
      <c r="AB217" s="97" t="str">
        <f ca="1">IFERROR(VLOOKUP(R217,Размеры!A:C,3,FALSE),"")</f>
        <v>59 L</v>
      </c>
      <c r="AC217" s="97" t="str">
        <f ca="1">VLOOKUP(I217,ЦветПолный!A:B,2,FALSE)</f>
        <v>02</v>
      </c>
      <c r="AD217" s="97" t="str">
        <f ca="1">IFERROR(VLOOKUP(R217,Размеры!A:D,4,FALSE),"")</f>
        <v>59</v>
      </c>
      <c r="AE217" s="97">
        <f ca="1">IF(LEFT(IFERROR(VLOOKUP(LOOKUP(2,1/SEARCH(B217,Товары!A:A),Товары!A:A),Товары!A:B,2,0),""),6)=MID(Z217,1,6),1,0)</f>
        <v>1</v>
      </c>
      <c r="AG217" s="97">
        <f ca="1">SUMIF(Группа!A:A,C217,Группа!C:C)</f>
        <v>1</v>
      </c>
      <c r="AH217" s="97">
        <f ca="1">SUMIF(Группа!B:B,AA217,Группа!C:C)</f>
        <v>1</v>
      </c>
      <c r="AI217" s="97">
        <f ca="1">SUMIF(Формы!A:A,D217,Формы!B:B)</f>
        <v>1</v>
      </c>
      <c r="AJ217" s="97">
        <f ca="1">SUMIF(Материал!A:A,K217,Материал!B:B)</f>
        <v>1</v>
      </c>
      <c r="AK217" s="97">
        <f ca="1">SUMIF(Размеры!A:A,R217,Размеры!E:E)</f>
        <v>1</v>
      </c>
      <c r="AL217" s="97">
        <f ca="1">SUMIF(Сезон!A:A,F217,Сезон!B:B)</f>
        <v>1</v>
      </c>
      <c r="AM217" s="97">
        <f ca="1">SUMIF(Состав!A:A,J217,Состав!B:B)</f>
        <v>1</v>
      </c>
      <c r="AN217" s="97">
        <f ca="1">VLOOKUP(I217,ЦветПолный!A:C,3,0)</f>
        <v>1</v>
      </c>
      <c r="AO217" s="97">
        <f ca="1">SUMIF(Цвет!A:A,Y217,Цвет!B:B)</f>
        <v>1</v>
      </c>
      <c r="AP217" s="97">
        <f ca="1">_xlfn.XLOOKUP(L217,Пол!A:A,Пол!B:B,0,0)</f>
        <v>1</v>
      </c>
      <c r="AQ217" s="97">
        <f ca="1">SUMIF(Марка!A:A,G217,Марка!B:B)</f>
        <v>1</v>
      </c>
      <c r="AR217" s="97">
        <f ca="1">SUMIF(Страна!A:A,M217,Страна!B:B)</f>
        <v>1</v>
      </c>
      <c r="AS217" s="64" t="str">
        <f ca="1">IF(VLOOKUP(V217,Товары!A:B,2,FALSE)=A217,"Есть в 1С","ERR")</f>
        <v>Есть в 1С</v>
      </c>
      <c r="AT217" s="65" t="str">
        <f ca="1">IF(VLOOKUP(A217,Товары!B:B,1,FALSE)=A217,"Есть в 1С","ERR")</f>
        <v>Есть в 1С</v>
      </c>
      <c r="AU217" s="96" t="str">
        <f ca="1">VLOOKUP(V217,Товары!A:B,2,FALSE)</f>
        <v>21-288-02</v>
      </c>
      <c r="AV217" s="94" t="str">
        <f ca="1">VLOOKUP(V217,Товары!A:B,1,FALSE)</f>
        <v>Шляпа BAILEY арт. 22757BH SALTER (бежевый) {natural}</v>
      </c>
    </row>
    <row r="218" spans="1:48" x14ac:dyDescent="0.25">
      <c r="A218" s="110" t="str">
        <f t="shared" ca="1" si="27"/>
        <v>21-267-16</v>
      </c>
      <c r="B218" s="107" t="str">
        <f ca="1">_xlfn.LET(_xlpm.CAPS,0,_xlpm.Style,_xlfn.XLOOKUP($A218,Строчный!$A:$A,Строчный!B:B,"ERR",0),IF(_xlpm.CAPS=0,_xlpm.Style,LOWER(_xlpm.Style)))</f>
        <v>1362 DALTON</v>
      </c>
      <c r="C218" s="81" t="str">
        <f ca="1">PROPER(_xlfn.XLOOKUP($A218,Строчный!$A:$A,Строчный!C:C,"ERR",0))</f>
        <v>Шляпы</v>
      </c>
      <c r="D218" s="81" t="str">
        <f ca="1">_xlfn.LET(_xlpm.DATA,(_xlfn.XLOOKUP($A218,Строчный!$A:$A,Строчный!D:D,"ERR",0)),UPPER(MID(_xlpm.DATA,1,1))&amp;LOWER(MID(_xlpm.DATA,2,LEN(_xlpm.DATA)-1)))</f>
        <v>Шляпа федора</v>
      </c>
      <c r="E218" s="81" t="str">
        <f ca="1">PROPER(_xlfn.XLOOKUP($A218,Строчный!$A:$A,Строчный!E:E,"ERR",0))</f>
        <v>The Hollywood</v>
      </c>
      <c r="F218" s="81" t="str">
        <f ca="1">LOWER(_xlfn.XLOOKUP($A218,Строчный!$A:$A,Строчный!F:F,"ERR",0))</f>
        <v>всесезон</v>
      </c>
      <c r="G218" s="81" t="str">
        <f ca="1">UPPER(_xlfn.XLOOKUP($A218,Строчный!$A:$A,Строчный!G:G,"ERR",0))</f>
        <v>BAILEY</v>
      </c>
      <c r="H218" s="81" t="str">
        <f ca="1">LOWER(_xlfn.XLOOKUP($A218,Строчный!$A:$A,Строчный!H:H,"ERR",0))</f>
        <v>navy</v>
      </c>
      <c r="I218" s="81" t="str">
        <f ca="1">LOWER(_xlfn.XLOOKUP($A218,Строчный!$A:$A,Строчный!I:I,"ERR",0))</f>
        <v>темно-синий</v>
      </c>
      <c r="J218" s="81" t="str">
        <f ca="1">SUBSTITUTE(LOWER(_xlfn.XLOOKUP($A218,Строчный!$A:$A,Строчный!J:J,"ERR",0)),"подклад","Подклад")</f>
        <v>65% полиэстер - 35% хлопок / Подклад: 100% полиэстер</v>
      </c>
      <c r="K218" s="81" t="str">
        <f ca="1">LOWER(_xlfn.XLOOKUP($A218,Строчный!$A:$A,Строчный!K:K,"ERR",0))</f>
        <v>хлопковые</v>
      </c>
      <c r="L218" s="81" t="str">
        <f ca="1">PROPER(_xlfn.XLOOKUP($A218,Строчный!$A:$A,Строчный!L:L,"ERR",0))</f>
        <v>Унисекс</v>
      </c>
      <c r="M218" s="113" t="str">
        <f ca="1">PROPER(_xlfn.XLOOKUP($A218,Строчный!$A:$A,Строчный!M:M,"ERR",0))</f>
        <v>Китай</v>
      </c>
      <c r="N218" s="81" t="str">
        <f ca="1">UPPER(_xlfn.XLOOKUP($A218,Строчный!$A:$A,Строчный!O:O,"ERR",0))</f>
        <v/>
      </c>
      <c r="O218" s="107" t="str">
        <f ca="1">PROPER(_xlfn.XLOOKUP($A218,Строчный!$A:$A,Строчный!P:P,"ERR",0))</f>
        <v/>
      </c>
      <c r="P218" s="90">
        <f ca="1">VALUE(_xlfn.XLOOKUP($A218,Строчный!$A:$A,Строчный!N:N,"ERR",0))</f>
        <v>2053.35</v>
      </c>
      <c r="Q218" s="89" t="str">
        <f ca="1">_xlfn.XLOOKUP($G218,Фабрика!A:A,Фабрика!B:B,"ERR",0)</f>
        <v>Bollman Headwear Europe Ltd; 2 Merchants drive, Caelisle, Cumbria CA3 0JW, United Kingdom</v>
      </c>
      <c r="R218" s="80" t="str">
        <f ca="1">_xlfn.XLOOKUP(RIGHT(Z218,2),Размеры!D:D,Размеры!A:A,"ERR",0)</f>
        <v>63</v>
      </c>
      <c r="S218" s="80">
        <f ca="1">VALUE(_xlfn.XLOOKUP($Z218,Строчный!$R:$R,Строчный!T:T,"ERR",0))</f>
        <v>1</v>
      </c>
      <c r="T218" s="14" t="s">
        <v>265</v>
      </c>
      <c r="U218" s="101" t="str">
        <f t="shared" ca="1" si="23"/>
        <v>Шляпа BAILEY арт. 1362 DALTON (темно-синий)</v>
      </c>
      <c r="V218" s="100" t="str">
        <f t="shared" ca="1" si="24"/>
        <v>Шляпа BAILEY арт. 1362 DALTON (темно-синий) {navy}</v>
      </c>
      <c r="W218" s="18" t="str">
        <f t="shared" ca="1" si="25"/>
        <v>синий</v>
      </c>
      <c r="X218" s="18" t="str">
        <f t="shared" ca="1" si="26"/>
        <v>синий</v>
      </c>
      <c r="Y218" s="117" t="str">
        <f ca="1">_xlfn.LET(_xlpm.FormColors,_xlfn.XLOOKUP(A218,Строчный!A:A,Строчный!Q:Q,"",0),IF(_xlpm.FormColors=0,IFERROR(MID(I218,FIND("-",I218)+1,LEN(I218)),IFERROR(MID(I218,1,FIND("/",I218)-2),I218)),_xlpm.FormColors))</f>
        <v>синий</v>
      </c>
      <c r="Z218" s="73" t="str">
        <f ca="1"/>
        <v>21-267-16-63</v>
      </c>
      <c r="AA218" s="75" t="str">
        <f ca="1">VLOOKUP(C218,Группа!A:B,2,FALSE)</f>
        <v>Шляпа</v>
      </c>
      <c r="AB218" s="97" t="str">
        <f ca="1">IFERROR(VLOOKUP(R218,Размеры!A:C,3,FALSE),"")</f>
        <v>63 XXL</v>
      </c>
      <c r="AC218" s="97" t="str">
        <f ca="1">VLOOKUP(I218,ЦветПолный!A:B,2,FALSE)</f>
        <v>16</v>
      </c>
      <c r="AD218" s="97" t="str">
        <f ca="1">IFERROR(VLOOKUP(R218,Размеры!A:D,4,FALSE),"")</f>
        <v>63</v>
      </c>
      <c r="AE218" s="97">
        <f ca="1">IF(LEFT(IFERROR(VLOOKUP(LOOKUP(2,1/SEARCH(B218,Товары!A:A),Товары!A:A),Товары!A:B,2,0),""),6)=MID(Z218,1,6),1,0)</f>
        <v>1</v>
      </c>
      <c r="AG218" s="97">
        <f ca="1">SUMIF(Группа!A:A,C218,Группа!C:C)</f>
        <v>1</v>
      </c>
      <c r="AH218" s="97">
        <f ca="1">SUMIF(Группа!B:B,AA218,Группа!C:C)</f>
        <v>1</v>
      </c>
      <c r="AI218" s="97">
        <f ca="1">SUMIF(Формы!A:A,D218,Формы!B:B)</f>
        <v>1</v>
      </c>
      <c r="AJ218" s="97">
        <f ca="1">SUMIF(Материал!A:A,K218,Материал!B:B)</f>
        <v>1</v>
      </c>
      <c r="AK218" s="97">
        <f ca="1">SUMIF(Размеры!A:A,R218,Размеры!E:E)</f>
        <v>1</v>
      </c>
      <c r="AL218" s="97">
        <f ca="1">SUMIF(Сезон!A:A,F218,Сезон!B:B)</f>
        <v>1</v>
      </c>
      <c r="AM218" s="97">
        <f ca="1">SUMIF(Состав!A:A,J218,Состав!B:B)</f>
        <v>0</v>
      </c>
      <c r="AN218" s="97">
        <f ca="1">VLOOKUP(I218,ЦветПолный!A:C,3,0)</f>
        <v>1</v>
      </c>
      <c r="AO218" s="97">
        <f ca="1">SUMIF(Цвет!A:A,Y218,Цвет!B:B)</f>
        <v>1</v>
      </c>
      <c r="AP218" s="97">
        <f ca="1">_xlfn.XLOOKUP(L218,Пол!A:A,Пол!B:B,0,0)</f>
        <v>1</v>
      </c>
      <c r="AQ218" s="97">
        <f ca="1">SUMIF(Марка!A:A,G218,Марка!B:B)</f>
        <v>1</v>
      </c>
      <c r="AR218" s="97">
        <f ca="1">SUMIF(Страна!A:A,M218,Страна!B:B)</f>
        <v>1</v>
      </c>
      <c r="AS218" s="64" t="str">
        <f ca="1">IF(VLOOKUP(V218,Товары!A:B,2,FALSE)=A218,"Есть в 1С","ERR")</f>
        <v>Есть в 1С</v>
      </c>
      <c r="AT218" s="65" t="str">
        <f ca="1">IF(VLOOKUP(A218,Товары!B:B,1,FALSE)=A218,"Есть в 1С","ERR")</f>
        <v>Есть в 1С</v>
      </c>
      <c r="AU218" s="96" t="str">
        <f ca="1">VLOOKUP(V218,Товары!A:B,2,FALSE)</f>
        <v>21-267-16</v>
      </c>
      <c r="AV218" s="94" t="str">
        <f ca="1">VLOOKUP(V218,Товары!A:B,1,FALSE)</f>
        <v>Шляпа BAILEY арт. 1362 DALTON (темно-синий) {navy}</v>
      </c>
    </row>
    <row r="219" spans="1:48" x14ac:dyDescent="0.25">
      <c r="A219" s="110" t="str">
        <f t="shared" ca="1" si="27"/>
        <v>21-267-16</v>
      </c>
      <c r="B219" s="107" t="str">
        <f ca="1">_xlfn.LET(_xlpm.CAPS,0,_xlpm.Style,_xlfn.XLOOKUP($A219,Строчный!$A:$A,Строчный!B:B,"ERR",0),IF(_xlpm.CAPS=0,_xlpm.Style,LOWER(_xlpm.Style)))</f>
        <v>1362 DALTON</v>
      </c>
      <c r="C219" s="81" t="str">
        <f ca="1">PROPER(_xlfn.XLOOKUP($A219,Строчный!$A:$A,Строчный!C:C,"ERR",0))</f>
        <v>Шляпы</v>
      </c>
      <c r="D219" s="81" t="str">
        <f ca="1">_xlfn.LET(_xlpm.DATA,(_xlfn.XLOOKUP($A219,Строчный!$A:$A,Строчный!D:D,"ERR",0)),UPPER(MID(_xlpm.DATA,1,1))&amp;LOWER(MID(_xlpm.DATA,2,LEN(_xlpm.DATA)-1)))</f>
        <v>Шляпа федора</v>
      </c>
      <c r="E219" s="81" t="str">
        <f ca="1">PROPER(_xlfn.XLOOKUP($A219,Строчный!$A:$A,Строчный!E:E,"ERR",0))</f>
        <v>The Hollywood</v>
      </c>
      <c r="F219" s="81" t="str">
        <f ca="1">LOWER(_xlfn.XLOOKUP($A219,Строчный!$A:$A,Строчный!F:F,"ERR",0))</f>
        <v>всесезон</v>
      </c>
      <c r="G219" s="81" t="str">
        <f ca="1">UPPER(_xlfn.XLOOKUP($A219,Строчный!$A:$A,Строчный!G:G,"ERR",0))</f>
        <v>BAILEY</v>
      </c>
      <c r="H219" s="81" t="str">
        <f ca="1">LOWER(_xlfn.XLOOKUP($A219,Строчный!$A:$A,Строчный!H:H,"ERR",0))</f>
        <v>navy</v>
      </c>
      <c r="I219" s="81" t="str">
        <f ca="1">LOWER(_xlfn.XLOOKUP($A219,Строчный!$A:$A,Строчный!I:I,"ERR",0))</f>
        <v>темно-синий</v>
      </c>
      <c r="J219" s="81" t="str">
        <f ca="1">SUBSTITUTE(LOWER(_xlfn.XLOOKUP($A219,Строчный!$A:$A,Строчный!J:J,"ERR",0)),"подклад","Подклад")</f>
        <v>65% полиэстер - 35% хлопок / Подклад: 100% полиэстер</v>
      </c>
      <c r="K219" s="81" t="str">
        <f ca="1">LOWER(_xlfn.XLOOKUP($A219,Строчный!$A:$A,Строчный!K:K,"ERR",0))</f>
        <v>хлопковые</v>
      </c>
      <c r="L219" s="81" t="str">
        <f ca="1">PROPER(_xlfn.XLOOKUP($A219,Строчный!$A:$A,Строчный!L:L,"ERR",0))</f>
        <v>Унисекс</v>
      </c>
      <c r="M219" s="113" t="str">
        <f ca="1">PROPER(_xlfn.XLOOKUP($A219,Строчный!$A:$A,Строчный!M:M,"ERR",0))</f>
        <v>Китай</v>
      </c>
      <c r="N219" s="81" t="str">
        <f ca="1">UPPER(_xlfn.XLOOKUP($A219,Строчный!$A:$A,Строчный!O:O,"ERR",0))</f>
        <v/>
      </c>
      <c r="O219" s="107" t="str">
        <f ca="1">PROPER(_xlfn.XLOOKUP($A219,Строчный!$A:$A,Строчный!P:P,"ERR",0))</f>
        <v/>
      </c>
      <c r="P219" s="90">
        <f ca="1">VALUE(_xlfn.XLOOKUP($A219,Строчный!$A:$A,Строчный!N:N,"ERR",0))</f>
        <v>2053.35</v>
      </c>
      <c r="Q219" s="89" t="str">
        <f ca="1">_xlfn.XLOOKUP($G219,Фабрика!A:A,Фабрика!B:B,"ERR",0)</f>
        <v>Bollman Headwear Europe Ltd; 2 Merchants drive, Caelisle, Cumbria CA3 0JW, United Kingdom</v>
      </c>
      <c r="R219" s="80" t="str">
        <f ca="1">_xlfn.XLOOKUP(RIGHT(Z219,2),Размеры!D:D,Размеры!A:A,"ERR",0)</f>
        <v>61</v>
      </c>
      <c r="S219" s="80">
        <f ca="1">VALUE(_xlfn.XLOOKUP($Z219,Строчный!$R:$R,Строчный!T:T,"ERR",0))</f>
        <v>3</v>
      </c>
      <c r="T219" s="14" t="s">
        <v>265</v>
      </c>
      <c r="U219" s="101" t="str">
        <f t="shared" ca="1" si="23"/>
        <v>Шляпа BAILEY арт. 1362 DALTON (темно-синий)</v>
      </c>
      <c r="V219" s="100" t="str">
        <f t="shared" ca="1" si="24"/>
        <v>Шляпа BAILEY арт. 1362 DALTON (темно-синий) {navy}</v>
      </c>
      <c r="W219" s="18" t="str">
        <f t="shared" ca="1" si="25"/>
        <v>синий</v>
      </c>
      <c r="X219" s="18" t="str">
        <f t="shared" ca="1" si="26"/>
        <v>синий</v>
      </c>
      <c r="Y219" s="117" t="str">
        <f ca="1">_xlfn.LET(_xlpm.FormColors,_xlfn.XLOOKUP(A219,Строчный!A:A,Строчный!Q:Q,"",0),IF(_xlpm.FormColors=0,IFERROR(MID(I219,FIND("-",I219)+1,LEN(I219)),IFERROR(MID(I219,1,FIND("/",I219)-2),I219)),_xlpm.FormColors))</f>
        <v>синий</v>
      </c>
      <c r="Z219" s="73" t="str">
        <f ca="1"/>
        <v>21-267-16-61</v>
      </c>
      <c r="AA219" s="75" t="str">
        <f ca="1">VLOOKUP(C219,Группа!A:B,2,FALSE)</f>
        <v>Шляпа</v>
      </c>
      <c r="AB219" s="97" t="str">
        <f ca="1">IFERROR(VLOOKUP(R219,Размеры!A:C,3,FALSE),"")</f>
        <v>61 XL</v>
      </c>
      <c r="AC219" s="97" t="str">
        <f ca="1">VLOOKUP(I219,ЦветПолный!A:B,2,FALSE)</f>
        <v>16</v>
      </c>
      <c r="AD219" s="97" t="str">
        <f ca="1">IFERROR(VLOOKUP(R219,Размеры!A:D,4,FALSE),"")</f>
        <v>61</v>
      </c>
      <c r="AE219" s="97">
        <f ca="1">IF(LEFT(IFERROR(VLOOKUP(LOOKUP(2,1/SEARCH(B219,Товары!A:A),Товары!A:A),Товары!A:B,2,0),""),6)=MID(Z219,1,6),1,0)</f>
        <v>1</v>
      </c>
      <c r="AG219" s="97">
        <f ca="1">SUMIF(Группа!A:A,C219,Группа!C:C)</f>
        <v>1</v>
      </c>
      <c r="AH219" s="97">
        <f ca="1">SUMIF(Группа!B:B,AA219,Группа!C:C)</f>
        <v>1</v>
      </c>
      <c r="AI219" s="97">
        <f ca="1">SUMIF(Формы!A:A,D219,Формы!B:B)</f>
        <v>1</v>
      </c>
      <c r="AJ219" s="97">
        <f ca="1">SUMIF(Материал!A:A,K219,Материал!B:B)</f>
        <v>1</v>
      </c>
      <c r="AK219" s="97">
        <f ca="1">SUMIF(Размеры!A:A,R219,Размеры!E:E)</f>
        <v>1</v>
      </c>
      <c r="AL219" s="97">
        <f ca="1">SUMIF(Сезон!A:A,F219,Сезон!B:B)</f>
        <v>1</v>
      </c>
      <c r="AM219" s="97">
        <f ca="1">SUMIF(Состав!A:A,J219,Состав!B:B)</f>
        <v>0</v>
      </c>
      <c r="AN219" s="97">
        <f ca="1">VLOOKUP(I219,ЦветПолный!A:C,3,0)</f>
        <v>1</v>
      </c>
      <c r="AO219" s="97">
        <f ca="1">SUMIF(Цвет!A:A,Y219,Цвет!B:B)</f>
        <v>1</v>
      </c>
      <c r="AP219" s="97">
        <f ca="1">_xlfn.XLOOKUP(L219,Пол!A:A,Пол!B:B,0,0)</f>
        <v>1</v>
      </c>
      <c r="AQ219" s="97">
        <f ca="1">SUMIF(Марка!A:A,G219,Марка!B:B)</f>
        <v>1</v>
      </c>
      <c r="AR219" s="97">
        <f ca="1">SUMIF(Страна!A:A,M219,Страна!B:B)</f>
        <v>1</v>
      </c>
      <c r="AS219" s="64" t="str">
        <f ca="1">IF(VLOOKUP(V219,Товары!A:B,2,FALSE)=A219,"Есть в 1С","ERR")</f>
        <v>Есть в 1С</v>
      </c>
      <c r="AT219" s="65" t="str">
        <f ca="1">IF(VLOOKUP(A219,Товары!B:B,1,FALSE)=A219,"Есть в 1С","ERR")</f>
        <v>Есть в 1С</v>
      </c>
      <c r="AU219" s="96" t="str">
        <f ca="1">VLOOKUP(V219,Товары!A:B,2,FALSE)</f>
        <v>21-267-16</v>
      </c>
      <c r="AV219" s="94" t="str">
        <f ca="1">VLOOKUP(V219,Товары!A:B,1,FALSE)</f>
        <v>Шляпа BAILEY арт. 1362 DALTON (темно-синий) {navy}</v>
      </c>
    </row>
    <row r="220" spans="1:48" x14ac:dyDescent="0.25">
      <c r="A220" s="110" t="str">
        <f t="shared" ca="1" si="27"/>
        <v>21-267-16</v>
      </c>
      <c r="B220" s="107" t="str">
        <f ca="1">_xlfn.LET(_xlpm.CAPS,0,_xlpm.Style,_xlfn.XLOOKUP($A220,Строчный!$A:$A,Строчный!B:B,"ERR",0),IF(_xlpm.CAPS=0,_xlpm.Style,LOWER(_xlpm.Style)))</f>
        <v>1362 DALTON</v>
      </c>
      <c r="C220" s="81" t="str">
        <f ca="1">PROPER(_xlfn.XLOOKUP($A220,Строчный!$A:$A,Строчный!C:C,"ERR",0))</f>
        <v>Шляпы</v>
      </c>
      <c r="D220" s="81" t="str">
        <f ca="1">_xlfn.LET(_xlpm.DATA,(_xlfn.XLOOKUP($A220,Строчный!$A:$A,Строчный!D:D,"ERR",0)),UPPER(MID(_xlpm.DATA,1,1))&amp;LOWER(MID(_xlpm.DATA,2,LEN(_xlpm.DATA)-1)))</f>
        <v>Шляпа федора</v>
      </c>
      <c r="E220" s="81" t="str">
        <f ca="1">PROPER(_xlfn.XLOOKUP($A220,Строчный!$A:$A,Строчный!E:E,"ERR",0))</f>
        <v>The Hollywood</v>
      </c>
      <c r="F220" s="81" t="str">
        <f ca="1">LOWER(_xlfn.XLOOKUP($A220,Строчный!$A:$A,Строчный!F:F,"ERR",0))</f>
        <v>всесезон</v>
      </c>
      <c r="G220" s="81" t="str">
        <f ca="1">UPPER(_xlfn.XLOOKUP($A220,Строчный!$A:$A,Строчный!G:G,"ERR",0))</f>
        <v>BAILEY</v>
      </c>
      <c r="H220" s="81" t="str">
        <f ca="1">LOWER(_xlfn.XLOOKUP($A220,Строчный!$A:$A,Строчный!H:H,"ERR",0))</f>
        <v>navy</v>
      </c>
      <c r="I220" s="81" t="str">
        <f ca="1">LOWER(_xlfn.XLOOKUP($A220,Строчный!$A:$A,Строчный!I:I,"ERR",0))</f>
        <v>темно-синий</v>
      </c>
      <c r="J220" s="81" t="str">
        <f ca="1">SUBSTITUTE(LOWER(_xlfn.XLOOKUP($A220,Строчный!$A:$A,Строчный!J:J,"ERR",0)),"подклад","Подклад")</f>
        <v>65% полиэстер - 35% хлопок / Подклад: 100% полиэстер</v>
      </c>
      <c r="K220" s="81" t="str">
        <f ca="1">LOWER(_xlfn.XLOOKUP($A220,Строчный!$A:$A,Строчный!K:K,"ERR",0))</f>
        <v>хлопковые</v>
      </c>
      <c r="L220" s="81" t="str">
        <f ca="1">PROPER(_xlfn.XLOOKUP($A220,Строчный!$A:$A,Строчный!L:L,"ERR",0))</f>
        <v>Унисекс</v>
      </c>
      <c r="M220" s="113" t="str">
        <f ca="1">PROPER(_xlfn.XLOOKUP($A220,Строчный!$A:$A,Строчный!M:M,"ERR",0))</f>
        <v>Китай</v>
      </c>
      <c r="N220" s="81" t="str">
        <f ca="1">UPPER(_xlfn.XLOOKUP($A220,Строчный!$A:$A,Строчный!O:O,"ERR",0))</f>
        <v/>
      </c>
      <c r="O220" s="107" t="str">
        <f ca="1">PROPER(_xlfn.XLOOKUP($A220,Строчный!$A:$A,Строчный!P:P,"ERR",0))</f>
        <v/>
      </c>
      <c r="P220" s="90">
        <f ca="1">VALUE(_xlfn.XLOOKUP($A220,Строчный!$A:$A,Строчный!N:N,"ERR",0))</f>
        <v>2053.35</v>
      </c>
      <c r="Q220" s="89" t="str">
        <f ca="1">_xlfn.XLOOKUP($G220,Фабрика!A:A,Фабрика!B:B,"ERR",0)</f>
        <v>Bollman Headwear Europe Ltd; 2 Merchants drive, Caelisle, Cumbria CA3 0JW, United Kingdom</v>
      </c>
      <c r="R220" s="80" t="str">
        <f ca="1">_xlfn.XLOOKUP(RIGHT(Z220,2),Размеры!D:D,Размеры!A:A,"ERR",0)</f>
        <v>59</v>
      </c>
      <c r="S220" s="80">
        <f ca="1">VALUE(_xlfn.XLOOKUP($Z220,Строчный!$R:$R,Строчный!T:T,"ERR",0))</f>
        <v>2</v>
      </c>
      <c r="T220" s="14" t="s">
        <v>265</v>
      </c>
      <c r="U220" s="101" t="str">
        <f t="shared" ca="1" si="23"/>
        <v>Шляпа BAILEY арт. 1362 DALTON (темно-синий)</v>
      </c>
      <c r="V220" s="100" t="str">
        <f t="shared" ca="1" si="24"/>
        <v>Шляпа BAILEY арт. 1362 DALTON (темно-синий) {navy}</v>
      </c>
      <c r="W220" s="18" t="str">
        <f t="shared" ca="1" si="25"/>
        <v>синий</v>
      </c>
      <c r="X220" s="18" t="str">
        <f t="shared" ca="1" si="26"/>
        <v>синий</v>
      </c>
      <c r="Y220" s="117" t="str">
        <f ca="1">_xlfn.LET(_xlpm.FormColors,_xlfn.XLOOKUP(A220,Строчный!A:A,Строчный!Q:Q,"",0),IF(_xlpm.FormColors=0,IFERROR(MID(I220,FIND("-",I220)+1,LEN(I220)),IFERROR(MID(I220,1,FIND("/",I220)-2),I220)),_xlpm.FormColors))</f>
        <v>синий</v>
      </c>
      <c r="Z220" s="73" t="str">
        <f ca="1"/>
        <v>21-267-16-59</v>
      </c>
      <c r="AA220" s="75" t="str">
        <f ca="1">VLOOKUP(C220,Группа!A:B,2,FALSE)</f>
        <v>Шляпа</v>
      </c>
      <c r="AB220" s="97" t="str">
        <f ca="1">IFERROR(VLOOKUP(R220,Размеры!A:C,3,FALSE),"")</f>
        <v>59 L</v>
      </c>
      <c r="AC220" s="97" t="str">
        <f ca="1">VLOOKUP(I220,ЦветПолный!A:B,2,FALSE)</f>
        <v>16</v>
      </c>
      <c r="AD220" s="97" t="str">
        <f ca="1">IFERROR(VLOOKUP(R220,Размеры!A:D,4,FALSE),"")</f>
        <v>59</v>
      </c>
      <c r="AE220" s="97">
        <f ca="1">IF(LEFT(IFERROR(VLOOKUP(LOOKUP(2,1/SEARCH(B220,Товары!A:A),Товары!A:A),Товары!A:B,2,0),""),6)=MID(Z220,1,6),1,0)</f>
        <v>1</v>
      </c>
      <c r="AG220" s="97">
        <f ca="1">SUMIF(Группа!A:A,C220,Группа!C:C)</f>
        <v>1</v>
      </c>
      <c r="AH220" s="97">
        <f ca="1">SUMIF(Группа!B:B,AA220,Группа!C:C)</f>
        <v>1</v>
      </c>
      <c r="AI220" s="97">
        <f ca="1">SUMIF(Формы!A:A,D220,Формы!B:B)</f>
        <v>1</v>
      </c>
      <c r="AJ220" s="97">
        <f ca="1">SUMIF(Материал!A:A,K220,Материал!B:B)</f>
        <v>1</v>
      </c>
      <c r="AK220" s="97">
        <f ca="1">SUMIF(Размеры!A:A,R220,Размеры!E:E)</f>
        <v>1</v>
      </c>
      <c r="AL220" s="97">
        <f ca="1">SUMIF(Сезон!A:A,F220,Сезон!B:B)</f>
        <v>1</v>
      </c>
      <c r="AM220" s="97">
        <f ca="1">SUMIF(Состав!A:A,J220,Состав!B:B)</f>
        <v>0</v>
      </c>
      <c r="AN220" s="97">
        <f ca="1">VLOOKUP(I220,ЦветПолный!A:C,3,0)</f>
        <v>1</v>
      </c>
      <c r="AO220" s="97">
        <f ca="1">SUMIF(Цвет!A:A,Y220,Цвет!B:B)</f>
        <v>1</v>
      </c>
      <c r="AP220" s="97">
        <f ca="1">_xlfn.XLOOKUP(L220,Пол!A:A,Пол!B:B,0,0)</f>
        <v>1</v>
      </c>
      <c r="AQ220" s="97">
        <f ca="1">SUMIF(Марка!A:A,G220,Марка!B:B)</f>
        <v>1</v>
      </c>
      <c r="AR220" s="97">
        <f ca="1">SUMIF(Страна!A:A,M220,Страна!B:B)</f>
        <v>1</v>
      </c>
      <c r="AS220" s="64" t="str">
        <f ca="1">IF(VLOOKUP(V220,Товары!A:B,2,FALSE)=A220,"Есть в 1С","ERR")</f>
        <v>Есть в 1С</v>
      </c>
      <c r="AT220" s="65" t="str">
        <f ca="1">IF(VLOOKUP(A220,Товары!B:B,1,FALSE)=A220,"Есть в 1С","ERR")</f>
        <v>Есть в 1С</v>
      </c>
      <c r="AU220" s="96" t="str">
        <f ca="1">VLOOKUP(V220,Товары!A:B,2,FALSE)</f>
        <v>21-267-16</v>
      </c>
      <c r="AV220" s="94" t="str">
        <f ca="1">VLOOKUP(V220,Товары!A:B,1,FALSE)</f>
        <v>Шляпа BAILEY арт. 1362 DALTON (темно-синий) {navy}</v>
      </c>
    </row>
    <row r="221" spans="1:48" x14ac:dyDescent="0.25">
      <c r="A221" s="110" t="str">
        <f t="shared" ca="1" si="27"/>
        <v>21-267-16</v>
      </c>
      <c r="B221" s="107" t="str">
        <f ca="1">_xlfn.LET(_xlpm.CAPS,0,_xlpm.Style,_xlfn.XLOOKUP($A221,Строчный!$A:$A,Строчный!B:B,"ERR",0),IF(_xlpm.CAPS=0,_xlpm.Style,LOWER(_xlpm.Style)))</f>
        <v>1362 DALTON</v>
      </c>
      <c r="C221" s="81" t="str">
        <f ca="1">PROPER(_xlfn.XLOOKUP($A221,Строчный!$A:$A,Строчный!C:C,"ERR",0))</f>
        <v>Шляпы</v>
      </c>
      <c r="D221" s="81" t="str">
        <f ca="1">_xlfn.LET(_xlpm.DATA,(_xlfn.XLOOKUP($A221,Строчный!$A:$A,Строчный!D:D,"ERR",0)),UPPER(MID(_xlpm.DATA,1,1))&amp;LOWER(MID(_xlpm.DATA,2,LEN(_xlpm.DATA)-1)))</f>
        <v>Шляпа федора</v>
      </c>
      <c r="E221" s="81" t="str">
        <f ca="1">PROPER(_xlfn.XLOOKUP($A221,Строчный!$A:$A,Строчный!E:E,"ERR",0))</f>
        <v>The Hollywood</v>
      </c>
      <c r="F221" s="81" t="str">
        <f ca="1">LOWER(_xlfn.XLOOKUP($A221,Строчный!$A:$A,Строчный!F:F,"ERR",0))</f>
        <v>всесезон</v>
      </c>
      <c r="G221" s="81" t="str">
        <f ca="1">UPPER(_xlfn.XLOOKUP($A221,Строчный!$A:$A,Строчный!G:G,"ERR",0))</f>
        <v>BAILEY</v>
      </c>
      <c r="H221" s="81" t="str">
        <f ca="1">LOWER(_xlfn.XLOOKUP($A221,Строчный!$A:$A,Строчный!H:H,"ERR",0))</f>
        <v>navy</v>
      </c>
      <c r="I221" s="81" t="str">
        <f ca="1">LOWER(_xlfn.XLOOKUP($A221,Строчный!$A:$A,Строчный!I:I,"ERR",0))</f>
        <v>темно-синий</v>
      </c>
      <c r="J221" s="81" t="str">
        <f ca="1">SUBSTITUTE(LOWER(_xlfn.XLOOKUP($A221,Строчный!$A:$A,Строчный!J:J,"ERR",0)),"подклад","Подклад")</f>
        <v>65% полиэстер - 35% хлопок / Подклад: 100% полиэстер</v>
      </c>
      <c r="K221" s="81" t="str">
        <f ca="1">LOWER(_xlfn.XLOOKUP($A221,Строчный!$A:$A,Строчный!K:K,"ERR",0))</f>
        <v>хлопковые</v>
      </c>
      <c r="L221" s="81" t="str">
        <f ca="1">PROPER(_xlfn.XLOOKUP($A221,Строчный!$A:$A,Строчный!L:L,"ERR",0))</f>
        <v>Унисекс</v>
      </c>
      <c r="M221" s="113" t="str">
        <f ca="1">PROPER(_xlfn.XLOOKUP($A221,Строчный!$A:$A,Строчный!M:M,"ERR",0))</f>
        <v>Китай</v>
      </c>
      <c r="N221" s="81" t="str">
        <f ca="1">UPPER(_xlfn.XLOOKUP($A221,Строчный!$A:$A,Строчный!O:O,"ERR",0))</f>
        <v/>
      </c>
      <c r="O221" s="107" t="str">
        <f ca="1">PROPER(_xlfn.XLOOKUP($A221,Строчный!$A:$A,Строчный!P:P,"ERR",0))</f>
        <v/>
      </c>
      <c r="P221" s="90">
        <f ca="1">VALUE(_xlfn.XLOOKUP($A221,Строчный!$A:$A,Строчный!N:N,"ERR",0))</f>
        <v>2053.35</v>
      </c>
      <c r="Q221" s="89" t="str">
        <f ca="1">_xlfn.XLOOKUP($G221,Фабрика!A:A,Фабрика!B:B,"ERR",0)</f>
        <v>Bollman Headwear Europe Ltd; 2 Merchants drive, Caelisle, Cumbria CA3 0JW, United Kingdom</v>
      </c>
      <c r="R221" s="80" t="str">
        <f ca="1">_xlfn.XLOOKUP(RIGHT(Z221,2),Размеры!D:D,Размеры!A:A,"ERR",0)</f>
        <v>57</v>
      </c>
      <c r="S221" s="80">
        <f ca="1">VALUE(_xlfn.XLOOKUP($Z221,Строчный!$R:$R,Строчный!T:T,"ERR",0))</f>
        <v>1</v>
      </c>
      <c r="T221" s="14" t="s">
        <v>265</v>
      </c>
      <c r="U221" s="101" t="str">
        <f t="shared" ca="1" si="23"/>
        <v>Шляпа BAILEY арт. 1362 DALTON (темно-синий)</v>
      </c>
      <c r="V221" s="100" t="str">
        <f t="shared" ca="1" si="24"/>
        <v>Шляпа BAILEY арт. 1362 DALTON (темно-синий) {navy}</v>
      </c>
      <c r="W221" s="18" t="str">
        <f t="shared" ca="1" si="25"/>
        <v>синий</v>
      </c>
      <c r="X221" s="18" t="str">
        <f t="shared" ca="1" si="26"/>
        <v>синий</v>
      </c>
      <c r="Y221" s="117" t="str">
        <f ca="1">_xlfn.LET(_xlpm.FormColors,_xlfn.XLOOKUP(A221,Строчный!A:A,Строчный!Q:Q,"",0),IF(_xlpm.FormColors=0,IFERROR(MID(I221,FIND("-",I221)+1,LEN(I221)),IFERROR(MID(I221,1,FIND("/",I221)-2),I221)),_xlpm.FormColors))</f>
        <v>синий</v>
      </c>
      <c r="Z221" s="73" t="str">
        <f ca="1"/>
        <v>21-267-16-57</v>
      </c>
      <c r="AA221" s="75" t="str">
        <f ca="1">VLOOKUP(C221,Группа!A:B,2,FALSE)</f>
        <v>Шляпа</v>
      </c>
      <c r="AB221" s="97" t="str">
        <f ca="1">IFERROR(VLOOKUP(R221,Размеры!A:C,3,FALSE),"")</f>
        <v>57 M</v>
      </c>
      <c r="AC221" s="97" t="str">
        <f ca="1">VLOOKUP(I221,ЦветПолный!A:B,2,FALSE)</f>
        <v>16</v>
      </c>
      <c r="AD221" s="97" t="str">
        <f ca="1">IFERROR(VLOOKUP(R221,Размеры!A:D,4,FALSE),"")</f>
        <v>57</v>
      </c>
      <c r="AE221" s="97">
        <f ca="1">IF(LEFT(IFERROR(VLOOKUP(LOOKUP(2,1/SEARCH(B221,Товары!A:A),Товары!A:A),Товары!A:B,2,0),""),6)=MID(Z221,1,6),1,0)</f>
        <v>1</v>
      </c>
      <c r="AG221" s="97">
        <f ca="1">SUMIF(Группа!A:A,C221,Группа!C:C)</f>
        <v>1</v>
      </c>
      <c r="AH221" s="97">
        <f ca="1">SUMIF(Группа!B:B,AA221,Группа!C:C)</f>
        <v>1</v>
      </c>
      <c r="AI221" s="97">
        <f ca="1">SUMIF(Формы!A:A,D221,Формы!B:B)</f>
        <v>1</v>
      </c>
      <c r="AJ221" s="97">
        <f ca="1">SUMIF(Материал!A:A,K221,Материал!B:B)</f>
        <v>1</v>
      </c>
      <c r="AK221" s="97">
        <f ca="1">SUMIF(Размеры!A:A,R221,Размеры!E:E)</f>
        <v>1</v>
      </c>
      <c r="AL221" s="97">
        <f ca="1">SUMIF(Сезон!A:A,F221,Сезон!B:B)</f>
        <v>1</v>
      </c>
      <c r="AM221" s="97">
        <f ca="1">SUMIF(Состав!A:A,J221,Состав!B:B)</f>
        <v>0</v>
      </c>
      <c r="AN221" s="97">
        <f ca="1">VLOOKUP(I221,ЦветПолный!A:C,3,0)</f>
        <v>1</v>
      </c>
      <c r="AO221" s="97">
        <f ca="1">SUMIF(Цвет!A:A,Y221,Цвет!B:B)</f>
        <v>1</v>
      </c>
      <c r="AP221" s="97">
        <f ca="1">_xlfn.XLOOKUP(L221,Пол!A:A,Пол!B:B,0,0)</f>
        <v>1</v>
      </c>
      <c r="AQ221" s="97">
        <f ca="1">SUMIF(Марка!A:A,G221,Марка!B:B)</f>
        <v>1</v>
      </c>
      <c r="AR221" s="97">
        <f ca="1">SUMIF(Страна!A:A,M221,Страна!B:B)</f>
        <v>1</v>
      </c>
      <c r="AS221" s="64" t="str">
        <f ca="1">IF(VLOOKUP(V221,Товары!A:B,2,FALSE)=A221,"Есть в 1С","ERR")</f>
        <v>Есть в 1С</v>
      </c>
      <c r="AT221" s="65" t="str">
        <f ca="1">IF(VLOOKUP(A221,Товары!B:B,1,FALSE)=A221,"Есть в 1С","ERR")</f>
        <v>Есть в 1С</v>
      </c>
      <c r="AU221" s="96" t="str">
        <f ca="1">VLOOKUP(V221,Товары!A:B,2,FALSE)</f>
        <v>21-267-16</v>
      </c>
      <c r="AV221" s="94" t="str">
        <f ca="1">VLOOKUP(V221,Товары!A:B,1,FALSE)</f>
        <v>Шляпа BAILEY арт. 1362 DALTON (темно-синий) {navy}</v>
      </c>
    </row>
    <row r="222" spans="1:48" x14ac:dyDescent="0.25">
      <c r="A222" s="110" t="str">
        <f t="shared" ca="1" si="27"/>
        <v>21-267-09</v>
      </c>
      <c r="B222" s="107" t="str">
        <f ca="1">_xlfn.LET(_xlpm.CAPS,0,_xlpm.Style,_xlfn.XLOOKUP($A222,Строчный!$A:$A,Строчный!B:B,"ERR",0),IF(_xlpm.CAPS=0,_xlpm.Style,LOWER(_xlpm.Style)))</f>
        <v>1362 DALTON</v>
      </c>
      <c r="C222" s="81" t="str">
        <f ca="1">PROPER(_xlfn.XLOOKUP($A222,Строчный!$A:$A,Строчный!C:C,"ERR",0))</f>
        <v>Шляпы</v>
      </c>
      <c r="D222" s="81" t="str">
        <f ca="1">_xlfn.LET(_xlpm.DATA,(_xlfn.XLOOKUP($A222,Строчный!$A:$A,Строчный!D:D,"ERR",0)),UPPER(MID(_xlpm.DATA,1,1))&amp;LOWER(MID(_xlpm.DATA,2,LEN(_xlpm.DATA)-1)))</f>
        <v>Шляпа федора</v>
      </c>
      <c r="E222" s="81" t="str">
        <f ca="1">PROPER(_xlfn.XLOOKUP($A222,Строчный!$A:$A,Строчный!E:E,"ERR",0))</f>
        <v>The Hollywood</v>
      </c>
      <c r="F222" s="81" t="str">
        <f ca="1">LOWER(_xlfn.XLOOKUP($A222,Строчный!$A:$A,Строчный!F:F,"ERR",0))</f>
        <v>всесезон</v>
      </c>
      <c r="G222" s="81" t="str">
        <f ca="1">UPPER(_xlfn.XLOOKUP($A222,Строчный!$A:$A,Строчный!G:G,"ERR",0))</f>
        <v>BAILEY</v>
      </c>
      <c r="H222" s="81" t="str">
        <f ca="1">LOWER(_xlfn.XLOOKUP($A222,Строчный!$A:$A,Строчный!H:H,"ERR",0))</f>
        <v>black</v>
      </c>
      <c r="I222" s="81" t="str">
        <f ca="1">LOWER(_xlfn.XLOOKUP($A222,Строчный!$A:$A,Строчный!I:I,"ERR",0))</f>
        <v>черный</v>
      </c>
      <c r="J222" s="81" t="str">
        <f ca="1">SUBSTITUTE(LOWER(_xlfn.XLOOKUP($A222,Строчный!$A:$A,Строчный!J:J,"ERR",0)),"подклад","Подклад")</f>
        <v>65% полиэстер - 35% хлопок / Подклад: 100% полиэстер</v>
      </c>
      <c r="K222" s="81" t="str">
        <f ca="1">LOWER(_xlfn.XLOOKUP($A222,Строчный!$A:$A,Строчный!K:K,"ERR",0))</f>
        <v>хлопковые</v>
      </c>
      <c r="L222" s="81" t="str">
        <f ca="1">PROPER(_xlfn.XLOOKUP($A222,Строчный!$A:$A,Строчный!L:L,"ERR",0))</f>
        <v>Унисекс</v>
      </c>
      <c r="M222" s="113" t="str">
        <f ca="1">PROPER(_xlfn.XLOOKUP($A222,Строчный!$A:$A,Строчный!M:M,"ERR",0))</f>
        <v>Китай</v>
      </c>
      <c r="N222" s="81" t="str">
        <f ca="1">UPPER(_xlfn.XLOOKUP($A222,Строчный!$A:$A,Строчный!O:O,"ERR",0))</f>
        <v/>
      </c>
      <c r="O222" s="107" t="str">
        <f ca="1">PROPER(_xlfn.XLOOKUP($A222,Строчный!$A:$A,Строчный!P:P,"ERR",0))</f>
        <v/>
      </c>
      <c r="P222" s="90">
        <f ca="1">VALUE(_xlfn.XLOOKUP($A222,Строчный!$A:$A,Строчный!N:N,"ERR",0))</f>
        <v>2053.35</v>
      </c>
      <c r="Q222" s="89" t="str">
        <f ca="1">_xlfn.XLOOKUP($G222,Фабрика!A:A,Фабрика!B:B,"ERR",0)</f>
        <v>Bollman Headwear Europe Ltd; 2 Merchants drive, Caelisle, Cumbria CA3 0JW, United Kingdom</v>
      </c>
      <c r="R222" s="80" t="str">
        <f ca="1">_xlfn.XLOOKUP(RIGHT(Z222,2),Размеры!D:D,Размеры!A:A,"ERR",0)</f>
        <v>63</v>
      </c>
      <c r="S222" s="80">
        <f ca="1">VALUE(_xlfn.XLOOKUP($Z222,Строчный!$R:$R,Строчный!T:T,"ERR",0))</f>
        <v>2</v>
      </c>
      <c r="T222" s="14" t="s">
        <v>265</v>
      </c>
      <c r="U222" s="101" t="str">
        <f t="shared" ca="1" si="23"/>
        <v>Шляпа BAILEY арт. 1362 DALTON (черный)</v>
      </c>
      <c r="V222" s="100" t="str">
        <f t="shared" ca="1" si="24"/>
        <v>Шляпа BAILEY арт. 1362 DALTON (черный) {black}</v>
      </c>
      <c r="W222" s="18" t="str">
        <f t="shared" ca="1" si="25"/>
        <v>черный</v>
      </c>
      <c r="X222" s="18" t="str">
        <f t="shared" ca="1" si="26"/>
        <v>черный</v>
      </c>
      <c r="Y222" s="117" t="str">
        <f ca="1">_xlfn.LET(_xlpm.FormColors,_xlfn.XLOOKUP(A222,Строчный!A:A,Строчный!Q:Q,"",0),IF(_xlpm.FormColors=0,IFERROR(MID(I222,FIND("-",I222)+1,LEN(I222)),IFERROR(MID(I222,1,FIND("/",I222)-2),I222)),_xlpm.FormColors))</f>
        <v>черный</v>
      </c>
      <c r="Z222" s="73" t="str">
        <f ca="1"/>
        <v>21-267-09-63</v>
      </c>
      <c r="AA222" s="75" t="str">
        <f ca="1">VLOOKUP(C222,Группа!A:B,2,FALSE)</f>
        <v>Шляпа</v>
      </c>
      <c r="AB222" s="97" t="str">
        <f ca="1">IFERROR(VLOOKUP(R222,Размеры!A:C,3,FALSE),"")</f>
        <v>63 XXL</v>
      </c>
      <c r="AC222" s="97" t="str">
        <f ca="1">VLOOKUP(I222,ЦветПолный!A:B,2,FALSE)</f>
        <v>09</v>
      </c>
      <c r="AD222" s="97" t="str">
        <f ca="1">IFERROR(VLOOKUP(R222,Размеры!A:D,4,FALSE),"")</f>
        <v>63</v>
      </c>
      <c r="AE222" s="97">
        <f ca="1">IF(LEFT(IFERROR(VLOOKUP(LOOKUP(2,1/SEARCH(B222,Товары!A:A),Товары!A:A),Товары!A:B,2,0),""),6)=MID(Z222,1,6),1,0)</f>
        <v>1</v>
      </c>
      <c r="AG222" s="97">
        <f ca="1">SUMIF(Группа!A:A,C222,Группа!C:C)</f>
        <v>1</v>
      </c>
      <c r="AH222" s="97">
        <f ca="1">SUMIF(Группа!B:B,AA222,Группа!C:C)</f>
        <v>1</v>
      </c>
      <c r="AI222" s="97">
        <f ca="1">SUMIF(Формы!A:A,D222,Формы!B:B)</f>
        <v>1</v>
      </c>
      <c r="AJ222" s="97">
        <f ca="1">SUMIF(Материал!A:A,K222,Материал!B:B)</f>
        <v>1</v>
      </c>
      <c r="AK222" s="97">
        <f ca="1">SUMIF(Размеры!A:A,R222,Размеры!E:E)</f>
        <v>1</v>
      </c>
      <c r="AL222" s="97">
        <f ca="1">SUMIF(Сезон!A:A,F222,Сезон!B:B)</f>
        <v>1</v>
      </c>
      <c r="AM222" s="97">
        <f ca="1">SUMIF(Состав!A:A,J222,Состав!B:B)</f>
        <v>0</v>
      </c>
      <c r="AN222" s="97">
        <f ca="1">VLOOKUP(I222,ЦветПолный!A:C,3,0)</f>
        <v>1</v>
      </c>
      <c r="AO222" s="97">
        <f ca="1">SUMIF(Цвет!A:A,Y222,Цвет!B:B)</f>
        <v>1</v>
      </c>
      <c r="AP222" s="97">
        <f ca="1">_xlfn.XLOOKUP(L222,Пол!A:A,Пол!B:B,0,0)</f>
        <v>1</v>
      </c>
      <c r="AQ222" s="97">
        <f ca="1">SUMIF(Марка!A:A,G222,Марка!B:B)</f>
        <v>1</v>
      </c>
      <c r="AR222" s="97">
        <f ca="1">SUMIF(Страна!A:A,M222,Страна!B:B)</f>
        <v>1</v>
      </c>
      <c r="AS222" s="64" t="str">
        <f ca="1">IF(VLOOKUP(V222,Товары!A:B,2,FALSE)=A222,"Есть в 1С","ERR")</f>
        <v>Есть в 1С</v>
      </c>
      <c r="AT222" s="65" t="str">
        <f ca="1">IF(VLOOKUP(A222,Товары!B:B,1,FALSE)=A222,"Есть в 1С","ERR")</f>
        <v>Есть в 1С</v>
      </c>
      <c r="AU222" s="96" t="str">
        <f ca="1">VLOOKUP(V222,Товары!A:B,2,FALSE)</f>
        <v>21-267-09</v>
      </c>
      <c r="AV222" s="94" t="str">
        <f ca="1">VLOOKUP(V222,Товары!A:B,1,FALSE)</f>
        <v>Шляпа BAILEY арт. 1362 DALTON (черный) {black}</v>
      </c>
    </row>
    <row r="223" spans="1:48" x14ac:dyDescent="0.25">
      <c r="A223" s="110" t="str">
        <f t="shared" ca="1" si="27"/>
        <v>21-267-09</v>
      </c>
      <c r="B223" s="107" t="str">
        <f ca="1">_xlfn.LET(_xlpm.CAPS,0,_xlpm.Style,_xlfn.XLOOKUP($A223,Строчный!$A:$A,Строчный!B:B,"ERR",0),IF(_xlpm.CAPS=0,_xlpm.Style,LOWER(_xlpm.Style)))</f>
        <v>1362 DALTON</v>
      </c>
      <c r="C223" s="81" t="str">
        <f ca="1">PROPER(_xlfn.XLOOKUP($A223,Строчный!$A:$A,Строчный!C:C,"ERR",0))</f>
        <v>Шляпы</v>
      </c>
      <c r="D223" s="81" t="str">
        <f ca="1">_xlfn.LET(_xlpm.DATA,(_xlfn.XLOOKUP($A223,Строчный!$A:$A,Строчный!D:D,"ERR",0)),UPPER(MID(_xlpm.DATA,1,1))&amp;LOWER(MID(_xlpm.DATA,2,LEN(_xlpm.DATA)-1)))</f>
        <v>Шляпа федора</v>
      </c>
      <c r="E223" s="81" t="str">
        <f ca="1">PROPER(_xlfn.XLOOKUP($A223,Строчный!$A:$A,Строчный!E:E,"ERR",0))</f>
        <v>The Hollywood</v>
      </c>
      <c r="F223" s="81" t="str">
        <f ca="1">LOWER(_xlfn.XLOOKUP($A223,Строчный!$A:$A,Строчный!F:F,"ERR",0))</f>
        <v>всесезон</v>
      </c>
      <c r="G223" s="81" t="str">
        <f ca="1">UPPER(_xlfn.XLOOKUP($A223,Строчный!$A:$A,Строчный!G:G,"ERR",0))</f>
        <v>BAILEY</v>
      </c>
      <c r="H223" s="81" t="str">
        <f ca="1">LOWER(_xlfn.XLOOKUP($A223,Строчный!$A:$A,Строчный!H:H,"ERR",0))</f>
        <v>black</v>
      </c>
      <c r="I223" s="81" t="str">
        <f ca="1">LOWER(_xlfn.XLOOKUP($A223,Строчный!$A:$A,Строчный!I:I,"ERR",0))</f>
        <v>черный</v>
      </c>
      <c r="J223" s="81" t="str">
        <f ca="1">SUBSTITUTE(LOWER(_xlfn.XLOOKUP($A223,Строчный!$A:$A,Строчный!J:J,"ERR",0)),"подклад","Подклад")</f>
        <v>65% полиэстер - 35% хлопок / Подклад: 100% полиэстер</v>
      </c>
      <c r="K223" s="81" t="str">
        <f ca="1">LOWER(_xlfn.XLOOKUP($A223,Строчный!$A:$A,Строчный!K:K,"ERR",0))</f>
        <v>хлопковые</v>
      </c>
      <c r="L223" s="81" t="str">
        <f ca="1">PROPER(_xlfn.XLOOKUP($A223,Строчный!$A:$A,Строчный!L:L,"ERR",0))</f>
        <v>Унисекс</v>
      </c>
      <c r="M223" s="113" t="str">
        <f ca="1">PROPER(_xlfn.XLOOKUP($A223,Строчный!$A:$A,Строчный!M:M,"ERR",0))</f>
        <v>Китай</v>
      </c>
      <c r="N223" s="81" t="str">
        <f ca="1">UPPER(_xlfn.XLOOKUP($A223,Строчный!$A:$A,Строчный!O:O,"ERR",0))</f>
        <v/>
      </c>
      <c r="O223" s="107" t="str">
        <f ca="1">PROPER(_xlfn.XLOOKUP($A223,Строчный!$A:$A,Строчный!P:P,"ERR",0))</f>
        <v/>
      </c>
      <c r="P223" s="90">
        <f ca="1">VALUE(_xlfn.XLOOKUP($A223,Строчный!$A:$A,Строчный!N:N,"ERR",0))</f>
        <v>2053.35</v>
      </c>
      <c r="Q223" s="89" t="str">
        <f ca="1">_xlfn.XLOOKUP($G223,Фабрика!A:A,Фабрика!B:B,"ERR",0)</f>
        <v>Bollman Headwear Europe Ltd; 2 Merchants drive, Caelisle, Cumbria CA3 0JW, United Kingdom</v>
      </c>
      <c r="R223" s="80" t="str">
        <f ca="1">_xlfn.XLOOKUP(RIGHT(Z223,2),Размеры!D:D,Размеры!A:A,"ERR",0)</f>
        <v>61</v>
      </c>
      <c r="S223" s="80">
        <f ca="1">VALUE(_xlfn.XLOOKUP($Z223,Строчный!$R:$R,Строчный!T:T,"ERR",0))</f>
        <v>8</v>
      </c>
      <c r="T223" s="14" t="s">
        <v>265</v>
      </c>
      <c r="U223" s="101" t="str">
        <f t="shared" ca="1" si="23"/>
        <v>Шляпа BAILEY арт. 1362 DALTON (черный)</v>
      </c>
      <c r="V223" s="100" t="str">
        <f t="shared" ca="1" si="24"/>
        <v>Шляпа BAILEY арт. 1362 DALTON (черный) {black}</v>
      </c>
      <c r="W223" s="18" t="str">
        <f t="shared" ca="1" si="25"/>
        <v>черный</v>
      </c>
      <c r="X223" s="18" t="str">
        <f t="shared" ca="1" si="26"/>
        <v>черный</v>
      </c>
      <c r="Y223" s="117" t="str">
        <f ca="1">_xlfn.LET(_xlpm.FormColors,_xlfn.XLOOKUP(A223,Строчный!A:A,Строчный!Q:Q,"",0),IF(_xlpm.FormColors=0,IFERROR(MID(I223,FIND("-",I223)+1,LEN(I223)),IFERROR(MID(I223,1,FIND("/",I223)-2),I223)),_xlpm.FormColors))</f>
        <v>черный</v>
      </c>
      <c r="Z223" s="73" t="str">
        <f ca="1"/>
        <v>21-267-09-61</v>
      </c>
      <c r="AA223" s="75" t="str">
        <f ca="1">VLOOKUP(C223,Группа!A:B,2,FALSE)</f>
        <v>Шляпа</v>
      </c>
      <c r="AB223" s="97" t="str">
        <f ca="1">IFERROR(VLOOKUP(R223,Размеры!A:C,3,FALSE),"")</f>
        <v>61 XL</v>
      </c>
      <c r="AC223" s="97" t="str">
        <f ca="1">VLOOKUP(I223,ЦветПолный!A:B,2,FALSE)</f>
        <v>09</v>
      </c>
      <c r="AD223" s="97" t="str">
        <f ca="1">IFERROR(VLOOKUP(R223,Размеры!A:D,4,FALSE),"")</f>
        <v>61</v>
      </c>
      <c r="AE223" s="97">
        <f ca="1">IF(LEFT(IFERROR(VLOOKUP(LOOKUP(2,1/SEARCH(B223,Товары!A:A),Товары!A:A),Товары!A:B,2,0),""),6)=MID(Z223,1,6),1,0)</f>
        <v>1</v>
      </c>
      <c r="AG223" s="97">
        <f ca="1">SUMIF(Группа!A:A,C223,Группа!C:C)</f>
        <v>1</v>
      </c>
      <c r="AH223" s="97">
        <f ca="1">SUMIF(Группа!B:B,AA223,Группа!C:C)</f>
        <v>1</v>
      </c>
      <c r="AI223" s="97">
        <f ca="1">SUMIF(Формы!A:A,D223,Формы!B:B)</f>
        <v>1</v>
      </c>
      <c r="AJ223" s="97">
        <f ca="1">SUMIF(Материал!A:A,K223,Материал!B:B)</f>
        <v>1</v>
      </c>
      <c r="AK223" s="97">
        <f ca="1">SUMIF(Размеры!A:A,R223,Размеры!E:E)</f>
        <v>1</v>
      </c>
      <c r="AL223" s="97">
        <f ca="1">SUMIF(Сезон!A:A,F223,Сезон!B:B)</f>
        <v>1</v>
      </c>
      <c r="AM223" s="97">
        <f ca="1">SUMIF(Состав!A:A,J223,Состав!B:B)</f>
        <v>0</v>
      </c>
      <c r="AN223" s="97">
        <f ca="1">VLOOKUP(I223,ЦветПолный!A:C,3,0)</f>
        <v>1</v>
      </c>
      <c r="AO223" s="97">
        <f ca="1">SUMIF(Цвет!A:A,Y223,Цвет!B:B)</f>
        <v>1</v>
      </c>
      <c r="AP223" s="97">
        <f ca="1">_xlfn.XLOOKUP(L223,Пол!A:A,Пол!B:B,0,0)</f>
        <v>1</v>
      </c>
      <c r="AQ223" s="97">
        <f ca="1">SUMIF(Марка!A:A,G223,Марка!B:B)</f>
        <v>1</v>
      </c>
      <c r="AR223" s="97">
        <f ca="1">SUMIF(Страна!A:A,M223,Страна!B:B)</f>
        <v>1</v>
      </c>
      <c r="AS223" s="64" t="str">
        <f ca="1">IF(VLOOKUP(V223,Товары!A:B,2,FALSE)=A223,"Есть в 1С","ERR")</f>
        <v>Есть в 1С</v>
      </c>
      <c r="AT223" s="65" t="str">
        <f ca="1">IF(VLOOKUP(A223,Товары!B:B,1,FALSE)=A223,"Есть в 1С","ERR")</f>
        <v>Есть в 1С</v>
      </c>
      <c r="AU223" s="96" t="str">
        <f ca="1">VLOOKUP(V223,Товары!A:B,2,FALSE)</f>
        <v>21-267-09</v>
      </c>
      <c r="AV223" s="94" t="str">
        <f ca="1">VLOOKUP(V223,Товары!A:B,1,FALSE)</f>
        <v>Шляпа BAILEY арт. 1362 DALTON (черный) {black}</v>
      </c>
    </row>
    <row r="224" spans="1:48" x14ac:dyDescent="0.25">
      <c r="A224" s="110" t="str">
        <f t="shared" ca="1" si="27"/>
        <v>21-267-09</v>
      </c>
      <c r="B224" s="107" t="str">
        <f ca="1">_xlfn.LET(_xlpm.CAPS,0,_xlpm.Style,_xlfn.XLOOKUP($A224,Строчный!$A:$A,Строчный!B:B,"ERR",0),IF(_xlpm.CAPS=0,_xlpm.Style,LOWER(_xlpm.Style)))</f>
        <v>1362 DALTON</v>
      </c>
      <c r="C224" s="81" t="str">
        <f ca="1">PROPER(_xlfn.XLOOKUP($A224,Строчный!$A:$A,Строчный!C:C,"ERR",0))</f>
        <v>Шляпы</v>
      </c>
      <c r="D224" s="81" t="str">
        <f ca="1">_xlfn.LET(_xlpm.DATA,(_xlfn.XLOOKUP($A224,Строчный!$A:$A,Строчный!D:D,"ERR",0)),UPPER(MID(_xlpm.DATA,1,1))&amp;LOWER(MID(_xlpm.DATA,2,LEN(_xlpm.DATA)-1)))</f>
        <v>Шляпа федора</v>
      </c>
      <c r="E224" s="81" t="str">
        <f ca="1">PROPER(_xlfn.XLOOKUP($A224,Строчный!$A:$A,Строчный!E:E,"ERR",0))</f>
        <v>The Hollywood</v>
      </c>
      <c r="F224" s="81" t="str">
        <f ca="1">LOWER(_xlfn.XLOOKUP($A224,Строчный!$A:$A,Строчный!F:F,"ERR",0))</f>
        <v>всесезон</v>
      </c>
      <c r="G224" s="81" t="str">
        <f ca="1">UPPER(_xlfn.XLOOKUP($A224,Строчный!$A:$A,Строчный!G:G,"ERR",0))</f>
        <v>BAILEY</v>
      </c>
      <c r="H224" s="81" t="str">
        <f ca="1">LOWER(_xlfn.XLOOKUP($A224,Строчный!$A:$A,Строчный!H:H,"ERR",0))</f>
        <v>black</v>
      </c>
      <c r="I224" s="81" t="str">
        <f ca="1">LOWER(_xlfn.XLOOKUP($A224,Строчный!$A:$A,Строчный!I:I,"ERR",0))</f>
        <v>черный</v>
      </c>
      <c r="J224" s="81" t="str">
        <f ca="1">SUBSTITUTE(LOWER(_xlfn.XLOOKUP($A224,Строчный!$A:$A,Строчный!J:J,"ERR",0)),"подклад","Подклад")</f>
        <v>65% полиэстер - 35% хлопок / Подклад: 100% полиэстер</v>
      </c>
      <c r="K224" s="81" t="str">
        <f ca="1">LOWER(_xlfn.XLOOKUP($A224,Строчный!$A:$A,Строчный!K:K,"ERR",0))</f>
        <v>хлопковые</v>
      </c>
      <c r="L224" s="81" t="str">
        <f ca="1">PROPER(_xlfn.XLOOKUP($A224,Строчный!$A:$A,Строчный!L:L,"ERR",0))</f>
        <v>Унисекс</v>
      </c>
      <c r="M224" s="113" t="str">
        <f ca="1">PROPER(_xlfn.XLOOKUP($A224,Строчный!$A:$A,Строчный!M:M,"ERR",0))</f>
        <v>Китай</v>
      </c>
      <c r="N224" s="81" t="str">
        <f ca="1">UPPER(_xlfn.XLOOKUP($A224,Строчный!$A:$A,Строчный!O:O,"ERR",0))</f>
        <v/>
      </c>
      <c r="O224" s="107" t="str">
        <f ca="1">PROPER(_xlfn.XLOOKUP($A224,Строчный!$A:$A,Строчный!P:P,"ERR",0))</f>
        <v/>
      </c>
      <c r="P224" s="90">
        <f ca="1">VALUE(_xlfn.XLOOKUP($A224,Строчный!$A:$A,Строчный!N:N,"ERR",0))</f>
        <v>2053.35</v>
      </c>
      <c r="Q224" s="89" t="str">
        <f ca="1">_xlfn.XLOOKUP($G224,Фабрика!A:A,Фабрика!B:B,"ERR",0)</f>
        <v>Bollman Headwear Europe Ltd; 2 Merchants drive, Caelisle, Cumbria CA3 0JW, United Kingdom</v>
      </c>
      <c r="R224" s="80" t="str">
        <f ca="1">_xlfn.XLOOKUP(RIGHT(Z224,2),Размеры!D:D,Размеры!A:A,"ERR",0)</f>
        <v>59</v>
      </c>
      <c r="S224" s="80">
        <f ca="1">VALUE(_xlfn.XLOOKUP($Z224,Строчный!$R:$R,Строчный!T:T,"ERR",0))</f>
        <v>9</v>
      </c>
      <c r="T224" s="14" t="s">
        <v>265</v>
      </c>
      <c r="U224" s="101" t="str">
        <f t="shared" ca="1" si="23"/>
        <v>Шляпа BAILEY арт. 1362 DALTON (черный)</v>
      </c>
      <c r="V224" s="100" t="str">
        <f t="shared" ca="1" si="24"/>
        <v>Шляпа BAILEY арт. 1362 DALTON (черный) {black}</v>
      </c>
      <c r="W224" s="18" t="str">
        <f t="shared" ca="1" si="25"/>
        <v>черный</v>
      </c>
      <c r="X224" s="18" t="str">
        <f t="shared" ca="1" si="26"/>
        <v>черный</v>
      </c>
      <c r="Y224" s="117" t="str">
        <f ca="1">_xlfn.LET(_xlpm.FormColors,_xlfn.XLOOKUP(A224,Строчный!A:A,Строчный!Q:Q,"",0),IF(_xlpm.FormColors=0,IFERROR(MID(I224,FIND("-",I224)+1,LEN(I224)),IFERROR(MID(I224,1,FIND("/",I224)-2),I224)),_xlpm.FormColors))</f>
        <v>черный</v>
      </c>
      <c r="Z224" s="73" t="str">
        <f ca="1"/>
        <v>21-267-09-59</v>
      </c>
      <c r="AA224" s="75" t="str">
        <f ca="1">VLOOKUP(C224,Группа!A:B,2,FALSE)</f>
        <v>Шляпа</v>
      </c>
      <c r="AB224" s="97" t="str">
        <f ca="1">IFERROR(VLOOKUP(R224,Размеры!A:C,3,FALSE),"")</f>
        <v>59 L</v>
      </c>
      <c r="AC224" s="97" t="str">
        <f ca="1">VLOOKUP(I224,ЦветПолный!A:B,2,FALSE)</f>
        <v>09</v>
      </c>
      <c r="AD224" s="97" t="str">
        <f ca="1">IFERROR(VLOOKUP(R224,Размеры!A:D,4,FALSE),"")</f>
        <v>59</v>
      </c>
      <c r="AE224" s="97">
        <f ca="1">IF(LEFT(IFERROR(VLOOKUP(LOOKUP(2,1/SEARCH(B224,Товары!A:A),Товары!A:A),Товары!A:B,2,0),""),6)=MID(Z224,1,6),1,0)</f>
        <v>1</v>
      </c>
      <c r="AG224" s="97">
        <f ca="1">SUMIF(Группа!A:A,C224,Группа!C:C)</f>
        <v>1</v>
      </c>
      <c r="AH224" s="97">
        <f ca="1">SUMIF(Группа!B:B,AA224,Группа!C:C)</f>
        <v>1</v>
      </c>
      <c r="AI224" s="97">
        <f ca="1">SUMIF(Формы!A:A,D224,Формы!B:B)</f>
        <v>1</v>
      </c>
      <c r="AJ224" s="97">
        <f ca="1">SUMIF(Материал!A:A,K224,Материал!B:B)</f>
        <v>1</v>
      </c>
      <c r="AK224" s="97">
        <f ca="1">SUMIF(Размеры!A:A,R224,Размеры!E:E)</f>
        <v>1</v>
      </c>
      <c r="AL224" s="97">
        <f ca="1">SUMIF(Сезон!A:A,F224,Сезон!B:B)</f>
        <v>1</v>
      </c>
      <c r="AM224" s="97">
        <f ca="1">SUMIF(Состав!A:A,J224,Состав!B:B)</f>
        <v>0</v>
      </c>
      <c r="AN224" s="97">
        <f ca="1">VLOOKUP(I224,ЦветПолный!A:C,3,0)</f>
        <v>1</v>
      </c>
      <c r="AO224" s="97">
        <f ca="1">SUMIF(Цвет!A:A,Y224,Цвет!B:B)</f>
        <v>1</v>
      </c>
      <c r="AP224" s="97">
        <f ca="1">_xlfn.XLOOKUP(L224,Пол!A:A,Пол!B:B,0,0)</f>
        <v>1</v>
      </c>
      <c r="AQ224" s="97">
        <f ca="1">SUMIF(Марка!A:A,G224,Марка!B:B)</f>
        <v>1</v>
      </c>
      <c r="AR224" s="97">
        <f ca="1">SUMIF(Страна!A:A,M224,Страна!B:B)</f>
        <v>1</v>
      </c>
      <c r="AS224" s="64" t="str">
        <f ca="1">IF(VLOOKUP(V224,Товары!A:B,2,FALSE)=A224,"Есть в 1С","ERR")</f>
        <v>Есть в 1С</v>
      </c>
      <c r="AT224" s="65" t="str">
        <f ca="1">IF(VLOOKUP(A224,Товары!B:B,1,FALSE)=A224,"Есть в 1С","ERR")</f>
        <v>Есть в 1С</v>
      </c>
      <c r="AU224" s="96" t="str">
        <f ca="1">VLOOKUP(V224,Товары!A:B,2,FALSE)</f>
        <v>21-267-09</v>
      </c>
      <c r="AV224" s="94" t="str">
        <f ca="1">VLOOKUP(V224,Товары!A:B,1,FALSE)</f>
        <v>Шляпа BAILEY арт. 1362 DALTON (черный) {black}</v>
      </c>
    </row>
    <row r="225" spans="1:48" x14ac:dyDescent="0.25">
      <c r="A225" s="110" t="str">
        <f t="shared" ca="1" si="27"/>
        <v>21-267-09</v>
      </c>
      <c r="B225" s="107" t="str">
        <f ca="1">_xlfn.LET(_xlpm.CAPS,0,_xlpm.Style,_xlfn.XLOOKUP($A225,Строчный!$A:$A,Строчный!B:B,"ERR",0),IF(_xlpm.CAPS=0,_xlpm.Style,LOWER(_xlpm.Style)))</f>
        <v>1362 DALTON</v>
      </c>
      <c r="C225" s="81" t="str">
        <f ca="1">PROPER(_xlfn.XLOOKUP($A225,Строчный!$A:$A,Строчный!C:C,"ERR",0))</f>
        <v>Шляпы</v>
      </c>
      <c r="D225" s="81" t="str">
        <f ca="1">_xlfn.LET(_xlpm.DATA,(_xlfn.XLOOKUP($A225,Строчный!$A:$A,Строчный!D:D,"ERR",0)),UPPER(MID(_xlpm.DATA,1,1))&amp;LOWER(MID(_xlpm.DATA,2,LEN(_xlpm.DATA)-1)))</f>
        <v>Шляпа федора</v>
      </c>
      <c r="E225" s="81" t="str">
        <f ca="1">PROPER(_xlfn.XLOOKUP($A225,Строчный!$A:$A,Строчный!E:E,"ERR",0))</f>
        <v>The Hollywood</v>
      </c>
      <c r="F225" s="81" t="str">
        <f ca="1">LOWER(_xlfn.XLOOKUP($A225,Строчный!$A:$A,Строчный!F:F,"ERR",0))</f>
        <v>всесезон</v>
      </c>
      <c r="G225" s="81" t="str">
        <f ca="1">UPPER(_xlfn.XLOOKUP($A225,Строчный!$A:$A,Строчный!G:G,"ERR",0))</f>
        <v>BAILEY</v>
      </c>
      <c r="H225" s="81" t="str">
        <f ca="1">LOWER(_xlfn.XLOOKUP($A225,Строчный!$A:$A,Строчный!H:H,"ERR",0))</f>
        <v>black</v>
      </c>
      <c r="I225" s="81" t="str">
        <f ca="1">LOWER(_xlfn.XLOOKUP($A225,Строчный!$A:$A,Строчный!I:I,"ERR",0))</f>
        <v>черный</v>
      </c>
      <c r="J225" s="81" t="str">
        <f ca="1">SUBSTITUTE(LOWER(_xlfn.XLOOKUP($A225,Строчный!$A:$A,Строчный!J:J,"ERR",0)),"подклад","Подклад")</f>
        <v>65% полиэстер - 35% хлопок / Подклад: 100% полиэстер</v>
      </c>
      <c r="K225" s="81" t="str">
        <f ca="1">LOWER(_xlfn.XLOOKUP($A225,Строчный!$A:$A,Строчный!K:K,"ERR",0))</f>
        <v>хлопковые</v>
      </c>
      <c r="L225" s="81" t="str">
        <f ca="1">PROPER(_xlfn.XLOOKUP($A225,Строчный!$A:$A,Строчный!L:L,"ERR",0))</f>
        <v>Унисекс</v>
      </c>
      <c r="M225" s="113" t="str">
        <f ca="1">PROPER(_xlfn.XLOOKUP($A225,Строчный!$A:$A,Строчный!M:M,"ERR",0))</f>
        <v>Китай</v>
      </c>
      <c r="N225" s="81" t="str">
        <f ca="1">UPPER(_xlfn.XLOOKUP($A225,Строчный!$A:$A,Строчный!O:O,"ERR",0))</f>
        <v/>
      </c>
      <c r="O225" s="107" t="str">
        <f ca="1">PROPER(_xlfn.XLOOKUP($A225,Строчный!$A:$A,Строчный!P:P,"ERR",0))</f>
        <v/>
      </c>
      <c r="P225" s="90">
        <f ca="1">VALUE(_xlfn.XLOOKUP($A225,Строчный!$A:$A,Строчный!N:N,"ERR",0))</f>
        <v>2053.35</v>
      </c>
      <c r="Q225" s="89" t="str">
        <f ca="1">_xlfn.XLOOKUP($G225,Фабрика!A:A,Фабрика!B:B,"ERR",0)</f>
        <v>Bollman Headwear Europe Ltd; 2 Merchants drive, Caelisle, Cumbria CA3 0JW, United Kingdom</v>
      </c>
      <c r="R225" s="80" t="str">
        <f ca="1">_xlfn.XLOOKUP(RIGHT(Z225,2),Размеры!D:D,Размеры!A:A,"ERR",0)</f>
        <v>57</v>
      </c>
      <c r="S225" s="80">
        <f ca="1">VALUE(_xlfn.XLOOKUP($Z225,Строчный!$R:$R,Строчный!T:T,"ERR",0))</f>
        <v>7</v>
      </c>
      <c r="T225" s="14" t="s">
        <v>265</v>
      </c>
      <c r="U225" s="101" t="str">
        <f t="shared" ca="1" si="23"/>
        <v>Шляпа BAILEY арт. 1362 DALTON (черный)</v>
      </c>
      <c r="V225" s="100" t="str">
        <f t="shared" ca="1" si="24"/>
        <v>Шляпа BAILEY арт. 1362 DALTON (черный) {black}</v>
      </c>
      <c r="W225" s="18" t="str">
        <f t="shared" ca="1" si="25"/>
        <v>черный</v>
      </c>
      <c r="X225" s="18" t="str">
        <f t="shared" ca="1" si="26"/>
        <v>черный</v>
      </c>
      <c r="Y225" s="117" t="str">
        <f ca="1">_xlfn.LET(_xlpm.FormColors,_xlfn.XLOOKUP(A225,Строчный!A:A,Строчный!Q:Q,"",0),IF(_xlpm.FormColors=0,IFERROR(MID(I225,FIND("-",I225)+1,LEN(I225)),IFERROR(MID(I225,1,FIND("/",I225)-2),I225)),_xlpm.FormColors))</f>
        <v>черный</v>
      </c>
      <c r="Z225" s="73" t="str">
        <f ca="1"/>
        <v>21-267-09-57</v>
      </c>
      <c r="AA225" s="75" t="str">
        <f ca="1">VLOOKUP(C225,Группа!A:B,2,FALSE)</f>
        <v>Шляпа</v>
      </c>
      <c r="AB225" s="97" t="str">
        <f ca="1">IFERROR(VLOOKUP(R225,Размеры!A:C,3,FALSE),"")</f>
        <v>57 M</v>
      </c>
      <c r="AC225" s="97" t="str">
        <f ca="1">VLOOKUP(I225,ЦветПолный!A:B,2,FALSE)</f>
        <v>09</v>
      </c>
      <c r="AD225" s="97" t="str">
        <f ca="1">IFERROR(VLOOKUP(R225,Размеры!A:D,4,FALSE),"")</f>
        <v>57</v>
      </c>
      <c r="AE225" s="97">
        <f ca="1">IF(LEFT(IFERROR(VLOOKUP(LOOKUP(2,1/SEARCH(B225,Товары!A:A),Товары!A:A),Товары!A:B,2,0),""),6)=MID(Z225,1,6),1,0)</f>
        <v>1</v>
      </c>
      <c r="AG225" s="97">
        <f ca="1">SUMIF(Группа!A:A,C225,Группа!C:C)</f>
        <v>1</v>
      </c>
      <c r="AH225" s="97">
        <f ca="1">SUMIF(Группа!B:B,AA225,Группа!C:C)</f>
        <v>1</v>
      </c>
      <c r="AI225" s="97">
        <f ca="1">SUMIF(Формы!A:A,D225,Формы!B:B)</f>
        <v>1</v>
      </c>
      <c r="AJ225" s="97">
        <f ca="1">SUMIF(Материал!A:A,K225,Материал!B:B)</f>
        <v>1</v>
      </c>
      <c r="AK225" s="97">
        <f ca="1">SUMIF(Размеры!A:A,R225,Размеры!E:E)</f>
        <v>1</v>
      </c>
      <c r="AL225" s="97">
        <f ca="1">SUMIF(Сезон!A:A,F225,Сезон!B:B)</f>
        <v>1</v>
      </c>
      <c r="AM225" s="97">
        <f ca="1">SUMIF(Состав!A:A,J225,Состав!B:B)</f>
        <v>0</v>
      </c>
      <c r="AN225" s="97">
        <f ca="1">VLOOKUP(I225,ЦветПолный!A:C,3,0)</f>
        <v>1</v>
      </c>
      <c r="AO225" s="97">
        <f ca="1">SUMIF(Цвет!A:A,Y225,Цвет!B:B)</f>
        <v>1</v>
      </c>
      <c r="AP225" s="97">
        <f ca="1">_xlfn.XLOOKUP(L225,Пол!A:A,Пол!B:B,0,0)</f>
        <v>1</v>
      </c>
      <c r="AQ225" s="97">
        <f ca="1">SUMIF(Марка!A:A,G225,Марка!B:B)</f>
        <v>1</v>
      </c>
      <c r="AR225" s="97">
        <f ca="1">SUMIF(Страна!A:A,M225,Страна!B:B)</f>
        <v>1</v>
      </c>
      <c r="AS225" s="64" t="str">
        <f ca="1">IF(VLOOKUP(V225,Товары!A:B,2,FALSE)=A225,"Есть в 1С","ERR")</f>
        <v>Есть в 1С</v>
      </c>
      <c r="AT225" s="65" t="str">
        <f ca="1">IF(VLOOKUP(A225,Товары!B:B,1,FALSE)=A225,"Есть в 1С","ERR")</f>
        <v>Есть в 1С</v>
      </c>
      <c r="AU225" s="96" t="str">
        <f ca="1">VLOOKUP(V225,Товары!A:B,2,FALSE)</f>
        <v>21-267-09</v>
      </c>
      <c r="AV225" s="94" t="str">
        <f ca="1">VLOOKUP(V225,Товары!A:B,1,FALSE)</f>
        <v>Шляпа BAILEY арт. 1362 DALTON (черный) {black}</v>
      </c>
    </row>
    <row r="226" spans="1:48" x14ac:dyDescent="0.25">
      <c r="A226" s="110" t="str">
        <f t="shared" ca="1" si="27"/>
        <v>21-267-08</v>
      </c>
      <c r="B226" s="107" t="str">
        <f ca="1">_xlfn.LET(_xlpm.CAPS,0,_xlpm.Style,_xlfn.XLOOKUP($A226,Строчный!$A:$A,Строчный!B:B,"ERR",0),IF(_xlpm.CAPS=0,_xlpm.Style,LOWER(_xlpm.Style)))</f>
        <v>1362 DALTON</v>
      </c>
      <c r="C226" s="81" t="str">
        <f ca="1">PROPER(_xlfn.XLOOKUP($A226,Строчный!$A:$A,Строчный!C:C,"ERR",0))</f>
        <v>Шляпы</v>
      </c>
      <c r="D226" s="81" t="str">
        <f ca="1">_xlfn.LET(_xlpm.DATA,(_xlfn.XLOOKUP($A226,Строчный!$A:$A,Строчный!D:D,"ERR",0)),UPPER(MID(_xlpm.DATA,1,1))&amp;LOWER(MID(_xlpm.DATA,2,LEN(_xlpm.DATA)-1)))</f>
        <v>Шляпа федора</v>
      </c>
      <c r="E226" s="81" t="str">
        <f ca="1">PROPER(_xlfn.XLOOKUP($A226,Строчный!$A:$A,Строчный!E:E,"ERR",0))</f>
        <v>The Hollywood</v>
      </c>
      <c r="F226" s="81" t="str">
        <f ca="1">LOWER(_xlfn.XLOOKUP($A226,Строчный!$A:$A,Строчный!F:F,"ERR",0))</f>
        <v>всесезон</v>
      </c>
      <c r="G226" s="81" t="str">
        <f ca="1">UPPER(_xlfn.XLOOKUP($A226,Строчный!$A:$A,Строчный!G:G,"ERR",0))</f>
        <v>BAILEY</v>
      </c>
      <c r="H226" s="81" t="str">
        <f ca="1">LOWER(_xlfn.XLOOKUP($A226,Строчный!$A:$A,Строчный!H:H,"ERR",0))</f>
        <v>chino</v>
      </c>
      <c r="I226" s="81" t="str">
        <f ca="1">LOWER(_xlfn.XLOOKUP($A226,Строчный!$A:$A,Строчный!I:I,"ERR",0))</f>
        <v>светло-серый</v>
      </c>
      <c r="J226" s="81" t="str">
        <f ca="1">SUBSTITUTE(LOWER(_xlfn.XLOOKUP($A226,Строчный!$A:$A,Строчный!J:J,"ERR",0)),"подклад","Подклад")</f>
        <v>65% полиэстер - 35% хлопок / Подклад: 100% полиэстер</v>
      </c>
      <c r="K226" s="81" t="str">
        <f ca="1">LOWER(_xlfn.XLOOKUP($A226,Строчный!$A:$A,Строчный!K:K,"ERR",0))</f>
        <v>хлопковые</v>
      </c>
      <c r="L226" s="81" t="str">
        <f ca="1">PROPER(_xlfn.XLOOKUP($A226,Строчный!$A:$A,Строчный!L:L,"ERR",0))</f>
        <v>Унисекс</v>
      </c>
      <c r="M226" s="113" t="str">
        <f ca="1">PROPER(_xlfn.XLOOKUP($A226,Строчный!$A:$A,Строчный!M:M,"ERR",0))</f>
        <v>Китай</v>
      </c>
      <c r="N226" s="81" t="str">
        <f ca="1">UPPER(_xlfn.XLOOKUP($A226,Строчный!$A:$A,Строчный!O:O,"ERR",0))</f>
        <v/>
      </c>
      <c r="O226" s="107" t="str">
        <f ca="1">PROPER(_xlfn.XLOOKUP($A226,Строчный!$A:$A,Строчный!P:P,"ERR",0))</f>
        <v/>
      </c>
      <c r="P226" s="90">
        <f ca="1">VALUE(_xlfn.XLOOKUP($A226,Строчный!$A:$A,Строчный!N:N,"ERR",0))</f>
        <v>2053.35</v>
      </c>
      <c r="Q226" s="89" t="str">
        <f ca="1">_xlfn.XLOOKUP($G226,Фабрика!A:A,Фабрика!B:B,"ERR",0)</f>
        <v>Bollman Headwear Europe Ltd; 2 Merchants drive, Caelisle, Cumbria CA3 0JW, United Kingdom</v>
      </c>
      <c r="R226" s="80" t="str">
        <f ca="1">_xlfn.XLOOKUP(RIGHT(Z226,2),Размеры!D:D,Размеры!A:A,"ERR",0)</f>
        <v>63</v>
      </c>
      <c r="S226" s="80">
        <f ca="1">VALUE(_xlfn.XLOOKUP($Z226,Строчный!$R:$R,Строчный!T:T,"ERR",0))</f>
        <v>2</v>
      </c>
      <c r="T226" s="14" t="s">
        <v>265</v>
      </c>
      <c r="U226" s="101" t="str">
        <f t="shared" ca="1" si="23"/>
        <v>Шляпа BAILEY арт. 1362 DALTON (светло-серый)</v>
      </c>
      <c r="V226" s="100" t="str">
        <f t="shared" ca="1" si="24"/>
        <v>Шляпа BAILEY арт. 1362 DALTON (светло-серый) {chino}</v>
      </c>
      <c r="W226" s="18" t="str">
        <f t="shared" ca="1" si="25"/>
        <v>серый</v>
      </c>
      <c r="X226" s="18" t="str">
        <f t="shared" ca="1" si="26"/>
        <v>серый</v>
      </c>
      <c r="Y226" s="117" t="str">
        <f ca="1">_xlfn.LET(_xlpm.FormColors,_xlfn.XLOOKUP(A226,Строчный!A:A,Строчный!Q:Q,"",0),IF(_xlpm.FormColors=0,IFERROR(MID(I226,FIND("-",I226)+1,LEN(I226)),IFERROR(MID(I226,1,FIND("/",I226)-2),I226)),_xlpm.FormColors))</f>
        <v>серый</v>
      </c>
      <c r="Z226" s="73" t="str">
        <f ca="1"/>
        <v>21-267-08-63</v>
      </c>
      <c r="AA226" s="75" t="str">
        <f ca="1">VLOOKUP(C226,Группа!A:B,2,FALSE)</f>
        <v>Шляпа</v>
      </c>
      <c r="AB226" s="97" t="str">
        <f ca="1">IFERROR(VLOOKUP(R226,Размеры!A:C,3,FALSE),"")</f>
        <v>63 XXL</v>
      </c>
      <c r="AC226" s="97" t="str">
        <f ca="1">VLOOKUP(I226,ЦветПолный!A:B,2,FALSE)</f>
        <v>01</v>
      </c>
      <c r="AD226" s="97" t="str">
        <f ca="1">IFERROR(VLOOKUP(R226,Размеры!A:D,4,FALSE),"")</f>
        <v>63</v>
      </c>
      <c r="AE226" s="97">
        <f ca="1">IF(LEFT(IFERROR(VLOOKUP(LOOKUP(2,1/SEARCH(B226,Товары!A:A),Товары!A:A),Товары!A:B,2,0),""),6)=MID(Z226,1,6),1,0)</f>
        <v>1</v>
      </c>
      <c r="AG226" s="97">
        <f ca="1">SUMIF(Группа!A:A,C226,Группа!C:C)</f>
        <v>1</v>
      </c>
      <c r="AH226" s="97">
        <f ca="1">SUMIF(Группа!B:B,AA226,Группа!C:C)</f>
        <v>1</v>
      </c>
      <c r="AI226" s="97">
        <f ca="1">SUMIF(Формы!A:A,D226,Формы!B:B)</f>
        <v>1</v>
      </c>
      <c r="AJ226" s="97">
        <f ca="1">SUMIF(Материал!A:A,K226,Материал!B:B)</f>
        <v>1</v>
      </c>
      <c r="AK226" s="97">
        <f ca="1">SUMIF(Размеры!A:A,R226,Размеры!E:E)</f>
        <v>1</v>
      </c>
      <c r="AL226" s="97">
        <f ca="1">SUMIF(Сезон!A:A,F226,Сезон!B:B)</f>
        <v>1</v>
      </c>
      <c r="AM226" s="97">
        <f ca="1">SUMIF(Состав!A:A,J226,Состав!B:B)</f>
        <v>0</v>
      </c>
      <c r="AN226" s="97">
        <f ca="1">VLOOKUP(I226,ЦветПолный!A:C,3,0)</f>
        <v>1</v>
      </c>
      <c r="AO226" s="97">
        <f ca="1">SUMIF(Цвет!A:A,Y226,Цвет!B:B)</f>
        <v>1</v>
      </c>
      <c r="AP226" s="97">
        <f ca="1">_xlfn.XLOOKUP(L226,Пол!A:A,Пол!B:B,0,0)</f>
        <v>1</v>
      </c>
      <c r="AQ226" s="97">
        <f ca="1">SUMIF(Марка!A:A,G226,Марка!B:B)</f>
        <v>1</v>
      </c>
      <c r="AR226" s="97">
        <f ca="1">SUMIF(Страна!A:A,M226,Страна!B:B)</f>
        <v>1</v>
      </c>
      <c r="AS226" s="64" t="str">
        <f ca="1">IF(VLOOKUP(V226,Товары!A:B,2,FALSE)=A226,"Есть в 1С","ERR")</f>
        <v>Есть в 1С</v>
      </c>
      <c r="AT226" s="65" t="str">
        <f ca="1">IF(VLOOKUP(A226,Товары!B:B,1,FALSE)=A226,"Есть в 1С","ERR")</f>
        <v>Есть в 1С</v>
      </c>
      <c r="AU226" s="96" t="str">
        <f ca="1">VLOOKUP(V226,Товары!A:B,2,FALSE)</f>
        <v>21-267-08</v>
      </c>
      <c r="AV226" s="94" t="str">
        <f ca="1">VLOOKUP(V226,Товары!A:B,1,FALSE)</f>
        <v>Шляпа BAILEY арт. 1362 DALTON (светло-серый) {chino}</v>
      </c>
    </row>
    <row r="227" spans="1:48" x14ac:dyDescent="0.25">
      <c r="A227" s="110" t="str">
        <f t="shared" ca="1" si="27"/>
        <v>21-267-08</v>
      </c>
      <c r="B227" s="107" t="str">
        <f ca="1">_xlfn.LET(_xlpm.CAPS,0,_xlpm.Style,_xlfn.XLOOKUP($A227,Строчный!$A:$A,Строчный!B:B,"ERR",0),IF(_xlpm.CAPS=0,_xlpm.Style,LOWER(_xlpm.Style)))</f>
        <v>1362 DALTON</v>
      </c>
      <c r="C227" s="81" t="str">
        <f ca="1">PROPER(_xlfn.XLOOKUP($A227,Строчный!$A:$A,Строчный!C:C,"ERR",0))</f>
        <v>Шляпы</v>
      </c>
      <c r="D227" s="81" t="str">
        <f ca="1">_xlfn.LET(_xlpm.DATA,(_xlfn.XLOOKUP($A227,Строчный!$A:$A,Строчный!D:D,"ERR",0)),UPPER(MID(_xlpm.DATA,1,1))&amp;LOWER(MID(_xlpm.DATA,2,LEN(_xlpm.DATA)-1)))</f>
        <v>Шляпа федора</v>
      </c>
      <c r="E227" s="81" t="str">
        <f ca="1">PROPER(_xlfn.XLOOKUP($A227,Строчный!$A:$A,Строчный!E:E,"ERR",0))</f>
        <v>The Hollywood</v>
      </c>
      <c r="F227" s="81" t="str">
        <f ca="1">LOWER(_xlfn.XLOOKUP($A227,Строчный!$A:$A,Строчный!F:F,"ERR",0))</f>
        <v>всесезон</v>
      </c>
      <c r="G227" s="81" t="str">
        <f ca="1">UPPER(_xlfn.XLOOKUP($A227,Строчный!$A:$A,Строчный!G:G,"ERR",0))</f>
        <v>BAILEY</v>
      </c>
      <c r="H227" s="81" t="str">
        <f ca="1">LOWER(_xlfn.XLOOKUP($A227,Строчный!$A:$A,Строчный!H:H,"ERR",0))</f>
        <v>chino</v>
      </c>
      <c r="I227" s="81" t="str">
        <f ca="1">LOWER(_xlfn.XLOOKUP($A227,Строчный!$A:$A,Строчный!I:I,"ERR",0))</f>
        <v>светло-серый</v>
      </c>
      <c r="J227" s="81" t="str">
        <f ca="1">SUBSTITUTE(LOWER(_xlfn.XLOOKUP($A227,Строчный!$A:$A,Строчный!J:J,"ERR",0)),"подклад","Подклад")</f>
        <v>65% полиэстер - 35% хлопок / Подклад: 100% полиэстер</v>
      </c>
      <c r="K227" s="81" t="str">
        <f ca="1">LOWER(_xlfn.XLOOKUP($A227,Строчный!$A:$A,Строчный!K:K,"ERR",0))</f>
        <v>хлопковые</v>
      </c>
      <c r="L227" s="81" t="str">
        <f ca="1">PROPER(_xlfn.XLOOKUP($A227,Строчный!$A:$A,Строчный!L:L,"ERR",0))</f>
        <v>Унисекс</v>
      </c>
      <c r="M227" s="113" t="str">
        <f ca="1">PROPER(_xlfn.XLOOKUP($A227,Строчный!$A:$A,Строчный!M:M,"ERR",0))</f>
        <v>Китай</v>
      </c>
      <c r="N227" s="81" t="str">
        <f ca="1">UPPER(_xlfn.XLOOKUP($A227,Строчный!$A:$A,Строчный!O:O,"ERR",0))</f>
        <v/>
      </c>
      <c r="O227" s="107" t="str">
        <f ca="1">PROPER(_xlfn.XLOOKUP($A227,Строчный!$A:$A,Строчный!P:P,"ERR",0))</f>
        <v/>
      </c>
      <c r="P227" s="90">
        <f ca="1">VALUE(_xlfn.XLOOKUP($A227,Строчный!$A:$A,Строчный!N:N,"ERR",0))</f>
        <v>2053.35</v>
      </c>
      <c r="Q227" s="89" t="str">
        <f ca="1">_xlfn.XLOOKUP($G227,Фабрика!A:A,Фабрика!B:B,"ERR",0)</f>
        <v>Bollman Headwear Europe Ltd; 2 Merchants drive, Caelisle, Cumbria CA3 0JW, United Kingdom</v>
      </c>
      <c r="R227" s="80" t="str">
        <f ca="1">_xlfn.XLOOKUP(RIGHT(Z227,2),Размеры!D:D,Размеры!A:A,"ERR",0)</f>
        <v>61</v>
      </c>
      <c r="S227" s="80">
        <f ca="1">VALUE(_xlfn.XLOOKUP($Z227,Строчный!$R:$R,Строчный!T:T,"ERR",0))</f>
        <v>5</v>
      </c>
      <c r="T227" s="14" t="s">
        <v>265</v>
      </c>
      <c r="U227" s="101" t="str">
        <f t="shared" ca="1" si="23"/>
        <v>Шляпа BAILEY арт. 1362 DALTON (светло-серый)</v>
      </c>
      <c r="V227" s="100" t="str">
        <f t="shared" ca="1" si="24"/>
        <v>Шляпа BAILEY арт. 1362 DALTON (светло-серый) {chino}</v>
      </c>
      <c r="W227" s="18" t="str">
        <f t="shared" ca="1" si="25"/>
        <v>серый</v>
      </c>
      <c r="X227" s="18" t="str">
        <f t="shared" ca="1" si="26"/>
        <v>серый</v>
      </c>
      <c r="Y227" s="117" t="str">
        <f ca="1">_xlfn.LET(_xlpm.FormColors,_xlfn.XLOOKUP(A227,Строчный!A:A,Строчный!Q:Q,"",0),IF(_xlpm.FormColors=0,IFERROR(MID(I227,FIND("-",I227)+1,LEN(I227)),IFERROR(MID(I227,1,FIND("/",I227)-2),I227)),_xlpm.FormColors))</f>
        <v>серый</v>
      </c>
      <c r="Z227" s="73" t="str">
        <f ca="1"/>
        <v>21-267-08-61</v>
      </c>
      <c r="AA227" s="75" t="str">
        <f ca="1">VLOOKUP(C227,Группа!A:B,2,FALSE)</f>
        <v>Шляпа</v>
      </c>
      <c r="AB227" s="97" t="str">
        <f ca="1">IFERROR(VLOOKUP(R227,Размеры!A:C,3,FALSE),"")</f>
        <v>61 XL</v>
      </c>
      <c r="AC227" s="97" t="str">
        <f ca="1">VLOOKUP(I227,ЦветПолный!A:B,2,FALSE)</f>
        <v>01</v>
      </c>
      <c r="AD227" s="97" t="str">
        <f ca="1">IFERROR(VLOOKUP(R227,Размеры!A:D,4,FALSE),"")</f>
        <v>61</v>
      </c>
      <c r="AE227" s="97">
        <f ca="1">IF(LEFT(IFERROR(VLOOKUP(LOOKUP(2,1/SEARCH(B227,Товары!A:A),Товары!A:A),Товары!A:B,2,0),""),6)=MID(Z227,1,6),1,0)</f>
        <v>1</v>
      </c>
      <c r="AG227" s="97">
        <f ca="1">SUMIF(Группа!A:A,C227,Группа!C:C)</f>
        <v>1</v>
      </c>
      <c r="AH227" s="97">
        <f ca="1">SUMIF(Группа!B:B,AA227,Группа!C:C)</f>
        <v>1</v>
      </c>
      <c r="AI227" s="97">
        <f ca="1">SUMIF(Формы!A:A,D227,Формы!B:B)</f>
        <v>1</v>
      </c>
      <c r="AJ227" s="97">
        <f ca="1">SUMIF(Материал!A:A,K227,Материал!B:B)</f>
        <v>1</v>
      </c>
      <c r="AK227" s="97">
        <f ca="1">SUMIF(Размеры!A:A,R227,Размеры!E:E)</f>
        <v>1</v>
      </c>
      <c r="AL227" s="97">
        <f ca="1">SUMIF(Сезон!A:A,F227,Сезон!B:B)</f>
        <v>1</v>
      </c>
      <c r="AM227" s="97">
        <f ca="1">SUMIF(Состав!A:A,J227,Состав!B:B)</f>
        <v>0</v>
      </c>
      <c r="AN227" s="97">
        <f ca="1">VLOOKUP(I227,ЦветПолный!A:C,3,0)</f>
        <v>1</v>
      </c>
      <c r="AO227" s="97">
        <f ca="1">SUMIF(Цвет!A:A,Y227,Цвет!B:B)</f>
        <v>1</v>
      </c>
      <c r="AP227" s="97">
        <f ca="1">_xlfn.XLOOKUP(L227,Пол!A:A,Пол!B:B,0,0)</f>
        <v>1</v>
      </c>
      <c r="AQ227" s="97">
        <f ca="1">SUMIF(Марка!A:A,G227,Марка!B:B)</f>
        <v>1</v>
      </c>
      <c r="AR227" s="97">
        <f ca="1">SUMIF(Страна!A:A,M227,Страна!B:B)</f>
        <v>1</v>
      </c>
      <c r="AS227" s="64" t="str">
        <f ca="1">IF(VLOOKUP(V227,Товары!A:B,2,FALSE)=A227,"Есть в 1С","ERR")</f>
        <v>Есть в 1С</v>
      </c>
      <c r="AT227" s="65" t="str">
        <f ca="1">IF(VLOOKUP(A227,Товары!B:B,1,FALSE)=A227,"Есть в 1С","ERR")</f>
        <v>Есть в 1С</v>
      </c>
      <c r="AU227" s="96" t="str">
        <f ca="1">VLOOKUP(V227,Товары!A:B,2,FALSE)</f>
        <v>21-267-08</v>
      </c>
      <c r="AV227" s="94" t="str">
        <f ca="1">VLOOKUP(V227,Товары!A:B,1,FALSE)</f>
        <v>Шляпа BAILEY арт. 1362 DALTON (светло-серый) {chino}</v>
      </c>
    </row>
    <row r="228" spans="1:48" x14ac:dyDescent="0.25">
      <c r="A228" s="110" t="str">
        <f t="shared" ca="1" si="27"/>
        <v>21-267-08</v>
      </c>
      <c r="B228" s="107" t="str">
        <f ca="1">_xlfn.LET(_xlpm.CAPS,0,_xlpm.Style,_xlfn.XLOOKUP($A228,Строчный!$A:$A,Строчный!B:B,"ERR",0),IF(_xlpm.CAPS=0,_xlpm.Style,LOWER(_xlpm.Style)))</f>
        <v>1362 DALTON</v>
      </c>
      <c r="C228" s="81" t="str">
        <f ca="1">PROPER(_xlfn.XLOOKUP($A228,Строчный!$A:$A,Строчный!C:C,"ERR",0))</f>
        <v>Шляпы</v>
      </c>
      <c r="D228" s="81" t="str">
        <f ca="1">_xlfn.LET(_xlpm.DATA,(_xlfn.XLOOKUP($A228,Строчный!$A:$A,Строчный!D:D,"ERR",0)),UPPER(MID(_xlpm.DATA,1,1))&amp;LOWER(MID(_xlpm.DATA,2,LEN(_xlpm.DATA)-1)))</f>
        <v>Шляпа федора</v>
      </c>
      <c r="E228" s="81" t="str">
        <f ca="1">PROPER(_xlfn.XLOOKUP($A228,Строчный!$A:$A,Строчный!E:E,"ERR",0))</f>
        <v>The Hollywood</v>
      </c>
      <c r="F228" s="81" t="str">
        <f ca="1">LOWER(_xlfn.XLOOKUP($A228,Строчный!$A:$A,Строчный!F:F,"ERR",0))</f>
        <v>всесезон</v>
      </c>
      <c r="G228" s="81" t="str">
        <f ca="1">UPPER(_xlfn.XLOOKUP($A228,Строчный!$A:$A,Строчный!G:G,"ERR",0))</f>
        <v>BAILEY</v>
      </c>
      <c r="H228" s="81" t="str">
        <f ca="1">LOWER(_xlfn.XLOOKUP($A228,Строчный!$A:$A,Строчный!H:H,"ERR",0))</f>
        <v>chino</v>
      </c>
      <c r="I228" s="81" t="str">
        <f ca="1">LOWER(_xlfn.XLOOKUP($A228,Строчный!$A:$A,Строчный!I:I,"ERR",0))</f>
        <v>светло-серый</v>
      </c>
      <c r="J228" s="81" t="str">
        <f ca="1">SUBSTITUTE(LOWER(_xlfn.XLOOKUP($A228,Строчный!$A:$A,Строчный!J:J,"ERR",0)),"подклад","Подклад")</f>
        <v>65% полиэстер - 35% хлопок / Подклад: 100% полиэстер</v>
      </c>
      <c r="K228" s="81" t="str">
        <f ca="1">LOWER(_xlfn.XLOOKUP($A228,Строчный!$A:$A,Строчный!K:K,"ERR",0))</f>
        <v>хлопковые</v>
      </c>
      <c r="L228" s="81" t="str">
        <f ca="1">PROPER(_xlfn.XLOOKUP($A228,Строчный!$A:$A,Строчный!L:L,"ERR",0))</f>
        <v>Унисекс</v>
      </c>
      <c r="M228" s="113" t="str">
        <f ca="1">PROPER(_xlfn.XLOOKUP($A228,Строчный!$A:$A,Строчный!M:M,"ERR",0))</f>
        <v>Китай</v>
      </c>
      <c r="N228" s="81" t="str">
        <f ca="1">UPPER(_xlfn.XLOOKUP($A228,Строчный!$A:$A,Строчный!O:O,"ERR",0))</f>
        <v/>
      </c>
      <c r="O228" s="107" t="str">
        <f ca="1">PROPER(_xlfn.XLOOKUP($A228,Строчный!$A:$A,Строчный!P:P,"ERR",0))</f>
        <v/>
      </c>
      <c r="P228" s="90">
        <f ca="1">VALUE(_xlfn.XLOOKUP($A228,Строчный!$A:$A,Строчный!N:N,"ERR",0))</f>
        <v>2053.35</v>
      </c>
      <c r="Q228" s="89" t="str">
        <f ca="1">_xlfn.XLOOKUP($G228,Фабрика!A:A,Фабрика!B:B,"ERR",0)</f>
        <v>Bollman Headwear Europe Ltd; 2 Merchants drive, Caelisle, Cumbria CA3 0JW, United Kingdom</v>
      </c>
      <c r="R228" s="80" t="str">
        <f ca="1">_xlfn.XLOOKUP(RIGHT(Z228,2),Размеры!D:D,Размеры!A:A,"ERR",0)</f>
        <v>59</v>
      </c>
      <c r="S228" s="80">
        <f ca="1">VALUE(_xlfn.XLOOKUP($Z228,Строчный!$R:$R,Строчный!T:T,"ERR",0))</f>
        <v>10</v>
      </c>
      <c r="T228" s="14" t="s">
        <v>265</v>
      </c>
      <c r="U228" s="101" t="str">
        <f t="shared" ca="1" si="23"/>
        <v>Шляпа BAILEY арт. 1362 DALTON (светло-серый)</v>
      </c>
      <c r="V228" s="100" t="str">
        <f t="shared" ca="1" si="24"/>
        <v>Шляпа BAILEY арт. 1362 DALTON (светло-серый) {chino}</v>
      </c>
      <c r="W228" s="18" t="str">
        <f t="shared" ca="1" si="25"/>
        <v>серый</v>
      </c>
      <c r="X228" s="18" t="str">
        <f t="shared" ca="1" si="26"/>
        <v>серый</v>
      </c>
      <c r="Y228" s="117" t="str">
        <f ca="1">_xlfn.LET(_xlpm.FormColors,_xlfn.XLOOKUP(A228,Строчный!A:A,Строчный!Q:Q,"",0),IF(_xlpm.FormColors=0,IFERROR(MID(I228,FIND("-",I228)+1,LEN(I228)),IFERROR(MID(I228,1,FIND("/",I228)-2),I228)),_xlpm.FormColors))</f>
        <v>серый</v>
      </c>
      <c r="Z228" s="73" t="str">
        <f ca="1"/>
        <v>21-267-08-59</v>
      </c>
      <c r="AA228" s="75" t="str">
        <f ca="1">VLOOKUP(C228,Группа!A:B,2,FALSE)</f>
        <v>Шляпа</v>
      </c>
      <c r="AB228" s="97" t="str">
        <f ca="1">IFERROR(VLOOKUP(R228,Размеры!A:C,3,FALSE),"")</f>
        <v>59 L</v>
      </c>
      <c r="AC228" s="97" t="str">
        <f ca="1">VLOOKUP(I228,ЦветПолный!A:B,2,FALSE)</f>
        <v>01</v>
      </c>
      <c r="AD228" s="97" t="str">
        <f ca="1">IFERROR(VLOOKUP(R228,Размеры!A:D,4,FALSE),"")</f>
        <v>59</v>
      </c>
      <c r="AE228" s="97">
        <f ca="1">IF(LEFT(IFERROR(VLOOKUP(LOOKUP(2,1/SEARCH(B228,Товары!A:A),Товары!A:A),Товары!A:B,2,0),""),6)=MID(Z228,1,6),1,0)</f>
        <v>1</v>
      </c>
      <c r="AG228" s="97">
        <f ca="1">SUMIF(Группа!A:A,C228,Группа!C:C)</f>
        <v>1</v>
      </c>
      <c r="AH228" s="97">
        <f ca="1">SUMIF(Группа!B:B,AA228,Группа!C:C)</f>
        <v>1</v>
      </c>
      <c r="AI228" s="97">
        <f ca="1">SUMIF(Формы!A:A,D228,Формы!B:B)</f>
        <v>1</v>
      </c>
      <c r="AJ228" s="97">
        <f ca="1">SUMIF(Материал!A:A,K228,Материал!B:B)</f>
        <v>1</v>
      </c>
      <c r="AK228" s="97">
        <f ca="1">SUMIF(Размеры!A:A,R228,Размеры!E:E)</f>
        <v>1</v>
      </c>
      <c r="AL228" s="97">
        <f ca="1">SUMIF(Сезон!A:A,F228,Сезон!B:B)</f>
        <v>1</v>
      </c>
      <c r="AM228" s="97">
        <f ca="1">SUMIF(Состав!A:A,J228,Состав!B:B)</f>
        <v>0</v>
      </c>
      <c r="AN228" s="97">
        <f ca="1">VLOOKUP(I228,ЦветПолный!A:C,3,0)</f>
        <v>1</v>
      </c>
      <c r="AO228" s="97">
        <f ca="1">SUMIF(Цвет!A:A,Y228,Цвет!B:B)</f>
        <v>1</v>
      </c>
      <c r="AP228" s="97">
        <f ca="1">_xlfn.XLOOKUP(L228,Пол!A:A,Пол!B:B,0,0)</f>
        <v>1</v>
      </c>
      <c r="AQ228" s="97">
        <f ca="1">SUMIF(Марка!A:A,G228,Марка!B:B)</f>
        <v>1</v>
      </c>
      <c r="AR228" s="97">
        <f ca="1">SUMIF(Страна!A:A,M228,Страна!B:B)</f>
        <v>1</v>
      </c>
      <c r="AS228" s="64" t="str">
        <f ca="1">IF(VLOOKUP(V228,Товары!A:B,2,FALSE)=A228,"Есть в 1С","ERR")</f>
        <v>Есть в 1С</v>
      </c>
      <c r="AT228" s="65" t="str">
        <f ca="1">IF(VLOOKUP(A228,Товары!B:B,1,FALSE)=A228,"Есть в 1С","ERR")</f>
        <v>Есть в 1С</v>
      </c>
      <c r="AU228" s="96" t="str">
        <f ca="1">VLOOKUP(V228,Товары!A:B,2,FALSE)</f>
        <v>21-267-08</v>
      </c>
      <c r="AV228" s="94" t="str">
        <f ca="1">VLOOKUP(V228,Товары!A:B,1,FALSE)</f>
        <v>Шляпа BAILEY арт. 1362 DALTON (светло-серый) {chino}</v>
      </c>
    </row>
    <row r="229" spans="1:48" x14ac:dyDescent="0.25">
      <c r="A229" s="110" t="str">
        <f t="shared" ca="1" si="27"/>
        <v>21-267-08</v>
      </c>
      <c r="B229" s="107" t="str">
        <f ca="1">_xlfn.LET(_xlpm.CAPS,0,_xlpm.Style,_xlfn.XLOOKUP($A229,Строчный!$A:$A,Строчный!B:B,"ERR",0),IF(_xlpm.CAPS=0,_xlpm.Style,LOWER(_xlpm.Style)))</f>
        <v>1362 DALTON</v>
      </c>
      <c r="C229" s="81" t="str">
        <f ca="1">PROPER(_xlfn.XLOOKUP($A229,Строчный!$A:$A,Строчный!C:C,"ERR",0))</f>
        <v>Шляпы</v>
      </c>
      <c r="D229" s="81" t="str">
        <f ca="1">_xlfn.LET(_xlpm.DATA,(_xlfn.XLOOKUP($A229,Строчный!$A:$A,Строчный!D:D,"ERR",0)),UPPER(MID(_xlpm.DATA,1,1))&amp;LOWER(MID(_xlpm.DATA,2,LEN(_xlpm.DATA)-1)))</f>
        <v>Шляпа федора</v>
      </c>
      <c r="E229" s="81" t="str">
        <f ca="1">PROPER(_xlfn.XLOOKUP($A229,Строчный!$A:$A,Строчный!E:E,"ERR",0))</f>
        <v>The Hollywood</v>
      </c>
      <c r="F229" s="81" t="str">
        <f ca="1">LOWER(_xlfn.XLOOKUP($A229,Строчный!$A:$A,Строчный!F:F,"ERR",0))</f>
        <v>всесезон</v>
      </c>
      <c r="G229" s="81" t="str">
        <f ca="1">UPPER(_xlfn.XLOOKUP($A229,Строчный!$A:$A,Строчный!G:G,"ERR",0))</f>
        <v>BAILEY</v>
      </c>
      <c r="H229" s="81" t="str">
        <f ca="1">LOWER(_xlfn.XLOOKUP($A229,Строчный!$A:$A,Строчный!H:H,"ERR",0))</f>
        <v>chino</v>
      </c>
      <c r="I229" s="81" t="str">
        <f ca="1">LOWER(_xlfn.XLOOKUP($A229,Строчный!$A:$A,Строчный!I:I,"ERR",0))</f>
        <v>светло-серый</v>
      </c>
      <c r="J229" s="81" t="str">
        <f ca="1">SUBSTITUTE(LOWER(_xlfn.XLOOKUP($A229,Строчный!$A:$A,Строчный!J:J,"ERR",0)),"подклад","Подклад")</f>
        <v>65% полиэстер - 35% хлопок / Подклад: 100% полиэстер</v>
      </c>
      <c r="K229" s="81" t="str">
        <f ca="1">LOWER(_xlfn.XLOOKUP($A229,Строчный!$A:$A,Строчный!K:K,"ERR",0))</f>
        <v>хлопковые</v>
      </c>
      <c r="L229" s="81" t="str">
        <f ca="1">PROPER(_xlfn.XLOOKUP($A229,Строчный!$A:$A,Строчный!L:L,"ERR",0))</f>
        <v>Унисекс</v>
      </c>
      <c r="M229" s="113" t="str">
        <f ca="1">PROPER(_xlfn.XLOOKUP($A229,Строчный!$A:$A,Строчный!M:M,"ERR",0))</f>
        <v>Китай</v>
      </c>
      <c r="N229" s="81" t="str">
        <f ca="1">UPPER(_xlfn.XLOOKUP($A229,Строчный!$A:$A,Строчный!O:O,"ERR",0))</f>
        <v/>
      </c>
      <c r="O229" s="107" t="str">
        <f ca="1">PROPER(_xlfn.XLOOKUP($A229,Строчный!$A:$A,Строчный!P:P,"ERR",0))</f>
        <v/>
      </c>
      <c r="P229" s="90">
        <f ca="1">VALUE(_xlfn.XLOOKUP($A229,Строчный!$A:$A,Строчный!N:N,"ERR",0))</f>
        <v>2053.35</v>
      </c>
      <c r="Q229" s="89" t="str">
        <f ca="1">_xlfn.XLOOKUP($G229,Фабрика!A:A,Фабрика!B:B,"ERR",0)</f>
        <v>Bollman Headwear Europe Ltd; 2 Merchants drive, Caelisle, Cumbria CA3 0JW, United Kingdom</v>
      </c>
      <c r="R229" s="80" t="str">
        <f ca="1">_xlfn.XLOOKUP(RIGHT(Z229,2),Размеры!D:D,Размеры!A:A,"ERR",0)</f>
        <v>57</v>
      </c>
      <c r="S229" s="80">
        <f ca="1">VALUE(_xlfn.XLOOKUP($Z229,Строчный!$R:$R,Строчный!T:T,"ERR",0))</f>
        <v>7</v>
      </c>
      <c r="T229" s="14" t="s">
        <v>265</v>
      </c>
      <c r="U229" s="101" t="str">
        <f t="shared" ca="1" si="23"/>
        <v>Шляпа BAILEY арт. 1362 DALTON (светло-серый)</v>
      </c>
      <c r="V229" s="100" t="str">
        <f t="shared" ca="1" si="24"/>
        <v>Шляпа BAILEY арт. 1362 DALTON (светло-серый) {chino}</v>
      </c>
      <c r="W229" s="18" t="str">
        <f t="shared" ca="1" si="25"/>
        <v>серый</v>
      </c>
      <c r="X229" s="18" t="str">
        <f t="shared" ca="1" si="26"/>
        <v>серый</v>
      </c>
      <c r="Y229" s="117" t="str">
        <f ca="1">_xlfn.LET(_xlpm.FormColors,_xlfn.XLOOKUP(A229,Строчный!A:A,Строчный!Q:Q,"",0),IF(_xlpm.FormColors=0,IFERROR(MID(I229,FIND("-",I229)+1,LEN(I229)),IFERROR(MID(I229,1,FIND("/",I229)-2),I229)),_xlpm.FormColors))</f>
        <v>серый</v>
      </c>
      <c r="Z229" s="73" t="str">
        <f ca="1"/>
        <v>21-267-08-57</v>
      </c>
      <c r="AA229" s="75" t="str">
        <f ca="1">VLOOKUP(C229,Группа!A:B,2,FALSE)</f>
        <v>Шляпа</v>
      </c>
      <c r="AB229" s="97" t="str">
        <f ca="1">IFERROR(VLOOKUP(R229,Размеры!A:C,3,FALSE),"")</f>
        <v>57 M</v>
      </c>
      <c r="AC229" s="97" t="str">
        <f ca="1">VLOOKUP(I229,ЦветПолный!A:B,2,FALSE)</f>
        <v>01</v>
      </c>
      <c r="AD229" s="97" t="str">
        <f ca="1">IFERROR(VLOOKUP(R229,Размеры!A:D,4,FALSE),"")</f>
        <v>57</v>
      </c>
      <c r="AE229" s="97">
        <f ca="1">IF(LEFT(IFERROR(VLOOKUP(LOOKUP(2,1/SEARCH(B229,Товары!A:A),Товары!A:A),Товары!A:B,2,0),""),6)=MID(Z229,1,6),1,0)</f>
        <v>1</v>
      </c>
      <c r="AG229" s="97">
        <f ca="1">SUMIF(Группа!A:A,C229,Группа!C:C)</f>
        <v>1</v>
      </c>
      <c r="AH229" s="97">
        <f ca="1">SUMIF(Группа!B:B,AA229,Группа!C:C)</f>
        <v>1</v>
      </c>
      <c r="AI229" s="97">
        <f ca="1">SUMIF(Формы!A:A,D229,Формы!B:B)</f>
        <v>1</v>
      </c>
      <c r="AJ229" s="97">
        <f ca="1">SUMIF(Материал!A:A,K229,Материал!B:B)</f>
        <v>1</v>
      </c>
      <c r="AK229" s="97">
        <f ca="1">SUMIF(Размеры!A:A,R229,Размеры!E:E)</f>
        <v>1</v>
      </c>
      <c r="AL229" s="97">
        <f ca="1">SUMIF(Сезон!A:A,F229,Сезон!B:B)</f>
        <v>1</v>
      </c>
      <c r="AM229" s="97">
        <f ca="1">SUMIF(Состав!A:A,J229,Состав!B:B)</f>
        <v>0</v>
      </c>
      <c r="AN229" s="97">
        <f ca="1">VLOOKUP(I229,ЦветПолный!A:C,3,0)</f>
        <v>1</v>
      </c>
      <c r="AO229" s="97">
        <f ca="1">SUMIF(Цвет!A:A,Y229,Цвет!B:B)</f>
        <v>1</v>
      </c>
      <c r="AP229" s="97">
        <f ca="1">_xlfn.XLOOKUP(L229,Пол!A:A,Пол!B:B,0,0)</f>
        <v>1</v>
      </c>
      <c r="AQ229" s="97">
        <f ca="1">SUMIF(Марка!A:A,G229,Марка!B:B)</f>
        <v>1</v>
      </c>
      <c r="AR229" s="97">
        <f ca="1">SUMIF(Страна!A:A,M229,Страна!B:B)</f>
        <v>1</v>
      </c>
      <c r="AS229" s="64" t="str">
        <f ca="1">IF(VLOOKUP(V229,Товары!A:B,2,FALSE)=A229,"Есть в 1С","ERR")</f>
        <v>Есть в 1С</v>
      </c>
      <c r="AT229" s="65" t="str">
        <f ca="1">IF(VLOOKUP(A229,Товары!B:B,1,FALSE)=A229,"Есть в 1С","ERR")</f>
        <v>Есть в 1С</v>
      </c>
      <c r="AU229" s="96" t="str">
        <f ca="1">VLOOKUP(V229,Товары!A:B,2,FALSE)</f>
        <v>21-267-08</v>
      </c>
      <c r="AV229" s="94" t="str">
        <f ca="1">VLOOKUP(V229,Товары!A:B,1,FALSE)</f>
        <v>Шляпа BAILEY арт. 1362 DALTON (светло-серый) {chino}</v>
      </c>
    </row>
    <row r="230" spans="1:48" x14ac:dyDescent="0.25">
      <c r="A230" s="110" t="str">
        <f t="shared" ca="1" si="27"/>
        <v>21-267-02</v>
      </c>
      <c r="B230" s="107" t="str">
        <f ca="1">_xlfn.LET(_xlpm.CAPS,0,_xlpm.Style,_xlfn.XLOOKUP($A230,Строчный!$A:$A,Строчный!B:B,"ERR",0),IF(_xlpm.CAPS=0,_xlpm.Style,LOWER(_xlpm.Style)))</f>
        <v>1362 DALTON</v>
      </c>
      <c r="C230" s="81" t="str">
        <f ca="1">PROPER(_xlfn.XLOOKUP($A230,Строчный!$A:$A,Строчный!C:C,"ERR",0))</f>
        <v>Шляпы</v>
      </c>
      <c r="D230" s="81" t="str">
        <f ca="1">_xlfn.LET(_xlpm.DATA,(_xlfn.XLOOKUP($A230,Строчный!$A:$A,Строчный!D:D,"ERR",0)),UPPER(MID(_xlpm.DATA,1,1))&amp;LOWER(MID(_xlpm.DATA,2,LEN(_xlpm.DATA)-1)))</f>
        <v>Шляпа федора</v>
      </c>
      <c r="E230" s="81" t="str">
        <f ca="1">PROPER(_xlfn.XLOOKUP($A230,Строчный!$A:$A,Строчный!E:E,"ERR",0))</f>
        <v>The Hollywood</v>
      </c>
      <c r="F230" s="81" t="str">
        <f ca="1">LOWER(_xlfn.XLOOKUP($A230,Строчный!$A:$A,Строчный!F:F,"ERR",0))</f>
        <v>всесезон</v>
      </c>
      <c r="G230" s="81" t="str">
        <f ca="1">UPPER(_xlfn.XLOOKUP($A230,Строчный!$A:$A,Строчный!G:G,"ERR",0))</f>
        <v>BAILEY</v>
      </c>
      <c r="H230" s="81" t="str">
        <f ca="1">LOWER(_xlfn.XLOOKUP($A230,Строчный!$A:$A,Строчный!H:H,"ERR",0))</f>
        <v>tan</v>
      </c>
      <c r="I230" s="81" t="str">
        <f ca="1">LOWER(_xlfn.XLOOKUP($A230,Строчный!$A:$A,Строчный!I:I,"ERR",0))</f>
        <v>бежевый</v>
      </c>
      <c r="J230" s="81" t="str">
        <f ca="1">SUBSTITUTE(LOWER(_xlfn.XLOOKUP($A230,Строчный!$A:$A,Строчный!J:J,"ERR",0)),"подклад","Подклад")</f>
        <v>65% полиэстер - 35% хлопок / Подклад: 100% полиэстер</v>
      </c>
      <c r="K230" s="81" t="str">
        <f ca="1">LOWER(_xlfn.XLOOKUP($A230,Строчный!$A:$A,Строчный!K:K,"ERR",0))</f>
        <v>хлопковые</v>
      </c>
      <c r="L230" s="81" t="str">
        <f ca="1">PROPER(_xlfn.XLOOKUP($A230,Строчный!$A:$A,Строчный!L:L,"ERR",0))</f>
        <v>Унисекс</v>
      </c>
      <c r="M230" s="113" t="str">
        <f ca="1">PROPER(_xlfn.XLOOKUP($A230,Строчный!$A:$A,Строчный!M:M,"ERR",0))</f>
        <v>Китай</v>
      </c>
      <c r="N230" s="81" t="str">
        <f ca="1">UPPER(_xlfn.XLOOKUP($A230,Строчный!$A:$A,Строчный!O:O,"ERR",0))</f>
        <v/>
      </c>
      <c r="O230" s="107" t="str">
        <f ca="1">PROPER(_xlfn.XLOOKUP($A230,Строчный!$A:$A,Строчный!P:P,"ERR",0))</f>
        <v/>
      </c>
      <c r="P230" s="90">
        <f ca="1">VALUE(_xlfn.XLOOKUP($A230,Строчный!$A:$A,Строчный!N:N,"ERR",0))</f>
        <v>2053.35</v>
      </c>
      <c r="Q230" s="89" t="str">
        <f ca="1">_xlfn.XLOOKUP($G230,Фабрика!A:A,Фабрика!B:B,"ERR",0)</f>
        <v>Bollman Headwear Europe Ltd; 2 Merchants drive, Caelisle, Cumbria CA3 0JW, United Kingdom</v>
      </c>
      <c r="R230" s="80" t="str">
        <f ca="1">_xlfn.XLOOKUP(RIGHT(Z230,2),Размеры!D:D,Размеры!A:A,"ERR",0)</f>
        <v>57</v>
      </c>
      <c r="S230" s="80">
        <f ca="1">VALUE(_xlfn.XLOOKUP($Z230,Строчный!$R:$R,Строчный!T:T,"ERR",0))</f>
        <v>4</v>
      </c>
      <c r="T230" s="14" t="s">
        <v>265</v>
      </c>
      <c r="U230" s="101" t="str">
        <f t="shared" ca="1" si="23"/>
        <v>Шляпа BAILEY арт. 1362 DALTON (бежевый)</v>
      </c>
      <c r="V230" s="100" t="str">
        <f t="shared" ca="1" si="24"/>
        <v>Шляпа BAILEY арт. 1362 DALTON (бежевый) {tan}</v>
      </c>
      <c r="W230" s="18" t="str">
        <f t="shared" ca="1" si="25"/>
        <v>бежевый</v>
      </c>
      <c r="X230" s="18" t="str">
        <f t="shared" ca="1" si="26"/>
        <v>бежевый</v>
      </c>
      <c r="Y230" s="117" t="str">
        <f ca="1">_xlfn.LET(_xlpm.FormColors,_xlfn.XLOOKUP(A230,Строчный!A:A,Строчный!Q:Q,"",0),IF(_xlpm.FormColors=0,IFERROR(MID(I230,FIND("-",I230)+1,LEN(I230)),IFERROR(MID(I230,1,FIND("/",I230)-2),I230)),_xlpm.FormColors))</f>
        <v>бежевый</v>
      </c>
      <c r="Z230" s="73" t="str">
        <f ca="1"/>
        <v>21-267-02-57</v>
      </c>
      <c r="AA230" s="75" t="str">
        <f ca="1">VLOOKUP(C230,Группа!A:B,2,FALSE)</f>
        <v>Шляпа</v>
      </c>
      <c r="AB230" s="97" t="str">
        <f ca="1">IFERROR(VLOOKUP(R230,Размеры!A:C,3,FALSE),"")</f>
        <v>57 M</v>
      </c>
      <c r="AC230" s="97" t="str">
        <f ca="1">VLOOKUP(I230,ЦветПолный!A:B,2,FALSE)</f>
        <v>02</v>
      </c>
      <c r="AD230" s="97" t="str">
        <f ca="1">IFERROR(VLOOKUP(R230,Размеры!A:D,4,FALSE),"")</f>
        <v>57</v>
      </c>
      <c r="AE230" s="97">
        <f ca="1">IF(LEFT(IFERROR(VLOOKUP(LOOKUP(2,1/SEARCH(B230,Товары!A:A),Товары!A:A),Товары!A:B,2,0),""),6)=MID(Z230,1,6),1,0)</f>
        <v>1</v>
      </c>
      <c r="AG230" s="97">
        <f ca="1">SUMIF(Группа!A:A,C230,Группа!C:C)</f>
        <v>1</v>
      </c>
      <c r="AH230" s="97">
        <f ca="1">SUMIF(Группа!B:B,AA230,Группа!C:C)</f>
        <v>1</v>
      </c>
      <c r="AI230" s="97">
        <f ca="1">SUMIF(Формы!A:A,D230,Формы!B:B)</f>
        <v>1</v>
      </c>
      <c r="AJ230" s="97">
        <f ca="1">SUMIF(Материал!A:A,K230,Материал!B:B)</f>
        <v>1</v>
      </c>
      <c r="AK230" s="97">
        <f ca="1">SUMIF(Размеры!A:A,R230,Размеры!E:E)</f>
        <v>1</v>
      </c>
      <c r="AL230" s="97">
        <f ca="1">SUMIF(Сезон!A:A,F230,Сезон!B:B)</f>
        <v>1</v>
      </c>
      <c r="AM230" s="97">
        <f ca="1">SUMIF(Состав!A:A,J230,Состав!B:B)</f>
        <v>0</v>
      </c>
      <c r="AN230" s="97">
        <f ca="1">VLOOKUP(I230,ЦветПолный!A:C,3,0)</f>
        <v>1</v>
      </c>
      <c r="AO230" s="97">
        <f ca="1">SUMIF(Цвет!A:A,Y230,Цвет!B:B)</f>
        <v>1</v>
      </c>
      <c r="AP230" s="97">
        <f ca="1">_xlfn.XLOOKUP(L230,Пол!A:A,Пол!B:B,0,0)</f>
        <v>1</v>
      </c>
      <c r="AQ230" s="97">
        <f ca="1">SUMIF(Марка!A:A,G230,Марка!B:B)</f>
        <v>1</v>
      </c>
      <c r="AR230" s="97">
        <f ca="1">SUMIF(Страна!A:A,M230,Страна!B:B)</f>
        <v>1</v>
      </c>
      <c r="AS230" s="64" t="str">
        <f ca="1">IF(VLOOKUP(V230,Товары!A:B,2,FALSE)=A230,"Есть в 1С","ERR")</f>
        <v>Есть в 1С</v>
      </c>
      <c r="AT230" s="65" t="str">
        <f ca="1">IF(VLOOKUP(A230,Товары!B:B,1,FALSE)=A230,"Есть в 1С","ERR")</f>
        <v>Есть в 1С</v>
      </c>
      <c r="AU230" s="96" t="str">
        <f ca="1">VLOOKUP(V230,Товары!A:B,2,FALSE)</f>
        <v>21-267-02</v>
      </c>
      <c r="AV230" s="94" t="str">
        <f ca="1">VLOOKUP(V230,Товары!A:B,1,FALSE)</f>
        <v>Шляпа BAILEY арт. 1362 DALTON (бежевый) {tan}</v>
      </c>
    </row>
    <row r="231" spans="1:48" x14ac:dyDescent="0.25">
      <c r="A231" s="110" t="str">
        <f t="shared" ca="1" si="27"/>
        <v>21-242-19</v>
      </c>
      <c r="B231" s="107" t="str">
        <f ca="1">_xlfn.LET(_xlpm.CAPS,0,_xlpm.Style,_xlfn.XLOOKUP($A231,Строчный!$A:$A,Строчный!B:B,"ERR",0),IF(_xlpm.CAPS=0,_xlpm.Style,LOWER(_xlpm.Style)))</f>
        <v>63117 BLACKBURN</v>
      </c>
      <c r="C231" s="81" t="str">
        <f ca="1">PROPER(_xlfn.XLOOKUP($A231,Строчный!$A:$A,Строчный!C:C,"ERR",0))</f>
        <v>Шляпы</v>
      </c>
      <c r="D231" s="81" t="str">
        <f ca="1">_xlfn.LET(_xlpm.DATA,(_xlfn.XLOOKUP($A231,Строчный!$A:$A,Строчный!D:D,"ERR",0)),UPPER(MID(_xlpm.DATA,1,1))&amp;LOWER(MID(_xlpm.DATA,2,LEN(_xlpm.DATA)-1)))</f>
        <v>Шляпа федора</v>
      </c>
      <c r="E231" s="81" t="str">
        <f ca="1">PROPER(_xlfn.XLOOKUP($A231,Строчный!$A:$A,Строчный!E:E,"ERR",0))</f>
        <v>The Hollywood</v>
      </c>
      <c r="F231" s="81" t="str">
        <f ca="1">LOWER(_xlfn.XLOOKUP($A231,Строчный!$A:$A,Строчный!F:F,"ERR",0))</f>
        <v>летний</v>
      </c>
      <c r="G231" s="81" t="str">
        <f ca="1">UPPER(_xlfn.XLOOKUP($A231,Строчный!$A:$A,Строчный!G:G,"ERR",0))</f>
        <v>BAILEY</v>
      </c>
      <c r="H231" s="81" t="str">
        <f ca="1">LOWER(_xlfn.XLOOKUP($A231,Строчный!$A:$A,Строчный!H:H,"ERR",0))</f>
        <v>opal</v>
      </c>
      <c r="I231" s="81" t="str">
        <f ca="1">LOWER(_xlfn.XLOOKUP($A231,Строчный!$A:$A,Строчный!I:I,"ERR",0))</f>
        <v>голубой</v>
      </c>
      <c r="J231" s="81" t="str">
        <f ca="1">SUBSTITUTE(LOWER(_xlfn.XLOOKUP($A231,Строчный!$A:$A,Строчный!J:J,"ERR",0)),"подклад","Подклад")</f>
        <v>100% бумага</v>
      </c>
      <c r="K231" s="81" t="str">
        <f ca="1">LOWER(_xlfn.XLOOKUP($A231,Строчный!$A:$A,Строчный!K:K,"ERR",0))</f>
        <v>бумажные</v>
      </c>
      <c r="L231" s="81" t="str">
        <f ca="1">PROPER(_xlfn.XLOOKUP($A231,Строчный!$A:$A,Строчный!L:L,"ERR",0))</f>
        <v>Унисекс</v>
      </c>
      <c r="M231" s="113" t="str">
        <f ca="1">PROPER(_xlfn.XLOOKUP($A231,Строчный!$A:$A,Строчный!M:M,"ERR",0))</f>
        <v>Соединенные Штаты</v>
      </c>
      <c r="N231" s="81" t="str">
        <f ca="1">UPPER(_xlfn.XLOOKUP($A231,Строчный!$A:$A,Строчный!O:O,"ERR",0))</f>
        <v/>
      </c>
      <c r="O231" s="107" t="str">
        <f ca="1">PROPER(_xlfn.XLOOKUP($A231,Строчный!$A:$A,Строчный!P:P,"ERR",0))</f>
        <v/>
      </c>
      <c r="P231" s="90">
        <f ca="1">VALUE(_xlfn.XLOOKUP($A231,Строчный!$A:$A,Строчный!N:N,"ERR",0))</f>
        <v>5733</v>
      </c>
      <c r="Q231" s="89" t="str">
        <f ca="1">_xlfn.XLOOKUP($G231,Фабрика!A:A,Фабрика!B:B,"ERR",0)</f>
        <v>Bollman Headwear Europe Ltd; 2 Merchants drive, Caelisle, Cumbria CA3 0JW, United Kingdom</v>
      </c>
      <c r="R231" s="80" t="str">
        <f ca="1">_xlfn.XLOOKUP(RIGHT(Z231,2),Размеры!D:D,Размеры!A:A,"ERR",0)</f>
        <v>61</v>
      </c>
      <c r="S231" s="80">
        <f ca="1">VALUE(_xlfn.XLOOKUP($Z231,Строчный!$R:$R,Строчный!T:T,"ERR",0))</f>
        <v>1</v>
      </c>
      <c r="T231" s="14" t="s">
        <v>265</v>
      </c>
      <c r="U231" s="101" t="str">
        <f t="shared" ca="1" si="23"/>
        <v>Шляпа BAILEY арт. 63117 BLACKBURN (голубой)</v>
      </c>
      <c r="V231" s="100" t="str">
        <f t="shared" ca="1" si="24"/>
        <v>Шляпа BAILEY арт. 63117 BLACKBURN (голубой) {opal}</v>
      </c>
      <c r="W231" s="18" t="str">
        <f t="shared" ca="1" si="25"/>
        <v>голубой</v>
      </c>
      <c r="X231" s="18" t="str">
        <f t="shared" ca="1" si="26"/>
        <v>голубой</v>
      </c>
      <c r="Y231" s="117" t="str">
        <f ca="1">_xlfn.LET(_xlpm.FormColors,_xlfn.XLOOKUP(A231,Строчный!A:A,Строчный!Q:Q,"",0),IF(_xlpm.FormColors=0,IFERROR(MID(I231,FIND("-",I231)+1,LEN(I231)),IFERROR(MID(I231,1,FIND("/",I231)-2),I231)),_xlpm.FormColors))</f>
        <v>голубой</v>
      </c>
      <c r="Z231" s="73" t="str">
        <f ca="1"/>
        <v>21-242-19-61</v>
      </c>
      <c r="AA231" s="75" t="str">
        <f ca="1">VLOOKUP(C231,Группа!A:B,2,FALSE)</f>
        <v>Шляпа</v>
      </c>
      <c r="AB231" s="97" t="str">
        <f ca="1">IFERROR(VLOOKUP(R231,Размеры!A:C,3,FALSE),"")</f>
        <v>61 XL</v>
      </c>
      <c r="AC231" s="97" t="str">
        <f ca="1">VLOOKUP(I231,ЦветПолный!A:B,2,FALSE)</f>
        <v>19</v>
      </c>
      <c r="AD231" s="97" t="str">
        <f ca="1">IFERROR(VLOOKUP(R231,Размеры!A:D,4,FALSE),"")</f>
        <v>61</v>
      </c>
      <c r="AE231" s="97">
        <f ca="1">IF(LEFT(IFERROR(VLOOKUP(LOOKUP(2,1/SEARCH(B231,Товары!A:A),Товары!A:A),Товары!A:B,2,0),""),6)=MID(Z231,1,6),1,0)</f>
        <v>1</v>
      </c>
      <c r="AG231" s="97">
        <f ca="1">SUMIF(Группа!A:A,C231,Группа!C:C)</f>
        <v>1</v>
      </c>
      <c r="AH231" s="97">
        <f ca="1">SUMIF(Группа!B:B,AA231,Группа!C:C)</f>
        <v>1</v>
      </c>
      <c r="AI231" s="97">
        <f ca="1">SUMIF(Формы!A:A,D231,Формы!B:B)</f>
        <v>1</v>
      </c>
      <c r="AJ231" s="97">
        <f ca="1">SUMIF(Материал!A:A,K231,Материал!B:B)</f>
        <v>1</v>
      </c>
      <c r="AK231" s="97">
        <f ca="1">SUMIF(Размеры!A:A,R231,Размеры!E:E)</f>
        <v>1</v>
      </c>
      <c r="AL231" s="97">
        <f ca="1">SUMIF(Сезон!A:A,F231,Сезон!B:B)</f>
        <v>1</v>
      </c>
      <c r="AM231" s="97">
        <f ca="1">SUMIF(Состав!A:A,J231,Состав!B:B)</f>
        <v>1</v>
      </c>
      <c r="AN231" s="97">
        <f ca="1">VLOOKUP(I231,ЦветПолный!A:C,3,0)</f>
        <v>1</v>
      </c>
      <c r="AO231" s="97">
        <f ca="1">SUMIF(Цвет!A:A,Y231,Цвет!B:B)</f>
        <v>1</v>
      </c>
      <c r="AP231" s="97">
        <f ca="1">_xlfn.XLOOKUP(L231,Пол!A:A,Пол!B:B,0,0)</f>
        <v>1</v>
      </c>
      <c r="AQ231" s="97">
        <f ca="1">SUMIF(Марка!A:A,G231,Марка!B:B)</f>
        <v>1</v>
      </c>
      <c r="AR231" s="97">
        <f ca="1">SUMIF(Страна!A:A,M231,Страна!B:B)</f>
        <v>1</v>
      </c>
      <c r="AS231" s="64" t="str">
        <f ca="1">IF(VLOOKUP(V231,Товары!A:B,2,FALSE)=A231,"Есть в 1С","ERR")</f>
        <v>Есть в 1С</v>
      </c>
      <c r="AT231" s="65" t="str">
        <f ca="1">IF(VLOOKUP(A231,Товары!B:B,1,FALSE)=A231,"Есть в 1С","ERR")</f>
        <v>Есть в 1С</v>
      </c>
      <c r="AU231" s="96" t="str">
        <f ca="1">VLOOKUP(V231,Товары!A:B,2,FALSE)</f>
        <v>21-242-19</v>
      </c>
      <c r="AV231" s="94" t="str">
        <f ca="1">VLOOKUP(V231,Товары!A:B,1,FALSE)</f>
        <v>Шляпа BAILEY арт. 63117 BLACKBURN (голубой) {opal}</v>
      </c>
    </row>
    <row r="232" spans="1:48" x14ac:dyDescent="0.25">
      <c r="A232" s="110" t="str">
        <f t="shared" ca="1" si="27"/>
        <v>21-242-19</v>
      </c>
      <c r="B232" s="107" t="str">
        <f ca="1">_xlfn.LET(_xlpm.CAPS,0,_xlpm.Style,_xlfn.XLOOKUP($A232,Строчный!$A:$A,Строчный!B:B,"ERR",0),IF(_xlpm.CAPS=0,_xlpm.Style,LOWER(_xlpm.Style)))</f>
        <v>63117 BLACKBURN</v>
      </c>
      <c r="C232" s="81" t="str">
        <f ca="1">PROPER(_xlfn.XLOOKUP($A232,Строчный!$A:$A,Строчный!C:C,"ERR",0))</f>
        <v>Шляпы</v>
      </c>
      <c r="D232" s="81" t="str">
        <f ca="1">_xlfn.LET(_xlpm.DATA,(_xlfn.XLOOKUP($A232,Строчный!$A:$A,Строчный!D:D,"ERR",0)),UPPER(MID(_xlpm.DATA,1,1))&amp;LOWER(MID(_xlpm.DATA,2,LEN(_xlpm.DATA)-1)))</f>
        <v>Шляпа федора</v>
      </c>
      <c r="E232" s="81" t="str">
        <f ca="1">PROPER(_xlfn.XLOOKUP($A232,Строчный!$A:$A,Строчный!E:E,"ERR",0))</f>
        <v>The Hollywood</v>
      </c>
      <c r="F232" s="81" t="str">
        <f ca="1">LOWER(_xlfn.XLOOKUP($A232,Строчный!$A:$A,Строчный!F:F,"ERR",0))</f>
        <v>летний</v>
      </c>
      <c r="G232" s="81" t="str">
        <f ca="1">UPPER(_xlfn.XLOOKUP($A232,Строчный!$A:$A,Строчный!G:G,"ERR",0))</f>
        <v>BAILEY</v>
      </c>
      <c r="H232" s="81" t="str">
        <f ca="1">LOWER(_xlfn.XLOOKUP($A232,Строчный!$A:$A,Строчный!H:H,"ERR",0))</f>
        <v>opal</v>
      </c>
      <c r="I232" s="81" t="str">
        <f ca="1">LOWER(_xlfn.XLOOKUP($A232,Строчный!$A:$A,Строчный!I:I,"ERR",0))</f>
        <v>голубой</v>
      </c>
      <c r="J232" s="81" t="str">
        <f ca="1">SUBSTITUTE(LOWER(_xlfn.XLOOKUP($A232,Строчный!$A:$A,Строчный!J:J,"ERR",0)),"подклад","Подклад")</f>
        <v>100% бумага</v>
      </c>
      <c r="K232" s="81" t="str">
        <f ca="1">LOWER(_xlfn.XLOOKUP($A232,Строчный!$A:$A,Строчный!K:K,"ERR",0))</f>
        <v>бумажные</v>
      </c>
      <c r="L232" s="81" t="str">
        <f ca="1">PROPER(_xlfn.XLOOKUP($A232,Строчный!$A:$A,Строчный!L:L,"ERR",0))</f>
        <v>Унисекс</v>
      </c>
      <c r="M232" s="113" t="str">
        <f ca="1">PROPER(_xlfn.XLOOKUP($A232,Строчный!$A:$A,Строчный!M:M,"ERR",0))</f>
        <v>Соединенные Штаты</v>
      </c>
      <c r="N232" s="81" t="str">
        <f ca="1">UPPER(_xlfn.XLOOKUP($A232,Строчный!$A:$A,Строчный!O:O,"ERR",0))</f>
        <v/>
      </c>
      <c r="O232" s="107" t="str">
        <f ca="1">PROPER(_xlfn.XLOOKUP($A232,Строчный!$A:$A,Строчный!P:P,"ERR",0))</f>
        <v/>
      </c>
      <c r="P232" s="90">
        <f ca="1">VALUE(_xlfn.XLOOKUP($A232,Строчный!$A:$A,Строчный!N:N,"ERR",0))</f>
        <v>5733</v>
      </c>
      <c r="Q232" s="89" t="str">
        <f ca="1">_xlfn.XLOOKUP($G232,Фабрика!A:A,Фабрика!B:B,"ERR",0)</f>
        <v>Bollman Headwear Europe Ltd; 2 Merchants drive, Caelisle, Cumbria CA3 0JW, United Kingdom</v>
      </c>
      <c r="R232" s="80" t="str">
        <f ca="1">_xlfn.XLOOKUP(RIGHT(Z232,2),Размеры!D:D,Размеры!A:A,"ERR",0)</f>
        <v>59</v>
      </c>
      <c r="S232" s="80">
        <f ca="1">VALUE(_xlfn.XLOOKUP($Z232,Строчный!$R:$R,Строчный!T:T,"ERR",0))</f>
        <v>2</v>
      </c>
      <c r="T232" s="14" t="s">
        <v>265</v>
      </c>
      <c r="U232" s="101" t="str">
        <f t="shared" ca="1" si="23"/>
        <v>Шляпа BAILEY арт. 63117 BLACKBURN (голубой)</v>
      </c>
      <c r="V232" s="100" t="str">
        <f t="shared" ca="1" si="24"/>
        <v>Шляпа BAILEY арт. 63117 BLACKBURN (голубой) {opal}</v>
      </c>
      <c r="W232" s="18" t="str">
        <f t="shared" ca="1" si="25"/>
        <v>голубой</v>
      </c>
      <c r="X232" s="18" t="str">
        <f t="shared" ca="1" si="26"/>
        <v>голубой</v>
      </c>
      <c r="Y232" s="117" t="str">
        <f ca="1">_xlfn.LET(_xlpm.FormColors,_xlfn.XLOOKUP(A232,Строчный!A:A,Строчный!Q:Q,"",0),IF(_xlpm.FormColors=0,IFERROR(MID(I232,FIND("-",I232)+1,LEN(I232)),IFERROR(MID(I232,1,FIND("/",I232)-2),I232)),_xlpm.FormColors))</f>
        <v>голубой</v>
      </c>
      <c r="Z232" s="73" t="str">
        <f ca="1"/>
        <v>21-242-19-59</v>
      </c>
      <c r="AA232" s="75" t="str">
        <f ca="1">VLOOKUP(C232,Группа!A:B,2,FALSE)</f>
        <v>Шляпа</v>
      </c>
      <c r="AB232" s="97" t="str">
        <f ca="1">IFERROR(VLOOKUP(R232,Размеры!A:C,3,FALSE),"")</f>
        <v>59 L</v>
      </c>
      <c r="AC232" s="97" t="str">
        <f ca="1">VLOOKUP(I232,ЦветПолный!A:B,2,FALSE)</f>
        <v>19</v>
      </c>
      <c r="AD232" s="97" t="str">
        <f ca="1">IFERROR(VLOOKUP(R232,Размеры!A:D,4,FALSE),"")</f>
        <v>59</v>
      </c>
      <c r="AE232" s="97">
        <f ca="1">IF(LEFT(IFERROR(VLOOKUP(LOOKUP(2,1/SEARCH(B232,Товары!A:A),Товары!A:A),Товары!A:B,2,0),""),6)=MID(Z232,1,6),1,0)</f>
        <v>1</v>
      </c>
      <c r="AG232" s="97">
        <f ca="1">SUMIF(Группа!A:A,C232,Группа!C:C)</f>
        <v>1</v>
      </c>
      <c r="AH232" s="97">
        <f ca="1">SUMIF(Группа!B:B,AA232,Группа!C:C)</f>
        <v>1</v>
      </c>
      <c r="AI232" s="97">
        <f ca="1">SUMIF(Формы!A:A,D232,Формы!B:B)</f>
        <v>1</v>
      </c>
      <c r="AJ232" s="97">
        <f ca="1">SUMIF(Материал!A:A,K232,Материал!B:B)</f>
        <v>1</v>
      </c>
      <c r="AK232" s="97">
        <f ca="1">SUMIF(Размеры!A:A,R232,Размеры!E:E)</f>
        <v>1</v>
      </c>
      <c r="AL232" s="97">
        <f ca="1">SUMIF(Сезон!A:A,F232,Сезон!B:B)</f>
        <v>1</v>
      </c>
      <c r="AM232" s="97">
        <f ca="1">SUMIF(Состав!A:A,J232,Состав!B:B)</f>
        <v>1</v>
      </c>
      <c r="AN232" s="97">
        <f ca="1">VLOOKUP(I232,ЦветПолный!A:C,3,0)</f>
        <v>1</v>
      </c>
      <c r="AO232" s="97">
        <f ca="1">SUMIF(Цвет!A:A,Y232,Цвет!B:B)</f>
        <v>1</v>
      </c>
      <c r="AP232" s="97">
        <f ca="1">_xlfn.XLOOKUP(L232,Пол!A:A,Пол!B:B,0,0)</f>
        <v>1</v>
      </c>
      <c r="AQ232" s="97">
        <f ca="1">SUMIF(Марка!A:A,G232,Марка!B:B)</f>
        <v>1</v>
      </c>
      <c r="AR232" s="97">
        <f ca="1">SUMIF(Страна!A:A,M232,Страна!B:B)</f>
        <v>1</v>
      </c>
      <c r="AS232" s="64" t="str">
        <f ca="1">IF(VLOOKUP(V232,Товары!A:B,2,FALSE)=A232,"Есть в 1С","ERR")</f>
        <v>Есть в 1С</v>
      </c>
      <c r="AT232" s="65" t="str">
        <f ca="1">IF(VLOOKUP(A232,Товары!B:B,1,FALSE)=A232,"Есть в 1С","ERR")</f>
        <v>Есть в 1С</v>
      </c>
      <c r="AU232" s="96" t="str">
        <f ca="1">VLOOKUP(V232,Товары!A:B,2,FALSE)</f>
        <v>21-242-19</v>
      </c>
      <c r="AV232" s="94" t="str">
        <f ca="1">VLOOKUP(V232,Товары!A:B,1,FALSE)</f>
        <v>Шляпа BAILEY арт. 63117 BLACKBURN (голубой) {opal}</v>
      </c>
    </row>
    <row r="233" spans="1:48" x14ac:dyDescent="0.25">
      <c r="A233" s="110" t="str">
        <f t="shared" ca="1" si="27"/>
        <v>21-242-19</v>
      </c>
      <c r="B233" s="107" t="str">
        <f ca="1">_xlfn.LET(_xlpm.CAPS,0,_xlpm.Style,_xlfn.XLOOKUP($A233,Строчный!$A:$A,Строчный!B:B,"ERR",0),IF(_xlpm.CAPS=0,_xlpm.Style,LOWER(_xlpm.Style)))</f>
        <v>63117 BLACKBURN</v>
      </c>
      <c r="C233" s="81" t="str">
        <f ca="1">PROPER(_xlfn.XLOOKUP($A233,Строчный!$A:$A,Строчный!C:C,"ERR",0))</f>
        <v>Шляпы</v>
      </c>
      <c r="D233" s="81" t="str">
        <f ca="1">_xlfn.LET(_xlpm.DATA,(_xlfn.XLOOKUP($A233,Строчный!$A:$A,Строчный!D:D,"ERR",0)),UPPER(MID(_xlpm.DATA,1,1))&amp;LOWER(MID(_xlpm.DATA,2,LEN(_xlpm.DATA)-1)))</f>
        <v>Шляпа федора</v>
      </c>
      <c r="E233" s="81" t="str">
        <f ca="1">PROPER(_xlfn.XLOOKUP($A233,Строчный!$A:$A,Строчный!E:E,"ERR",0))</f>
        <v>The Hollywood</v>
      </c>
      <c r="F233" s="81" t="str">
        <f ca="1">LOWER(_xlfn.XLOOKUP($A233,Строчный!$A:$A,Строчный!F:F,"ERR",0))</f>
        <v>летний</v>
      </c>
      <c r="G233" s="81" t="str">
        <f ca="1">UPPER(_xlfn.XLOOKUP($A233,Строчный!$A:$A,Строчный!G:G,"ERR",0))</f>
        <v>BAILEY</v>
      </c>
      <c r="H233" s="81" t="str">
        <f ca="1">LOWER(_xlfn.XLOOKUP($A233,Строчный!$A:$A,Строчный!H:H,"ERR",0))</f>
        <v>opal</v>
      </c>
      <c r="I233" s="81" t="str">
        <f ca="1">LOWER(_xlfn.XLOOKUP($A233,Строчный!$A:$A,Строчный!I:I,"ERR",0))</f>
        <v>голубой</v>
      </c>
      <c r="J233" s="81" t="str">
        <f ca="1">SUBSTITUTE(LOWER(_xlfn.XLOOKUP($A233,Строчный!$A:$A,Строчный!J:J,"ERR",0)),"подклад","Подклад")</f>
        <v>100% бумага</v>
      </c>
      <c r="K233" s="81" t="str">
        <f ca="1">LOWER(_xlfn.XLOOKUP($A233,Строчный!$A:$A,Строчный!K:K,"ERR",0))</f>
        <v>бумажные</v>
      </c>
      <c r="L233" s="81" t="str">
        <f ca="1">PROPER(_xlfn.XLOOKUP($A233,Строчный!$A:$A,Строчный!L:L,"ERR",0))</f>
        <v>Унисекс</v>
      </c>
      <c r="M233" s="113" t="str">
        <f ca="1">PROPER(_xlfn.XLOOKUP($A233,Строчный!$A:$A,Строчный!M:M,"ERR",0))</f>
        <v>Соединенные Штаты</v>
      </c>
      <c r="N233" s="81" t="str">
        <f ca="1">UPPER(_xlfn.XLOOKUP($A233,Строчный!$A:$A,Строчный!O:O,"ERR",0))</f>
        <v/>
      </c>
      <c r="O233" s="107" t="str">
        <f ca="1">PROPER(_xlfn.XLOOKUP($A233,Строчный!$A:$A,Строчный!P:P,"ERR",0))</f>
        <v/>
      </c>
      <c r="P233" s="90">
        <f ca="1">VALUE(_xlfn.XLOOKUP($A233,Строчный!$A:$A,Строчный!N:N,"ERR",0))</f>
        <v>5733</v>
      </c>
      <c r="Q233" s="89" t="str">
        <f ca="1">_xlfn.XLOOKUP($G233,Фабрика!A:A,Фабрика!B:B,"ERR",0)</f>
        <v>Bollman Headwear Europe Ltd; 2 Merchants drive, Caelisle, Cumbria CA3 0JW, United Kingdom</v>
      </c>
      <c r="R233" s="80" t="str">
        <f ca="1">_xlfn.XLOOKUP(RIGHT(Z233,2),Размеры!D:D,Размеры!A:A,"ERR",0)</f>
        <v>57</v>
      </c>
      <c r="S233" s="80">
        <f ca="1">VALUE(_xlfn.XLOOKUP($Z233,Строчный!$R:$R,Строчный!T:T,"ERR",0))</f>
        <v>1</v>
      </c>
      <c r="T233" s="14" t="s">
        <v>265</v>
      </c>
      <c r="U233" s="101" t="str">
        <f t="shared" ca="1" si="23"/>
        <v>Шляпа BAILEY арт. 63117 BLACKBURN (голубой)</v>
      </c>
      <c r="V233" s="100" t="str">
        <f t="shared" ca="1" si="24"/>
        <v>Шляпа BAILEY арт. 63117 BLACKBURN (голубой) {opal}</v>
      </c>
      <c r="W233" s="18" t="str">
        <f t="shared" ca="1" si="25"/>
        <v>голубой</v>
      </c>
      <c r="X233" s="18" t="str">
        <f t="shared" ca="1" si="26"/>
        <v>голубой</v>
      </c>
      <c r="Y233" s="117" t="str">
        <f ca="1">_xlfn.LET(_xlpm.FormColors,_xlfn.XLOOKUP(A233,Строчный!A:A,Строчный!Q:Q,"",0),IF(_xlpm.FormColors=0,IFERROR(MID(I233,FIND("-",I233)+1,LEN(I233)),IFERROR(MID(I233,1,FIND("/",I233)-2),I233)),_xlpm.FormColors))</f>
        <v>голубой</v>
      </c>
      <c r="Z233" s="73" t="str">
        <f ca="1"/>
        <v>21-242-19-57</v>
      </c>
      <c r="AA233" s="75" t="str">
        <f ca="1">VLOOKUP(C233,Группа!A:B,2,FALSE)</f>
        <v>Шляпа</v>
      </c>
      <c r="AB233" s="97" t="str">
        <f ca="1">IFERROR(VLOOKUP(R233,Размеры!A:C,3,FALSE),"")</f>
        <v>57 M</v>
      </c>
      <c r="AC233" s="97" t="str">
        <f ca="1">VLOOKUP(I233,ЦветПолный!A:B,2,FALSE)</f>
        <v>19</v>
      </c>
      <c r="AD233" s="97" t="str">
        <f ca="1">IFERROR(VLOOKUP(R233,Размеры!A:D,4,FALSE),"")</f>
        <v>57</v>
      </c>
      <c r="AE233" s="97">
        <f ca="1">IF(LEFT(IFERROR(VLOOKUP(LOOKUP(2,1/SEARCH(B233,Товары!A:A),Товары!A:A),Товары!A:B,2,0),""),6)=MID(Z233,1,6),1,0)</f>
        <v>1</v>
      </c>
      <c r="AG233" s="97">
        <f ca="1">SUMIF(Группа!A:A,C233,Группа!C:C)</f>
        <v>1</v>
      </c>
      <c r="AH233" s="97">
        <f ca="1">SUMIF(Группа!B:B,AA233,Группа!C:C)</f>
        <v>1</v>
      </c>
      <c r="AI233" s="97">
        <f ca="1">SUMIF(Формы!A:A,D233,Формы!B:B)</f>
        <v>1</v>
      </c>
      <c r="AJ233" s="97">
        <f ca="1">SUMIF(Материал!A:A,K233,Материал!B:B)</f>
        <v>1</v>
      </c>
      <c r="AK233" s="97">
        <f ca="1">SUMIF(Размеры!A:A,R233,Размеры!E:E)</f>
        <v>1</v>
      </c>
      <c r="AL233" s="97">
        <f ca="1">SUMIF(Сезон!A:A,F233,Сезон!B:B)</f>
        <v>1</v>
      </c>
      <c r="AM233" s="97">
        <f ca="1">SUMIF(Состав!A:A,J233,Состав!B:B)</f>
        <v>1</v>
      </c>
      <c r="AN233" s="97">
        <f ca="1">VLOOKUP(I233,ЦветПолный!A:C,3,0)</f>
        <v>1</v>
      </c>
      <c r="AO233" s="97">
        <f ca="1">SUMIF(Цвет!A:A,Y233,Цвет!B:B)</f>
        <v>1</v>
      </c>
      <c r="AP233" s="97">
        <f ca="1">_xlfn.XLOOKUP(L233,Пол!A:A,Пол!B:B,0,0)</f>
        <v>1</v>
      </c>
      <c r="AQ233" s="97">
        <f ca="1">SUMIF(Марка!A:A,G233,Марка!B:B)</f>
        <v>1</v>
      </c>
      <c r="AR233" s="97">
        <f ca="1">SUMIF(Страна!A:A,M233,Страна!B:B)</f>
        <v>1</v>
      </c>
      <c r="AS233" s="64" t="str">
        <f ca="1">IF(VLOOKUP(V233,Товары!A:B,2,FALSE)=A233,"Есть в 1С","ERR")</f>
        <v>Есть в 1С</v>
      </c>
      <c r="AT233" s="65" t="str">
        <f ca="1">IF(VLOOKUP(A233,Товары!B:B,1,FALSE)=A233,"Есть в 1С","ERR")</f>
        <v>Есть в 1С</v>
      </c>
      <c r="AU233" s="96" t="str">
        <f ca="1">VLOOKUP(V233,Товары!A:B,2,FALSE)</f>
        <v>21-242-19</v>
      </c>
      <c r="AV233" s="94" t="str">
        <f ca="1">VLOOKUP(V233,Товары!A:B,1,FALSE)</f>
        <v>Шляпа BAILEY арт. 63117 BLACKBURN (голубой) {opal}</v>
      </c>
    </row>
    <row r="234" spans="1:48" x14ac:dyDescent="0.25">
      <c r="A234" s="110" t="str">
        <f t="shared" ca="1" si="27"/>
        <v>21-242-17</v>
      </c>
      <c r="B234" s="107" t="str">
        <f ca="1">_xlfn.LET(_xlpm.CAPS,0,_xlpm.Style,_xlfn.XLOOKUP($A234,Строчный!$A:$A,Строчный!B:B,"ERR",0),IF(_xlpm.CAPS=0,_xlpm.Style,LOWER(_xlpm.Style)))</f>
        <v>63117 BLACKBURN</v>
      </c>
      <c r="C234" s="81" t="str">
        <f ca="1">PROPER(_xlfn.XLOOKUP($A234,Строчный!$A:$A,Строчный!C:C,"ERR",0))</f>
        <v>Шляпы</v>
      </c>
      <c r="D234" s="81" t="str">
        <f ca="1">_xlfn.LET(_xlpm.DATA,(_xlfn.XLOOKUP($A234,Строчный!$A:$A,Строчный!D:D,"ERR",0)),UPPER(MID(_xlpm.DATA,1,1))&amp;LOWER(MID(_xlpm.DATA,2,LEN(_xlpm.DATA)-1)))</f>
        <v>Шляпа федора</v>
      </c>
      <c r="E234" s="81" t="str">
        <f ca="1">PROPER(_xlfn.XLOOKUP($A234,Строчный!$A:$A,Строчный!E:E,"ERR",0))</f>
        <v>The Hollywood</v>
      </c>
      <c r="F234" s="81" t="str">
        <f ca="1">LOWER(_xlfn.XLOOKUP($A234,Строчный!$A:$A,Строчный!F:F,"ERR",0))</f>
        <v>летний</v>
      </c>
      <c r="G234" s="81" t="str">
        <f ca="1">UPPER(_xlfn.XLOOKUP($A234,Строчный!$A:$A,Строчный!G:G,"ERR",0))</f>
        <v>BAILEY</v>
      </c>
      <c r="H234" s="81" t="str">
        <f ca="1">LOWER(_xlfn.XLOOKUP($A234,Строчный!$A:$A,Строчный!H:H,"ERR",0))</f>
        <v>natural</v>
      </c>
      <c r="I234" s="81" t="str">
        <f ca="1">LOWER(_xlfn.XLOOKUP($A234,Строчный!$A:$A,Строчный!I:I,"ERR",0))</f>
        <v>белый</v>
      </c>
      <c r="J234" s="81" t="str">
        <f ca="1">SUBSTITUTE(LOWER(_xlfn.XLOOKUP($A234,Строчный!$A:$A,Строчный!J:J,"ERR",0)),"подклад","Подклад")</f>
        <v>100% бумага</v>
      </c>
      <c r="K234" s="81" t="str">
        <f ca="1">LOWER(_xlfn.XLOOKUP($A234,Строчный!$A:$A,Строчный!K:K,"ERR",0))</f>
        <v>бумажные</v>
      </c>
      <c r="L234" s="81" t="str">
        <f ca="1">PROPER(_xlfn.XLOOKUP($A234,Строчный!$A:$A,Строчный!L:L,"ERR",0))</f>
        <v>Унисекс</v>
      </c>
      <c r="M234" s="113" t="str">
        <f ca="1">PROPER(_xlfn.XLOOKUP($A234,Строчный!$A:$A,Строчный!M:M,"ERR",0))</f>
        <v>Соединенные Штаты</v>
      </c>
      <c r="N234" s="81" t="str">
        <f ca="1">UPPER(_xlfn.XLOOKUP($A234,Строчный!$A:$A,Строчный!O:O,"ERR",0))</f>
        <v/>
      </c>
      <c r="O234" s="107" t="str">
        <f ca="1">PROPER(_xlfn.XLOOKUP($A234,Строчный!$A:$A,Строчный!P:P,"ERR",0))</f>
        <v/>
      </c>
      <c r="P234" s="90">
        <f ca="1">VALUE(_xlfn.XLOOKUP($A234,Строчный!$A:$A,Строчный!N:N,"ERR",0))</f>
        <v>5733</v>
      </c>
      <c r="Q234" s="89" t="str">
        <f ca="1">_xlfn.XLOOKUP($G234,Фабрика!A:A,Фабрика!B:B,"ERR",0)</f>
        <v>Bollman Headwear Europe Ltd; 2 Merchants drive, Caelisle, Cumbria CA3 0JW, United Kingdom</v>
      </c>
      <c r="R234" s="80" t="str">
        <f ca="1">_xlfn.XLOOKUP(RIGHT(Z234,2),Размеры!D:D,Размеры!A:A,"ERR",0)</f>
        <v>61</v>
      </c>
      <c r="S234" s="80">
        <f ca="1">VALUE(_xlfn.XLOOKUP($Z234,Строчный!$R:$R,Строчный!T:T,"ERR",0))</f>
        <v>2</v>
      </c>
      <c r="T234" s="14" t="s">
        <v>265</v>
      </c>
      <c r="U234" s="101" t="str">
        <f t="shared" ca="1" si="23"/>
        <v>Шляпа BAILEY арт. 63117 BLACKBURN (белый)</v>
      </c>
      <c r="V234" s="100" t="str">
        <f t="shared" ca="1" si="24"/>
        <v>Шляпа BAILEY арт. 63117 BLACKBURN (белый) {natural}</v>
      </c>
      <c r="W234" s="18" t="str">
        <f t="shared" ca="1" si="25"/>
        <v>белый</v>
      </c>
      <c r="X234" s="18" t="str">
        <f t="shared" ca="1" si="26"/>
        <v>белый</v>
      </c>
      <c r="Y234" s="117" t="str">
        <f ca="1">_xlfn.LET(_xlpm.FormColors,_xlfn.XLOOKUP(A234,Строчный!A:A,Строчный!Q:Q,"",0),IF(_xlpm.FormColors=0,IFERROR(MID(I234,FIND("-",I234)+1,LEN(I234)),IFERROR(MID(I234,1,FIND("/",I234)-2),I234)),_xlpm.FormColors))</f>
        <v>белый</v>
      </c>
      <c r="Z234" s="73" t="str">
        <f ca="1"/>
        <v>21-242-17-61</v>
      </c>
      <c r="AA234" s="75" t="str">
        <f ca="1">VLOOKUP(C234,Группа!A:B,2,FALSE)</f>
        <v>Шляпа</v>
      </c>
      <c r="AB234" s="97" t="str">
        <f ca="1">IFERROR(VLOOKUP(R234,Размеры!A:C,3,FALSE),"")</f>
        <v>61 XL</v>
      </c>
      <c r="AC234" s="97" t="str">
        <f ca="1">VLOOKUP(I234,ЦветПолный!A:B,2,FALSE)</f>
        <v>17</v>
      </c>
      <c r="AD234" s="97" t="str">
        <f ca="1">IFERROR(VLOOKUP(R234,Размеры!A:D,4,FALSE),"")</f>
        <v>61</v>
      </c>
      <c r="AE234" s="97">
        <f ca="1">IF(LEFT(IFERROR(VLOOKUP(LOOKUP(2,1/SEARCH(B234,Товары!A:A),Товары!A:A),Товары!A:B,2,0),""),6)=MID(Z234,1,6),1,0)</f>
        <v>1</v>
      </c>
      <c r="AG234" s="97">
        <f ca="1">SUMIF(Группа!A:A,C234,Группа!C:C)</f>
        <v>1</v>
      </c>
      <c r="AH234" s="97">
        <f ca="1">SUMIF(Группа!B:B,AA234,Группа!C:C)</f>
        <v>1</v>
      </c>
      <c r="AI234" s="97">
        <f ca="1">SUMIF(Формы!A:A,D234,Формы!B:B)</f>
        <v>1</v>
      </c>
      <c r="AJ234" s="97">
        <f ca="1">SUMIF(Материал!A:A,K234,Материал!B:B)</f>
        <v>1</v>
      </c>
      <c r="AK234" s="97">
        <f ca="1">SUMIF(Размеры!A:A,R234,Размеры!E:E)</f>
        <v>1</v>
      </c>
      <c r="AL234" s="97">
        <f ca="1">SUMIF(Сезон!A:A,F234,Сезон!B:B)</f>
        <v>1</v>
      </c>
      <c r="AM234" s="97">
        <f ca="1">SUMIF(Состав!A:A,J234,Состав!B:B)</f>
        <v>1</v>
      </c>
      <c r="AN234" s="97">
        <f ca="1">VLOOKUP(I234,ЦветПолный!A:C,3,0)</f>
        <v>1</v>
      </c>
      <c r="AO234" s="97">
        <f ca="1">SUMIF(Цвет!A:A,Y234,Цвет!B:B)</f>
        <v>1</v>
      </c>
      <c r="AP234" s="97">
        <f ca="1">_xlfn.XLOOKUP(L234,Пол!A:A,Пол!B:B,0,0)</f>
        <v>1</v>
      </c>
      <c r="AQ234" s="97">
        <f ca="1">SUMIF(Марка!A:A,G234,Марка!B:B)</f>
        <v>1</v>
      </c>
      <c r="AR234" s="97">
        <f ca="1">SUMIF(Страна!A:A,M234,Страна!B:B)</f>
        <v>1</v>
      </c>
      <c r="AS234" s="64" t="str">
        <f ca="1">IF(VLOOKUP(V234,Товары!A:B,2,FALSE)=A234,"Есть в 1С","ERR")</f>
        <v>Есть в 1С</v>
      </c>
      <c r="AT234" s="65" t="str">
        <f ca="1">IF(VLOOKUP(A234,Товары!B:B,1,FALSE)=A234,"Есть в 1С","ERR")</f>
        <v>Есть в 1С</v>
      </c>
      <c r="AU234" s="96" t="str">
        <f ca="1">VLOOKUP(V234,Товары!A:B,2,FALSE)</f>
        <v>21-242-17</v>
      </c>
      <c r="AV234" s="94" t="str">
        <f ca="1">VLOOKUP(V234,Товары!A:B,1,FALSE)</f>
        <v>Шляпа BAILEY арт. 63117 BLACKBURN (белый) {natural}</v>
      </c>
    </row>
    <row r="235" spans="1:48" x14ac:dyDescent="0.25">
      <c r="A235" s="110" t="str">
        <f t="shared" ca="1" si="27"/>
        <v>21-242-17</v>
      </c>
      <c r="B235" s="107" t="str">
        <f ca="1">_xlfn.LET(_xlpm.CAPS,0,_xlpm.Style,_xlfn.XLOOKUP($A235,Строчный!$A:$A,Строчный!B:B,"ERR",0),IF(_xlpm.CAPS=0,_xlpm.Style,LOWER(_xlpm.Style)))</f>
        <v>63117 BLACKBURN</v>
      </c>
      <c r="C235" s="81" t="str">
        <f ca="1">PROPER(_xlfn.XLOOKUP($A235,Строчный!$A:$A,Строчный!C:C,"ERR",0))</f>
        <v>Шляпы</v>
      </c>
      <c r="D235" s="81" t="str">
        <f ca="1">_xlfn.LET(_xlpm.DATA,(_xlfn.XLOOKUP($A235,Строчный!$A:$A,Строчный!D:D,"ERR",0)),UPPER(MID(_xlpm.DATA,1,1))&amp;LOWER(MID(_xlpm.DATA,2,LEN(_xlpm.DATA)-1)))</f>
        <v>Шляпа федора</v>
      </c>
      <c r="E235" s="81" t="str">
        <f ca="1">PROPER(_xlfn.XLOOKUP($A235,Строчный!$A:$A,Строчный!E:E,"ERR",0))</f>
        <v>The Hollywood</v>
      </c>
      <c r="F235" s="81" t="str">
        <f ca="1">LOWER(_xlfn.XLOOKUP($A235,Строчный!$A:$A,Строчный!F:F,"ERR",0))</f>
        <v>летний</v>
      </c>
      <c r="G235" s="81" t="str">
        <f ca="1">UPPER(_xlfn.XLOOKUP($A235,Строчный!$A:$A,Строчный!G:G,"ERR",0))</f>
        <v>BAILEY</v>
      </c>
      <c r="H235" s="81" t="str">
        <f ca="1">LOWER(_xlfn.XLOOKUP($A235,Строчный!$A:$A,Строчный!H:H,"ERR",0))</f>
        <v>natural</v>
      </c>
      <c r="I235" s="81" t="str">
        <f ca="1">LOWER(_xlfn.XLOOKUP($A235,Строчный!$A:$A,Строчный!I:I,"ERR",0))</f>
        <v>белый</v>
      </c>
      <c r="J235" s="81" t="str">
        <f ca="1">SUBSTITUTE(LOWER(_xlfn.XLOOKUP($A235,Строчный!$A:$A,Строчный!J:J,"ERR",0)),"подклад","Подклад")</f>
        <v>100% бумага</v>
      </c>
      <c r="K235" s="81" t="str">
        <f ca="1">LOWER(_xlfn.XLOOKUP($A235,Строчный!$A:$A,Строчный!K:K,"ERR",0))</f>
        <v>бумажные</v>
      </c>
      <c r="L235" s="81" t="str">
        <f ca="1">PROPER(_xlfn.XLOOKUP($A235,Строчный!$A:$A,Строчный!L:L,"ERR",0))</f>
        <v>Унисекс</v>
      </c>
      <c r="M235" s="113" t="str">
        <f ca="1">PROPER(_xlfn.XLOOKUP($A235,Строчный!$A:$A,Строчный!M:M,"ERR",0))</f>
        <v>Соединенные Штаты</v>
      </c>
      <c r="N235" s="81" t="str">
        <f ca="1">UPPER(_xlfn.XLOOKUP($A235,Строчный!$A:$A,Строчный!O:O,"ERR",0))</f>
        <v/>
      </c>
      <c r="O235" s="107" t="str">
        <f ca="1">PROPER(_xlfn.XLOOKUP($A235,Строчный!$A:$A,Строчный!P:P,"ERR",0))</f>
        <v/>
      </c>
      <c r="P235" s="90">
        <f ca="1">VALUE(_xlfn.XLOOKUP($A235,Строчный!$A:$A,Строчный!N:N,"ERR",0))</f>
        <v>5733</v>
      </c>
      <c r="Q235" s="89" t="str">
        <f ca="1">_xlfn.XLOOKUP($G235,Фабрика!A:A,Фабрика!B:B,"ERR",0)</f>
        <v>Bollman Headwear Europe Ltd; 2 Merchants drive, Caelisle, Cumbria CA3 0JW, United Kingdom</v>
      </c>
      <c r="R235" s="80" t="str">
        <f ca="1">_xlfn.XLOOKUP(RIGHT(Z235,2),Размеры!D:D,Размеры!A:A,"ERR",0)</f>
        <v>59</v>
      </c>
      <c r="S235" s="80">
        <f ca="1">VALUE(_xlfn.XLOOKUP($Z235,Строчный!$R:$R,Строчный!T:T,"ERR",0))</f>
        <v>4</v>
      </c>
      <c r="T235" s="14" t="s">
        <v>265</v>
      </c>
      <c r="U235" s="101" t="str">
        <f t="shared" ca="1" si="23"/>
        <v>Шляпа BAILEY арт. 63117 BLACKBURN (белый)</v>
      </c>
      <c r="V235" s="100" t="str">
        <f t="shared" ca="1" si="24"/>
        <v>Шляпа BAILEY арт. 63117 BLACKBURN (белый) {natural}</v>
      </c>
      <c r="W235" s="18" t="str">
        <f t="shared" ca="1" si="25"/>
        <v>белый</v>
      </c>
      <c r="X235" s="18" t="str">
        <f t="shared" ca="1" si="26"/>
        <v>белый</v>
      </c>
      <c r="Y235" s="117" t="str">
        <f ca="1">_xlfn.LET(_xlpm.FormColors,_xlfn.XLOOKUP(A235,Строчный!A:A,Строчный!Q:Q,"",0),IF(_xlpm.FormColors=0,IFERROR(MID(I235,FIND("-",I235)+1,LEN(I235)),IFERROR(MID(I235,1,FIND("/",I235)-2),I235)),_xlpm.FormColors))</f>
        <v>белый</v>
      </c>
      <c r="Z235" s="73" t="str">
        <f ca="1"/>
        <v>21-242-17-59</v>
      </c>
      <c r="AA235" s="75" t="str">
        <f ca="1">VLOOKUP(C235,Группа!A:B,2,FALSE)</f>
        <v>Шляпа</v>
      </c>
      <c r="AB235" s="97" t="str">
        <f ca="1">IFERROR(VLOOKUP(R235,Размеры!A:C,3,FALSE),"")</f>
        <v>59 L</v>
      </c>
      <c r="AC235" s="97" t="str">
        <f ca="1">VLOOKUP(I235,ЦветПолный!A:B,2,FALSE)</f>
        <v>17</v>
      </c>
      <c r="AD235" s="97" t="str">
        <f ca="1">IFERROR(VLOOKUP(R235,Размеры!A:D,4,FALSE),"")</f>
        <v>59</v>
      </c>
      <c r="AE235" s="97">
        <f ca="1">IF(LEFT(IFERROR(VLOOKUP(LOOKUP(2,1/SEARCH(B235,Товары!A:A),Товары!A:A),Товары!A:B,2,0),""),6)=MID(Z235,1,6),1,0)</f>
        <v>1</v>
      </c>
      <c r="AG235" s="97">
        <f ca="1">SUMIF(Группа!A:A,C235,Группа!C:C)</f>
        <v>1</v>
      </c>
      <c r="AH235" s="97">
        <f ca="1">SUMIF(Группа!B:B,AA235,Группа!C:C)</f>
        <v>1</v>
      </c>
      <c r="AI235" s="97">
        <f ca="1">SUMIF(Формы!A:A,D235,Формы!B:B)</f>
        <v>1</v>
      </c>
      <c r="AJ235" s="97">
        <f ca="1">SUMIF(Материал!A:A,K235,Материал!B:B)</f>
        <v>1</v>
      </c>
      <c r="AK235" s="97">
        <f ca="1">SUMIF(Размеры!A:A,R235,Размеры!E:E)</f>
        <v>1</v>
      </c>
      <c r="AL235" s="97">
        <f ca="1">SUMIF(Сезон!A:A,F235,Сезон!B:B)</f>
        <v>1</v>
      </c>
      <c r="AM235" s="97">
        <f ca="1">SUMIF(Состав!A:A,J235,Состав!B:B)</f>
        <v>1</v>
      </c>
      <c r="AN235" s="97">
        <f ca="1">VLOOKUP(I235,ЦветПолный!A:C,3,0)</f>
        <v>1</v>
      </c>
      <c r="AO235" s="97">
        <f ca="1">SUMIF(Цвет!A:A,Y235,Цвет!B:B)</f>
        <v>1</v>
      </c>
      <c r="AP235" s="97">
        <f ca="1">_xlfn.XLOOKUP(L235,Пол!A:A,Пол!B:B,0,0)</f>
        <v>1</v>
      </c>
      <c r="AQ235" s="97">
        <f ca="1">SUMIF(Марка!A:A,G235,Марка!B:B)</f>
        <v>1</v>
      </c>
      <c r="AR235" s="97">
        <f ca="1">SUMIF(Страна!A:A,M235,Страна!B:B)</f>
        <v>1</v>
      </c>
      <c r="AS235" s="64" t="str">
        <f ca="1">IF(VLOOKUP(V235,Товары!A:B,2,FALSE)=A235,"Есть в 1С","ERR")</f>
        <v>Есть в 1С</v>
      </c>
      <c r="AT235" s="65" t="str">
        <f ca="1">IF(VLOOKUP(A235,Товары!B:B,1,FALSE)=A235,"Есть в 1С","ERR")</f>
        <v>Есть в 1С</v>
      </c>
      <c r="AU235" s="96" t="str">
        <f ca="1">VLOOKUP(V235,Товары!A:B,2,FALSE)</f>
        <v>21-242-17</v>
      </c>
      <c r="AV235" s="94" t="str">
        <f ca="1">VLOOKUP(V235,Товары!A:B,1,FALSE)</f>
        <v>Шляпа BAILEY арт. 63117 BLACKBURN (белый) {natural}</v>
      </c>
    </row>
    <row r="236" spans="1:48" x14ac:dyDescent="0.25">
      <c r="A236" s="110" t="str">
        <f t="shared" ca="1" si="27"/>
        <v>21-242-17</v>
      </c>
      <c r="B236" s="107" t="str">
        <f ca="1">_xlfn.LET(_xlpm.CAPS,0,_xlpm.Style,_xlfn.XLOOKUP($A236,Строчный!$A:$A,Строчный!B:B,"ERR",0),IF(_xlpm.CAPS=0,_xlpm.Style,LOWER(_xlpm.Style)))</f>
        <v>63117 BLACKBURN</v>
      </c>
      <c r="C236" s="81" t="str">
        <f ca="1">PROPER(_xlfn.XLOOKUP($A236,Строчный!$A:$A,Строчный!C:C,"ERR",0))</f>
        <v>Шляпы</v>
      </c>
      <c r="D236" s="81" t="str">
        <f ca="1">_xlfn.LET(_xlpm.DATA,(_xlfn.XLOOKUP($A236,Строчный!$A:$A,Строчный!D:D,"ERR",0)),UPPER(MID(_xlpm.DATA,1,1))&amp;LOWER(MID(_xlpm.DATA,2,LEN(_xlpm.DATA)-1)))</f>
        <v>Шляпа федора</v>
      </c>
      <c r="E236" s="81" t="str">
        <f ca="1">PROPER(_xlfn.XLOOKUP($A236,Строчный!$A:$A,Строчный!E:E,"ERR",0))</f>
        <v>The Hollywood</v>
      </c>
      <c r="F236" s="81" t="str">
        <f ca="1">LOWER(_xlfn.XLOOKUP($A236,Строчный!$A:$A,Строчный!F:F,"ERR",0))</f>
        <v>летний</v>
      </c>
      <c r="G236" s="81" t="str">
        <f ca="1">UPPER(_xlfn.XLOOKUP($A236,Строчный!$A:$A,Строчный!G:G,"ERR",0))</f>
        <v>BAILEY</v>
      </c>
      <c r="H236" s="81" t="str">
        <f ca="1">LOWER(_xlfn.XLOOKUP($A236,Строчный!$A:$A,Строчный!H:H,"ERR",0))</f>
        <v>natural</v>
      </c>
      <c r="I236" s="81" t="str">
        <f ca="1">LOWER(_xlfn.XLOOKUP($A236,Строчный!$A:$A,Строчный!I:I,"ERR",0))</f>
        <v>белый</v>
      </c>
      <c r="J236" s="81" t="str">
        <f ca="1">SUBSTITUTE(LOWER(_xlfn.XLOOKUP($A236,Строчный!$A:$A,Строчный!J:J,"ERR",0)),"подклад","Подклад")</f>
        <v>100% бумага</v>
      </c>
      <c r="K236" s="81" t="str">
        <f ca="1">LOWER(_xlfn.XLOOKUP($A236,Строчный!$A:$A,Строчный!K:K,"ERR",0))</f>
        <v>бумажные</v>
      </c>
      <c r="L236" s="81" t="str">
        <f ca="1">PROPER(_xlfn.XLOOKUP($A236,Строчный!$A:$A,Строчный!L:L,"ERR",0))</f>
        <v>Унисекс</v>
      </c>
      <c r="M236" s="113" t="str">
        <f ca="1">PROPER(_xlfn.XLOOKUP($A236,Строчный!$A:$A,Строчный!M:M,"ERR",0))</f>
        <v>Соединенные Штаты</v>
      </c>
      <c r="N236" s="81" t="str">
        <f ca="1">UPPER(_xlfn.XLOOKUP($A236,Строчный!$A:$A,Строчный!O:O,"ERR",0))</f>
        <v/>
      </c>
      <c r="O236" s="107" t="str">
        <f ca="1">PROPER(_xlfn.XLOOKUP($A236,Строчный!$A:$A,Строчный!P:P,"ERR",0))</f>
        <v/>
      </c>
      <c r="P236" s="90">
        <f ca="1">VALUE(_xlfn.XLOOKUP($A236,Строчный!$A:$A,Строчный!N:N,"ERR",0))</f>
        <v>5733</v>
      </c>
      <c r="Q236" s="89" t="str">
        <f ca="1">_xlfn.XLOOKUP($G236,Фабрика!A:A,Фабрика!B:B,"ERR",0)</f>
        <v>Bollman Headwear Europe Ltd; 2 Merchants drive, Caelisle, Cumbria CA3 0JW, United Kingdom</v>
      </c>
      <c r="R236" s="80" t="str">
        <f ca="1">_xlfn.XLOOKUP(RIGHT(Z236,2),Размеры!D:D,Размеры!A:A,"ERR",0)</f>
        <v>57</v>
      </c>
      <c r="S236" s="80">
        <f ca="1">VALUE(_xlfn.XLOOKUP($Z236,Строчный!$R:$R,Строчный!T:T,"ERR",0))</f>
        <v>3</v>
      </c>
      <c r="T236" s="14" t="s">
        <v>265</v>
      </c>
      <c r="U236" s="101" t="str">
        <f t="shared" ca="1" si="23"/>
        <v>Шляпа BAILEY арт. 63117 BLACKBURN (белый)</v>
      </c>
      <c r="V236" s="100" t="str">
        <f t="shared" ca="1" si="24"/>
        <v>Шляпа BAILEY арт. 63117 BLACKBURN (белый) {natural}</v>
      </c>
      <c r="W236" s="18" t="str">
        <f t="shared" ca="1" si="25"/>
        <v>белый</v>
      </c>
      <c r="X236" s="18" t="str">
        <f t="shared" ca="1" si="26"/>
        <v>белый</v>
      </c>
      <c r="Y236" s="117" t="str">
        <f ca="1">_xlfn.LET(_xlpm.FormColors,_xlfn.XLOOKUP(A236,Строчный!A:A,Строчный!Q:Q,"",0),IF(_xlpm.FormColors=0,IFERROR(MID(I236,FIND("-",I236)+1,LEN(I236)),IFERROR(MID(I236,1,FIND("/",I236)-2),I236)),_xlpm.FormColors))</f>
        <v>белый</v>
      </c>
      <c r="Z236" s="73" t="str">
        <f ca="1"/>
        <v>21-242-17-57</v>
      </c>
      <c r="AA236" s="75" t="str">
        <f ca="1">VLOOKUP(C236,Группа!A:B,2,FALSE)</f>
        <v>Шляпа</v>
      </c>
      <c r="AB236" s="97" t="str">
        <f ca="1">IFERROR(VLOOKUP(R236,Размеры!A:C,3,FALSE),"")</f>
        <v>57 M</v>
      </c>
      <c r="AC236" s="97" t="str">
        <f ca="1">VLOOKUP(I236,ЦветПолный!A:B,2,FALSE)</f>
        <v>17</v>
      </c>
      <c r="AD236" s="97" t="str">
        <f ca="1">IFERROR(VLOOKUP(R236,Размеры!A:D,4,FALSE),"")</f>
        <v>57</v>
      </c>
      <c r="AE236" s="97">
        <f ca="1">IF(LEFT(IFERROR(VLOOKUP(LOOKUP(2,1/SEARCH(B236,Товары!A:A),Товары!A:A),Товары!A:B,2,0),""),6)=MID(Z236,1,6),1,0)</f>
        <v>1</v>
      </c>
      <c r="AG236" s="97">
        <f ca="1">SUMIF(Группа!A:A,C236,Группа!C:C)</f>
        <v>1</v>
      </c>
      <c r="AH236" s="97">
        <f ca="1">SUMIF(Группа!B:B,AA236,Группа!C:C)</f>
        <v>1</v>
      </c>
      <c r="AI236" s="97">
        <f ca="1">SUMIF(Формы!A:A,D236,Формы!B:B)</f>
        <v>1</v>
      </c>
      <c r="AJ236" s="97">
        <f ca="1">SUMIF(Материал!A:A,K236,Материал!B:B)</f>
        <v>1</v>
      </c>
      <c r="AK236" s="97">
        <f ca="1">SUMIF(Размеры!A:A,R236,Размеры!E:E)</f>
        <v>1</v>
      </c>
      <c r="AL236" s="97">
        <f ca="1">SUMIF(Сезон!A:A,F236,Сезон!B:B)</f>
        <v>1</v>
      </c>
      <c r="AM236" s="97">
        <f ca="1">SUMIF(Состав!A:A,J236,Состав!B:B)</f>
        <v>1</v>
      </c>
      <c r="AN236" s="97">
        <f ca="1">VLOOKUP(I236,ЦветПолный!A:C,3,0)</f>
        <v>1</v>
      </c>
      <c r="AO236" s="97">
        <f ca="1">SUMIF(Цвет!A:A,Y236,Цвет!B:B)</f>
        <v>1</v>
      </c>
      <c r="AP236" s="97">
        <f ca="1">_xlfn.XLOOKUP(L236,Пол!A:A,Пол!B:B,0,0)</f>
        <v>1</v>
      </c>
      <c r="AQ236" s="97">
        <f ca="1">SUMIF(Марка!A:A,G236,Марка!B:B)</f>
        <v>1</v>
      </c>
      <c r="AR236" s="97">
        <f ca="1">SUMIF(Страна!A:A,M236,Страна!B:B)</f>
        <v>1</v>
      </c>
      <c r="AS236" s="64" t="str">
        <f ca="1">IF(VLOOKUP(V236,Товары!A:B,2,FALSE)=A236,"Есть в 1С","ERR")</f>
        <v>Есть в 1С</v>
      </c>
      <c r="AT236" s="65" t="str">
        <f ca="1">IF(VLOOKUP(A236,Товары!B:B,1,FALSE)=A236,"Есть в 1С","ERR")</f>
        <v>Есть в 1С</v>
      </c>
      <c r="AU236" s="96" t="str">
        <f ca="1">VLOOKUP(V236,Товары!A:B,2,FALSE)</f>
        <v>21-242-17</v>
      </c>
      <c r="AV236" s="94" t="str">
        <f ca="1">VLOOKUP(V236,Товары!A:B,1,FALSE)</f>
        <v>Шляпа BAILEY арт. 63117 BLACKBURN (белый) {natural}</v>
      </c>
    </row>
    <row r="237" spans="1:48" x14ac:dyDescent="0.25">
      <c r="A237" s="110" t="str">
        <f t="shared" ca="1" si="27"/>
        <v>21-242-17</v>
      </c>
      <c r="B237" s="107" t="str">
        <f ca="1">_xlfn.LET(_xlpm.CAPS,0,_xlpm.Style,_xlfn.XLOOKUP($A237,Строчный!$A:$A,Строчный!B:B,"ERR",0),IF(_xlpm.CAPS=0,_xlpm.Style,LOWER(_xlpm.Style)))</f>
        <v>63117 BLACKBURN</v>
      </c>
      <c r="C237" s="81" t="str">
        <f ca="1">PROPER(_xlfn.XLOOKUP($A237,Строчный!$A:$A,Строчный!C:C,"ERR",0))</f>
        <v>Шляпы</v>
      </c>
      <c r="D237" s="81" t="str">
        <f ca="1">_xlfn.LET(_xlpm.DATA,(_xlfn.XLOOKUP($A237,Строчный!$A:$A,Строчный!D:D,"ERR",0)),UPPER(MID(_xlpm.DATA,1,1))&amp;LOWER(MID(_xlpm.DATA,2,LEN(_xlpm.DATA)-1)))</f>
        <v>Шляпа федора</v>
      </c>
      <c r="E237" s="81" t="str">
        <f ca="1">PROPER(_xlfn.XLOOKUP($A237,Строчный!$A:$A,Строчный!E:E,"ERR",0))</f>
        <v>The Hollywood</v>
      </c>
      <c r="F237" s="81" t="str">
        <f ca="1">LOWER(_xlfn.XLOOKUP($A237,Строчный!$A:$A,Строчный!F:F,"ERR",0))</f>
        <v>летний</v>
      </c>
      <c r="G237" s="81" t="str">
        <f ca="1">UPPER(_xlfn.XLOOKUP($A237,Строчный!$A:$A,Строчный!G:G,"ERR",0))</f>
        <v>BAILEY</v>
      </c>
      <c r="H237" s="81" t="str">
        <f ca="1">LOWER(_xlfn.XLOOKUP($A237,Строчный!$A:$A,Строчный!H:H,"ERR",0))</f>
        <v>natural</v>
      </c>
      <c r="I237" s="81" t="str">
        <f ca="1">LOWER(_xlfn.XLOOKUP($A237,Строчный!$A:$A,Строчный!I:I,"ERR",0))</f>
        <v>белый</v>
      </c>
      <c r="J237" s="81" t="str">
        <f ca="1">SUBSTITUTE(LOWER(_xlfn.XLOOKUP($A237,Строчный!$A:$A,Строчный!J:J,"ERR",0)),"подклад","Подклад")</f>
        <v>100% бумага</v>
      </c>
      <c r="K237" s="81" t="str">
        <f ca="1">LOWER(_xlfn.XLOOKUP($A237,Строчный!$A:$A,Строчный!K:K,"ERR",0))</f>
        <v>бумажные</v>
      </c>
      <c r="L237" s="81" t="str">
        <f ca="1">PROPER(_xlfn.XLOOKUP($A237,Строчный!$A:$A,Строчный!L:L,"ERR",0))</f>
        <v>Унисекс</v>
      </c>
      <c r="M237" s="113" t="str">
        <f ca="1">PROPER(_xlfn.XLOOKUP($A237,Строчный!$A:$A,Строчный!M:M,"ERR",0))</f>
        <v>Соединенные Штаты</v>
      </c>
      <c r="N237" s="81" t="str">
        <f ca="1">UPPER(_xlfn.XLOOKUP($A237,Строчный!$A:$A,Строчный!O:O,"ERR",0))</f>
        <v/>
      </c>
      <c r="O237" s="107" t="str">
        <f ca="1">PROPER(_xlfn.XLOOKUP($A237,Строчный!$A:$A,Строчный!P:P,"ERR",0))</f>
        <v/>
      </c>
      <c r="P237" s="90">
        <f ca="1">VALUE(_xlfn.XLOOKUP($A237,Строчный!$A:$A,Строчный!N:N,"ERR",0))</f>
        <v>5733</v>
      </c>
      <c r="Q237" s="89" t="str">
        <f ca="1">_xlfn.XLOOKUP($G237,Фабрика!A:A,Фабрика!B:B,"ERR",0)</f>
        <v>Bollman Headwear Europe Ltd; 2 Merchants drive, Caelisle, Cumbria CA3 0JW, United Kingdom</v>
      </c>
      <c r="R237" s="80" t="str">
        <f ca="1">_xlfn.XLOOKUP(RIGHT(Z237,2),Размеры!D:D,Размеры!A:A,"ERR",0)</f>
        <v>55</v>
      </c>
      <c r="S237" s="80">
        <f ca="1">VALUE(_xlfn.XLOOKUP($Z237,Строчный!$R:$R,Строчный!T:T,"ERR",0))</f>
        <v>2</v>
      </c>
      <c r="T237" s="14" t="s">
        <v>265</v>
      </c>
      <c r="U237" s="101" t="str">
        <f t="shared" ca="1" si="23"/>
        <v>Шляпа BAILEY арт. 63117 BLACKBURN (белый)</v>
      </c>
      <c r="V237" s="100" t="str">
        <f t="shared" ca="1" si="24"/>
        <v>Шляпа BAILEY арт. 63117 BLACKBURN (белый) {natural}</v>
      </c>
      <c r="W237" s="18" t="str">
        <f t="shared" ca="1" si="25"/>
        <v>белый</v>
      </c>
      <c r="X237" s="18" t="str">
        <f t="shared" ca="1" si="26"/>
        <v>белый</v>
      </c>
      <c r="Y237" s="117" t="str">
        <f ca="1">_xlfn.LET(_xlpm.FormColors,_xlfn.XLOOKUP(A237,Строчный!A:A,Строчный!Q:Q,"",0),IF(_xlpm.FormColors=0,IFERROR(MID(I237,FIND("-",I237)+1,LEN(I237)),IFERROR(MID(I237,1,FIND("/",I237)-2),I237)),_xlpm.FormColors))</f>
        <v>белый</v>
      </c>
      <c r="Z237" s="73" t="str">
        <f ca="1"/>
        <v>21-242-17-55</v>
      </c>
      <c r="AA237" s="75" t="str">
        <f ca="1">VLOOKUP(C237,Группа!A:B,2,FALSE)</f>
        <v>Шляпа</v>
      </c>
      <c r="AB237" s="97" t="str">
        <f ca="1">IFERROR(VLOOKUP(R237,Размеры!A:C,3,FALSE),"")</f>
        <v>55 S</v>
      </c>
      <c r="AC237" s="97" t="str">
        <f ca="1">VLOOKUP(I237,ЦветПолный!A:B,2,FALSE)</f>
        <v>17</v>
      </c>
      <c r="AD237" s="97" t="str">
        <f ca="1">IFERROR(VLOOKUP(R237,Размеры!A:D,4,FALSE),"")</f>
        <v>55</v>
      </c>
      <c r="AE237" s="97">
        <f ca="1">IF(LEFT(IFERROR(VLOOKUP(LOOKUP(2,1/SEARCH(B237,Товары!A:A),Товары!A:A),Товары!A:B,2,0),""),6)=MID(Z237,1,6),1,0)</f>
        <v>1</v>
      </c>
      <c r="AG237" s="97">
        <f ca="1">SUMIF(Группа!A:A,C237,Группа!C:C)</f>
        <v>1</v>
      </c>
      <c r="AH237" s="97">
        <f ca="1">SUMIF(Группа!B:B,AA237,Группа!C:C)</f>
        <v>1</v>
      </c>
      <c r="AI237" s="97">
        <f ca="1">SUMIF(Формы!A:A,D237,Формы!B:B)</f>
        <v>1</v>
      </c>
      <c r="AJ237" s="97">
        <f ca="1">SUMIF(Материал!A:A,K237,Материал!B:B)</f>
        <v>1</v>
      </c>
      <c r="AK237" s="97">
        <f ca="1">SUMIF(Размеры!A:A,R237,Размеры!E:E)</f>
        <v>1</v>
      </c>
      <c r="AL237" s="97">
        <f ca="1">SUMIF(Сезон!A:A,F237,Сезон!B:B)</f>
        <v>1</v>
      </c>
      <c r="AM237" s="97">
        <f ca="1">SUMIF(Состав!A:A,J237,Состав!B:B)</f>
        <v>1</v>
      </c>
      <c r="AN237" s="97">
        <f ca="1">VLOOKUP(I237,ЦветПолный!A:C,3,0)</f>
        <v>1</v>
      </c>
      <c r="AO237" s="97">
        <f ca="1">SUMIF(Цвет!A:A,Y237,Цвет!B:B)</f>
        <v>1</v>
      </c>
      <c r="AP237" s="97">
        <f ca="1">_xlfn.XLOOKUP(L237,Пол!A:A,Пол!B:B,0,0)</f>
        <v>1</v>
      </c>
      <c r="AQ237" s="97">
        <f ca="1">SUMIF(Марка!A:A,G237,Марка!B:B)</f>
        <v>1</v>
      </c>
      <c r="AR237" s="97">
        <f ca="1">SUMIF(Страна!A:A,M237,Страна!B:B)</f>
        <v>1</v>
      </c>
      <c r="AS237" s="64" t="str">
        <f ca="1">IF(VLOOKUP(V237,Товары!A:B,2,FALSE)=A237,"Есть в 1С","ERR")</f>
        <v>Есть в 1С</v>
      </c>
      <c r="AT237" s="65" t="str">
        <f ca="1">IF(VLOOKUP(A237,Товары!B:B,1,FALSE)=A237,"Есть в 1С","ERR")</f>
        <v>Есть в 1С</v>
      </c>
      <c r="AU237" s="96" t="str">
        <f ca="1">VLOOKUP(V237,Товары!A:B,2,FALSE)</f>
        <v>21-242-17</v>
      </c>
      <c r="AV237" s="94" t="str">
        <f ca="1">VLOOKUP(V237,Товары!A:B,1,FALSE)</f>
        <v>Шляпа BAILEY арт. 63117 BLACKBURN (белый) {natural}</v>
      </c>
    </row>
    <row r="238" spans="1:48" x14ac:dyDescent="0.25">
      <c r="A238" s="110" t="str">
        <f t="shared" ca="1" si="27"/>
        <v>21-209-99</v>
      </c>
      <c r="B238" s="107" t="str">
        <f ca="1">_xlfn.LET(_xlpm.CAPS,0,_xlpm.Style,_xlfn.XLOOKUP($A238,Строчный!$A:$A,Строчный!B:B,"ERR",0),IF(_xlpm.CAPS=0,_xlpm.Style,LOWER(_xlpm.Style)))</f>
        <v>22721 BROOKS</v>
      </c>
      <c r="C238" s="81" t="str">
        <f ca="1">PROPER(_xlfn.XLOOKUP($A238,Строчный!$A:$A,Строчный!C:C,"ERR",0))</f>
        <v>Шляпы</v>
      </c>
      <c r="D238" s="81" t="str">
        <f ca="1">_xlfn.LET(_xlpm.DATA,(_xlfn.XLOOKUP($A238,Строчный!$A:$A,Строчный!D:D,"ERR",0)),UPPER(MID(_xlpm.DATA,1,1))&amp;LOWER(MID(_xlpm.DATA,2,LEN(_xlpm.DATA)-1)))</f>
        <v>Шляпа федора</v>
      </c>
      <c r="E238" s="81" t="str">
        <f ca="1">PROPER(_xlfn.XLOOKUP($A238,Строчный!$A:$A,Строчный!E:E,"ERR",0))</f>
        <v>The Hollywood</v>
      </c>
      <c r="F238" s="81" t="str">
        <f ca="1">LOWER(_xlfn.XLOOKUP($A238,Строчный!$A:$A,Строчный!F:F,"ERR",0))</f>
        <v>летний</v>
      </c>
      <c r="G238" s="81" t="str">
        <f ca="1">UPPER(_xlfn.XLOOKUP($A238,Строчный!$A:$A,Строчный!G:G,"ERR",0))</f>
        <v>BAILEY</v>
      </c>
      <c r="H238" s="81" t="str">
        <f ca="1">LOWER(_xlfn.XLOOKUP($A238,Строчный!$A:$A,Строчный!H:H,"ERR",0))</f>
        <v>mushroom</v>
      </c>
      <c r="I238" s="81" t="str">
        <f ca="1">LOWER(_xlfn.XLOOKUP($A238,Строчный!$A:$A,Строчный!I:I,"ERR",0))</f>
        <v>коньячный</v>
      </c>
      <c r="J238" s="81" t="str">
        <f ca="1">SUBSTITUTE(LOWER(_xlfn.XLOOKUP($A238,Строчный!$A:$A,Строчный!J:J,"ERR",0)),"подклад","Подклад")</f>
        <v>100% солома токилла</v>
      </c>
      <c r="K238" s="81" t="str">
        <f ca="1">LOWER(_xlfn.XLOOKUP($A238,Строчный!$A:$A,Строчный!K:K,"ERR",0))</f>
        <v>соломенные</v>
      </c>
      <c r="L238" s="81" t="str">
        <f ca="1">PROPER(_xlfn.XLOOKUP($A238,Строчный!$A:$A,Строчный!L:L,"ERR",0))</f>
        <v>Унисекс</v>
      </c>
      <c r="M238" s="113" t="str">
        <f ca="1">PROPER(_xlfn.XLOOKUP($A238,Строчный!$A:$A,Строчный!M:M,"ERR",0))</f>
        <v>Соединенные Штаты</v>
      </c>
      <c r="N238" s="81" t="str">
        <f ca="1">UPPER(_xlfn.XLOOKUP($A238,Строчный!$A:$A,Строчный!O:O,"ERR",0))</f>
        <v/>
      </c>
      <c r="O238" s="107" t="str">
        <f ca="1">PROPER(_xlfn.XLOOKUP($A238,Строчный!$A:$A,Строчный!P:P,"ERR",0))</f>
        <v/>
      </c>
      <c r="P238" s="90">
        <f ca="1">VALUE(_xlfn.XLOOKUP($A238,Строчный!$A:$A,Строчный!N:N,"ERR",0))</f>
        <v>6002.0999999999995</v>
      </c>
      <c r="Q238" s="89" t="str">
        <f ca="1">_xlfn.XLOOKUP($G238,Фабрика!A:A,Фабрика!B:B,"ERR",0)</f>
        <v>Bollman Headwear Europe Ltd; 2 Merchants drive, Caelisle, Cumbria CA3 0JW, United Kingdom</v>
      </c>
      <c r="R238" s="80" t="str">
        <f ca="1">_xlfn.XLOOKUP(RIGHT(Z238,2),Размеры!D:D,Размеры!A:A,"ERR",0)</f>
        <v>61</v>
      </c>
      <c r="S238" s="80">
        <f ca="1">VALUE(_xlfn.XLOOKUP($Z238,Строчный!$R:$R,Строчный!T:T,"ERR",0))</f>
        <v>2</v>
      </c>
      <c r="T238" s="14" t="s">
        <v>265</v>
      </c>
      <c r="U238" s="101" t="str">
        <f t="shared" ca="1" si="23"/>
        <v>Шляпа BAILEY арт. 22721 BROOKS (коньячный)</v>
      </c>
      <c r="V238" s="100" t="str">
        <f t="shared" ca="1" si="24"/>
        <v>Шляпа BAILEY арт. 22721 BROOKS (коньячный) {mushroom}</v>
      </c>
      <c r="W238" s="18" t="str">
        <f t="shared" ca="1" si="25"/>
        <v>коньячный</v>
      </c>
      <c r="X238" s="18" t="str">
        <f t="shared" ca="1" si="26"/>
        <v>коньячный</v>
      </c>
      <c r="Y238" s="117" t="str">
        <f ca="1">_xlfn.LET(_xlpm.FormColors,_xlfn.XLOOKUP(A238,Строчный!A:A,Строчный!Q:Q,"",0),IF(_xlpm.FormColors=0,IFERROR(MID(I238,FIND("-",I238)+1,LEN(I238)),IFERROR(MID(I238,1,FIND("/",I238)-2),I238)),_xlpm.FormColors))</f>
        <v>коньячный</v>
      </c>
      <c r="Z238" s="73" t="str">
        <f ca="1"/>
        <v>21-209-99-61</v>
      </c>
      <c r="AA238" s="75" t="str">
        <f ca="1">VLOOKUP(C238,Группа!A:B,2,FALSE)</f>
        <v>Шляпа</v>
      </c>
      <c r="AB238" s="97" t="str">
        <f ca="1">IFERROR(VLOOKUP(R238,Размеры!A:C,3,FALSE),"")</f>
        <v>61 XL</v>
      </c>
      <c r="AC238" s="97" t="str">
        <f ca="1">VLOOKUP(I238,ЦветПолный!A:B,2,FALSE)</f>
        <v>90</v>
      </c>
      <c r="AD238" s="97" t="str">
        <f ca="1">IFERROR(VLOOKUP(R238,Размеры!A:D,4,FALSE),"")</f>
        <v>61</v>
      </c>
      <c r="AE238" s="97">
        <f ca="1">IF(LEFT(IFERROR(VLOOKUP(LOOKUP(2,1/SEARCH(B238,Товары!A:A),Товары!A:A),Товары!A:B,2,0),""),6)=MID(Z238,1,6),1,0)</f>
        <v>1</v>
      </c>
      <c r="AG238" s="97">
        <f ca="1">SUMIF(Группа!A:A,C238,Группа!C:C)</f>
        <v>1</v>
      </c>
      <c r="AH238" s="97">
        <f ca="1">SUMIF(Группа!B:B,AA238,Группа!C:C)</f>
        <v>1</v>
      </c>
      <c r="AI238" s="97">
        <f ca="1">SUMIF(Формы!A:A,D238,Формы!B:B)</f>
        <v>1</v>
      </c>
      <c r="AJ238" s="97">
        <f ca="1">SUMIF(Материал!A:A,K238,Материал!B:B)</f>
        <v>1</v>
      </c>
      <c r="AK238" s="97">
        <f ca="1">SUMIF(Размеры!A:A,R238,Размеры!E:E)</f>
        <v>1</v>
      </c>
      <c r="AL238" s="97">
        <f ca="1">SUMIF(Сезон!A:A,F238,Сезон!B:B)</f>
        <v>1</v>
      </c>
      <c r="AM238" s="97">
        <f ca="1">SUMIF(Состав!A:A,J238,Состав!B:B)</f>
        <v>1</v>
      </c>
      <c r="AN238" s="97">
        <f ca="1">VLOOKUP(I238,ЦветПолный!A:C,3,0)</f>
        <v>1</v>
      </c>
      <c r="AO238" s="97">
        <f ca="1">SUMIF(Цвет!A:A,Y238,Цвет!B:B)</f>
        <v>0</v>
      </c>
      <c r="AP238" s="97">
        <f ca="1">_xlfn.XLOOKUP(L238,Пол!A:A,Пол!B:B,0,0)</f>
        <v>1</v>
      </c>
      <c r="AQ238" s="97">
        <f ca="1">SUMIF(Марка!A:A,G238,Марка!B:B)</f>
        <v>1</v>
      </c>
      <c r="AR238" s="97">
        <f ca="1">SUMIF(Страна!A:A,M238,Страна!B:B)</f>
        <v>1</v>
      </c>
      <c r="AS238" s="64" t="e">
        <f ca="1">IF(VLOOKUP(V238,Товары!A:B,2,FALSE)=A238,"Есть в 1С","ERR")</f>
        <v>#N/A</v>
      </c>
      <c r="AT238" s="65" t="str">
        <f ca="1">IF(VLOOKUP(A238,Товары!B:B,1,FALSE)=A238,"Есть в 1С","ERR")</f>
        <v>Есть в 1С</v>
      </c>
      <c r="AU238" s="96" t="e">
        <f ca="1">VLOOKUP(V238,Товары!A:B,2,FALSE)</f>
        <v>#N/A</v>
      </c>
      <c r="AV238" s="94" t="e">
        <f ca="1">VLOOKUP(V238,Товары!A:B,1,FALSE)</f>
        <v>#N/A</v>
      </c>
    </row>
    <row r="239" spans="1:48" x14ac:dyDescent="0.25">
      <c r="A239" s="110" t="str">
        <f t="shared" ca="1" si="27"/>
        <v>21-209-99</v>
      </c>
      <c r="B239" s="107" t="str">
        <f ca="1">_xlfn.LET(_xlpm.CAPS,0,_xlpm.Style,_xlfn.XLOOKUP($A239,Строчный!$A:$A,Строчный!B:B,"ERR",0),IF(_xlpm.CAPS=0,_xlpm.Style,LOWER(_xlpm.Style)))</f>
        <v>22721 BROOKS</v>
      </c>
      <c r="C239" s="81" t="str">
        <f ca="1">PROPER(_xlfn.XLOOKUP($A239,Строчный!$A:$A,Строчный!C:C,"ERR",0))</f>
        <v>Шляпы</v>
      </c>
      <c r="D239" s="81" t="str">
        <f ca="1">_xlfn.LET(_xlpm.DATA,(_xlfn.XLOOKUP($A239,Строчный!$A:$A,Строчный!D:D,"ERR",0)),UPPER(MID(_xlpm.DATA,1,1))&amp;LOWER(MID(_xlpm.DATA,2,LEN(_xlpm.DATA)-1)))</f>
        <v>Шляпа федора</v>
      </c>
      <c r="E239" s="81" t="str">
        <f ca="1">PROPER(_xlfn.XLOOKUP($A239,Строчный!$A:$A,Строчный!E:E,"ERR",0))</f>
        <v>The Hollywood</v>
      </c>
      <c r="F239" s="81" t="str">
        <f ca="1">LOWER(_xlfn.XLOOKUP($A239,Строчный!$A:$A,Строчный!F:F,"ERR",0))</f>
        <v>летний</v>
      </c>
      <c r="G239" s="81" t="str">
        <f ca="1">UPPER(_xlfn.XLOOKUP($A239,Строчный!$A:$A,Строчный!G:G,"ERR",0))</f>
        <v>BAILEY</v>
      </c>
      <c r="H239" s="81" t="str">
        <f ca="1">LOWER(_xlfn.XLOOKUP($A239,Строчный!$A:$A,Строчный!H:H,"ERR",0))</f>
        <v>mushroom</v>
      </c>
      <c r="I239" s="81" t="str">
        <f ca="1">LOWER(_xlfn.XLOOKUP($A239,Строчный!$A:$A,Строчный!I:I,"ERR",0))</f>
        <v>коньячный</v>
      </c>
      <c r="J239" s="81" t="str">
        <f ca="1">SUBSTITUTE(LOWER(_xlfn.XLOOKUP($A239,Строчный!$A:$A,Строчный!J:J,"ERR",0)),"подклад","Подклад")</f>
        <v>100% солома токилла</v>
      </c>
      <c r="K239" s="81" t="str">
        <f ca="1">LOWER(_xlfn.XLOOKUP($A239,Строчный!$A:$A,Строчный!K:K,"ERR",0))</f>
        <v>соломенные</v>
      </c>
      <c r="L239" s="81" t="str">
        <f ca="1">PROPER(_xlfn.XLOOKUP($A239,Строчный!$A:$A,Строчный!L:L,"ERR",0))</f>
        <v>Унисекс</v>
      </c>
      <c r="M239" s="113" t="str">
        <f ca="1">PROPER(_xlfn.XLOOKUP($A239,Строчный!$A:$A,Строчный!M:M,"ERR",0))</f>
        <v>Соединенные Штаты</v>
      </c>
      <c r="N239" s="81" t="str">
        <f ca="1">UPPER(_xlfn.XLOOKUP($A239,Строчный!$A:$A,Строчный!O:O,"ERR",0))</f>
        <v/>
      </c>
      <c r="O239" s="107" t="str">
        <f ca="1">PROPER(_xlfn.XLOOKUP($A239,Строчный!$A:$A,Строчный!P:P,"ERR",0))</f>
        <v/>
      </c>
      <c r="P239" s="90">
        <f ca="1">VALUE(_xlfn.XLOOKUP($A239,Строчный!$A:$A,Строчный!N:N,"ERR",0))</f>
        <v>6002.0999999999995</v>
      </c>
      <c r="Q239" s="89" t="str">
        <f ca="1">_xlfn.XLOOKUP($G239,Фабрика!A:A,Фабрика!B:B,"ERR",0)</f>
        <v>Bollman Headwear Europe Ltd; 2 Merchants drive, Caelisle, Cumbria CA3 0JW, United Kingdom</v>
      </c>
      <c r="R239" s="80" t="str">
        <f ca="1">_xlfn.XLOOKUP(RIGHT(Z239,2),Размеры!D:D,Размеры!A:A,"ERR",0)</f>
        <v>59</v>
      </c>
      <c r="S239" s="80">
        <f ca="1">VALUE(_xlfn.XLOOKUP($Z239,Строчный!$R:$R,Строчный!T:T,"ERR",0))</f>
        <v>4</v>
      </c>
      <c r="T239" s="14" t="s">
        <v>265</v>
      </c>
      <c r="U239" s="101" t="str">
        <f t="shared" ca="1" si="23"/>
        <v>Шляпа BAILEY арт. 22721 BROOKS (коньячный)</v>
      </c>
      <c r="V239" s="100" t="str">
        <f t="shared" ca="1" si="24"/>
        <v>Шляпа BAILEY арт. 22721 BROOKS (коньячный) {mushroom}</v>
      </c>
      <c r="W239" s="18" t="str">
        <f t="shared" ca="1" si="25"/>
        <v>коньячный</v>
      </c>
      <c r="X239" s="18" t="str">
        <f t="shared" ca="1" si="26"/>
        <v>коньячный</v>
      </c>
      <c r="Y239" s="117" t="str">
        <f ca="1">_xlfn.LET(_xlpm.FormColors,_xlfn.XLOOKUP(A239,Строчный!A:A,Строчный!Q:Q,"",0),IF(_xlpm.FormColors=0,IFERROR(MID(I239,FIND("-",I239)+1,LEN(I239)),IFERROR(MID(I239,1,FIND("/",I239)-2),I239)),_xlpm.FormColors))</f>
        <v>коньячный</v>
      </c>
      <c r="Z239" s="73" t="str">
        <f ca="1"/>
        <v>21-209-99-59</v>
      </c>
      <c r="AA239" s="75" t="str">
        <f ca="1">VLOOKUP(C239,Группа!A:B,2,FALSE)</f>
        <v>Шляпа</v>
      </c>
      <c r="AB239" s="97" t="str">
        <f ca="1">IFERROR(VLOOKUP(R239,Размеры!A:C,3,FALSE),"")</f>
        <v>59 L</v>
      </c>
      <c r="AC239" s="97" t="str">
        <f ca="1">VLOOKUP(I239,ЦветПолный!A:B,2,FALSE)</f>
        <v>90</v>
      </c>
      <c r="AD239" s="97" t="str">
        <f ca="1">IFERROR(VLOOKUP(R239,Размеры!A:D,4,FALSE),"")</f>
        <v>59</v>
      </c>
      <c r="AE239" s="97">
        <f ca="1">IF(LEFT(IFERROR(VLOOKUP(LOOKUP(2,1/SEARCH(B239,Товары!A:A),Товары!A:A),Товары!A:B,2,0),""),6)=MID(Z239,1,6),1,0)</f>
        <v>1</v>
      </c>
      <c r="AG239" s="97">
        <f ca="1">SUMIF(Группа!A:A,C239,Группа!C:C)</f>
        <v>1</v>
      </c>
      <c r="AH239" s="97">
        <f ca="1">SUMIF(Группа!B:B,AA239,Группа!C:C)</f>
        <v>1</v>
      </c>
      <c r="AI239" s="97">
        <f ca="1">SUMIF(Формы!A:A,D239,Формы!B:B)</f>
        <v>1</v>
      </c>
      <c r="AJ239" s="97">
        <f ca="1">SUMIF(Материал!A:A,K239,Материал!B:B)</f>
        <v>1</v>
      </c>
      <c r="AK239" s="97">
        <f ca="1">SUMIF(Размеры!A:A,R239,Размеры!E:E)</f>
        <v>1</v>
      </c>
      <c r="AL239" s="97">
        <f ca="1">SUMIF(Сезон!A:A,F239,Сезон!B:B)</f>
        <v>1</v>
      </c>
      <c r="AM239" s="97">
        <f ca="1">SUMIF(Состав!A:A,J239,Состав!B:B)</f>
        <v>1</v>
      </c>
      <c r="AN239" s="97">
        <f ca="1">VLOOKUP(I239,ЦветПолный!A:C,3,0)</f>
        <v>1</v>
      </c>
      <c r="AO239" s="97">
        <f ca="1">SUMIF(Цвет!A:A,Y239,Цвет!B:B)</f>
        <v>0</v>
      </c>
      <c r="AP239" s="97">
        <f ca="1">_xlfn.XLOOKUP(L239,Пол!A:A,Пол!B:B,0,0)</f>
        <v>1</v>
      </c>
      <c r="AQ239" s="97">
        <f ca="1">SUMIF(Марка!A:A,G239,Марка!B:B)</f>
        <v>1</v>
      </c>
      <c r="AR239" s="97">
        <f ca="1">SUMIF(Страна!A:A,M239,Страна!B:B)</f>
        <v>1</v>
      </c>
      <c r="AS239" s="64" t="e">
        <f ca="1">IF(VLOOKUP(V239,Товары!A:B,2,FALSE)=A239,"Есть в 1С","ERR")</f>
        <v>#N/A</v>
      </c>
      <c r="AT239" s="65" t="str">
        <f ca="1">IF(VLOOKUP(A239,Товары!B:B,1,FALSE)=A239,"Есть в 1С","ERR")</f>
        <v>Есть в 1С</v>
      </c>
      <c r="AU239" s="96" t="e">
        <f ca="1">VLOOKUP(V239,Товары!A:B,2,FALSE)</f>
        <v>#N/A</v>
      </c>
      <c r="AV239" s="94" t="e">
        <f ca="1">VLOOKUP(V239,Товары!A:B,1,FALSE)</f>
        <v>#N/A</v>
      </c>
    </row>
    <row r="240" spans="1:48" x14ac:dyDescent="0.25">
      <c r="A240" s="110" t="str">
        <f t="shared" ca="1" si="27"/>
        <v>21-209-99</v>
      </c>
      <c r="B240" s="107" t="str">
        <f ca="1">_xlfn.LET(_xlpm.CAPS,0,_xlpm.Style,_xlfn.XLOOKUP($A240,Строчный!$A:$A,Строчный!B:B,"ERR",0),IF(_xlpm.CAPS=0,_xlpm.Style,LOWER(_xlpm.Style)))</f>
        <v>22721 BROOKS</v>
      </c>
      <c r="C240" s="81" t="str">
        <f ca="1">PROPER(_xlfn.XLOOKUP($A240,Строчный!$A:$A,Строчный!C:C,"ERR",0))</f>
        <v>Шляпы</v>
      </c>
      <c r="D240" s="81" t="str">
        <f ca="1">_xlfn.LET(_xlpm.DATA,(_xlfn.XLOOKUP($A240,Строчный!$A:$A,Строчный!D:D,"ERR",0)),UPPER(MID(_xlpm.DATA,1,1))&amp;LOWER(MID(_xlpm.DATA,2,LEN(_xlpm.DATA)-1)))</f>
        <v>Шляпа федора</v>
      </c>
      <c r="E240" s="81" t="str">
        <f ca="1">PROPER(_xlfn.XLOOKUP($A240,Строчный!$A:$A,Строчный!E:E,"ERR",0))</f>
        <v>The Hollywood</v>
      </c>
      <c r="F240" s="81" t="str">
        <f ca="1">LOWER(_xlfn.XLOOKUP($A240,Строчный!$A:$A,Строчный!F:F,"ERR",0))</f>
        <v>летний</v>
      </c>
      <c r="G240" s="81" t="str">
        <f ca="1">UPPER(_xlfn.XLOOKUP($A240,Строчный!$A:$A,Строчный!G:G,"ERR",0))</f>
        <v>BAILEY</v>
      </c>
      <c r="H240" s="81" t="str">
        <f ca="1">LOWER(_xlfn.XLOOKUP($A240,Строчный!$A:$A,Строчный!H:H,"ERR",0))</f>
        <v>mushroom</v>
      </c>
      <c r="I240" s="81" t="str">
        <f ca="1">LOWER(_xlfn.XLOOKUP($A240,Строчный!$A:$A,Строчный!I:I,"ERR",0))</f>
        <v>коньячный</v>
      </c>
      <c r="J240" s="81" t="str">
        <f ca="1">SUBSTITUTE(LOWER(_xlfn.XLOOKUP($A240,Строчный!$A:$A,Строчный!J:J,"ERR",0)),"подклад","Подклад")</f>
        <v>100% солома токилла</v>
      </c>
      <c r="K240" s="81" t="str">
        <f ca="1">LOWER(_xlfn.XLOOKUP($A240,Строчный!$A:$A,Строчный!K:K,"ERR",0))</f>
        <v>соломенные</v>
      </c>
      <c r="L240" s="81" t="str">
        <f ca="1">PROPER(_xlfn.XLOOKUP($A240,Строчный!$A:$A,Строчный!L:L,"ERR",0))</f>
        <v>Унисекс</v>
      </c>
      <c r="M240" s="113" t="str">
        <f ca="1">PROPER(_xlfn.XLOOKUP($A240,Строчный!$A:$A,Строчный!M:M,"ERR",0))</f>
        <v>Соединенные Штаты</v>
      </c>
      <c r="N240" s="81" t="str">
        <f ca="1">UPPER(_xlfn.XLOOKUP($A240,Строчный!$A:$A,Строчный!O:O,"ERR",0))</f>
        <v/>
      </c>
      <c r="O240" s="107" t="str">
        <f ca="1">PROPER(_xlfn.XLOOKUP($A240,Строчный!$A:$A,Строчный!P:P,"ERR",0))</f>
        <v/>
      </c>
      <c r="P240" s="90">
        <f ca="1">VALUE(_xlfn.XLOOKUP($A240,Строчный!$A:$A,Строчный!N:N,"ERR",0))</f>
        <v>6002.0999999999995</v>
      </c>
      <c r="Q240" s="89" t="str">
        <f ca="1">_xlfn.XLOOKUP($G240,Фабрика!A:A,Фабрика!B:B,"ERR",0)</f>
        <v>Bollman Headwear Europe Ltd; 2 Merchants drive, Caelisle, Cumbria CA3 0JW, United Kingdom</v>
      </c>
      <c r="R240" s="80" t="str">
        <f ca="1">_xlfn.XLOOKUP(RIGHT(Z240,2),Размеры!D:D,Размеры!A:A,"ERR",0)</f>
        <v>57</v>
      </c>
      <c r="S240" s="80">
        <f ca="1">VALUE(_xlfn.XLOOKUP($Z240,Строчный!$R:$R,Строчный!T:T,"ERR",0))</f>
        <v>2</v>
      </c>
      <c r="T240" s="14" t="s">
        <v>265</v>
      </c>
      <c r="U240" s="101" t="str">
        <f t="shared" ca="1" si="23"/>
        <v>Шляпа BAILEY арт. 22721 BROOKS (коньячный)</v>
      </c>
      <c r="V240" s="100" t="str">
        <f t="shared" ca="1" si="24"/>
        <v>Шляпа BAILEY арт. 22721 BROOKS (коньячный) {mushroom}</v>
      </c>
      <c r="W240" s="18" t="str">
        <f t="shared" ca="1" si="25"/>
        <v>коньячный</v>
      </c>
      <c r="X240" s="18" t="str">
        <f t="shared" ca="1" si="26"/>
        <v>коньячный</v>
      </c>
      <c r="Y240" s="117" t="str">
        <f ca="1">_xlfn.LET(_xlpm.FormColors,_xlfn.XLOOKUP(A240,Строчный!A:A,Строчный!Q:Q,"",0),IF(_xlpm.FormColors=0,IFERROR(MID(I240,FIND("-",I240)+1,LEN(I240)),IFERROR(MID(I240,1,FIND("/",I240)-2),I240)),_xlpm.FormColors))</f>
        <v>коньячный</v>
      </c>
      <c r="Z240" s="73" t="str">
        <f ca="1"/>
        <v>21-209-99-57</v>
      </c>
      <c r="AA240" s="75" t="str">
        <f ca="1">VLOOKUP(C240,Группа!A:B,2,FALSE)</f>
        <v>Шляпа</v>
      </c>
      <c r="AB240" s="97" t="str">
        <f ca="1">IFERROR(VLOOKUP(R240,Размеры!A:C,3,FALSE),"")</f>
        <v>57 M</v>
      </c>
      <c r="AC240" s="97" t="str">
        <f ca="1">VLOOKUP(I240,ЦветПолный!A:B,2,FALSE)</f>
        <v>90</v>
      </c>
      <c r="AD240" s="97" t="str">
        <f ca="1">IFERROR(VLOOKUP(R240,Размеры!A:D,4,FALSE),"")</f>
        <v>57</v>
      </c>
      <c r="AE240" s="97">
        <f ca="1">IF(LEFT(IFERROR(VLOOKUP(LOOKUP(2,1/SEARCH(B240,Товары!A:A),Товары!A:A),Товары!A:B,2,0),""),6)=MID(Z240,1,6),1,0)</f>
        <v>1</v>
      </c>
      <c r="AG240" s="97">
        <f ca="1">SUMIF(Группа!A:A,C240,Группа!C:C)</f>
        <v>1</v>
      </c>
      <c r="AH240" s="97">
        <f ca="1">SUMIF(Группа!B:B,AA240,Группа!C:C)</f>
        <v>1</v>
      </c>
      <c r="AI240" s="97">
        <f ca="1">SUMIF(Формы!A:A,D240,Формы!B:B)</f>
        <v>1</v>
      </c>
      <c r="AJ240" s="97">
        <f ca="1">SUMIF(Материал!A:A,K240,Материал!B:B)</f>
        <v>1</v>
      </c>
      <c r="AK240" s="97">
        <f ca="1">SUMIF(Размеры!A:A,R240,Размеры!E:E)</f>
        <v>1</v>
      </c>
      <c r="AL240" s="97">
        <f ca="1">SUMIF(Сезон!A:A,F240,Сезон!B:B)</f>
        <v>1</v>
      </c>
      <c r="AM240" s="97">
        <f ca="1">SUMIF(Состав!A:A,J240,Состав!B:B)</f>
        <v>1</v>
      </c>
      <c r="AN240" s="97">
        <f ca="1">VLOOKUP(I240,ЦветПолный!A:C,3,0)</f>
        <v>1</v>
      </c>
      <c r="AO240" s="97">
        <f ca="1">SUMIF(Цвет!A:A,Y240,Цвет!B:B)</f>
        <v>0</v>
      </c>
      <c r="AP240" s="97">
        <f ca="1">_xlfn.XLOOKUP(L240,Пол!A:A,Пол!B:B,0,0)</f>
        <v>1</v>
      </c>
      <c r="AQ240" s="97">
        <f ca="1">SUMIF(Марка!A:A,G240,Марка!B:B)</f>
        <v>1</v>
      </c>
      <c r="AR240" s="97">
        <f ca="1">SUMIF(Страна!A:A,M240,Страна!B:B)</f>
        <v>1</v>
      </c>
      <c r="AS240" s="64" t="e">
        <f ca="1">IF(VLOOKUP(V240,Товары!A:B,2,FALSE)=A240,"Есть в 1С","ERR")</f>
        <v>#N/A</v>
      </c>
      <c r="AT240" s="65" t="str">
        <f ca="1">IF(VLOOKUP(A240,Товары!B:B,1,FALSE)=A240,"Есть в 1С","ERR")</f>
        <v>Есть в 1С</v>
      </c>
      <c r="AU240" s="96" t="e">
        <f ca="1">VLOOKUP(V240,Товары!A:B,2,FALSE)</f>
        <v>#N/A</v>
      </c>
      <c r="AV240" s="94" t="e">
        <f ca="1">VLOOKUP(V240,Товары!A:B,1,FALSE)</f>
        <v>#N/A</v>
      </c>
    </row>
    <row r="241" spans="1:48" x14ac:dyDescent="0.25">
      <c r="A241" s="110" t="str">
        <f t="shared" ca="1" si="27"/>
        <v>21-209-17</v>
      </c>
      <c r="B241" s="107" t="str">
        <f ca="1">_xlfn.LET(_xlpm.CAPS,0,_xlpm.Style,_xlfn.XLOOKUP($A241,Строчный!$A:$A,Строчный!B:B,"ERR",0),IF(_xlpm.CAPS=0,_xlpm.Style,LOWER(_xlpm.Style)))</f>
        <v>22721 BROOKS</v>
      </c>
      <c r="C241" s="81" t="str">
        <f ca="1">PROPER(_xlfn.XLOOKUP($A241,Строчный!$A:$A,Строчный!C:C,"ERR",0))</f>
        <v>Шляпы</v>
      </c>
      <c r="D241" s="81" t="str">
        <f ca="1">_xlfn.LET(_xlpm.DATA,(_xlfn.XLOOKUP($A241,Строчный!$A:$A,Строчный!D:D,"ERR",0)),UPPER(MID(_xlpm.DATA,1,1))&amp;LOWER(MID(_xlpm.DATA,2,LEN(_xlpm.DATA)-1)))</f>
        <v>Шляпа федора</v>
      </c>
      <c r="E241" s="81" t="str">
        <f ca="1">PROPER(_xlfn.XLOOKUP($A241,Строчный!$A:$A,Строчный!E:E,"ERR",0))</f>
        <v>The Hollywood</v>
      </c>
      <c r="F241" s="81" t="str">
        <f ca="1">LOWER(_xlfn.XLOOKUP($A241,Строчный!$A:$A,Строчный!F:F,"ERR",0))</f>
        <v>летний</v>
      </c>
      <c r="G241" s="81" t="str">
        <f ca="1">UPPER(_xlfn.XLOOKUP($A241,Строчный!$A:$A,Строчный!G:G,"ERR",0))</f>
        <v>BAILEY</v>
      </c>
      <c r="H241" s="81" t="str">
        <f ca="1">LOWER(_xlfn.XLOOKUP($A241,Строчный!$A:$A,Строчный!H:H,"ERR",0))</f>
        <v>media bleach</v>
      </c>
      <c r="I241" s="81" t="str">
        <f ca="1">LOWER(_xlfn.XLOOKUP($A241,Строчный!$A:$A,Строчный!I:I,"ERR",0))</f>
        <v>белый</v>
      </c>
      <c r="J241" s="81" t="str">
        <f ca="1">SUBSTITUTE(LOWER(_xlfn.XLOOKUP($A241,Строчный!$A:$A,Строчный!J:J,"ERR",0)),"подклад","Подклад")</f>
        <v>100% солома</v>
      </c>
      <c r="K241" s="81" t="str">
        <f ca="1">LOWER(_xlfn.XLOOKUP($A241,Строчный!$A:$A,Строчный!K:K,"ERR",0))</f>
        <v>соломенные</v>
      </c>
      <c r="L241" s="81" t="str">
        <f ca="1">PROPER(_xlfn.XLOOKUP($A241,Строчный!$A:$A,Строчный!L:L,"ERR",0))</f>
        <v>Унисекс</v>
      </c>
      <c r="M241" s="113" t="str">
        <f ca="1">PROPER(_xlfn.XLOOKUP($A241,Строчный!$A:$A,Строчный!M:M,"ERR",0))</f>
        <v>Соединенные Штаты</v>
      </c>
      <c r="N241" s="81" t="str">
        <f ca="1">UPPER(_xlfn.XLOOKUP($A241,Строчный!$A:$A,Строчный!O:O,"ERR",0))</f>
        <v/>
      </c>
      <c r="O241" s="107" t="str">
        <f ca="1">PROPER(_xlfn.XLOOKUP($A241,Строчный!$A:$A,Строчный!P:P,"ERR",0))</f>
        <v/>
      </c>
      <c r="P241" s="90">
        <f ca="1">VALUE(_xlfn.XLOOKUP($A241,Строчный!$A:$A,Строчный!N:N,"ERR",0))</f>
        <v>6002.0999999999995</v>
      </c>
      <c r="Q241" s="89" t="str">
        <f ca="1">_xlfn.XLOOKUP($G241,Фабрика!A:A,Фабрика!B:B,"ERR",0)</f>
        <v>Bollman Headwear Europe Ltd; 2 Merchants drive, Caelisle, Cumbria CA3 0JW, United Kingdom</v>
      </c>
      <c r="R241" s="80" t="str">
        <f ca="1">_xlfn.XLOOKUP(RIGHT(Z241,2),Размеры!D:D,Размеры!A:A,"ERR",0)</f>
        <v>63</v>
      </c>
      <c r="S241" s="80">
        <f ca="1">VALUE(_xlfn.XLOOKUP($Z241,Строчный!$R:$R,Строчный!T:T,"ERR",0))</f>
        <v>2</v>
      </c>
      <c r="T241" s="14" t="s">
        <v>265</v>
      </c>
      <c r="U241" s="101" t="str">
        <f t="shared" ca="1" si="23"/>
        <v>Шляпа BAILEY арт. 22721 BROOKS (белый)</v>
      </c>
      <c r="V241" s="100" t="str">
        <f t="shared" ca="1" si="24"/>
        <v>Шляпа BAILEY арт. 22721 BROOKS (белый) {media bleach}</v>
      </c>
      <c r="W241" s="18" t="str">
        <f t="shared" ca="1" si="25"/>
        <v>белый</v>
      </c>
      <c r="X241" s="18" t="str">
        <f t="shared" ca="1" si="26"/>
        <v>белый</v>
      </c>
      <c r="Y241" s="117" t="str">
        <f ca="1">_xlfn.LET(_xlpm.FormColors,_xlfn.XLOOKUP(A241,Строчный!A:A,Строчный!Q:Q,"",0),IF(_xlpm.FormColors=0,IFERROR(MID(I241,FIND("-",I241)+1,LEN(I241)),IFERROR(MID(I241,1,FIND("/",I241)-2),I241)),_xlpm.FormColors))</f>
        <v>белый</v>
      </c>
      <c r="Z241" s="73" t="str">
        <f ca="1"/>
        <v>21-209-17-63</v>
      </c>
      <c r="AA241" s="75" t="str">
        <f ca="1">VLOOKUP(C241,Группа!A:B,2,FALSE)</f>
        <v>Шляпа</v>
      </c>
      <c r="AB241" s="97" t="str">
        <f ca="1">IFERROR(VLOOKUP(R241,Размеры!A:C,3,FALSE),"")</f>
        <v>63 XXL</v>
      </c>
      <c r="AC241" s="97" t="str">
        <f ca="1">VLOOKUP(I241,ЦветПолный!A:B,2,FALSE)</f>
        <v>17</v>
      </c>
      <c r="AD241" s="97" t="str">
        <f ca="1">IFERROR(VLOOKUP(R241,Размеры!A:D,4,FALSE),"")</f>
        <v>63</v>
      </c>
      <c r="AE241" s="97">
        <f ca="1">IF(LEFT(IFERROR(VLOOKUP(LOOKUP(2,1/SEARCH(B241,Товары!A:A),Товары!A:A),Товары!A:B,2,0),""),6)=MID(Z241,1,6),1,0)</f>
        <v>1</v>
      </c>
      <c r="AG241" s="97">
        <f ca="1">SUMIF(Группа!A:A,C241,Группа!C:C)</f>
        <v>1</v>
      </c>
      <c r="AH241" s="97">
        <f ca="1">SUMIF(Группа!B:B,AA241,Группа!C:C)</f>
        <v>1</v>
      </c>
      <c r="AI241" s="97">
        <f ca="1">SUMIF(Формы!A:A,D241,Формы!B:B)</f>
        <v>1</v>
      </c>
      <c r="AJ241" s="97">
        <f ca="1">SUMIF(Материал!A:A,K241,Материал!B:B)</f>
        <v>1</v>
      </c>
      <c r="AK241" s="97">
        <f ca="1">SUMIF(Размеры!A:A,R241,Размеры!E:E)</f>
        <v>1</v>
      </c>
      <c r="AL241" s="97">
        <f ca="1">SUMIF(Сезон!A:A,F241,Сезон!B:B)</f>
        <v>1</v>
      </c>
      <c r="AM241" s="97">
        <f ca="1">SUMIF(Состав!A:A,J241,Состав!B:B)</f>
        <v>1</v>
      </c>
      <c r="AN241" s="97">
        <f ca="1">VLOOKUP(I241,ЦветПолный!A:C,3,0)</f>
        <v>1</v>
      </c>
      <c r="AO241" s="97">
        <f ca="1">SUMIF(Цвет!A:A,Y241,Цвет!B:B)</f>
        <v>1</v>
      </c>
      <c r="AP241" s="97">
        <f ca="1">_xlfn.XLOOKUP(L241,Пол!A:A,Пол!B:B,0,0)</f>
        <v>1</v>
      </c>
      <c r="AQ241" s="97">
        <f ca="1">SUMIF(Марка!A:A,G241,Марка!B:B)</f>
        <v>1</v>
      </c>
      <c r="AR241" s="97">
        <f ca="1">SUMIF(Страна!A:A,M241,Страна!B:B)</f>
        <v>1</v>
      </c>
      <c r="AS241" s="64" t="str">
        <f ca="1">IF(VLOOKUP(V241,Товары!A:B,2,FALSE)=A241,"Есть в 1С","ERR")</f>
        <v>Есть в 1С</v>
      </c>
      <c r="AT241" s="65" t="str">
        <f ca="1">IF(VLOOKUP(A241,Товары!B:B,1,FALSE)=A241,"Есть в 1С","ERR")</f>
        <v>Есть в 1С</v>
      </c>
      <c r="AU241" s="96" t="str">
        <f ca="1">VLOOKUP(V241,Товары!A:B,2,FALSE)</f>
        <v>21-209-17</v>
      </c>
      <c r="AV241" s="94" t="str">
        <f ca="1">VLOOKUP(V241,Товары!A:B,1,FALSE)</f>
        <v>Шляпа BAILEY арт. 22721 BROOKS (белый) {media bleach}</v>
      </c>
    </row>
    <row r="242" spans="1:48" x14ac:dyDescent="0.25">
      <c r="A242" s="110" t="str">
        <f t="shared" ca="1" si="27"/>
        <v>21-209-17</v>
      </c>
      <c r="B242" s="107" t="str">
        <f ca="1">_xlfn.LET(_xlpm.CAPS,0,_xlpm.Style,_xlfn.XLOOKUP($A242,Строчный!$A:$A,Строчный!B:B,"ERR",0),IF(_xlpm.CAPS=0,_xlpm.Style,LOWER(_xlpm.Style)))</f>
        <v>22721 BROOKS</v>
      </c>
      <c r="C242" s="81" t="str">
        <f ca="1">PROPER(_xlfn.XLOOKUP($A242,Строчный!$A:$A,Строчный!C:C,"ERR",0))</f>
        <v>Шляпы</v>
      </c>
      <c r="D242" s="81" t="str">
        <f ca="1">_xlfn.LET(_xlpm.DATA,(_xlfn.XLOOKUP($A242,Строчный!$A:$A,Строчный!D:D,"ERR",0)),UPPER(MID(_xlpm.DATA,1,1))&amp;LOWER(MID(_xlpm.DATA,2,LEN(_xlpm.DATA)-1)))</f>
        <v>Шляпа федора</v>
      </c>
      <c r="E242" s="81" t="str">
        <f ca="1">PROPER(_xlfn.XLOOKUP($A242,Строчный!$A:$A,Строчный!E:E,"ERR",0))</f>
        <v>The Hollywood</v>
      </c>
      <c r="F242" s="81" t="str">
        <f ca="1">LOWER(_xlfn.XLOOKUP($A242,Строчный!$A:$A,Строчный!F:F,"ERR",0))</f>
        <v>летний</v>
      </c>
      <c r="G242" s="81" t="str">
        <f ca="1">UPPER(_xlfn.XLOOKUP($A242,Строчный!$A:$A,Строчный!G:G,"ERR",0))</f>
        <v>BAILEY</v>
      </c>
      <c r="H242" s="81" t="str">
        <f ca="1">LOWER(_xlfn.XLOOKUP($A242,Строчный!$A:$A,Строчный!H:H,"ERR",0))</f>
        <v>media bleach</v>
      </c>
      <c r="I242" s="81" t="str">
        <f ca="1">LOWER(_xlfn.XLOOKUP($A242,Строчный!$A:$A,Строчный!I:I,"ERR",0))</f>
        <v>белый</v>
      </c>
      <c r="J242" s="81" t="str">
        <f ca="1">SUBSTITUTE(LOWER(_xlfn.XLOOKUP($A242,Строчный!$A:$A,Строчный!J:J,"ERR",0)),"подклад","Подклад")</f>
        <v>100% солома</v>
      </c>
      <c r="K242" s="81" t="str">
        <f ca="1">LOWER(_xlfn.XLOOKUP($A242,Строчный!$A:$A,Строчный!K:K,"ERR",0))</f>
        <v>соломенные</v>
      </c>
      <c r="L242" s="81" t="str">
        <f ca="1">PROPER(_xlfn.XLOOKUP($A242,Строчный!$A:$A,Строчный!L:L,"ERR",0))</f>
        <v>Унисекс</v>
      </c>
      <c r="M242" s="113" t="str">
        <f ca="1">PROPER(_xlfn.XLOOKUP($A242,Строчный!$A:$A,Строчный!M:M,"ERR",0))</f>
        <v>Соединенные Штаты</v>
      </c>
      <c r="N242" s="81" t="str">
        <f ca="1">UPPER(_xlfn.XLOOKUP($A242,Строчный!$A:$A,Строчный!O:O,"ERR",0))</f>
        <v/>
      </c>
      <c r="O242" s="107" t="str">
        <f ca="1">PROPER(_xlfn.XLOOKUP($A242,Строчный!$A:$A,Строчный!P:P,"ERR",0))</f>
        <v/>
      </c>
      <c r="P242" s="90">
        <f ca="1">VALUE(_xlfn.XLOOKUP($A242,Строчный!$A:$A,Строчный!N:N,"ERR",0))</f>
        <v>6002.0999999999995</v>
      </c>
      <c r="Q242" s="89" t="str">
        <f ca="1">_xlfn.XLOOKUP($G242,Фабрика!A:A,Фабрика!B:B,"ERR",0)</f>
        <v>Bollman Headwear Europe Ltd; 2 Merchants drive, Caelisle, Cumbria CA3 0JW, United Kingdom</v>
      </c>
      <c r="R242" s="80" t="str">
        <f ca="1">_xlfn.XLOOKUP(RIGHT(Z242,2),Размеры!D:D,Размеры!A:A,"ERR",0)</f>
        <v>61</v>
      </c>
      <c r="S242" s="80">
        <f ca="1">VALUE(_xlfn.XLOOKUP($Z242,Строчный!$R:$R,Строчный!T:T,"ERR",0))</f>
        <v>5</v>
      </c>
      <c r="T242" s="14" t="s">
        <v>265</v>
      </c>
      <c r="U242" s="101" t="str">
        <f t="shared" ca="1" si="23"/>
        <v>Шляпа BAILEY арт. 22721 BROOKS (белый)</v>
      </c>
      <c r="V242" s="100" t="str">
        <f t="shared" ca="1" si="24"/>
        <v>Шляпа BAILEY арт. 22721 BROOKS (белый) {media bleach}</v>
      </c>
      <c r="W242" s="18" t="str">
        <f t="shared" ca="1" si="25"/>
        <v>белый</v>
      </c>
      <c r="X242" s="18" t="str">
        <f t="shared" ca="1" si="26"/>
        <v>белый</v>
      </c>
      <c r="Y242" s="117" t="str">
        <f ca="1">_xlfn.LET(_xlpm.FormColors,_xlfn.XLOOKUP(A242,Строчный!A:A,Строчный!Q:Q,"",0),IF(_xlpm.FormColors=0,IFERROR(MID(I242,FIND("-",I242)+1,LEN(I242)),IFERROR(MID(I242,1,FIND("/",I242)-2),I242)),_xlpm.FormColors))</f>
        <v>белый</v>
      </c>
      <c r="Z242" s="73" t="str">
        <f ca="1"/>
        <v>21-209-17-61</v>
      </c>
      <c r="AA242" s="75" t="str">
        <f ca="1">VLOOKUP(C242,Группа!A:B,2,FALSE)</f>
        <v>Шляпа</v>
      </c>
      <c r="AB242" s="97" t="str">
        <f ca="1">IFERROR(VLOOKUP(R242,Размеры!A:C,3,FALSE),"")</f>
        <v>61 XL</v>
      </c>
      <c r="AC242" s="97" t="str">
        <f ca="1">VLOOKUP(I242,ЦветПолный!A:B,2,FALSE)</f>
        <v>17</v>
      </c>
      <c r="AD242" s="97" t="str">
        <f ca="1">IFERROR(VLOOKUP(R242,Размеры!A:D,4,FALSE),"")</f>
        <v>61</v>
      </c>
      <c r="AE242" s="97">
        <f ca="1">IF(LEFT(IFERROR(VLOOKUP(LOOKUP(2,1/SEARCH(B242,Товары!A:A),Товары!A:A),Товары!A:B,2,0),""),6)=MID(Z242,1,6),1,0)</f>
        <v>1</v>
      </c>
      <c r="AG242" s="97">
        <f ca="1">SUMIF(Группа!A:A,C242,Группа!C:C)</f>
        <v>1</v>
      </c>
      <c r="AH242" s="97">
        <f ca="1">SUMIF(Группа!B:B,AA242,Группа!C:C)</f>
        <v>1</v>
      </c>
      <c r="AI242" s="97">
        <f ca="1">SUMIF(Формы!A:A,D242,Формы!B:B)</f>
        <v>1</v>
      </c>
      <c r="AJ242" s="97">
        <f ca="1">SUMIF(Материал!A:A,K242,Материал!B:B)</f>
        <v>1</v>
      </c>
      <c r="AK242" s="97">
        <f ca="1">SUMIF(Размеры!A:A,R242,Размеры!E:E)</f>
        <v>1</v>
      </c>
      <c r="AL242" s="97">
        <f ca="1">SUMIF(Сезон!A:A,F242,Сезон!B:B)</f>
        <v>1</v>
      </c>
      <c r="AM242" s="97">
        <f ca="1">SUMIF(Состав!A:A,J242,Состав!B:B)</f>
        <v>1</v>
      </c>
      <c r="AN242" s="97">
        <f ca="1">VLOOKUP(I242,ЦветПолный!A:C,3,0)</f>
        <v>1</v>
      </c>
      <c r="AO242" s="97">
        <f ca="1">SUMIF(Цвет!A:A,Y242,Цвет!B:B)</f>
        <v>1</v>
      </c>
      <c r="AP242" s="97">
        <f ca="1">_xlfn.XLOOKUP(L242,Пол!A:A,Пол!B:B,0,0)</f>
        <v>1</v>
      </c>
      <c r="AQ242" s="97">
        <f ca="1">SUMIF(Марка!A:A,G242,Марка!B:B)</f>
        <v>1</v>
      </c>
      <c r="AR242" s="97">
        <f ca="1">SUMIF(Страна!A:A,M242,Страна!B:B)</f>
        <v>1</v>
      </c>
      <c r="AS242" s="64" t="str">
        <f ca="1">IF(VLOOKUP(V242,Товары!A:B,2,FALSE)=A242,"Есть в 1С","ERR")</f>
        <v>Есть в 1С</v>
      </c>
      <c r="AT242" s="65" t="str">
        <f ca="1">IF(VLOOKUP(A242,Товары!B:B,1,FALSE)=A242,"Есть в 1С","ERR")</f>
        <v>Есть в 1С</v>
      </c>
      <c r="AU242" s="96" t="str">
        <f ca="1">VLOOKUP(V242,Товары!A:B,2,FALSE)</f>
        <v>21-209-17</v>
      </c>
      <c r="AV242" s="94" t="str">
        <f ca="1">VLOOKUP(V242,Товары!A:B,1,FALSE)</f>
        <v>Шляпа BAILEY арт. 22721 BROOKS (белый) {media bleach}</v>
      </c>
    </row>
    <row r="243" spans="1:48" x14ac:dyDescent="0.25">
      <c r="A243" s="110" t="str">
        <f t="shared" ca="1" si="27"/>
        <v>21-209-17</v>
      </c>
      <c r="B243" s="107" t="str">
        <f ca="1">_xlfn.LET(_xlpm.CAPS,0,_xlpm.Style,_xlfn.XLOOKUP($A243,Строчный!$A:$A,Строчный!B:B,"ERR",0),IF(_xlpm.CAPS=0,_xlpm.Style,LOWER(_xlpm.Style)))</f>
        <v>22721 BROOKS</v>
      </c>
      <c r="C243" s="81" t="str">
        <f ca="1">PROPER(_xlfn.XLOOKUP($A243,Строчный!$A:$A,Строчный!C:C,"ERR",0))</f>
        <v>Шляпы</v>
      </c>
      <c r="D243" s="81" t="str">
        <f ca="1">_xlfn.LET(_xlpm.DATA,(_xlfn.XLOOKUP($A243,Строчный!$A:$A,Строчный!D:D,"ERR",0)),UPPER(MID(_xlpm.DATA,1,1))&amp;LOWER(MID(_xlpm.DATA,2,LEN(_xlpm.DATA)-1)))</f>
        <v>Шляпа федора</v>
      </c>
      <c r="E243" s="81" t="str">
        <f ca="1">PROPER(_xlfn.XLOOKUP($A243,Строчный!$A:$A,Строчный!E:E,"ERR",0))</f>
        <v>The Hollywood</v>
      </c>
      <c r="F243" s="81" t="str">
        <f ca="1">LOWER(_xlfn.XLOOKUP($A243,Строчный!$A:$A,Строчный!F:F,"ERR",0))</f>
        <v>летний</v>
      </c>
      <c r="G243" s="81" t="str">
        <f ca="1">UPPER(_xlfn.XLOOKUP($A243,Строчный!$A:$A,Строчный!G:G,"ERR",0))</f>
        <v>BAILEY</v>
      </c>
      <c r="H243" s="81" t="str">
        <f ca="1">LOWER(_xlfn.XLOOKUP($A243,Строчный!$A:$A,Строчный!H:H,"ERR",0))</f>
        <v>media bleach</v>
      </c>
      <c r="I243" s="81" t="str">
        <f ca="1">LOWER(_xlfn.XLOOKUP($A243,Строчный!$A:$A,Строчный!I:I,"ERR",0))</f>
        <v>белый</v>
      </c>
      <c r="J243" s="81" t="str">
        <f ca="1">SUBSTITUTE(LOWER(_xlfn.XLOOKUP($A243,Строчный!$A:$A,Строчный!J:J,"ERR",0)),"подклад","Подклад")</f>
        <v>100% солома</v>
      </c>
      <c r="K243" s="81" t="str">
        <f ca="1">LOWER(_xlfn.XLOOKUP($A243,Строчный!$A:$A,Строчный!K:K,"ERR",0))</f>
        <v>соломенные</v>
      </c>
      <c r="L243" s="81" t="str">
        <f ca="1">PROPER(_xlfn.XLOOKUP($A243,Строчный!$A:$A,Строчный!L:L,"ERR",0))</f>
        <v>Унисекс</v>
      </c>
      <c r="M243" s="113" t="str">
        <f ca="1">PROPER(_xlfn.XLOOKUP($A243,Строчный!$A:$A,Строчный!M:M,"ERR",0))</f>
        <v>Соединенные Штаты</v>
      </c>
      <c r="N243" s="81" t="str">
        <f ca="1">UPPER(_xlfn.XLOOKUP($A243,Строчный!$A:$A,Строчный!O:O,"ERR",0))</f>
        <v/>
      </c>
      <c r="O243" s="107" t="str">
        <f ca="1">PROPER(_xlfn.XLOOKUP($A243,Строчный!$A:$A,Строчный!P:P,"ERR",0))</f>
        <v/>
      </c>
      <c r="P243" s="90">
        <f ca="1">VALUE(_xlfn.XLOOKUP($A243,Строчный!$A:$A,Строчный!N:N,"ERR",0))</f>
        <v>6002.0999999999995</v>
      </c>
      <c r="Q243" s="89" t="str">
        <f ca="1">_xlfn.XLOOKUP($G243,Фабрика!A:A,Фабрика!B:B,"ERR",0)</f>
        <v>Bollman Headwear Europe Ltd; 2 Merchants drive, Caelisle, Cumbria CA3 0JW, United Kingdom</v>
      </c>
      <c r="R243" s="80" t="str">
        <f ca="1">_xlfn.XLOOKUP(RIGHT(Z243,2),Размеры!D:D,Размеры!A:A,"ERR",0)</f>
        <v>59</v>
      </c>
      <c r="S243" s="80">
        <f ca="1">VALUE(_xlfn.XLOOKUP($Z243,Строчный!$R:$R,Строчный!T:T,"ERR",0))</f>
        <v>7</v>
      </c>
      <c r="T243" s="14" t="s">
        <v>265</v>
      </c>
      <c r="U243" s="101" t="str">
        <f t="shared" ca="1" si="23"/>
        <v>Шляпа BAILEY арт. 22721 BROOKS (белый)</v>
      </c>
      <c r="V243" s="100" t="str">
        <f t="shared" ca="1" si="24"/>
        <v>Шляпа BAILEY арт. 22721 BROOKS (белый) {media bleach}</v>
      </c>
      <c r="W243" s="18" t="str">
        <f t="shared" ca="1" si="25"/>
        <v>белый</v>
      </c>
      <c r="X243" s="18" t="str">
        <f t="shared" ca="1" si="26"/>
        <v>белый</v>
      </c>
      <c r="Y243" s="117" t="str">
        <f ca="1">_xlfn.LET(_xlpm.FormColors,_xlfn.XLOOKUP(A243,Строчный!A:A,Строчный!Q:Q,"",0),IF(_xlpm.FormColors=0,IFERROR(MID(I243,FIND("-",I243)+1,LEN(I243)),IFERROR(MID(I243,1,FIND("/",I243)-2),I243)),_xlpm.FormColors))</f>
        <v>белый</v>
      </c>
      <c r="Z243" s="73" t="str">
        <f ca="1"/>
        <v>21-209-17-59</v>
      </c>
      <c r="AA243" s="75" t="str">
        <f ca="1">VLOOKUP(C243,Группа!A:B,2,FALSE)</f>
        <v>Шляпа</v>
      </c>
      <c r="AB243" s="97" t="str">
        <f ca="1">IFERROR(VLOOKUP(R243,Размеры!A:C,3,FALSE),"")</f>
        <v>59 L</v>
      </c>
      <c r="AC243" s="97" t="str">
        <f ca="1">VLOOKUP(I243,ЦветПолный!A:B,2,FALSE)</f>
        <v>17</v>
      </c>
      <c r="AD243" s="97" t="str">
        <f ca="1">IFERROR(VLOOKUP(R243,Размеры!A:D,4,FALSE),"")</f>
        <v>59</v>
      </c>
      <c r="AE243" s="97">
        <f ca="1">IF(LEFT(IFERROR(VLOOKUP(LOOKUP(2,1/SEARCH(B243,Товары!A:A),Товары!A:A),Товары!A:B,2,0),""),6)=MID(Z243,1,6),1,0)</f>
        <v>1</v>
      </c>
      <c r="AG243" s="97">
        <f ca="1">SUMIF(Группа!A:A,C243,Группа!C:C)</f>
        <v>1</v>
      </c>
      <c r="AH243" s="97">
        <f ca="1">SUMIF(Группа!B:B,AA243,Группа!C:C)</f>
        <v>1</v>
      </c>
      <c r="AI243" s="97">
        <f ca="1">SUMIF(Формы!A:A,D243,Формы!B:B)</f>
        <v>1</v>
      </c>
      <c r="AJ243" s="97">
        <f ca="1">SUMIF(Материал!A:A,K243,Материал!B:B)</f>
        <v>1</v>
      </c>
      <c r="AK243" s="97">
        <f ca="1">SUMIF(Размеры!A:A,R243,Размеры!E:E)</f>
        <v>1</v>
      </c>
      <c r="AL243" s="97">
        <f ca="1">SUMIF(Сезон!A:A,F243,Сезон!B:B)</f>
        <v>1</v>
      </c>
      <c r="AM243" s="97">
        <f ca="1">SUMIF(Состав!A:A,J243,Состав!B:B)</f>
        <v>1</v>
      </c>
      <c r="AN243" s="97">
        <f ca="1">VLOOKUP(I243,ЦветПолный!A:C,3,0)</f>
        <v>1</v>
      </c>
      <c r="AO243" s="97">
        <f ca="1">SUMIF(Цвет!A:A,Y243,Цвет!B:B)</f>
        <v>1</v>
      </c>
      <c r="AP243" s="97">
        <f ca="1">_xlfn.XLOOKUP(L243,Пол!A:A,Пол!B:B,0,0)</f>
        <v>1</v>
      </c>
      <c r="AQ243" s="97">
        <f ca="1">SUMIF(Марка!A:A,G243,Марка!B:B)</f>
        <v>1</v>
      </c>
      <c r="AR243" s="97">
        <f ca="1">SUMIF(Страна!A:A,M243,Страна!B:B)</f>
        <v>1</v>
      </c>
      <c r="AS243" s="64" t="str">
        <f ca="1">IF(VLOOKUP(V243,Товары!A:B,2,FALSE)=A243,"Есть в 1С","ERR")</f>
        <v>Есть в 1С</v>
      </c>
      <c r="AT243" s="65" t="str">
        <f ca="1">IF(VLOOKUP(A243,Товары!B:B,1,FALSE)=A243,"Есть в 1С","ERR")</f>
        <v>Есть в 1С</v>
      </c>
      <c r="AU243" s="96" t="str">
        <f ca="1">VLOOKUP(V243,Товары!A:B,2,FALSE)</f>
        <v>21-209-17</v>
      </c>
      <c r="AV243" s="94" t="str">
        <f ca="1">VLOOKUP(V243,Товары!A:B,1,FALSE)</f>
        <v>Шляпа BAILEY арт. 22721 BROOKS (белый) {media bleach}</v>
      </c>
    </row>
    <row r="244" spans="1:48" x14ac:dyDescent="0.25">
      <c r="A244" s="110" t="str">
        <f t="shared" ca="1" si="27"/>
        <v>21-209-17</v>
      </c>
      <c r="B244" s="107" t="str">
        <f ca="1">_xlfn.LET(_xlpm.CAPS,0,_xlpm.Style,_xlfn.XLOOKUP($A244,Строчный!$A:$A,Строчный!B:B,"ERR",0),IF(_xlpm.CAPS=0,_xlpm.Style,LOWER(_xlpm.Style)))</f>
        <v>22721 BROOKS</v>
      </c>
      <c r="C244" s="81" t="str">
        <f ca="1">PROPER(_xlfn.XLOOKUP($A244,Строчный!$A:$A,Строчный!C:C,"ERR",0))</f>
        <v>Шляпы</v>
      </c>
      <c r="D244" s="81" t="str">
        <f ca="1">_xlfn.LET(_xlpm.DATA,(_xlfn.XLOOKUP($A244,Строчный!$A:$A,Строчный!D:D,"ERR",0)),UPPER(MID(_xlpm.DATA,1,1))&amp;LOWER(MID(_xlpm.DATA,2,LEN(_xlpm.DATA)-1)))</f>
        <v>Шляпа федора</v>
      </c>
      <c r="E244" s="81" t="str">
        <f ca="1">PROPER(_xlfn.XLOOKUP($A244,Строчный!$A:$A,Строчный!E:E,"ERR",0))</f>
        <v>The Hollywood</v>
      </c>
      <c r="F244" s="81" t="str">
        <f ca="1">LOWER(_xlfn.XLOOKUP($A244,Строчный!$A:$A,Строчный!F:F,"ERR",0))</f>
        <v>летний</v>
      </c>
      <c r="G244" s="81" t="str">
        <f ca="1">UPPER(_xlfn.XLOOKUP($A244,Строчный!$A:$A,Строчный!G:G,"ERR",0))</f>
        <v>BAILEY</v>
      </c>
      <c r="H244" s="81" t="str">
        <f ca="1">LOWER(_xlfn.XLOOKUP($A244,Строчный!$A:$A,Строчный!H:H,"ERR",0))</f>
        <v>media bleach</v>
      </c>
      <c r="I244" s="81" t="str">
        <f ca="1">LOWER(_xlfn.XLOOKUP($A244,Строчный!$A:$A,Строчный!I:I,"ERR",0))</f>
        <v>белый</v>
      </c>
      <c r="J244" s="81" t="str">
        <f ca="1">SUBSTITUTE(LOWER(_xlfn.XLOOKUP($A244,Строчный!$A:$A,Строчный!J:J,"ERR",0)),"подклад","Подклад")</f>
        <v>100% солома</v>
      </c>
      <c r="K244" s="81" t="str">
        <f ca="1">LOWER(_xlfn.XLOOKUP($A244,Строчный!$A:$A,Строчный!K:K,"ERR",0))</f>
        <v>соломенные</v>
      </c>
      <c r="L244" s="81" t="str">
        <f ca="1">PROPER(_xlfn.XLOOKUP($A244,Строчный!$A:$A,Строчный!L:L,"ERR",0))</f>
        <v>Унисекс</v>
      </c>
      <c r="M244" s="113" t="str">
        <f ca="1">PROPER(_xlfn.XLOOKUP($A244,Строчный!$A:$A,Строчный!M:M,"ERR",0))</f>
        <v>Соединенные Штаты</v>
      </c>
      <c r="N244" s="81" t="str">
        <f ca="1">UPPER(_xlfn.XLOOKUP($A244,Строчный!$A:$A,Строчный!O:O,"ERR",0))</f>
        <v/>
      </c>
      <c r="O244" s="107" t="str">
        <f ca="1">PROPER(_xlfn.XLOOKUP($A244,Строчный!$A:$A,Строчный!P:P,"ERR",0))</f>
        <v/>
      </c>
      <c r="P244" s="90">
        <f ca="1">VALUE(_xlfn.XLOOKUP($A244,Строчный!$A:$A,Строчный!N:N,"ERR",0))</f>
        <v>6002.0999999999995</v>
      </c>
      <c r="Q244" s="89" t="str">
        <f ca="1">_xlfn.XLOOKUP($G244,Фабрика!A:A,Фабрика!B:B,"ERR",0)</f>
        <v>Bollman Headwear Europe Ltd; 2 Merchants drive, Caelisle, Cumbria CA3 0JW, United Kingdom</v>
      </c>
      <c r="R244" s="80" t="str">
        <f ca="1">_xlfn.XLOOKUP(RIGHT(Z244,2),Размеры!D:D,Размеры!A:A,"ERR",0)</f>
        <v>57</v>
      </c>
      <c r="S244" s="80">
        <f ca="1">VALUE(_xlfn.XLOOKUP($Z244,Строчный!$R:$R,Строчный!T:T,"ERR",0))</f>
        <v>5</v>
      </c>
      <c r="T244" s="14" t="s">
        <v>265</v>
      </c>
      <c r="U244" s="101" t="str">
        <f t="shared" ca="1" si="23"/>
        <v>Шляпа BAILEY арт. 22721 BROOKS (белый)</v>
      </c>
      <c r="V244" s="100" t="str">
        <f t="shared" ca="1" si="24"/>
        <v>Шляпа BAILEY арт. 22721 BROOKS (белый) {media bleach}</v>
      </c>
      <c r="W244" s="18" t="str">
        <f t="shared" ca="1" si="25"/>
        <v>белый</v>
      </c>
      <c r="X244" s="18" t="str">
        <f t="shared" ca="1" si="26"/>
        <v>белый</v>
      </c>
      <c r="Y244" s="117" t="str">
        <f ca="1">_xlfn.LET(_xlpm.FormColors,_xlfn.XLOOKUP(A244,Строчный!A:A,Строчный!Q:Q,"",0),IF(_xlpm.FormColors=0,IFERROR(MID(I244,FIND("-",I244)+1,LEN(I244)),IFERROR(MID(I244,1,FIND("/",I244)-2),I244)),_xlpm.FormColors))</f>
        <v>белый</v>
      </c>
      <c r="Z244" s="73" t="str">
        <f ca="1"/>
        <v>21-209-17-57</v>
      </c>
      <c r="AA244" s="75" t="str">
        <f ca="1">VLOOKUP(C244,Группа!A:B,2,FALSE)</f>
        <v>Шляпа</v>
      </c>
      <c r="AB244" s="97" t="str">
        <f ca="1">IFERROR(VLOOKUP(R244,Размеры!A:C,3,FALSE),"")</f>
        <v>57 M</v>
      </c>
      <c r="AC244" s="97" t="str">
        <f ca="1">VLOOKUP(I244,ЦветПолный!A:B,2,FALSE)</f>
        <v>17</v>
      </c>
      <c r="AD244" s="97" t="str">
        <f ca="1">IFERROR(VLOOKUP(R244,Размеры!A:D,4,FALSE),"")</f>
        <v>57</v>
      </c>
      <c r="AE244" s="97">
        <f ca="1">IF(LEFT(IFERROR(VLOOKUP(LOOKUP(2,1/SEARCH(B244,Товары!A:A),Товары!A:A),Товары!A:B,2,0),""),6)=MID(Z244,1,6),1,0)</f>
        <v>1</v>
      </c>
      <c r="AG244" s="97">
        <f ca="1">SUMIF(Группа!A:A,C244,Группа!C:C)</f>
        <v>1</v>
      </c>
      <c r="AH244" s="97">
        <f ca="1">SUMIF(Группа!B:B,AA244,Группа!C:C)</f>
        <v>1</v>
      </c>
      <c r="AI244" s="97">
        <f ca="1">SUMIF(Формы!A:A,D244,Формы!B:B)</f>
        <v>1</v>
      </c>
      <c r="AJ244" s="97">
        <f ca="1">SUMIF(Материал!A:A,K244,Материал!B:B)</f>
        <v>1</v>
      </c>
      <c r="AK244" s="97">
        <f ca="1">SUMIF(Размеры!A:A,R244,Размеры!E:E)</f>
        <v>1</v>
      </c>
      <c r="AL244" s="97">
        <f ca="1">SUMIF(Сезон!A:A,F244,Сезон!B:B)</f>
        <v>1</v>
      </c>
      <c r="AM244" s="97">
        <f ca="1">SUMIF(Состав!A:A,J244,Состав!B:B)</f>
        <v>1</v>
      </c>
      <c r="AN244" s="97">
        <f ca="1">VLOOKUP(I244,ЦветПолный!A:C,3,0)</f>
        <v>1</v>
      </c>
      <c r="AO244" s="97">
        <f ca="1">SUMIF(Цвет!A:A,Y244,Цвет!B:B)</f>
        <v>1</v>
      </c>
      <c r="AP244" s="97">
        <f ca="1">_xlfn.XLOOKUP(L244,Пол!A:A,Пол!B:B,0,0)</f>
        <v>1</v>
      </c>
      <c r="AQ244" s="97">
        <f ca="1">SUMIF(Марка!A:A,G244,Марка!B:B)</f>
        <v>1</v>
      </c>
      <c r="AR244" s="97">
        <f ca="1">SUMIF(Страна!A:A,M244,Страна!B:B)</f>
        <v>1</v>
      </c>
      <c r="AS244" s="64" t="str">
        <f ca="1">IF(VLOOKUP(V244,Товары!A:B,2,FALSE)=A244,"Есть в 1С","ERR")</f>
        <v>Есть в 1С</v>
      </c>
      <c r="AT244" s="65" t="str">
        <f ca="1">IF(VLOOKUP(A244,Товары!B:B,1,FALSE)=A244,"Есть в 1С","ERR")</f>
        <v>Есть в 1С</v>
      </c>
      <c r="AU244" s="96" t="str">
        <f ca="1">VLOOKUP(V244,Товары!A:B,2,FALSE)</f>
        <v>21-209-17</v>
      </c>
      <c r="AV244" s="94" t="str">
        <f ca="1">VLOOKUP(V244,Товары!A:B,1,FALSE)</f>
        <v>Шляпа BAILEY арт. 22721 BROOKS (белый) {media bleach}</v>
      </c>
    </row>
    <row r="245" spans="1:48" x14ac:dyDescent="0.25">
      <c r="A245" s="110" t="str">
        <f t="shared" ca="1" si="27"/>
        <v>21-209-17</v>
      </c>
      <c r="B245" s="107" t="str">
        <f ca="1">_xlfn.LET(_xlpm.CAPS,0,_xlpm.Style,_xlfn.XLOOKUP($A245,Строчный!$A:$A,Строчный!B:B,"ERR",0),IF(_xlpm.CAPS=0,_xlpm.Style,LOWER(_xlpm.Style)))</f>
        <v>22721 BROOKS</v>
      </c>
      <c r="C245" s="81" t="str">
        <f ca="1">PROPER(_xlfn.XLOOKUP($A245,Строчный!$A:$A,Строчный!C:C,"ERR",0))</f>
        <v>Шляпы</v>
      </c>
      <c r="D245" s="81" t="str">
        <f ca="1">_xlfn.LET(_xlpm.DATA,(_xlfn.XLOOKUP($A245,Строчный!$A:$A,Строчный!D:D,"ERR",0)),UPPER(MID(_xlpm.DATA,1,1))&amp;LOWER(MID(_xlpm.DATA,2,LEN(_xlpm.DATA)-1)))</f>
        <v>Шляпа федора</v>
      </c>
      <c r="E245" s="81" t="str">
        <f ca="1">PROPER(_xlfn.XLOOKUP($A245,Строчный!$A:$A,Строчный!E:E,"ERR",0))</f>
        <v>The Hollywood</v>
      </c>
      <c r="F245" s="81" t="str">
        <f ca="1">LOWER(_xlfn.XLOOKUP($A245,Строчный!$A:$A,Строчный!F:F,"ERR",0))</f>
        <v>летний</v>
      </c>
      <c r="G245" s="81" t="str">
        <f ca="1">UPPER(_xlfn.XLOOKUP($A245,Строчный!$A:$A,Строчный!G:G,"ERR",0))</f>
        <v>BAILEY</v>
      </c>
      <c r="H245" s="81" t="str">
        <f ca="1">LOWER(_xlfn.XLOOKUP($A245,Строчный!$A:$A,Строчный!H:H,"ERR",0))</f>
        <v>media bleach</v>
      </c>
      <c r="I245" s="81" t="str">
        <f ca="1">LOWER(_xlfn.XLOOKUP($A245,Строчный!$A:$A,Строчный!I:I,"ERR",0))</f>
        <v>белый</v>
      </c>
      <c r="J245" s="81" t="str">
        <f ca="1">SUBSTITUTE(LOWER(_xlfn.XLOOKUP($A245,Строчный!$A:$A,Строчный!J:J,"ERR",0)),"подклад","Подклад")</f>
        <v>100% солома</v>
      </c>
      <c r="K245" s="81" t="str">
        <f ca="1">LOWER(_xlfn.XLOOKUP($A245,Строчный!$A:$A,Строчный!K:K,"ERR",0))</f>
        <v>соломенные</v>
      </c>
      <c r="L245" s="81" t="str">
        <f ca="1">PROPER(_xlfn.XLOOKUP($A245,Строчный!$A:$A,Строчный!L:L,"ERR",0))</f>
        <v>Унисекс</v>
      </c>
      <c r="M245" s="113" t="str">
        <f ca="1">PROPER(_xlfn.XLOOKUP($A245,Строчный!$A:$A,Строчный!M:M,"ERR",0))</f>
        <v>Соединенные Штаты</v>
      </c>
      <c r="N245" s="81" t="str">
        <f ca="1">UPPER(_xlfn.XLOOKUP($A245,Строчный!$A:$A,Строчный!O:O,"ERR",0))</f>
        <v/>
      </c>
      <c r="O245" s="107" t="str">
        <f ca="1">PROPER(_xlfn.XLOOKUP($A245,Строчный!$A:$A,Строчный!P:P,"ERR",0))</f>
        <v/>
      </c>
      <c r="P245" s="90">
        <f ca="1">VALUE(_xlfn.XLOOKUP($A245,Строчный!$A:$A,Строчный!N:N,"ERR",0))</f>
        <v>6002.0999999999995</v>
      </c>
      <c r="Q245" s="89" t="str">
        <f ca="1">_xlfn.XLOOKUP($G245,Фабрика!A:A,Фабрика!B:B,"ERR",0)</f>
        <v>Bollman Headwear Europe Ltd; 2 Merchants drive, Caelisle, Cumbria CA3 0JW, United Kingdom</v>
      </c>
      <c r="R245" s="80" t="str">
        <f ca="1">_xlfn.XLOOKUP(RIGHT(Z245,2),Размеры!D:D,Размеры!A:A,"ERR",0)</f>
        <v>55</v>
      </c>
      <c r="S245" s="80">
        <f ca="1">VALUE(_xlfn.XLOOKUP($Z245,Строчный!$R:$R,Строчный!T:T,"ERR",0))</f>
        <v>2</v>
      </c>
      <c r="T245" s="14" t="s">
        <v>265</v>
      </c>
      <c r="U245" s="101" t="str">
        <f t="shared" ca="1" si="23"/>
        <v>Шляпа BAILEY арт. 22721 BROOKS (белый)</v>
      </c>
      <c r="V245" s="100" t="str">
        <f t="shared" ca="1" si="24"/>
        <v>Шляпа BAILEY арт. 22721 BROOKS (белый) {media bleach}</v>
      </c>
      <c r="W245" s="18" t="str">
        <f t="shared" ca="1" si="25"/>
        <v>белый</v>
      </c>
      <c r="X245" s="18" t="str">
        <f t="shared" ca="1" si="26"/>
        <v>белый</v>
      </c>
      <c r="Y245" s="117" t="str">
        <f ca="1">_xlfn.LET(_xlpm.FormColors,_xlfn.XLOOKUP(A245,Строчный!A:A,Строчный!Q:Q,"",0),IF(_xlpm.FormColors=0,IFERROR(MID(I245,FIND("-",I245)+1,LEN(I245)),IFERROR(MID(I245,1,FIND("/",I245)-2),I245)),_xlpm.FormColors))</f>
        <v>белый</v>
      </c>
      <c r="Z245" s="73" t="str">
        <f ca="1"/>
        <v>21-209-17-55</v>
      </c>
      <c r="AA245" s="75" t="str">
        <f ca="1">VLOOKUP(C245,Группа!A:B,2,FALSE)</f>
        <v>Шляпа</v>
      </c>
      <c r="AB245" s="97" t="str">
        <f ca="1">IFERROR(VLOOKUP(R245,Размеры!A:C,3,FALSE),"")</f>
        <v>55 S</v>
      </c>
      <c r="AC245" s="97" t="str">
        <f ca="1">VLOOKUP(I245,ЦветПолный!A:B,2,FALSE)</f>
        <v>17</v>
      </c>
      <c r="AD245" s="97" t="str">
        <f ca="1">IFERROR(VLOOKUP(R245,Размеры!A:D,4,FALSE),"")</f>
        <v>55</v>
      </c>
      <c r="AE245" s="97">
        <f ca="1">IF(LEFT(IFERROR(VLOOKUP(LOOKUP(2,1/SEARCH(B245,Товары!A:A),Товары!A:A),Товары!A:B,2,0),""),6)=MID(Z245,1,6),1,0)</f>
        <v>1</v>
      </c>
      <c r="AG245" s="97">
        <f ca="1">SUMIF(Группа!A:A,C245,Группа!C:C)</f>
        <v>1</v>
      </c>
      <c r="AH245" s="97">
        <f ca="1">SUMIF(Группа!B:B,AA245,Группа!C:C)</f>
        <v>1</v>
      </c>
      <c r="AI245" s="97">
        <f ca="1">SUMIF(Формы!A:A,D245,Формы!B:B)</f>
        <v>1</v>
      </c>
      <c r="AJ245" s="97">
        <f ca="1">SUMIF(Материал!A:A,K245,Материал!B:B)</f>
        <v>1</v>
      </c>
      <c r="AK245" s="97">
        <f ca="1">SUMIF(Размеры!A:A,R245,Размеры!E:E)</f>
        <v>1</v>
      </c>
      <c r="AL245" s="97">
        <f ca="1">SUMIF(Сезон!A:A,F245,Сезон!B:B)</f>
        <v>1</v>
      </c>
      <c r="AM245" s="97">
        <f ca="1">SUMIF(Состав!A:A,J245,Состав!B:B)</f>
        <v>1</v>
      </c>
      <c r="AN245" s="97">
        <f ca="1">VLOOKUP(I245,ЦветПолный!A:C,3,0)</f>
        <v>1</v>
      </c>
      <c r="AO245" s="97">
        <f ca="1">SUMIF(Цвет!A:A,Y245,Цвет!B:B)</f>
        <v>1</v>
      </c>
      <c r="AP245" s="97">
        <f ca="1">_xlfn.XLOOKUP(L245,Пол!A:A,Пол!B:B,0,0)</f>
        <v>1</v>
      </c>
      <c r="AQ245" s="97">
        <f ca="1">SUMIF(Марка!A:A,G245,Марка!B:B)</f>
        <v>1</v>
      </c>
      <c r="AR245" s="97">
        <f ca="1">SUMIF(Страна!A:A,M245,Страна!B:B)</f>
        <v>1</v>
      </c>
      <c r="AS245" s="64" t="str">
        <f ca="1">IF(VLOOKUP(V245,Товары!A:B,2,FALSE)=A245,"Есть в 1С","ERR")</f>
        <v>Есть в 1С</v>
      </c>
      <c r="AT245" s="65" t="str">
        <f ca="1">IF(VLOOKUP(A245,Товары!B:B,1,FALSE)=A245,"Есть в 1С","ERR")</f>
        <v>Есть в 1С</v>
      </c>
      <c r="AU245" s="96" t="str">
        <f ca="1">VLOOKUP(V245,Товары!A:B,2,FALSE)</f>
        <v>21-209-17</v>
      </c>
      <c r="AV245" s="94" t="str">
        <f ca="1">VLOOKUP(V245,Товары!A:B,1,FALSE)</f>
        <v>Шляпа BAILEY арт. 22721 BROOKS (белый) {media bleach}</v>
      </c>
    </row>
    <row r="246" spans="1:48" x14ac:dyDescent="0.25">
      <c r="A246" s="110" t="str">
        <f t="shared" ca="1" si="27"/>
        <v>21-209-11</v>
      </c>
      <c r="B246" s="107" t="str">
        <f ca="1">_xlfn.LET(_xlpm.CAPS,0,_xlpm.Style,_xlfn.XLOOKUP($A246,Строчный!$A:$A,Строчный!B:B,"ERR",0),IF(_xlpm.CAPS=0,_xlpm.Style,LOWER(_xlpm.Style)))</f>
        <v>22721 BROOKS</v>
      </c>
      <c r="C246" s="81" t="str">
        <f ca="1">PROPER(_xlfn.XLOOKUP($A246,Строчный!$A:$A,Строчный!C:C,"ERR",0))</f>
        <v>Шляпы</v>
      </c>
      <c r="D246" s="81" t="str">
        <f ca="1">_xlfn.LET(_xlpm.DATA,(_xlfn.XLOOKUP($A246,Строчный!$A:$A,Строчный!D:D,"ERR",0)),UPPER(MID(_xlpm.DATA,1,1))&amp;LOWER(MID(_xlpm.DATA,2,LEN(_xlpm.DATA)-1)))</f>
        <v>Шляпа федора</v>
      </c>
      <c r="E246" s="81" t="str">
        <f ca="1">PROPER(_xlfn.XLOOKUP($A246,Строчный!$A:$A,Строчный!E:E,"ERR",0))</f>
        <v>The Hollywood</v>
      </c>
      <c r="F246" s="81" t="str">
        <f ca="1">LOWER(_xlfn.XLOOKUP($A246,Строчный!$A:$A,Строчный!F:F,"ERR",0))</f>
        <v>летний</v>
      </c>
      <c r="G246" s="81" t="str">
        <f ca="1">UPPER(_xlfn.XLOOKUP($A246,Строчный!$A:$A,Строчный!G:G,"ERR",0))</f>
        <v>BAILEY</v>
      </c>
      <c r="H246" s="81" t="str">
        <f ca="1">LOWER(_xlfn.XLOOKUP($A246,Строчный!$A:$A,Строчный!H:H,"ERR",0))</f>
        <v>kapok green</v>
      </c>
      <c r="I246" s="81" t="str">
        <f ca="1">LOWER(_xlfn.XLOOKUP($A246,Строчный!$A:$A,Строчный!I:I,"ERR",0))</f>
        <v>зеленый</v>
      </c>
      <c r="J246" s="81" t="str">
        <f ca="1">SUBSTITUTE(LOWER(_xlfn.XLOOKUP($A246,Строчный!$A:$A,Строчный!J:J,"ERR",0)),"подклад","Подклад")</f>
        <v>100% солома</v>
      </c>
      <c r="K246" s="81" t="str">
        <f ca="1">LOWER(_xlfn.XLOOKUP($A246,Строчный!$A:$A,Строчный!K:K,"ERR",0))</f>
        <v>соломенные</v>
      </c>
      <c r="L246" s="81" t="str">
        <f ca="1">PROPER(_xlfn.XLOOKUP($A246,Строчный!$A:$A,Строчный!L:L,"ERR",0))</f>
        <v>Унисекс</v>
      </c>
      <c r="M246" s="113" t="str">
        <f ca="1">PROPER(_xlfn.XLOOKUP($A246,Строчный!$A:$A,Строчный!M:M,"ERR",0))</f>
        <v>Соединенные Штаты</v>
      </c>
      <c r="N246" s="81" t="str">
        <f ca="1">UPPER(_xlfn.XLOOKUP($A246,Строчный!$A:$A,Строчный!O:O,"ERR",0))</f>
        <v/>
      </c>
      <c r="O246" s="107" t="str">
        <f ca="1">PROPER(_xlfn.XLOOKUP($A246,Строчный!$A:$A,Строчный!P:P,"ERR",0))</f>
        <v/>
      </c>
      <c r="P246" s="90">
        <f ca="1">VALUE(_xlfn.XLOOKUP($A246,Строчный!$A:$A,Строчный!N:N,"ERR",0))</f>
        <v>6002.0999999999995</v>
      </c>
      <c r="Q246" s="89" t="str">
        <f ca="1">_xlfn.XLOOKUP($G246,Фабрика!A:A,Фабрика!B:B,"ERR",0)</f>
        <v>Bollman Headwear Europe Ltd; 2 Merchants drive, Caelisle, Cumbria CA3 0JW, United Kingdom</v>
      </c>
      <c r="R246" s="80" t="str">
        <f ca="1">_xlfn.XLOOKUP(RIGHT(Z246,2),Размеры!D:D,Размеры!A:A,"ERR",0)</f>
        <v>61</v>
      </c>
      <c r="S246" s="80">
        <f ca="1">VALUE(_xlfn.XLOOKUP($Z246,Строчный!$R:$R,Строчный!T:T,"ERR",0))</f>
        <v>2</v>
      </c>
      <c r="T246" s="14" t="s">
        <v>265</v>
      </c>
      <c r="U246" s="101" t="str">
        <f t="shared" ref="U246:U309" ca="1" si="28">CONCATENATE(AA246," ",G246," арт. ",B246," (",I246,")")</f>
        <v>Шляпа BAILEY арт. 22721 BROOKS (зеленый)</v>
      </c>
      <c r="V246" s="100" t="str">
        <f t="shared" ref="V246:V309" ca="1" si="29">CONCATENATE(AA246," ",G246," арт. ",B246," (",I246,") {",H246,"}")</f>
        <v>Шляпа BAILEY арт. 22721 BROOKS (зеленый) {kapok green}</v>
      </c>
      <c r="W246" s="18" t="str">
        <f t="shared" ref="W246:W309" ca="1" si="30">IFERROR(MID(I246,FIND("-",I246)+1,LEN(I246)),IFERROR(MID(I246,1,FIND("/",I246)-2),I246))</f>
        <v>зеленый</v>
      </c>
      <c r="X246" s="18" t="str">
        <f t="shared" ref="X246:X309" ca="1" si="31">IFERROR(MID(I246,FIND("-",I246)+1,LEN(I246)),IFERROR(MID(I246,FIND("/",I246)+2,LEN(I246)),I246))</f>
        <v>зеленый</v>
      </c>
      <c r="Y246" s="117" t="str">
        <f ca="1">_xlfn.LET(_xlpm.FormColors,_xlfn.XLOOKUP(A246,Строчный!A:A,Строчный!Q:Q,"",0),IF(_xlpm.FormColors=0,IFERROR(MID(I246,FIND("-",I246)+1,LEN(I246)),IFERROR(MID(I246,1,FIND("/",I246)-2),I246)),_xlpm.FormColors))</f>
        <v>зеленый</v>
      </c>
      <c r="Z246" s="73" t="str">
        <f ca="1"/>
        <v>21-209-11-61</v>
      </c>
      <c r="AA246" s="75" t="str">
        <f ca="1">VLOOKUP(C246,Группа!A:B,2,FALSE)</f>
        <v>Шляпа</v>
      </c>
      <c r="AB246" s="97" t="str">
        <f ca="1">IFERROR(VLOOKUP(R246,Размеры!A:C,3,FALSE),"")</f>
        <v>61 XL</v>
      </c>
      <c r="AC246" s="97" t="str">
        <f ca="1">VLOOKUP(I246,ЦветПолный!A:B,2,FALSE)</f>
        <v>11</v>
      </c>
      <c r="AD246" s="97" t="str">
        <f ca="1">IFERROR(VLOOKUP(R246,Размеры!A:D,4,FALSE),"")</f>
        <v>61</v>
      </c>
      <c r="AE246" s="97">
        <f ca="1">IF(LEFT(IFERROR(VLOOKUP(LOOKUP(2,1/SEARCH(B246,Товары!A:A),Товары!A:A),Товары!A:B,2,0),""),6)=MID(Z246,1,6),1,0)</f>
        <v>1</v>
      </c>
      <c r="AG246" s="97">
        <f ca="1">SUMIF(Группа!A:A,C246,Группа!C:C)</f>
        <v>1</v>
      </c>
      <c r="AH246" s="97">
        <f ca="1">SUMIF(Группа!B:B,AA246,Группа!C:C)</f>
        <v>1</v>
      </c>
      <c r="AI246" s="97">
        <f ca="1">SUMIF(Формы!A:A,D246,Формы!B:B)</f>
        <v>1</v>
      </c>
      <c r="AJ246" s="97">
        <f ca="1">SUMIF(Материал!A:A,K246,Материал!B:B)</f>
        <v>1</v>
      </c>
      <c r="AK246" s="97">
        <f ca="1">SUMIF(Размеры!A:A,R246,Размеры!E:E)</f>
        <v>1</v>
      </c>
      <c r="AL246" s="97">
        <f ca="1">SUMIF(Сезон!A:A,F246,Сезон!B:B)</f>
        <v>1</v>
      </c>
      <c r="AM246" s="97">
        <f ca="1">SUMIF(Состав!A:A,J246,Состав!B:B)</f>
        <v>1</v>
      </c>
      <c r="AN246" s="97">
        <f ca="1">VLOOKUP(I246,ЦветПолный!A:C,3,0)</f>
        <v>1</v>
      </c>
      <c r="AO246" s="97">
        <f ca="1">SUMIF(Цвет!A:A,Y246,Цвет!B:B)</f>
        <v>1</v>
      </c>
      <c r="AP246" s="97">
        <f ca="1">_xlfn.XLOOKUP(L246,Пол!A:A,Пол!B:B,0,0)</f>
        <v>1</v>
      </c>
      <c r="AQ246" s="97">
        <f ca="1">SUMIF(Марка!A:A,G246,Марка!B:B)</f>
        <v>1</v>
      </c>
      <c r="AR246" s="97">
        <f ca="1">SUMIF(Страна!A:A,M246,Страна!B:B)</f>
        <v>1</v>
      </c>
      <c r="AS246" s="64" t="str">
        <f ca="1">IF(VLOOKUP(V246,Товары!A:B,2,FALSE)=A246,"Есть в 1С","ERR")</f>
        <v>Есть в 1С</v>
      </c>
      <c r="AT246" s="65" t="str">
        <f ca="1">IF(VLOOKUP(A246,Товары!B:B,1,FALSE)=A246,"Есть в 1С","ERR")</f>
        <v>Есть в 1С</v>
      </c>
      <c r="AU246" s="96" t="str">
        <f ca="1">VLOOKUP(V246,Товары!A:B,2,FALSE)</f>
        <v>21-209-11</v>
      </c>
      <c r="AV246" s="94" t="str">
        <f ca="1">VLOOKUP(V246,Товары!A:B,1,FALSE)</f>
        <v>Шляпа BAILEY арт. 22721 BROOKS (зеленый) {kapok green}</v>
      </c>
    </row>
    <row r="247" spans="1:48" x14ac:dyDescent="0.25">
      <c r="A247" s="110" t="str">
        <f t="shared" ca="1" si="27"/>
        <v>21-209-11</v>
      </c>
      <c r="B247" s="107" t="str">
        <f ca="1">_xlfn.LET(_xlpm.CAPS,0,_xlpm.Style,_xlfn.XLOOKUP($A247,Строчный!$A:$A,Строчный!B:B,"ERR",0),IF(_xlpm.CAPS=0,_xlpm.Style,LOWER(_xlpm.Style)))</f>
        <v>22721 BROOKS</v>
      </c>
      <c r="C247" s="81" t="str">
        <f ca="1">PROPER(_xlfn.XLOOKUP($A247,Строчный!$A:$A,Строчный!C:C,"ERR",0))</f>
        <v>Шляпы</v>
      </c>
      <c r="D247" s="81" t="str">
        <f ca="1">_xlfn.LET(_xlpm.DATA,(_xlfn.XLOOKUP($A247,Строчный!$A:$A,Строчный!D:D,"ERR",0)),UPPER(MID(_xlpm.DATA,1,1))&amp;LOWER(MID(_xlpm.DATA,2,LEN(_xlpm.DATA)-1)))</f>
        <v>Шляпа федора</v>
      </c>
      <c r="E247" s="81" t="str">
        <f ca="1">PROPER(_xlfn.XLOOKUP($A247,Строчный!$A:$A,Строчный!E:E,"ERR",0))</f>
        <v>The Hollywood</v>
      </c>
      <c r="F247" s="81" t="str">
        <f ca="1">LOWER(_xlfn.XLOOKUP($A247,Строчный!$A:$A,Строчный!F:F,"ERR",0))</f>
        <v>летний</v>
      </c>
      <c r="G247" s="81" t="str">
        <f ca="1">UPPER(_xlfn.XLOOKUP($A247,Строчный!$A:$A,Строчный!G:G,"ERR",0))</f>
        <v>BAILEY</v>
      </c>
      <c r="H247" s="81" t="str">
        <f ca="1">LOWER(_xlfn.XLOOKUP($A247,Строчный!$A:$A,Строчный!H:H,"ERR",0))</f>
        <v>kapok green</v>
      </c>
      <c r="I247" s="81" t="str">
        <f ca="1">LOWER(_xlfn.XLOOKUP($A247,Строчный!$A:$A,Строчный!I:I,"ERR",0))</f>
        <v>зеленый</v>
      </c>
      <c r="J247" s="81" t="str">
        <f ca="1">SUBSTITUTE(LOWER(_xlfn.XLOOKUP($A247,Строчный!$A:$A,Строчный!J:J,"ERR",0)),"подклад","Подклад")</f>
        <v>100% солома</v>
      </c>
      <c r="K247" s="81" t="str">
        <f ca="1">LOWER(_xlfn.XLOOKUP($A247,Строчный!$A:$A,Строчный!K:K,"ERR",0))</f>
        <v>соломенные</v>
      </c>
      <c r="L247" s="81" t="str">
        <f ca="1">PROPER(_xlfn.XLOOKUP($A247,Строчный!$A:$A,Строчный!L:L,"ERR",0))</f>
        <v>Унисекс</v>
      </c>
      <c r="M247" s="113" t="str">
        <f ca="1">PROPER(_xlfn.XLOOKUP($A247,Строчный!$A:$A,Строчный!M:M,"ERR",0))</f>
        <v>Соединенные Штаты</v>
      </c>
      <c r="N247" s="81" t="str">
        <f ca="1">UPPER(_xlfn.XLOOKUP($A247,Строчный!$A:$A,Строчный!O:O,"ERR",0))</f>
        <v/>
      </c>
      <c r="O247" s="107" t="str">
        <f ca="1">PROPER(_xlfn.XLOOKUP($A247,Строчный!$A:$A,Строчный!P:P,"ERR",0))</f>
        <v/>
      </c>
      <c r="P247" s="90">
        <f ca="1">VALUE(_xlfn.XLOOKUP($A247,Строчный!$A:$A,Строчный!N:N,"ERR",0))</f>
        <v>6002.0999999999995</v>
      </c>
      <c r="Q247" s="89" t="str">
        <f ca="1">_xlfn.XLOOKUP($G247,Фабрика!A:A,Фабрика!B:B,"ERR",0)</f>
        <v>Bollman Headwear Europe Ltd; 2 Merchants drive, Caelisle, Cumbria CA3 0JW, United Kingdom</v>
      </c>
      <c r="R247" s="80" t="str">
        <f ca="1">_xlfn.XLOOKUP(RIGHT(Z247,2),Размеры!D:D,Размеры!A:A,"ERR",0)</f>
        <v>59</v>
      </c>
      <c r="S247" s="80">
        <f ca="1">VALUE(_xlfn.XLOOKUP($Z247,Строчный!$R:$R,Строчный!T:T,"ERR",0))</f>
        <v>4</v>
      </c>
      <c r="T247" s="14" t="s">
        <v>265</v>
      </c>
      <c r="U247" s="101" t="str">
        <f t="shared" ca="1" si="28"/>
        <v>Шляпа BAILEY арт. 22721 BROOKS (зеленый)</v>
      </c>
      <c r="V247" s="100" t="str">
        <f t="shared" ca="1" si="29"/>
        <v>Шляпа BAILEY арт. 22721 BROOKS (зеленый) {kapok green}</v>
      </c>
      <c r="W247" s="18" t="str">
        <f t="shared" ca="1" si="30"/>
        <v>зеленый</v>
      </c>
      <c r="X247" s="18" t="str">
        <f t="shared" ca="1" si="31"/>
        <v>зеленый</v>
      </c>
      <c r="Y247" s="117" t="str">
        <f ca="1">_xlfn.LET(_xlpm.FormColors,_xlfn.XLOOKUP(A247,Строчный!A:A,Строчный!Q:Q,"",0),IF(_xlpm.FormColors=0,IFERROR(MID(I247,FIND("-",I247)+1,LEN(I247)),IFERROR(MID(I247,1,FIND("/",I247)-2),I247)),_xlpm.FormColors))</f>
        <v>зеленый</v>
      </c>
      <c r="Z247" s="73" t="str">
        <f ca="1"/>
        <v>21-209-11-59</v>
      </c>
      <c r="AA247" s="75" t="str">
        <f ca="1">VLOOKUP(C247,Группа!A:B,2,FALSE)</f>
        <v>Шляпа</v>
      </c>
      <c r="AB247" s="97" t="str">
        <f ca="1">IFERROR(VLOOKUP(R247,Размеры!A:C,3,FALSE),"")</f>
        <v>59 L</v>
      </c>
      <c r="AC247" s="97" t="str">
        <f ca="1">VLOOKUP(I247,ЦветПолный!A:B,2,FALSE)</f>
        <v>11</v>
      </c>
      <c r="AD247" s="97" t="str">
        <f ca="1">IFERROR(VLOOKUP(R247,Размеры!A:D,4,FALSE),"")</f>
        <v>59</v>
      </c>
      <c r="AE247" s="97">
        <f ca="1">IF(LEFT(IFERROR(VLOOKUP(LOOKUP(2,1/SEARCH(B247,Товары!A:A),Товары!A:A),Товары!A:B,2,0),""),6)=MID(Z247,1,6),1,0)</f>
        <v>1</v>
      </c>
      <c r="AG247" s="97">
        <f ca="1">SUMIF(Группа!A:A,C247,Группа!C:C)</f>
        <v>1</v>
      </c>
      <c r="AH247" s="97">
        <f ca="1">SUMIF(Группа!B:B,AA247,Группа!C:C)</f>
        <v>1</v>
      </c>
      <c r="AI247" s="97">
        <f ca="1">SUMIF(Формы!A:A,D247,Формы!B:B)</f>
        <v>1</v>
      </c>
      <c r="AJ247" s="97">
        <f ca="1">SUMIF(Материал!A:A,K247,Материал!B:B)</f>
        <v>1</v>
      </c>
      <c r="AK247" s="97">
        <f ca="1">SUMIF(Размеры!A:A,R247,Размеры!E:E)</f>
        <v>1</v>
      </c>
      <c r="AL247" s="97">
        <f ca="1">SUMIF(Сезон!A:A,F247,Сезон!B:B)</f>
        <v>1</v>
      </c>
      <c r="AM247" s="97">
        <f ca="1">SUMIF(Состав!A:A,J247,Состав!B:B)</f>
        <v>1</v>
      </c>
      <c r="AN247" s="97">
        <f ca="1">VLOOKUP(I247,ЦветПолный!A:C,3,0)</f>
        <v>1</v>
      </c>
      <c r="AO247" s="97">
        <f ca="1">SUMIF(Цвет!A:A,Y247,Цвет!B:B)</f>
        <v>1</v>
      </c>
      <c r="AP247" s="97">
        <f ca="1">_xlfn.XLOOKUP(L247,Пол!A:A,Пол!B:B,0,0)</f>
        <v>1</v>
      </c>
      <c r="AQ247" s="97">
        <f ca="1">SUMIF(Марка!A:A,G247,Марка!B:B)</f>
        <v>1</v>
      </c>
      <c r="AR247" s="97">
        <f ca="1">SUMIF(Страна!A:A,M247,Страна!B:B)</f>
        <v>1</v>
      </c>
      <c r="AS247" s="64" t="str">
        <f ca="1">IF(VLOOKUP(V247,Товары!A:B,2,FALSE)=A247,"Есть в 1С","ERR")</f>
        <v>Есть в 1С</v>
      </c>
      <c r="AT247" s="65" t="str">
        <f ca="1">IF(VLOOKUP(A247,Товары!B:B,1,FALSE)=A247,"Есть в 1С","ERR")</f>
        <v>Есть в 1С</v>
      </c>
      <c r="AU247" s="96" t="str">
        <f ca="1">VLOOKUP(V247,Товары!A:B,2,FALSE)</f>
        <v>21-209-11</v>
      </c>
      <c r="AV247" s="94" t="str">
        <f ca="1">VLOOKUP(V247,Товары!A:B,1,FALSE)</f>
        <v>Шляпа BAILEY арт. 22721 BROOKS (зеленый) {kapok green}</v>
      </c>
    </row>
    <row r="248" spans="1:48" x14ac:dyDescent="0.25">
      <c r="A248" s="110" t="str">
        <f t="shared" ca="1" si="27"/>
        <v>21-209-11</v>
      </c>
      <c r="B248" s="107" t="str">
        <f ca="1">_xlfn.LET(_xlpm.CAPS,0,_xlpm.Style,_xlfn.XLOOKUP($A248,Строчный!$A:$A,Строчный!B:B,"ERR",0),IF(_xlpm.CAPS=0,_xlpm.Style,LOWER(_xlpm.Style)))</f>
        <v>22721 BROOKS</v>
      </c>
      <c r="C248" s="81" t="str">
        <f ca="1">PROPER(_xlfn.XLOOKUP($A248,Строчный!$A:$A,Строчный!C:C,"ERR",0))</f>
        <v>Шляпы</v>
      </c>
      <c r="D248" s="81" t="str">
        <f ca="1">_xlfn.LET(_xlpm.DATA,(_xlfn.XLOOKUP($A248,Строчный!$A:$A,Строчный!D:D,"ERR",0)),UPPER(MID(_xlpm.DATA,1,1))&amp;LOWER(MID(_xlpm.DATA,2,LEN(_xlpm.DATA)-1)))</f>
        <v>Шляпа федора</v>
      </c>
      <c r="E248" s="81" t="str">
        <f ca="1">PROPER(_xlfn.XLOOKUP($A248,Строчный!$A:$A,Строчный!E:E,"ERR",0))</f>
        <v>The Hollywood</v>
      </c>
      <c r="F248" s="81" t="str">
        <f ca="1">LOWER(_xlfn.XLOOKUP($A248,Строчный!$A:$A,Строчный!F:F,"ERR",0))</f>
        <v>летний</v>
      </c>
      <c r="G248" s="81" t="str">
        <f ca="1">UPPER(_xlfn.XLOOKUP($A248,Строчный!$A:$A,Строчный!G:G,"ERR",0))</f>
        <v>BAILEY</v>
      </c>
      <c r="H248" s="81" t="str">
        <f ca="1">LOWER(_xlfn.XLOOKUP($A248,Строчный!$A:$A,Строчный!H:H,"ERR",0))</f>
        <v>kapok green</v>
      </c>
      <c r="I248" s="81" t="str">
        <f ca="1">LOWER(_xlfn.XLOOKUP($A248,Строчный!$A:$A,Строчный!I:I,"ERR",0))</f>
        <v>зеленый</v>
      </c>
      <c r="J248" s="81" t="str">
        <f ca="1">SUBSTITUTE(LOWER(_xlfn.XLOOKUP($A248,Строчный!$A:$A,Строчный!J:J,"ERR",0)),"подклад","Подклад")</f>
        <v>100% солома</v>
      </c>
      <c r="K248" s="81" t="str">
        <f ca="1">LOWER(_xlfn.XLOOKUP($A248,Строчный!$A:$A,Строчный!K:K,"ERR",0))</f>
        <v>соломенные</v>
      </c>
      <c r="L248" s="81" t="str">
        <f ca="1">PROPER(_xlfn.XLOOKUP($A248,Строчный!$A:$A,Строчный!L:L,"ERR",0))</f>
        <v>Унисекс</v>
      </c>
      <c r="M248" s="113" t="str">
        <f ca="1">PROPER(_xlfn.XLOOKUP($A248,Строчный!$A:$A,Строчный!M:M,"ERR",0))</f>
        <v>Соединенные Штаты</v>
      </c>
      <c r="N248" s="81" t="str">
        <f ca="1">UPPER(_xlfn.XLOOKUP($A248,Строчный!$A:$A,Строчный!O:O,"ERR",0))</f>
        <v/>
      </c>
      <c r="O248" s="107" t="str">
        <f ca="1">PROPER(_xlfn.XLOOKUP($A248,Строчный!$A:$A,Строчный!P:P,"ERR",0))</f>
        <v/>
      </c>
      <c r="P248" s="90">
        <f ca="1">VALUE(_xlfn.XLOOKUP($A248,Строчный!$A:$A,Строчный!N:N,"ERR",0))</f>
        <v>6002.0999999999995</v>
      </c>
      <c r="Q248" s="89" t="str">
        <f ca="1">_xlfn.XLOOKUP($G248,Фабрика!A:A,Фабрика!B:B,"ERR",0)</f>
        <v>Bollman Headwear Europe Ltd; 2 Merchants drive, Caelisle, Cumbria CA3 0JW, United Kingdom</v>
      </c>
      <c r="R248" s="80" t="str">
        <f ca="1">_xlfn.XLOOKUP(RIGHT(Z248,2),Размеры!D:D,Размеры!A:A,"ERR",0)</f>
        <v>57</v>
      </c>
      <c r="S248" s="80">
        <f ca="1">VALUE(_xlfn.XLOOKUP($Z248,Строчный!$R:$R,Строчный!T:T,"ERR",0))</f>
        <v>2</v>
      </c>
      <c r="T248" s="14" t="s">
        <v>265</v>
      </c>
      <c r="U248" s="101" t="str">
        <f t="shared" ca="1" si="28"/>
        <v>Шляпа BAILEY арт. 22721 BROOKS (зеленый)</v>
      </c>
      <c r="V248" s="100" t="str">
        <f t="shared" ca="1" si="29"/>
        <v>Шляпа BAILEY арт. 22721 BROOKS (зеленый) {kapok green}</v>
      </c>
      <c r="W248" s="18" t="str">
        <f t="shared" ca="1" si="30"/>
        <v>зеленый</v>
      </c>
      <c r="X248" s="18" t="str">
        <f t="shared" ca="1" si="31"/>
        <v>зеленый</v>
      </c>
      <c r="Y248" s="117" t="str">
        <f ca="1">_xlfn.LET(_xlpm.FormColors,_xlfn.XLOOKUP(A248,Строчный!A:A,Строчный!Q:Q,"",0),IF(_xlpm.FormColors=0,IFERROR(MID(I248,FIND("-",I248)+1,LEN(I248)),IFERROR(MID(I248,1,FIND("/",I248)-2),I248)),_xlpm.FormColors))</f>
        <v>зеленый</v>
      </c>
      <c r="Z248" s="73" t="str">
        <f ca="1"/>
        <v>21-209-11-57</v>
      </c>
      <c r="AA248" s="75" t="str">
        <f ca="1">VLOOKUP(C248,Группа!A:B,2,FALSE)</f>
        <v>Шляпа</v>
      </c>
      <c r="AB248" s="97" t="str">
        <f ca="1">IFERROR(VLOOKUP(R248,Размеры!A:C,3,FALSE),"")</f>
        <v>57 M</v>
      </c>
      <c r="AC248" s="97" t="str">
        <f ca="1">VLOOKUP(I248,ЦветПолный!A:B,2,FALSE)</f>
        <v>11</v>
      </c>
      <c r="AD248" s="97" t="str">
        <f ca="1">IFERROR(VLOOKUP(R248,Размеры!A:D,4,FALSE),"")</f>
        <v>57</v>
      </c>
      <c r="AE248" s="97">
        <f ca="1">IF(LEFT(IFERROR(VLOOKUP(LOOKUP(2,1/SEARCH(B248,Товары!A:A),Товары!A:A),Товары!A:B,2,0),""),6)=MID(Z248,1,6),1,0)</f>
        <v>1</v>
      </c>
      <c r="AG248" s="97">
        <f ca="1">SUMIF(Группа!A:A,C248,Группа!C:C)</f>
        <v>1</v>
      </c>
      <c r="AH248" s="97">
        <f ca="1">SUMIF(Группа!B:B,AA248,Группа!C:C)</f>
        <v>1</v>
      </c>
      <c r="AI248" s="97">
        <f ca="1">SUMIF(Формы!A:A,D248,Формы!B:B)</f>
        <v>1</v>
      </c>
      <c r="AJ248" s="97">
        <f ca="1">SUMIF(Материал!A:A,K248,Материал!B:B)</f>
        <v>1</v>
      </c>
      <c r="AK248" s="97">
        <f ca="1">SUMIF(Размеры!A:A,R248,Размеры!E:E)</f>
        <v>1</v>
      </c>
      <c r="AL248" s="97">
        <f ca="1">SUMIF(Сезон!A:A,F248,Сезон!B:B)</f>
        <v>1</v>
      </c>
      <c r="AM248" s="97">
        <f ca="1">SUMIF(Состав!A:A,J248,Состав!B:B)</f>
        <v>1</v>
      </c>
      <c r="AN248" s="97">
        <f ca="1">VLOOKUP(I248,ЦветПолный!A:C,3,0)</f>
        <v>1</v>
      </c>
      <c r="AO248" s="97">
        <f ca="1">SUMIF(Цвет!A:A,Y248,Цвет!B:B)</f>
        <v>1</v>
      </c>
      <c r="AP248" s="97">
        <f ca="1">_xlfn.XLOOKUP(L248,Пол!A:A,Пол!B:B,0,0)</f>
        <v>1</v>
      </c>
      <c r="AQ248" s="97">
        <f ca="1">SUMIF(Марка!A:A,G248,Марка!B:B)</f>
        <v>1</v>
      </c>
      <c r="AR248" s="97">
        <f ca="1">SUMIF(Страна!A:A,M248,Страна!B:B)</f>
        <v>1</v>
      </c>
      <c r="AS248" s="64" t="str">
        <f ca="1">IF(VLOOKUP(V248,Товары!A:B,2,FALSE)=A248,"Есть в 1С","ERR")</f>
        <v>Есть в 1С</v>
      </c>
      <c r="AT248" s="65" t="str">
        <f ca="1">IF(VLOOKUP(A248,Товары!B:B,1,FALSE)=A248,"Есть в 1С","ERR")</f>
        <v>Есть в 1С</v>
      </c>
      <c r="AU248" s="96" t="str">
        <f ca="1">VLOOKUP(V248,Товары!A:B,2,FALSE)</f>
        <v>21-209-11</v>
      </c>
      <c r="AV248" s="94" t="str">
        <f ca="1">VLOOKUP(V248,Товары!A:B,1,FALSE)</f>
        <v>Шляпа BAILEY арт. 22721 BROOKS (зеленый) {kapok green}</v>
      </c>
    </row>
    <row r="249" spans="1:48" x14ac:dyDescent="0.25">
      <c r="A249" s="110" t="str">
        <f t="shared" ca="1" si="27"/>
        <v>21-209-06</v>
      </c>
      <c r="B249" s="107" t="str">
        <f ca="1">_xlfn.LET(_xlpm.CAPS,0,_xlpm.Style,_xlfn.XLOOKUP($A249,Строчный!$A:$A,Строчный!B:B,"ERR",0),IF(_xlpm.CAPS=0,_xlpm.Style,LOWER(_xlpm.Style)))</f>
        <v>22721 BROOKS</v>
      </c>
      <c r="C249" s="81" t="str">
        <f ca="1">PROPER(_xlfn.XLOOKUP($A249,Строчный!$A:$A,Строчный!C:C,"ERR",0))</f>
        <v>Шляпы</v>
      </c>
      <c r="D249" s="81" t="str">
        <f ca="1">_xlfn.LET(_xlpm.DATA,(_xlfn.XLOOKUP($A249,Строчный!$A:$A,Строчный!D:D,"ERR",0)),UPPER(MID(_xlpm.DATA,1,1))&amp;LOWER(MID(_xlpm.DATA,2,LEN(_xlpm.DATA)-1)))</f>
        <v>Шляпа федора</v>
      </c>
      <c r="E249" s="81" t="str">
        <f ca="1">PROPER(_xlfn.XLOOKUP($A249,Строчный!$A:$A,Строчный!E:E,"ERR",0))</f>
        <v>The Hollywood</v>
      </c>
      <c r="F249" s="81" t="str">
        <f ca="1">LOWER(_xlfn.XLOOKUP($A249,Строчный!$A:$A,Строчный!F:F,"ERR",0))</f>
        <v>летний</v>
      </c>
      <c r="G249" s="81" t="str">
        <f ca="1">UPPER(_xlfn.XLOOKUP($A249,Строчный!$A:$A,Строчный!G:G,"ERR",0))</f>
        <v>BAILEY</v>
      </c>
      <c r="H249" s="81" t="str">
        <f ca="1">LOWER(_xlfn.XLOOKUP($A249,Строчный!$A:$A,Строчный!H:H,"ERR",0))</f>
        <v>denim</v>
      </c>
      <c r="I249" s="81" t="str">
        <f ca="1">LOWER(_xlfn.XLOOKUP($A249,Строчный!$A:$A,Строчный!I:I,"ERR",0))</f>
        <v>синий</v>
      </c>
      <c r="J249" s="81" t="str">
        <f ca="1">SUBSTITUTE(LOWER(_xlfn.XLOOKUP($A249,Строчный!$A:$A,Строчный!J:J,"ERR",0)),"подклад","Подклад")</f>
        <v>100% солома токилла</v>
      </c>
      <c r="K249" s="81" t="str">
        <f ca="1">LOWER(_xlfn.XLOOKUP($A249,Строчный!$A:$A,Строчный!K:K,"ERR",0))</f>
        <v>соломенные</v>
      </c>
      <c r="L249" s="81" t="str">
        <f ca="1">PROPER(_xlfn.XLOOKUP($A249,Строчный!$A:$A,Строчный!L:L,"ERR",0))</f>
        <v>Унисекс</v>
      </c>
      <c r="M249" s="113" t="str">
        <f ca="1">PROPER(_xlfn.XLOOKUP($A249,Строчный!$A:$A,Строчный!M:M,"ERR",0))</f>
        <v>Соединенные Штаты</v>
      </c>
      <c r="N249" s="81" t="str">
        <f ca="1">UPPER(_xlfn.XLOOKUP($A249,Строчный!$A:$A,Строчный!O:O,"ERR",0))</f>
        <v/>
      </c>
      <c r="O249" s="107" t="str">
        <f ca="1">PROPER(_xlfn.XLOOKUP($A249,Строчный!$A:$A,Строчный!P:P,"ERR",0))</f>
        <v/>
      </c>
      <c r="P249" s="90">
        <f ca="1">VALUE(_xlfn.XLOOKUP($A249,Строчный!$A:$A,Строчный!N:N,"ERR",0))</f>
        <v>6002.0999999999995</v>
      </c>
      <c r="Q249" s="89" t="str">
        <f ca="1">_xlfn.XLOOKUP($G249,Фабрика!A:A,Фабрика!B:B,"ERR",0)</f>
        <v>Bollman Headwear Europe Ltd; 2 Merchants drive, Caelisle, Cumbria CA3 0JW, United Kingdom</v>
      </c>
      <c r="R249" s="80" t="str">
        <f ca="1">_xlfn.XLOOKUP(RIGHT(Z249,2),Размеры!D:D,Размеры!A:A,"ERR",0)</f>
        <v>63</v>
      </c>
      <c r="S249" s="80">
        <f ca="1">VALUE(_xlfn.XLOOKUP($Z249,Строчный!$R:$R,Строчный!T:T,"ERR",0))</f>
        <v>1</v>
      </c>
      <c r="T249" s="14" t="s">
        <v>265</v>
      </c>
      <c r="U249" s="101" t="str">
        <f t="shared" ca="1" si="28"/>
        <v>Шляпа BAILEY арт. 22721 BROOKS (синий)</v>
      </c>
      <c r="V249" s="100" t="str">
        <f t="shared" ca="1" si="29"/>
        <v>Шляпа BAILEY арт. 22721 BROOKS (синий) {denim}</v>
      </c>
      <c r="W249" s="18" t="str">
        <f t="shared" ca="1" si="30"/>
        <v>синий</v>
      </c>
      <c r="X249" s="18" t="str">
        <f t="shared" ca="1" si="31"/>
        <v>синий</v>
      </c>
      <c r="Y249" s="117" t="str">
        <f ca="1">_xlfn.LET(_xlpm.FormColors,_xlfn.XLOOKUP(A249,Строчный!A:A,Строчный!Q:Q,"",0),IF(_xlpm.FormColors=0,IFERROR(MID(I249,FIND("-",I249)+1,LEN(I249)),IFERROR(MID(I249,1,FIND("/",I249)-2),I249)),_xlpm.FormColors))</f>
        <v>синий</v>
      </c>
      <c r="Z249" s="73" t="str">
        <f ca="1"/>
        <v>21-209-06-63</v>
      </c>
      <c r="AA249" s="75" t="str">
        <f ca="1">VLOOKUP(C249,Группа!A:B,2,FALSE)</f>
        <v>Шляпа</v>
      </c>
      <c r="AB249" s="97" t="str">
        <f ca="1">IFERROR(VLOOKUP(R249,Размеры!A:C,3,FALSE),"")</f>
        <v>63 XXL</v>
      </c>
      <c r="AC249" s="97" t="str">
        <f ca="1">VLOOKUP(I249,ЦветПолный!A:B,2,FALSE)</f>
        <v>06</v>
      </c>
      <c r="AD249" s="97" t="str">
        <f ca="1">IFERROR(VLOOKUP(R249,Размеры!A:D,4,FALSE),"")</f>
        <v>63</v>
      </c>
      <c r="AE249" s="97">
        <f ca="1">IF(LEFT(IFERROR(VLOOKUP(LOOKUP(2,1/SEARCH(B249,Товары!A:A),Товары!A:A),Товары!A:B,2,0),""),6)=MID(Z249,1,6),1,0)</f>
        <v>1</v>
      </c>
      <c r="AG249" s="97">
        <f ca="1">SUMIF(Группа!A:A,C249,Группа!C:C)</f>
        <v>1</v>
      </c>
      <c r="AH249" s="97">
        <f ca="1">SUMIF(Группа!B:B,AA249,Группа!C:C)</f>
        <v>1</v>
      </c>
      <c r="AI249" s="97">
        <f ca="1">SUMIF(Формы!A:A,D249,Формы!B:B)</f>
        <v>1</v>
      </c>
      <c r="AJ249" s="97">
        <f ca="1">SUMIF(Материал!A:A,K249,Материал!B:B)</f>
        <v>1</v>
      </c>
      <c r="AK249" s="97">
        <f ca="1">SUMIF(Размеры!A:A,R249,Размеры!E:E)</f>
        <v>1</v>
      </c>
      <c r="AL249" s="97">
        <f ca="1">SUMIF(Сезон!A:A,F249,Сезон!B:B)</f>
        <v>1</v>
      </c>
      <c r="AM249" s="97">
        <f ca="1">SUMIF(Состав!A:A,J249,Состав!B:B)</f>
        <v>1</v>
      </c>
      <c r="AN249" s="97">
        <f ca="1">VLOOKUP(I249,ЦветПолный!A:C,3,0)</f>
        <v>1</v>
      </c>
      <c r="AO249" s="97">
        <f ca="1">SUMIF(Цвет!A:A,Y249,Цвет!B:B)</f>
        <v>1</v>
      </c>
      <c r="AP249" s="97">
        <f ca="1">_xlfn.XLOOKUP(L249,Пол!A:A,Пол!B:B,0,0)</f>
        <v>1</v>
      </c>
      <c r="AQ249" s="97">
        <f ca="1">SUMIF(Марка!A:A,G249,Марка!B:B)</f>
        <v>1</v>
      </c>
      <c r="AR249" s="97">
        <f ca="1">SUMIF(Страна!A:A,M249,Страна!B:B)</f>
        <v>1</v>
      </c>
      <c r="AS249" s="64" t="str">
        <f ca="1">IF(VLOOKUP(V249,Товары!A:B,2,FALSE)=A249,"Есть в 1С","ERR")</f>
        <v>Есть в 1С</v>
      </c>
      <c r="AT249" s="65" t="str">
        <f ca="1">IF(VLOOKUP(A249,Товары!B:B,1,FALSE)=A249,"Есть в 1С","ERR")</f>
        <v>Есть в 1С</v>
      </c>
      <c r="AU249" s="96" t="str">
        <f ca="1">VLOOKUP(V249,Товары!A:B,2,FALSE)</f>
        <v>21-209-06</v>
      </c>
      <c r="AV249" s="94" t="str">
        <f ca="1">VLOOKUP(V249,Товары!A:B,1,FALSE)</f>
        <v>Шляпа BAILEY арт. 22721 BROOKS (синий) {denim}</v>
      </c>
    </row>
    <row r="250" spans="1:48" x14ac:dyDescent="0.25">
      <c r="A250" s="110" t="str">
        <f t="shared" ca="1" si="27"/>
        <v>21-209-06</v>
      </c>
      <c r="B250" s="107" t="str">
        <f ca="1">_xlfn.LET(_xlpm.CAPS,0,_xlpm.Style,_xlfn.XLOOKUP($A250,Строчный!$A:$A,Строчный!B:B,"ERR",0),IF(_xlpm.CAPS=0,_xlpm.Style,LOWER(_xlpm.Style)))</f>
        <v>22721 BROOKS</v>
      </c>
      <c r="C250" s="81" t="str">
        <f ca="1">PROPER(_xlfn.XLOOKUP($A250,Строчный!$A:$A,Строчный!C:C,"ERR",0))</f>
        <v>Шляпы</v>
      </c>
      <c r="D250" s="81" t="str">
        <f ca="1">_xlfn.LET(_xlpm.DATA,(_xlfn.XLOOKUP($A250,Строчный!$A:$A,Строчный!D:D,"ERR",0)),UPPER(MID(_xlpm.DATA,1,1))&amp;LOWER(MID(_xlpm.DATA,2,LEN(_xlpm.DATA)-1)))</f>
        <v>Шляпа федора</v>
      </c>
      <c r="E250" s="81" t="str">
        <f ca="1">PROPER(_xlfn.XLOOKUP($A250,Строчный!$A:$A,Строчный!E:E,"ERR",0))</f>
        <v>The Hollywood</v>
      </c>
      <c r="F250" s="81" t="str">
        <f ca="1">LOWER(_xlfn.XLOOKUP($A250,Строчный!$A:$A,Строчный!F:F,"ERR",0))</f>
        <v>летний</v>
      </c>
      <c r="G250" s="81" t="str">
        <f ca="1">UPPER(_xlfn.XLOOKUP($A250,Строчный!$A:$A,Строчный!G:G,"ERR",0))</f>
        <v>BAILEY</v>
      </c>
      <c r="H250" s="81" t="str">
        <f ca="1">LOWER(_xlfn.XLOOKUP($A250,Строчный!$A:$A,Строчный!H:H,"ERR",0))</f>
        <v>denim</v>
      </c>
      <c r="I250" s="81" t="str">
        <f ca="1">LOWER(_xlfn.XLOOKUP($A250,Строчный!$A:$A,Строчный!I:I,"ERR",0))</f>
        <v>синий</v>
      </c>
      <c r="J250" s="81" t="str">
        <f ca="1">SUBSTITUTE(LOWER(_xlfn.XLOOKUP($A250,Строчный!$A:$A,Строчный!J:J,"ERR",0)),"подклад","Подклад")</f>
        <v>100% солома токилла</v>
      </c>
      <c r="K250" s="81" t="str">
        <f ca="1">LOWER(_xlfn.XLOOKUP($A250,Строчный!$A:$A,Строчный!K:K,"ERR",0))</f>
        <v>соломенные</v>
      </c>
      <c r="L250" s="81" t="str">
        <f ca="1">PROPER(_xlfn.XLOOKUP($A250,Строчный!$A:$A,Строчный!L:L,"ERR",0))</f>
        <v>Унисекс</v>
      </c>
      <c r="M250" s="113" t="str">
        <f ca="1">PROPER(_xlfn.XLOOKUP($A250,Строчный!$A:$A,Строчный!M:M,"ERR",0))</f>
        <v>Соединенные Штаты</v>
      </c>
      <c r="N250" s="81" t="str">
        <f ca="1">UPPER(_xlfn.XLOOKUP($A250,Строчный!$A:$A,Строчный!O:O,"ERR",0))</f>
        <v/>
      </c>
      <c r="O250" s="107" t="str">
        <f ca="1">PROPER(_xlfn.XLOOKUP($A250,Строчный!$A:$A,Строчный!P:P,"ERR",0))</f>
        <v/>
      </c>
      <c r="P250" s="90">
        <f ca="1">VALUE(_xlfn.XLOOKUP($A250,Строчный!$A:$A,Строчный!N:N,"ERR",0))</f>
        <v>6002.0999999999995</v>
      </c>
      <c r="Q250" s="89" t="str">
        <f ca="1">_xlfn.XLOOKUP($G250,Фабрика!A:A,Фабрика!B:B,"ERR",0)</f>
        <v>Bollman Headwear Europe Ltd; 2 Merchants drive, Caelisle, Cumbria CA3 0JW, United Kingdom</v>
      </c>
      <c r="R250" s="80" t="str">
        <f ca="1">_xlfn.XLOOKUP(RIGHT(Z250,2),Размеры!D:D,Размеры!A:A,"ERR",0)</f>
        <v>61</v>
      </c>
      <c r="S250" s="80">
        <f ca="1">VALUE(_xlfn.XLOOKUP($Z250,Строчный!$R:$R,Строчный!T:T,"ERR",0))</f>
        <v>3</v>
      </c>
      <c r="T250" s="14" t="s">
        <v>265</v>
      </c>
      <c r="U250" s="101" t="str">
        <f t="shared" ca="1" si="28"/>
        <v>Шляпа BAILEY арт. 22721 BROOKS (синий)</v>
      </c>
      <c r="V250" s="100" t="str">
        <f t="shared" ca="1" si="29"/>
        <v>Шляпа BAILEY арт. 22721 BROOKS (синий) {denim}</v>
      </c>
      <c r="W250" s="18" t="str">
        <f t="shared" ca="1" si="30"/>
        <v>синий</v>
      </c>
      <c r="X250" s="18" t="str">
        <f t="shared" ca="1" si="31"/>
        <v>синий</v>
      </c>
      <c r="Y250" s="117" t="str">
        <f ca="1">_xlfn.LET(_xlpm.FormColors,_xlfn.XLOOKUP(A250,Строчный!A:A,Строчный!Q:Q,"",0),IF(_xlpm.FormColors=0,IFERROR(MID(I250,FIND("-",I250)+1,LEN(I250)),IFERROR(MID(I250,1,FIND("/",I250)-2),I250)),_xlpm.FormColors))</f>
        <v>синий</v>
      </c>
      <c r="Z250" s="73" t="str">
        <f ca="1"/>
        <v>21-209-06-61</v>
      </c>
      <c r="AA250" s="75" t="str">
        <f ca="1">VLOOKUP(C250,Группа!A:B,2,FALSE)</f>
        <v>Шляпа</v>
      </c>
      <c r="AB250" s="97" t="str">
        <f ca="1">IFERROR(VLOOKUP(R250,Размеры!A:C,3,FALSE),"")</f>
        <v>61 XL</v>
      </c>
      <c r="AC250" s="97" t="str">
        <f ca="1">VLOOKUP(I250,ЦветПолный!A:B,2,FALSE)</f>
        <v>06</v>
      </c>
      <c r="AD250" s="97" t="str">
        <f ca="1">IFERROR(VLOOKUP(R250,Размеры!A:D,4,FALSE),"")</f>
        <v>61</v>
      </c>
      <c r="AE250" s="97">
        <f ca="1">IF(LEFT(IFERROR(VLOOKUP(LOOKUP(2,1/SEARCH(B250,Товары!A:A),Товары!A:A),Товары!A:B,2,0),""),6)=MID(Z250,1,6),1,0)</f>
        <v>1</v>
      </c>
      <c r="AG250" s="97">
        <f ca="1">SUMIF(Группа!A:A,C250,Группа!C:C)</f>
        <v>1</v>
      </c>
      <c r="AH250" s="97">
        <f ca="1">SUMIF(Группа!B:B,AA250,Группа!C:C)</f>
        <v>1</v>
      </c>
      <c r="AI250" s="97">
        <f ca="1">SUMIF(Формы!A:A,D250,Формы!B:B)</f>
        <v>1</v>
      </c>
      <c r="AJ250" s="97">
        <f ca="1">SUMIF(Материал!A:A,K250,Материал!B:B)</f>
        <v>1</v>
      </c>
      <c r="AK250" s="97">
        <f ca="1">SUMIF(Размеры!A:A,R250,Размеры!E:E)</f>
        <v>1</v>
      </c>
      <c r="AL250" s="97">
        <f ca="1">SUMIF(Сезон!A:A,F250,Сезон!B:B)</f>
        <v>1</v>
      </c>
      <c r="AM250" s="97">
        <f ca="1">SUMIF(Состав!A:A,J250,Состав!B:B)</f>
        <v>1</v>
      </c>
      <c r="AN250" s="97">
        <f ca="1">VLOOKUP(I250,ЦветПолный!A:C,3,0)</f>
        <v>1</v>
      </c>
      <c r="AO250" s="97">
        <f ca="1">SUMIF(Цвет!A:A,Y250,Цвет!B:B)</f>
        <v>1</v>
      </c>
      <c r="AP250" s="97">
        <f ca="1">_xlfn.XLOOKUP(L250,Пол!A:A,Пол!B:B,0,0)</f>
        <v>1</v>
      </c>
      <c r="AQ250" s="97">
        <f ca="1">SUMIF(Марка!A:A,G250,Марка!B:B)</f>
        <v>1</v>
      </c>
      <c r="AR250" s="97">
        <f ca="1">SUMIF(Страна!A:A,M250,Страна!B:B)</f>
        <v>1</v>
      </c>
      <c r="AS250" s="64" t="str">
        <f ca="1">IF(VLOOKUP(V250,Товары!A:B,2,FALSE)=A250,"Есть в 1С","ERR")</f>
        <v>Есть в 1С</v>
      </c>
      <c r="AT250" s="65" t="str">
        <f ca="1">IF(VLOOKUP(A250,Товары!B:B,1,FALSE)=A250,"Есть в 1С","ERR")</f>
        <v>Есть в 1С</v>
      </c>
      <c r="AU250" s="96" t="str">
        <f ca="1">VLOOKUP(V250,Товары!A:B,2,FALSE)</f>
        <v>21-209-06</v>
      </c>
      <c r="AV250" s="94" t="str">
        <f ca="1">VLOOKUP(V250,Товары!A:B,1,FALSE)</f>
        <v>Шляпа BAILEY арт. 22721 BROOKS (синий) {denim}</v>
      </c>
    </row>
    <row r="251" spans="1:48" x14ac:dyDescent="0.25">
      <c r="A251" s="110" t="str">
        <f t="shared" ca="1" si="27"/>
        <v>21-209-06</v>
      </c>
      <c r="B251" s="107" t="str">
        <f ca="1">_xlfn.LET(_xlpm.CAPS,0,_xlpm.Style,_xlfn.XLOOKUP($A251,Строчный!$A:$A,Строчный!B:B,"ERR",0),IF(_xlpm.CAPS=0,_xlpm.Style,LOWER(_xlpm.Style)))</f>
        <v>22721 BROOKS</v>
      </c>
      <c r="C251" s="81" t="str">
        <f ca="1">PROPER(_xlfn.XLOOKUP($A251,Строчный!$A:$A,Строчный!C:C,"ERR",0))</f>
        <v>Шляпы</v>
      </c>
      <c r="D251" s="81" t="str">
        <f ca="1">_xlfn.LET(_xlpm.DATA,(_xlfn.XLOOKUP($A251,Строчный!$A:$A,Строчный!D:D,"ERR",0)),UPPER(MID(_xlpm.DATA,1,1))&amp;LOWER(MID(_xlpm.DATA,2,LEN(_xlpm.DATA)-1)))</f>
        <v>Шляпа федора</v>
      </c>
      <c r="E251" s="81" t="str">
        <f ca="1">PROPER(_xlfn.XLOOKUP($A251,Строчный!$A:$A,Строчный!E:E,"ERR",0))</f>
        <v>The Hollywood</v>
      </c>
      <c r="F251" s="81" t="str">
        <f ca="1">LOWER(_xlfn.XLOOKUP($A251,Строчный!$A:$A,Строчный!F:F,"ERR",0))</f>
        <v>летний</v>
      </c>
      <c r="G251" s="81" t="str">
        <f ca="1">UPPER(_xlfn.XLOOKUP($A251,Строчный!$A:$A,Строчный!G:G,"ERR",0))</f>
        <v>BAILEY</v>
      </c>
      <c r="H251" s="81" t="str">
        <f ca="1">LOWER(_xlfn.XLOOKUP($A251,Строчный!$A:$A,Строчный!H:H,"ERR",0))</f>
        <v>denim</v>
      </c>
      <c r="I251" s="81" t="str">
        <f ca="1">LOWER(_xlfn.XLOOKUP($A251,Строчный!$A:$A,Строчный!I:I,"ERR",0))</f>
        <v>синий</v>
      </c>
      <c r="J251" s="81" t="str">
        <f ca="1">SUBSTITUTE(LOWER(_xlfn.XLOOKUP($A251,Строчный!$A:$A,Строчный!J:J,"ERR",0)),"подклад","Подклад")</f>
        <v>100% солома токилла</v>
      </c>
      <c r="K251" s="81" t="str">
        <f ca="1">LOWER(_xlfn.XLOOKUP($A251,Строчный!$A:$A,Строчный!K:K,"ERR",0))</f>
        <v>соломенные</v>
      </c>
      <c r="L251" s="81" t="str">
        <f ca="1">PROPER(_xlfn.XLOOKUP($A251,Строчный!$A:$A,Строчный!L:L,"ERR",0))</f>
        <v>Унисекс</v>
      </c>
      <c r="M251" s="113" t="str">
        <f ca="1">PROPER(_xlfn.XLOOKUP($A251,Строчный!$A:$A,Строчный!M:M,"ERR",0))</f>
        <v>Соединенные Штаты</v>
      </c>
      <c r="N251" s="81" t="str">
        <f ca="1">UPPER(_xlfn.XLOOKUP($A251,Строчный!$A:$A,Строчный!O:O,"ERR",0))</f>
        <v/>
      </c>
      <c r="O251" s="107" t="str">
        <f ca="1">PROPER(_xlfn.XLOOKUP($A251,Строчный!$A:$A,Строчный!P:P,"ERR",0))</f>
        <v/>
      </c>
      <c r="P251" s="90">
        <f ca="1">VALUE(_xlfn.XLOOKUP($A251,Строчный!$A:$A,Строчный!N:N,"ERR",0))</f>
        <v>6002.0999999999995</v>
      </c>
      <c r="Q251" s="89" t="str">
        <f ca="1">_xlfn.XLOOKUP($G251,Фабрика!A:A,Фабрика!B:B,"ERR",0)</f>
        <v>Bollman Headwear Europe Ltd; 2 Merchants drive, Caelisle, Cumbria CA3 0JW, United Kingdom</v>
      </c>
      <c r="R251" s="80" t="str">
        <f ca="1">_xlfn.XLOOKUP(RIGHT(Z251,2),Размеры!D:D,Размеры!A:A,"ERR",0)</f>
        <v>59</v>
      </c>
      <c r="S251" s="80">
        <f ca="1">VALUE(_xlfn.XLOOKUP($Z251,Строчный!$R:$R,Строчный!T:T,"ERR",0))</f>
        <v>4</v>
      </c>
      <c r="T251" s="14" t="s">
        <v>265</v>
      </c>
      <c r="U251" s="101" t="str">
        <f t="shared" ca="1" si="28"/>
        <v>Шляпа BAILEY арт. 22721 BROOKS (синий)</v>
      </c>
      <c r="V251" s="100" t="str">
        <f t="shared" ca="1" si="29"/>
        <v>Шляпа BAILEY арт. 22721 BROOKS (синий) {denim}</v>
      </c>
      <c r="W251" s="18" t="str">
        <f t="shared" ca="1" si="30"/>
        <v>синий</v>
      </c>
      <c r="X251" s="18" t="str">
        <f t="shared" ca="1" si="31"/>
        <v>синий</v>
      </c>
      <c r="Y251" s="117" t="str">
        <f ca="1">_xlfn.LET(_xlpm.FormColors,_xlfn.XLOOKUP(A251,Строчный!A:A,Строчный!Q:Q,"",0),IF(_xlpm.FormColors=0,IFERROR(MID(I251,FIND("-",I251)+1,LEN(I251)),IFERROR(MID(I251,1,FIND("/",I251)-2),I251)),_xlpm.FormColors))</f>
        <v>синий</v>
      </c>
      <c r="Z251" s="73" t="str">
        <f ca="1"/>
        <v>21-209-06-59</v>
      </c>
      <c r="AA251" s="75" t="str">
        <f ca="1">VLOOKUP(C251,Группа!A:B,2,FALSE)</f>
        <v>Шляпа</v>
      </c>
      <c r="AB251" s="97" t="str">
        <f ca="1">IFERROR(VLOOKUP(R251,Размеры!A:C,3,FALSE),"")</f>
        <v>59 L</v>
      </c>
      <c r="AC251" s="97" t="str">
        <f ca="1">VLOOKUP(I251,ЦветПолный!A:B,2,FALSE)</f>
        <v>06</v>
      </c>
      <c r="AD251" s="97" t="str">
        <f ca="1">IFERROR(VLOOKUP(R251,Размеры!A:D,4,FALSE),"")</f>
        <v>59</v>
      </c>
      <c r="AE251" s="97">
        <f ca="1">IF(LEFT(IFERROR(VLOOKUP(LOOKUP(2,1/SEARCH(B251,Товары!A:A),Товары!A:A),Товары!A:B,2,0),""),6)=MID(Z251,1,6),1,0)</f>
        <v>1</v>
      </c>
      <c r="AG251" s="97">
        <f ca="1">SUMIF(Группа!A:A,C251,Группа!C:C)</f>
        <v>1</v>
      </c>
      <c r="AH251" s="97">
        <f ca="1">SUMIF(Группа!B:B,AA251,Группа!C:C)</f>
        <v>1</v>
      </c>
      <c r="AI251" s="97">
        <f ca="1">SUMIF(Формы!A:A,D251,Формы!B:B)</f>
        <v>1</v>
      </c>
      <c r="AJ251" s="97">
        <f ca="1">SUMIF(Материал!A:A,K251,Материал!B:B)</f>
        <v>1</v>
      </c>
      <c r="AK251" s="97">
        <f ca="1">SUMIF(Размеры!A:A,R251,Размеры!E:E)</f>
        <v>1</v>
      </c>
      <c r="AL251" s="97">
        <f ca="1">SUMIF(Сезон!A:A,F251,Сезон!B:B)</f>
        <v>1</v>
      </c>
      <c r="AM251" s="97">
        <f ca="1">SUMIF(Состав!A:A,J251,Состав!B:B)</f>
        <v>1</v>
      </c>
      <c r="AN251" s="97">
        <f ca="1">VLOOKUP(I251,ЦветПолный!A:C,3,0)</f>
        <v>1</v>
      </c>
      <c r="AO251" s="97">
        <f ca="1">SUMIF(Цвет!A:A,Y251,Цвет!B:B)</f>
        <v>1</v>
      </c>
      <c r="AP251" s="97">
        <f ca="1">_xlfn.XLOOKUP(L251,Пол!A:A,Пол!B:B,0,0)</f>
        <v>1</v>
      </c>
      <c r="AQ251" s="97">
        <f ca="1">SUMIF(Марка!A:A,G251,Марка!B:B)</f>
        <v>1</v>
      </c>
      <c r="AR251" s="97">
        <f ca="1">SUMIF(Страна!A:A,M251,Страна!B:B)</f>
        <v>1</v>
      </c>
      <c r="AS251" s="64" t="str">
        <f ca="1">IF(VLOOKUP(V251,Товары!A:B,2,FALSE)=A251,"Есть в 1С","ERR")</f>
        <v>Есть в 1С</v>
      </c>
      <c r="AT251" s="65" t="str">
        <f ca="1">IF(VLOOKUP(A251,Товары!B:B,1,FALSE)=A251,"Есть в 1С","ERR")</f>
        <v>Есть в 1С</v>
      </c>
      <c r="AU251" s="96" t="str">
        <f ca="1">VLOOKUP(V251,Товары!A:B,2,FALSE)</f>
        <v>21-209-06</v>
      </c>
      <c r="AV251" s="94" t="str">
        <f ca="1">VLOOKUP(V251,Товары!A:B,1,FALSE)</f>
        <v>Шляпа BAILEY арт. 22721 BROOKS (синий) {denim}</v>
      </c>
    </row>
    <row r="252" spans="1:48" x14ac:dyDescent="0.25">
      <c r="A252" s="110" t="str">
        <f t="shared" ca="1" si="27"/>
        <v>21-209-06</v>
      </c>
      <c r="B252" s="107" t="str">
        <f ca="1">_xlfn.LET(_xlpm.CAPS,0,_xlpm.Style,_xlfn.XLOOKUP($A252,Строчный!$A:$A,Строчный!B:B,"ERR",0),IF(_xlpm.CAPS=0,_xlpm.Style,LOWER(_xlpm.Style)))</f>
        <v>22721 BROOKS</v>
      </c>
      <c r="C252" s="81" t="str">
        <f ca="1">PROPER(_xlfn.XLOOKUP($A252,Строчный!$A:$A,Строчный!C:C,"ERR",0))</f>
        <v>Шляпы</v>
      </c>
      <c r="D252" s="81" t="str">
        <f ca="1">_xlfn.LET(_xlpm.DATA,(_xlfn.XLOOKUP($A252,Строчный!$A:$A,Строчный!D:D,"ERR",0)),UPPER(MID(_xlpm.DATA,1,1))&amp;LOWER(MID(_xlpm.DATA,2,LEN(_xlpm.DATA)-1)))</f>
        <v>Шляпа федора</v>
      </c>
      <c r="E252" s="81" t="str">
        <f ca="1">PROPER(_xlfn.XLOOKUP($A252,Строчный!$A:$A,Строчный!E:E,"ERR",0))</f>
        <v>The Hollywood</v>
      </c>
      <c r="F252" s="81" t="str">
        <f ca="1">LOWER(_xlfn.XLOOKUP($A252,Строчный!$A:$A,Строчный!F:F,"ERR",0))</f>
        <v>летний</v>
      </c>
      <c r="G252" s="81" t="str">
        <f ca="1">UPPER(_xlfn.XLOOKUP($A252,Строчный!$A:$A,Строчный!G:G,"ERR",0))</f>
        <v>BAILEY</v>
      </c>
      <c r="H252" s="81" t="str">
        <f ca="1">LOWER(_xlfn.XLOOKUP($A252,Строчный!$A:$A,Строчный!H:H,"ERR",0))</f>
        <v>denim</v>
      </c>
      <c r="I252" s="81" t="str">
        <f ca="1">LOWER(_xlfn.XLOOKUP($A252,Строчный!$A:$A,Строчный!I:I,"ERR",0))</f>
        <v>синий</v>
      </c>
      <c r="J252" s="81" t="str">
        <f ca="1">SUBSTITUTE(LOWER(_xlfn.XLOOKUP($A252,Строчный!$A:$A,Строчный!J:J,"ERR",0)),"подклад","Подклад")</f>
        <v>100% солома токилла</v>
      </c>
      <c r="K252" s="81" t="str">
        <f ca="1">LOWER(_xlfn.XLOOKUP($A252,Строчный!$A:$A,Строчный!K:K,"ERR",0))</f>
        <v>соломенные</v>
      </c>
      <c r="L252" s="81" t="str">
        <f ca="1">PROPER(_xlfn.XLOOKUP($A252,Строчный!$A:$A,Строчный!L:L,"ERR",0))</f>
        <v>Унисекс</v>
      </c>
      <c r="M252" s="113" t="str">
        <f ca="1">PROPER(_xlfn.XLOOKUP($A252,Строчный!$A:$A,Строчный!M:M,"ERR",0))</f>
        <v>Соединенные Штаты</v>
      </c>
      <c r="N252" s="81" t="str">
        <f ca="1">UPPER(_xlfn.XLOOKUP($A252,Строчный!$A:$A,Строчный!O:O,"ERR",0))</f>
        <v/>
      </c>
      <c r="O252" s="107" t="str">
        <f ca="1">PROPER(_xlfn.XLOOKUP($A252,Строчный!$A:$A,Строчный!P:P,"ERR",0))</f>
        <v/>
      </c>
      <c r="P252" s="90">
        <f ca="1">VALUE(_xlfn.XLOOKUP($A252,Строчный!$A:$A,Строчный!N:N,"ERR",0))</f>
        <v>6002.0999999999995</v>
      </c>
      <c r="Q252" s="89" t="str">
        <f ca="1">_xlfn.XLOOKUP($G252,Фабрика!A:A,Фабрика!B:B,"ERR",0)</f>
        <v>Bollman Headwear Europe Ltd; 2 Merchants drive, Caelisle, Cumbria CA3 0JW, United Kingdom</v>
      </c>
      <c r="R252" s="80" t="str">
        <f ca="1">_xlfn.XLOOKUP(RIGHT(Z252,2),Размеры!D:D,Размеры!A:A,"ERR",0)</f>
        <v>57</v>
      </c>
      <c r="S252" s="80">
        <f ca="1">VALUE(_xlfn.XLOOKUP($Z252,Строчный!$R:$R,Строчный!T:T,"ERR",0))</f>
        <v>3</v>
      </c>
      <c r="T252" s="14" t="s">
        <v>265</v>
      </c>
      <c r="U252" s="101" t="str">
        <f t="shared" ca="1" si="28"/>
        <v>Шляпа BAILEY арт. 22721 BROOKS (синий)</v>
      </c>
      <c r="V252" s="100" t="str">
        <f t="shared" ca="1" si="29"/>
        <v>Шляпа BAILEY арт. 22721 BROOKS (синий) {denim}</v>
      </c>
      <c r="W252" s="18" t="str">
        <f t="shared" ca="1" si="30"/>
        <v>синий</v>
      </c>
      <c r="X252" s="18" t="str">
        <f t="shared" ca="1" si="31"/>
        <v>синий</v>
      </c>
      <c r="Y252" s="117" t="str">
        <f ca="1">_xlfn.LET(_xlpm.FormColors,_xlfn.XLOOKUP(A252,Строчный!A:A,Строчный!Q:Q,"",0),IF(_xlpm.FormColors=0,IFERROR(MID(I252,FIND("-",I252)+1,LEN(I252)),IFERROR(MID(I252,1,FIND("/",I252)-2),I252)),_xlpm.FormColors))</f>
        <v>синий</v>
      </c>
      <c r="Z252" s="73" t="str">
        <f ca="1"/>
        <v>21-209-06-57</v>
      </c>
      <c r="AA252" s="75" t="str">
        <f ca="1">VLOOKUP(C252,Группа!A:B,2,FALSE)</f>
        <v>Шляпа</v>
      </c>
      <c r="AB252" s="97" t="str">
        <f ca="1">IFERROR(VLOOKUP(R252,Размеры!A:C,3,FALSE),"")</f>
        <v>57 M</v>
      </c>
      <c r="AC252" s="97" t="str">
        <f ca="1">VLOOKUP(I252,ЦветПолный!A:B,2,FALSE)</f>
        <v>06</v>
      </c>
      <c r="AD252" s="97" t="str">
        <f ca="1">IFERROR(VLOOKUP(R252,Размеры!A:D,4,FALSE),"")</f>
        <v>57</v>
      </c>
      <c r="AE252" s="97">
        <f ca="1">IF(LEFT(IFERROR(VLOOKUP(LOOKUP(2,1/SEARCH(B252,Товары!A:A),Товары!A:A),Товары!A:B,2,0),""),6)=MID(Z252,1,6),1,0)</f>
        <v>1</v>
      </c>
      <c r="AG252" s="97">
        <f ca="1">SUMIF(Группа!A:A,C252,Группа!C:C)</f>
        <v>1</v>
      </c>
      <c r="AH252" s="97">
        <f ca="1">SUMIF(Группа!B:B,AA252,Группа!C:C)</f>
        <v>1</v>
      </c>
      <c r="AI252" s="97">
        <f ca="1">SUMIF(Формы!A:A,D252,Формы!B:B)</f>
        <v>1</v>
      </c>
      <c r="AJ252" s="97">
        <f ca="1">SUMIF(Материал!A:A,K252,Материал!B:B)</f>
        <v>1</v>
      </c>
      <c r="AK252" s="97">
        <f ca="1">SUMIF(Размеры!A:A,R252,Размеры!E:E)</f>
        <v>1</v>
      </c>
      <c r="AL252" s="97">
        <f ca="1">SUMIF(Сезон!A:A,F252,Сезон!B:B)</f>
        <v>1</v>
      </c>
      <c r="AM252" s="97">
        <f ca="1">SUMIF(Состав!A:A,J252,Состав!B:B)</f>
        <v>1</v>
      </c>
      <c r="AN252" s="97">
        <f ca="1">VLOOKUP(I252,ЦветПолный!A:C,3,0)</f>
        <v>1</v>
      </c>
      <c r="AO252" s="97">
        <f ca="1">SUMIF(Цвет!A:A,Y252,Цвет!B:B)</f>
        <v>1</v>
      </c>
      <c r="AP252" s="97">
        <f ca="1">_xlfn.XLOOKUP(L252,Пол!A:A,Пол!B:B,0,0)</f>
        <v>1</v>
      </c>
      <c r="AQ252" s="97">
        <f ca="1">SUMIF(Марка!A:A,G252,Марка!B:B)</f>
        <v>1</v>
      </c>
      <c r="AR252" s="97">
        <f ca="1">SUMIF(Страна!A:A,M252,Страна!B:B)</f>
        <v>1</v>
      </c>
      <c r="AS252" s="64" t="str">
        <f ca="1">IF(VLOOKUP(V252,Товары!A:B,2,FALSE)=A252,"Есть в 1С","ERR")</f>
        <v>Есть в 1С</v>
      </c>
      <c r="AT252" s="65" t="str">
        <f ca="1">IF(VLOOKUP(A252,Товары!B:B,1,FALSE)=A252,"Есть в 1С","ERR")</f>
        <v>Есть в 1С</v>
      </c>
      <c r="AU252" s="96" t="str">
        <f ca="1">VLOOKUP(V252,Товары!A:B,2,FALSE)</f>
        <v>21-209-06</v>
      </c>
      <c r="AV252" s="94" t="str">
        <f ca="1">VLOOKUP(V252,Товары!A:B,1,FALSE)</f>
        <v>Шляпа BAILEY арт. 22721 BROOKS (синий) {denim}</v>
      </c>
    </row>
    <row r="253" spans="1:48" x14ac:dyDescent="0.25">
      <c r="A253" s="110" t="str">
        <f t="shared" ca="1" si="27"/>
        <v>21-209-06</v>
      </c>
      <c r="B253" s="107" t="str">
        <f ca="1">_xlfn.LET(_xlpm.CAPS,0,_xlpm.Style,_xlfn.XLOOKUP($A253,Строчный!$A:$A,Строчный!B:B,"ERR",0),IF(_xlpm.CAPS=0,_xlpm.Style,LOWER(_xlpm.Style)))</f>
        <v>22721 BROOKS</v>
      </c>
      <c r="C253" s="81" t="str">
        <f ca="1">PROPER(_xlfn.XLOOKUP($A253,Строчный!$A:$A,Строчный!C:C,"ERR",0))</f>
        <v>Шляпы</v>
      </c>
      <c r="D253" s="81" t="str">
        <f ca="1">_xlfn.LET(_xlpm.DATA,(_xlfn.XLOOKUP($A253,Строчный!$A:$A,Строчный!D:D,"ERR",0)),UPPER(MID(_xlpm.DATA,1,1))&amp;LOWER(MID(_xlpm.DATA,2,LEN(_xlpm.DATA)-1)))</f>
        <v>Шляпа федора</v>
      </c>
      <c r="E253" s="81" t="str">
        <f ca="1">PROPER(_xlfn.XLOOKUP($A253,Строчный!$A:$A,Строчный!E:E,"ERR",0))</f>
        <v>The Hollywood</v>
      </c>
      <c r="F253" s="81" t="str">
        <f ca="1">LOWER(_xlfn.XLOOKUP($A253,Строчный!$A:$A,Строчный!F:F,"ERR",0))</f>
        <v>летний</v>
      </c>
      <c r="G253" s="81" t="str">
        <f ca="1">UPPER(_xlfn.XLOOKUP($A253,Строчный!$A:$A,Строчный!G:G,"ERR",0))</f>
        <v>BAILEY</v>
      </c>
      <c r="H253" s="81" t="str">
        <f ca="1">LOWER(_xlfn.XLOOKUP($A253,Строчный!$A:$A,Строчный!H:H,"ERR",0))</f>
        <v>denim</v>
      </c>
      <c r="I253" s="81" t="str">
        <f ca="1">LOWER(_xlfn.XLOOKUP($A253,Строчный!$A:$A,Строчный!I:I,"ERR",0))</f>
        <v>синий</v>
      </c>
      <c r="J253" s="81" t="str">
        <f ca="1">SUBSTITUTE(LOWER(_xlfn.XLOOKUP($A253,Строчный!$A:$A,Строчный!J:J,"ERR",0)),"подклад","Подклад")</f>
        <v>100% солома токилла</v>
      </c>
      <c r="K253" s="81" t="str">
        <f ca="1">LOWER(_xlfn.XLOOKUP($A253,Строчный!$A:$A,Строчный!K:K,"ERR",0))</f>
        <v>соломенные</v>
      </c>
      <c r="L253" s="81" t="str">
        <f ca="1">PROPER(_xlfn.XLOOKUP($A253,Строчный!$A:$A,Строчный!L:L,"ERR",0))</f>
        <v>Унисекс</v>
      </c>
      <c r="M253" s="113" t="str">
        <f ca="1">PROPER(_xlfn.XLOOKUP($A253,Строчный!$A:$A,Строчный!M:M,"ERR",0))</f>
        <v>Соединенные Штаты</v>
      </c>
      <c r="N253" s="81" t="str">
        <f ca="1">UPPER(_xlfn.XLOOKUP($A253,Строчный!$A:$A,Строчный!O:O,"ERR",0))</f>
        <v/>
      </c>
      <c r="O253" s="107" t="str">
        <f ca="1">PROPER(_xlfn.XLOOKUP($A253,Строчный!$A:$A,Строчный!P:P,"ERR",0))</f>
        <v/>
      </c>
      <c r="P253" s="90">
        <f ca="1">VALUE(_xlfn.XLOOKUP($A253,Строчный!$A:$A,Строчный!N:N,"ERR",0))</f>
        <v>6002.0999999999995</v>
      </c>
      <c r="Q253" s="89" t="str">
        <f ca="1">_xlfn.XLOOKUP($G253,Фабрика!A:A,Фабрика!B:B,"ERR",0)</f>
        <v>Bollman Headwear Europe Ltd; 2 Merchants drive, Caelisle, Cumbria CA3 0JW, United Kingdom</v>
      </c>
      <c r="R253" s="80" t="str">
        <f ca="1">_xlfn.XLOOKUP(RIGHT(Z253,2),Размеры!D:D,Размеры!A:A,"ERR",0)</f>
        <v>55</v>
      </c>
      <c r="S253" s="80">
        <f ca="1">VALUE(_xlfn.XLOOKUP($Z253,Строчный!$R:$R,Строчный!T:T,"ERR",0))</f>
        <v>1</v>
      </c>
      <c r="T253" s="14" t="s">
        <v>265</v>
      </c>
      <c r="U253" s="101" t="str">
        <f t="shared" ca="1" si="28"/>
        <v>Шляпа BAILEY арт. 22721 BROOKS (синий)</v>
      </c>
      <c r="V253" s="100" t="str">
        <f t="shared" ca="1" si="29"/>
        <v>Шляпа BAILEY арт. 22721 BROOKS (синий) {denim}</v>
      </c>
      <c r="W253" s="18" t="str">
        <f t="shared" ca="1" si="30"/>
        <v>синий</v>
      </c>
      <c r="X253" s="18" t="str">
        <f t="shared" ca="1" si="31"/>
        <v>синий</v>
      </c>
      <c r="Y253" s="117" t="str">
        <f ca="1">_xlfn.LET(_xlpm.FormColors,_xlfn.XLOOKUP(A253,Строчный!A:A,Строчный!Q:Q,"",0),IF(_xlpm.FormColors=0,IFERROR(MID(I253,FIND("-",I253)+1,LEN(I253)),IFERROR(MID(I253,1,FIND("/",I253)-2),I253)),_xlpm.FormColors))</f>
        <v>синий</v>
      </c>
      <c r="Z253" s="73" t="str">
        <f ca="1"/>
        <v>21-209-06-55</v>
      </c>
      <c r="AA253" s="75" t="str">
        <f ca="1">VLOOKUP(C253,Группа!A:B,2,FALSE)</f>
        <v>Шляпа</v>
      </c>
      <c r="AB253" s="97" t="str">
        <f ca="1">IFERROR(VLOOKUP(R253,Размеры!A:C,3,FALSE),"")</f>
        <v>55 S</v>
      </c>
      <c r="AC253" s="97" t="str">
        <f ca="1">VLOOKUP(I253,ЦветПолный!A:B,2,FALSE)</f>
        <v>06</v>
      </c>
      <c r="AD253" s="97" t="str">
        <f ca="1">IFERROR(VLOOKUP(R253,Размеры!A:D,4,FALSE),"")</f>
        <v>55</v>
      </c>
      <c r="AE253" s="97">
        <f ca="1">IF(LEFT(IFERROR(VLOOKUP(LOOKUP(2,1/SEARCH(B253,Товары!A:A),Товары!A:A),Товары!A:B,2,0),""),6)=MID(Z253,1,6),1,0)</f>
        <v>1</v>
      </c>
      <c r="AG253" s="97">
        <f ca="1">SUMIF(Группа!A:A,C253,Группа!C:C)</f>
        <v>1</v>
      </c>
      <c r="AH253" s="97">
        <f ca="1">SUMIF(Группа!B:B,AA253,Группа!C:C)</f>
        <v>1</v>
      </c>
      <c r="AI253" s="97">
        <f ca="1">SUMIF(Формы!A:A,D253,Формы!B:B)</f>
        <v>1</v>
      </c>
      <c r="AJ253" s="97">
        <f ca="1">SUMIF(Материал!A:A,K253,Материал!B:B)</f>
        <v>1</v>
      </c>
      <c r="AK253" s="97">
        <f ca="1">SUMIF(Размеры!A:A,R253,Размеры!E:E)</f>
        <v>1</v>
      </c>
      <c r="AL253" s="97">
        <f ca="1">SUMIF(Сезон!A:A,F253,Сезон!B:B)</f>
        <v>1</v>
      </c>
      <c r="AM253" s="97">
        <f ca="1">SUMIF(Состав!A:A,J253,Состав!B:B)</f>
        <v>1</v>
      </c>
      <c r="AN253" s="97">
        <f ca="1">VLOOKUP(I253,ЦветПолный!A:C,3,0)</f>
        <v>1</v>
      </c>
      <c r="AO253" s="97">
        <f ca="1">SUMIF(Цвет!A:A,Y253,Цвет!B:B)</f>
        <v>1</v>
      </c>
      <c r="AP253" s="97">
        <f ca="1">_xlfn.XLOOKUP(L253,Пол!A:A,Пол!B:B,0,0)</f>
        <v>1</v>
      </c>
      <c r="AQ253" s="97">
        <f ca="1">SUMIF(Марка!A:A,G253,Марка!B:B)</f>
        <v>1</v>
      </c>
      <c r="AR253" s="97">
        <f ca="1">SUMIF(Страна!A:A,M253,Страна!B:B)</f>
        <v>1</v>
      </c>
      <c r="AS253" s="64" t="str">
        <f ca="1">IF(VLOOKUP(V253,Товары!A:B,2,FALSE)=A253,"Есть в 1С","ERR")</f>
        <v>Есть в 1С</v>
      </c>
      <c r="AT253" s="65" t="str">
        <f ca="1">IF(VLOOKUP(A253,Товары!B:B,1,FALSE)=A253,"Есть в 1С","ERR")</f>
        <v>Есть в 1С</v>
      </c>
      <c r="AU253" s="96" t="str">
        <f ca="1">VLOOKUP(V253,Товары!A:B,2,FALSE)</f>
        <v>21-209-06</v>
      </c>
      <c r="AV253" s="94" t="str">
        <f ca="1">VLOOKUP(V253,Товары!A:B,1,FALSE)</f>
        <v>Шляпа BAILEY арт. 22721 BROOKS (синий) {denim}</v>
      </c>
    </row>
    <row r="254" spans="1:48" x14ac:dyDescent="0.25">
      <c r="A254" s="110" t="str">
        <f t="shared" ca="1" si="27"/>
        <v>21-209-02</v>
      </c>
      <c r="B254" s="107" t="str">
        <f ca="1">_xlfn.LET(_xlpm.CAPS,0,_xlpm.Style,_xlfn.XLOOKUP($A254,Строчный!$A:$A,Строчный!B:B,"ERR",0),IF(_xlpm.CAPS=0,_xlpm.Style,LOWER(_xlpm.Style)))</f>
        <v>22721 BROOKS</v>
      </c>
      <c r="C254" s="81" t="str">
        <f ca="1">PROPER(_xlfn.XLOOKUP($A254,Строчный!$A:$A,Строчный!C:C,"ERR",0))</f>
        <v>Шляпы</v>
      </c>
      <c r="D254" s="81" t="str">
        <f ca="1">_xlfn.LET(_xlpm.DATA,(_xlfn.XLOOKUP($A254,Строчный!$A:$A,Строчный!D:D,"ERR",0)),UPPER(MID(_xlpm.DATA,1,1))&amp;LOWER(MID(_xlpm.DATA,2,LEN(_xlpm.DATA)-1)))</f>
        <v>Шляпа федора</v>
      </c>
      <c r="E254" s="81" t="str">
        <f ca="1">PROPER(_xlfn.XLOOKUP($A254,Строчный!$A:$A,Строчный!E:E,"ERR",0))</f>
        <v>The Hollywood</v>
      </c>
      <c r="F254" s="81" t="str">
        <f ca="1">LOWER(_xlfn.XLOOKUP($A254,Строчный!$A:$A,Строчный!F:F,"ERR",0))</f>
        <v>летний</v>
      </c>
      <c r="G254" s="81" t="str">
        <f ca="1">UPPER(_xlfn.XLOOKUP($A254,Строчный!$A:$A,Строчный!G:G,"ERR",0))</f>
        <v>BAILEY</v>
      </c>
      <c r="H254" s="81" t="str">
        <f ca="1">LOWER(_xlfn.XLOOKUP($A254,Строчный!$A:$A,Строчный!H:H,"ERR",0))</f>
        <v>natural</v>
      </c>
      <c r="I254" s="81" t="str">
        <f ca="1">LOWER(_xlfn.XLOOKUP($A254,Строчный!$A:$A,Строчный!I:I,"ERR",0))</f>
        <v>бежевый</v>
      </c>
      <c r="J254" s="81" t="str">
        <f ca="1">SUBSTITUTE(LOWER(_xlfn.XLOOKUP($A254,Строчный!$A:$A,Строчный!J:J,"ERR",0)),"подклад","Подклад")</f>
        <v>100% солома токилла</v>
      </c>
      <c r="K254" s="81" t="str">
        <f ca="1">LOWER(_xlfn.XLOOKUP($A254,Строчный!$A:$A,Строчный!K:K,"ERR",0))</f>
        <v>соломенные</v>
      </c>
      <c r="L254" s="81" t="str">
        <f ca="1">PROPER(_xlfn.XLOOKUP($A254,Строчный!$A:$A,Строчный!L:L,"ERR",0))</f>
        <v>Унисекс</v>
      </c>
      <c r="M254" s="113" t="str">
        <f ca="1">PROPER(_xlfn.XLOOKUP($A254,Строчный!$A:$A,Строчный!M:M,"ERR",0))</f>
        <v>Соединенные Штаты</v>
      </c>
      <c r="N254" s="81" t="str">
        <f ca="1">UPPER(_xlfn.XLOOKUP($A254,Строчный!$A:$A,Строчный!O:O,"ERR",0))</f>
        <v/>
      </c>
      <c r="O254" s="107" t="str">
        <f ca="1">PROPER(_xlfn.XLOOKUP($A254,Строчный!$A:$A,Строчный!P:P,"ERR",0))</f>
        <v/>
      </c>
      <c r="P254" s="90">
        <f ca="1">VALUE(_xlfn.XLOOKUP($A254,Строчный!$A:$A,Строчный!N:N,"ERR",0))</f>
        <v>6002.0999999999995</v>
      </c>
      <c r="Q254" s="89" t="str">
        <f ca="1">_xlfn.XLOOKUP($G254,Фабрика!A:A,Фабрика!B:B,"ERR",0)</f>
        <v>Bollman Headwear Europe Ltd; 2 Merchants drive, Caelisle, Cumbria CA3 0JW, United Kingdom</v>
      </c>
      <c r="R254" s="80" t="str">
        <f ca="1">_xlfn.XLOOKUP(RIGHT(Z254,2),Размеры!D:D,Размеры!A:A,"ERR",0)</f>
        <v>63</v>
      </c>
      <c r="S254" s="80">
        <f ca="1">VALUE(_xlfn.XLOOKUP($Z254,Строчный!$R:$R,Строчный!T:T,"ERR",0))</f>
        <v>2</v>
      </c>
      <c r="T254" s="14" t="s">
        <v>265</v>
      </c>
      <c r="U254" s="101" t="str">
        <f t="shared" ca="1" si="28"/>
        <v>Шляпа BAILEY арт. 22721 BROOKS (бежевый)</v>
      </c>
      <c r="V254" s="100" t="str">
        <f t="shared" ca="1" si="29"/>
        <v>Шляпа BAILEY арт. 22721 BROOKS (бежевый) {natural}</v>
      </c>
      <c r="W254" s="18" t="str">
        <f t="shared" ca="1" si="30"/>
        <v>бежевый</v>
      </c>
      <c r="X254" s="18" t="str">
        <f t="shared" ca="1" si="31"/>
        <v>бежевый</v>
      </c>
      <c r="Y254" s="117" t="str">
        <f ca="1">_xlfn.LET(_xlpm.FormColors,_xlfn.XLOOKUP(A254,Строчный!A:A,Строчный!Q:Q,"",0),IF(_xlpm.FormColors=0,IFERROR(MID(I254,FIND("-",I254)+1,LEN(I254)),IFERROR(MID(I254,1,FIND("/",I254)-2),I254)),_xlpm.FormColors))</f>
        <v>бежевый</v>
      </c>
      <c r="Z254" s="73" t="str">
        <f ca="1"/>
        <v>21-209-02-63</v>
      </c>
      <c r="AA254" s="75" t="str">
        <f ca="1">VLOOKUP(C254,Группа!A:B,2,FALSE)</f>
        <v>Шляпа</v>
      </c>
      <c r="AB254" s="97" t="str">
        <f ca="1">IFERROR(VLOOKUP(R254,Размеры!A:C,3,FALSE),"")</f>
        <v>63 XXL</v>
      </c>
      <c r="AC254" s="97" t="str">
        <f ca="1">VLOOKUP(I254,ЦветПолный!A:B,2,FALSE)</f>
        <v>02</v>
      </c>
      <c r="AD254" s="97" t="str">
        <f ca="1">IFERROR(VLOOKUP(R254,Размеры!A:D,4,FALSE),"")</f>
        <v>63</v>
      </c>
      <c r="AE254" s="97">
        <f ca="1">IF(LEFT(IFERROR(VLOOKUP(LOOKUP(2,1/SEARCH(B254,Товары!A:A),Товары!A:A),Товары!A:B,2,0),""),6)=MID(Z254,1,6),1,0)</f>
        <v>1</v>
      </c>
      <c r="AG254" s="97">
        <f ca="1">SUMIF(Группа!A:A,C254,Группа!C:C)</f>
        <v>1</v>
      </c>
      <c r="AH254" s="97">
        <f ca="1">SUMIF(Группа!B:B,AA254,Группа!C:C)</f>
        <v>1</v>
      </c>
      <c r="AI254" s="97">
        <f ca="1">SUMIF(Формы!A:A,D254,Формы!B:B)</f>
        <v>1</v>
      </c>
      <c r="AJ254" s="97">
        <f ca="1">SUMIF(Материал!A:A,K254,Материал!B:B)</f>
        <v>1</v>
      </c>
      <c r="AK254" s="97">
        <f ca="1">SUMIF(Размеры!A:A,R254,Размеры!E:E)</f>
        <v>1</v>
      </c>
      <c r="AL254" s="97">
        <f ca="1">SUMIF(Сезон!A:A,F254,Сезон!B:B)</f>
        <v>1</v>
      </c>
      <c r="AM254" s="97">
        <f ca="1">SUMIF(Состав!A:A,J254,Состав!B:B)</f>
        <v>1</v>
      </c>
      <c r="AN254" s="97">
        <f ca="1">VLOOKUP(I254,ЦветПолный!A:C,3,0)</f>
        <v>1</v>
      </c>
      <c r="AO254" s="97">
        <f ca="1">SUMIF(Цвет!A:A,Y254,Цвет!B:B)</f>
        <v>1</v>
      </c>
      <c r="AP254" s="97">
        <f ca="1">_xlfn.XLOOKUP(L254,Пол!A:A,Пол!B:B,0,0)</f>
        <v>1</v>
      </c>
      <c r="AQ254" s="97">
        <f ca="1">SUMIF(Марка!A:A,G254,Марка!B:B)</f>
        <v>1</v>
      </c>
      <c r="AR254" s="97">
        <f ca="1">SUMIF(Страна!A:A,M254,Страна!B:B)</f>
        <v>1</v>
      </c>
      <c r="AS254" s="64" t="str">
        <f ca="1">IF(VLOOKUP(V254,Товары!A:B,2,FALSE)=A254,"Есть в 1С","ERR")</f>
        <v>Есть в 1С</v>
      </c>
      <c r="AT254" s="65" t="str">
        <f ca="1">IF(VLOOKUP(A254,Товары!B:B,1,FALSE)=A254,"Есть в 1С","ERR")</f>
        <v>Есть в 1С</v>
      </c>
      <c r="AU254" s="96" t="str">
        <f ca="1">VLOOKUP(V254,Товары!A:B,2,FALSE)</f>
        <v>21-209-02</v>
      </c>
      <c r="AV254" s="94" t="str">
        <f ca="1">VLOOKUP(V254,Товары!A:B,1,FALSE)</f>
        <v>Шляпа BAILEY арт. 22721 BROOKS (бежевый) {natural}</v>
      </c>
    </row>
    <row r="255" spans="1:48" x14ac:dyDescent="0.25">
      <c r="A255" s="110" t="str">
        <f t="shared" ca="1" si="27"/>
        <v>21-209-02</v>
      </c>
      <c r="B255" s="107" t="str">
        <f ca="1">_xlfn.LET(_xlpm.CAPS,0,_xlpm.Style,_xlfn.XLOOKUP($A255,Строчный!$A:$A,Строчный!B:B,"ERR",0),IF(_xlpm.CAPS=0,_xlpm.Style,LOWER(_xlpm.Style)))</f>
        <v>22721 BROOKS</v>
      </c>
      <c r="C255" s="81" t="str">
        <f ca="1">PROPER(_xlfn.XLOOKUP($A255,Строчный!$A:$A,Строчный!C:C,"ERR",0))</f>
        <v>Шляпы</v>
      </c>
      <c r="D255" s="81" t="str">
        <f ca="1">_xlfn.LET(_xlpm.DATA,(_xlfn.XLOOKUP($A255,Строчный!$A:$A,Строчный!D:D,"ERR",0)),UPPER(MID(_xlpm.DATA,1,1))&amp;LOWER(MID(_xlpm.DATA,2,LEN(_xlpm.DATA)-1)))</f>
        <v>Шляпа федора</v>
      </c>
      <c r="E255" s="81" t="str">
        <f ca="1">PROPER(_xlfn.XLOOKUP($A255,Строчный!$A:$A,Строчный!E:E,"ERR",0))</f>
        <v>The Hollywood</v>
      </c>
      <c r="F255" s="81" t="str">
        <f ca="1">LOWER(_xlfn.XLOOKUP($A255,Строчный!$A:$A,Строчный!F:F,"ERR",0))</f>
        <v>летний</v>
      </c>
      <c r="G255" s="81" t="str">
        <f ca="1">UPPER(_xlfn.XLOOKUP($A255,Строчный!$A:$A,Строчный!G:G,"ERR",0))</f>
        <v>BAILEY</v>
      </c>
      <c r="H255" s="81" t="str">
        <f ca="1">LOWER(_xlfn.XLOOKUP($A255,Строчный!$A:$A,Строчный!H:H,"ERR",0))</f>
        <v>natural</v>
      </c>
      <c r="I255" s="81" t="str">
        <f ca="1">LOWER(_xlfn.XLOOKUP($A255,Строчный!$A:$A,Строчный!I:I,"ERR",0))</f>
        <v>бежевый</v>
      </c>
      <c r="J255" s="81" t="str">
        <f ca="1">SUBSTITUTE(LOWER(_xlfn.XLOOKUP($A255,Строчный!$A:$A,Строчный!J:J,"ERR",0)),"подклад","Подклад")</f>
        <v>100% солома токилла</v>
      </c>
      <c r="K255" s="81" t="str">
        <f ca="1">LOWER(_xlfn.XLOOKUP($A255,Строчный!$A:$A,Строчный!K:K,"ERR",0))</f>
        <v>соломенные</v>
      </c>
      <c r="L255" s="81" t="str">
        <f ca="1">PROPER(_xlfn.XLOOKUP($A255,Строчный!$A:$A,Строчный!L:L,"ERR",0))</f>
        <v>Унисекс</v>
      </c>
      <c r="M255" s="113" t="str">
        <f ca="1">PROPER(_xlfn.XLOOKUP($A255,Строчный!$A:$A,Строчный!M:M,"ERR",0))</f>
        <v>Соединенные Штаты</v>
      </c>
      <c r="N255" s="81" t="str">
        <f ca="1">UPPER(_xlfn.XLOOKUP($A255,Строчный!$A:$A,Строчный!O:O,"ERR",0))</f>
        <v/>
      </c>
      <c r="O255" s="107" t="str">
        <f ca="1">PROPER(_xlfn.XLOOKUP($A255,Строчный!$A:$A,Строчный!P:P,"ERR",0))</f>
        <v/>
      </c>
      <c r="P255" s="90">
        <f ca="1">VALUE(_xlfn.XLOOKUP($A255,Строчный!$A:$A,Строчный!N:N,"ERR",0))</f>
        <v>6002.0999999999995</v>
      </c>
      <c r="Q255" s="89" t="str">
        <f ca="1">_xlfn.XLOOKUP($G255,Фабрика!A:A,Фабрика!B:B,"ERR",0)</f>
        <v>Bollman Headwear Europe Ltd; 2 Merchants drive, Caelisle, Cumbria CA3 0JW, United Kingdom</v>
      </c>
      <c r="R255" s="80" t="str">
        <f ca="1">_xlfn.XLOOKUP(RIGHT(Z255,2),Размеры!D:D,Размеры!A:A,"ERR",0)</f>
        <v>61</v>
      </c>
      <c r="S255" s="80">
        <f ca="1">VALUE(_xlfn.XLOOKUP($Z255,Строчный!$R:$R,Строчный!T:T,"ERR",0))</f>
        <v>3</v>
      </c>
      <c r="T255" s="14" t="s">
        <v>265</v>
      </c>
      <c r="U255" s="101" t="str">
        <f t="shared" ca="1" si="28"/>
        <v>Шляпа BAILEY арт. 22721 BROOKS (бежевый)</v>
      </c>
      <c r="V255" s="100" t="str">
        <f t="shared" ca="1" si="29"/>
        <v>Шляпа BAILEY арт. 22721 BROOKS (бежевый) {natural}</v>
      </c>
      <c r="W255" s="18" t="str">
        <f t="shared" ca="1" si="30"/>
        <v>бежевый</v>
      </c>
      <c r="X255" s="18" t="str">
        <f t="shared" ca="1" si="31"/>
        <v>бежевый</v>
      </c>
      <c r="Y255" s="117" t="str">
        <f ca="1">_xlfn.LET(_xlpm.FormColors,_xlfn.XLOOKUP(A255,Строчный!A:A,Строчный!Q:Q,"",0),IF(_xlpm.FormColors=0,IFERROR(MID(I255,FIND("-",I255)+1,LEN(I255)),IFERROR(MID(I255,1,FIND("/",I255)-2),I255)),_xlpm.FormColors))</f>
        <v>бежевый</v>
      </c>
      <c r="Z255" s="73" t="str">
        <f ca="1"/>
        <v>21-209-02-61</v>
      </c>
      <c r="AA255" s="75" t="str">
        <f ca="1">VLOOKUP(C255,Группа!A:B,2,FALSE)</f>
        <v>Шляпа</v>
      </c>
      <c r="AB255" s="97" t="str">
        <f ca="1">IFERROR(VLOOKUP(R255,Размеры!A:C,3,FALSE),"")</f>
        <v>61 XL</v>
      </c>
      <c r="AC255" s="97" t="str">
        <f ca="1">VLOOKUP(I255,ЦветПолный!A:B,2,FALSE)</f>
        <v>02</v>
      </c>
      <c r="AD255" s="97" t="str">
        <f ca="1">IFERROR(VLOOKUP(R255,Размеры!A:D,4,FALSE),"")</f>
        <v>61</v>
      </c>
      <c r="AE255" s="97">
        <f ca="1">IF(LEFT(IFERROR(VLOOKUP(LOOKUP(2,1/SEARCH(B255,Товары!A:A),Товары!A:A),Товары!A:B,2,0),""),6)=MID(Z255,1,6),1,0)</f>
        <v>1</v>
      </c>
      <c r="AG255" s="97">
        <f ca="1">SUMIF(Группа!A:A,C255,Группа!C:C)</f>
        <v>1</v>
      </c>
      <c r="AH255" s="97">
        <f ca="1">SUMIF(Группа!B:B,AA255,Группа!C:C)</f>
        <v>1</v>
      </c>
      <c r="AI255" s="97">
        <f ca="1">SUMIF(Формы!A:A,D255,Формы!B:B)</f>
        <v>1</v>
      </c>
      <c r="AJ255" s="97">
        <f ca="1">SUMIF(Материал!A:A,K255,Материал!B:B)</f>
        <v>1</v>
      </c>
      <c r="AK255" s="97">
        <f ca="1">SUMIF(Размеры!A:A,R255,Размеры!E:E)</f>
        <v>1</v>
      </c>
      <c r="AL255" s="97">
        <f ca="1">SUMIF(Сезон!A:A,F255,Сезон!B:B)</f>
        <v>1</v>
      </c>
      <c r="AM255" s="97">
        <f ca="1">SUMIF(Состав!A:A,J255,Состав!B:B)</f>
        <v>1</v>
      </c>
      <c r="AN255" s="97">
        <f ca="1">VLOOKUP(I255,ЦветПолный!A:C,3,0)</f>
        <v>1</v>
      </c>
      <c r="AO255" s="97">
        <f ca="1">SUMIF(Цвет!A:A,Y255,Цвет!B:B)</f>
        <v>1</v>
      </c>
      <c r="AP255" s="97">
        <f ca="1">_xlfn.XLOOKUP(L255,Пол!A:A,Пол!B:B,0,0)</f>
        <v>1</v>
      </c>
      <c r="AQ255" s="97">
        <f ca="1">SUMIF(Марка!A:A,G255,Марка!B:B)</f>
        <v>1</v>
      </c>
      <c r="AR255" s="97">
        <f ca="1">SUMIF(Страна!A:A,M255,Страна!B:B)</f>
        <v>1</v>
      </c>
      <c r="AS255" s="64" t="str">
        <f ca="1">IF(VLOOKUP(V255,Товары!A:B,2,FALSE)=A255,"Есть в 1С","ERR")</f>
        <v>Есть в 1С</v>
      </c>
      <c r="AT255" s="65" t="str">
        <f ca="1">IF(VLOOKUP(A255,Товары!B:B,1,FALSE)=A255,"Есть в 1С","ERR")</f>
        <v>Есть в 1С</v>
      </c>
      <c r="AU255" s="96" t="str">
        <f ca="1">VLOOKUP(V255,Товары!A:B,2,FALSE)</f>
        <v>21-209-02</v>
      </c>
      <c r="AV255" s="94" t="str">
        <f ca="1">VLOOKUP(V255,Товары!A:B,1,FALSE)</f>
        <v>Шляпа BAILEY арт. 22721 BROOKS (бежевый) {natural}</v>
      </c>
    </row>
    <row r="256" spans="1:48" x14ac:dyDescent="0.25">
      <c r="A256" s="110" t="str">
        <f t="shared" ca="1" si="27"/>
        <v>21-209-02</v>
      </c>
      <c r="B256" s="107" t="str">
        <f ca="1">_xlfn.LET(_xlpm.CAPS,0,_xlpm.Style,_xlfn.XLOOKUP($A256,Строчный!$A:$A,Строчный!B:B,"ERR",0),IF(_xlpm.CAPS=0,_xlpm.Style,LOWER(_xlpm.Style)))</f>
        <v>22721 BROOKS</v>
      </c>
      <c r="C256" s="81" t="str">
        <f ca="1">PROPER(_xlfn.XLOOKUP($A256,Строчный!$A:$A,Строчный!C:C,"ERR",0))</f>
        <v>Шляпы</v>
      </c>
      <c r="D256" s="81" t="str">
        <f ca="1">_xlfn.LET(_xlpm.DATA,(_xlfn.XLOOKUP($A256,Строчный!$A:$A,Строчный!D:D,"ERR",0)),UPPER(MID(_xlpm.DATA,1,1))&amp;LOWER(MID(_xlpm.DATA,2,LEN(_xlpm.DATA)-1)))</f>
        <v>Шляпа федора</v>
      </c>
      <c r="E256" s="81" t="str">
        <f ca="1">PROPER(_xlfn.XLOOKUP($A256,Строчный!$A:$A,Строчный!E:E,"ERR",0))</f>
        <v>The Hollywood</v>
      </c>
      <c r="F256" s="81" t="str">
        <f ca="1">LOWER(_xlfn.XLOOKUP($A256,Строчный!$A:$A,Строчный!F:F,"ERR",0))</f>
        <v>летний</v>
      </c>
      <c r="G256" s="81" t="str">
        <f ca="1">UPPER(_xlfn.XLOOKUP($A256,Строчный!$A:$A,Строчный!G:G,"ERR",0))</f>
        <v>BAILEY</v>
      </c>
      <c r="H256" s="81" t="str">
        <f ca="1">LOWER(_xlfn.XLOOKUP($A256,Строчный!$A:$A,Строчный!H:H,"ERR",0))</f>
        <v>natural</v>
      </c>
      <c r="I256" s="81" t="str">
        <f ca="1">LOWER(_xlfn.XLOOKUP($A256,Строчный!$A:$A,Строчный!I:I,"ERR",0))</f>
        <v>бежевый</v>
      </c>
      <c r="J256" s="81" t="str">
        <f ca="1">SUBSTITUTE(LOWER(_xlfn.XLOOKUP($A256,Строчный!$A:$A,Строчный!J:J,"ERR",0)),"подклад","Подклад")</f>
        <v>100% солома токилла</v>
      </c>
      <c r="K256" s="81" t="str">
        <f ca="1">LOWER(_xlfn.XLOOKUP($A256,Строчный!$A:$A,Строчный!K:K,"ERR",0))</f>
        <v>соломенные</v>
      </c>
      <c r="L256" s="81" t="str">
        <f ca="1">PROPER(_xlfn.XLOOKUP($A256,Строчный!$A:$A,Строчный!L:L,"ERR",0))</f>
        <v>Унисекс</v>
      </c>
      <c r="M256" s="113" t="str">
        <f ca="1">PROPER(_xlfn.XLOOKUP($A256,Строчный!$A:$A,Строчный!M:M,"ERR",0))</f>
        <v>Соединенные Штаты</v>
      </c>
      <c r="N256" s="81" t="str">
        <f ca="1">UPPER(_xlfn.XLOOKUP($A256,Строчный!$A:$A,Строчный!O:O,"ERR",0))</f>
        <v/>
      </c>
      <c r="O256" s="107" t="str">
        <f ca="1">PROPER(_xlfn.XLOOKUP($A256,Строчный!$A:$A,Строчный!P:P,"ERR",0))</f>
        <v/>
      </c>
      <c r="P256" s="90">
        <f ca="1">VALUE(_xlfn.XLOOKUP($A256,Строчный!$A:$A,Строчный!N:N,"ERR",0))</f>
        <v>6002.0999999999995</v>
      </c>
      <c r="Q256" s="89" t="str">
        <f ca="1">_xlfn.XLOOKUP($G256,Фабрика!A:A,Фабрика!B:B,"ERR",0)</f>
        <v>Bollman Headwear Europe Ltd; 2 Merchants drive, Caelisle, Cumbria CA3 0JW, United Kingdom</v>
      </c>
      <c r="R256" s="80" t="str">
        <f ca="1">_xlfn.XLOOKUP(RIGHT(Z256,2),Размеры!D:D,Размеры!A:A,"ERR",0)</f>
        <v>59</v>
      </c>
      <c r="S256" s="80">
        <f ca="1">VALUE(_xlfn.XLOOKUP($Z256,Строчный!$R:$R,Строчный!T:T,"ERR",0))</f>
        <v>3</v>
      </c>
      <c r="T256" s="14" t="s">
        <v>265</v>
      </c>
      <c r="U256" s="101" t="str">
        <f t="shared" ca="1" si="28"/>
        <v>Шляпа BAILEY арт. 22721 BROOKS (бежевый)</v>
      </c>
      <c r="V256" s="100" t="str">
        <f t="shared" ca="1" si="29"/>
        <v>Шляпа BAILEY арт. 22721 BROOKS (бежевый) {natural}</v>
      </c>
      <c r="W256" s="18" t="str">
        <f t="shared" ca="1" si="30"/>
        <v>бежевый</v>
      </c>
      <c r="X256" s="18" t="str">
        <f t="shared" ca="1" si="31"/>
        <v>бежевый</v>
      </c>
      <c r="Y256" s="117" t="str">
        <f ca="1">_xlfn.LET(_xlpm.FormColors,_xlfn.XLOOKUP(A256,Строчный!A:A,Строчный!Q:Q,"",0),IF(_xlpm.FormColors=0,IFERROR(MID(I256,FIND("-",I256)+1,LEN(I256)),IFERROR(MID(I256,1,FIND("/",I256)-2),I256)),_xlpm.FormColors))</f>
        <v>бежевый</v>
      </c>
      <c r="Z256" s="73" t="str">
        <f ca="1"/>
        <v>21-209-02-59</v>
      </c>
      <c r="AA256" s="75" t="str">
        <f ca="1">VLOOKUP(C256,Группа!A:B,2,FALSE)</f>
        <v>Шляпа</v>
      </c>
      <c r="AB256" s="97" t="str">
        <f ca="1">IFERROR(VLOOKUP(R256,Размеры!A:C,3,FALSE),"")</f>
        <v>59 L</v>
      </c>
      <c r="AC256" s="97" t="str">
        <f ca="1">VLOOKUP(I256,ЦветПолный!A:B,2,FALSE)</f>
        <v>02</v>
      </c>
      <c r="AD256" s="97" t="str">
        <f ca="1">IFERROR(VLOOKUP(R256,Размеры!A:D,4,FALSE),"")</f>
        <v>59</v>
      </c>
      <c r="AE256" s="97">
        <f ca="1">IF(LEFT(IFERROR(VLOOKUP(LOOKUP(2,1/SEARCH(B256,Товары!A:A),Товары!A:A),Товары!A:B,2,0),""),6)=MID(Z256,1,6),1,0)</f>
        <v>1</v>
      </c>
      <c r="AG256" s="97">
        <f ca="1">SUMIF(Группа!A:A,C256,Группа!C:C)</f>
        <v>1</v>
      </c>
      <c r="AH256" s="97">
        <f ca="1">SUMIF(Группа!B:B,AA256,Группа!C:C)</f>
        <v>1</v>
      </c>
      <c r="AI256" s="97">
        <f ca="1">SUMIF(Формы!A:A,D256,Формы!B:B)</f>
        <v>1</v>
      </c>
      <c r="AJ256" s="97">
        <f ca="1">SUMIF(Материал!A:A,K256,Материал!B:B)</f>
        <v>1</v>
      </c>
      <c r="AK256" s="97">
        <f ca="1">SUMIF(Размеры!A:A,R256,Размеры!E:E)</f>
        <v>1</v>
      </c>
      <c r="AL256" s="97">
        <f ca="1">SUMIF(Сезон!A:A,F256,Сезон!B:B)</f>
        <v>1</v>
      </c>
      <c r="AM256" s="97">
        <f ca="1">SUMIF(Состав!A:A,J256,Состав!B:B)</f>
        <v>1</v>
      </c>
      <c r="AN256" s="97">
        <f ca="1">VLOOKUP(I256,ЦветПолный!A:C,3,0)</f>
        <v>1</v>
      </c>
      <c r="AO256" s="97">
        <f ca="1">SUMIF(Цвет!A:A,Y256,Цвет!B:B)</f>
        <v>1</v>
      </c>
      <c r="AP256" s="97">
        <f ca="1">_xlfn.XLOOKUP(L256,Пол!A:A,Пол!B:B,0,0)</f>
        <v>1</v>
      </c>
      <c r="AQ256" s="97">
        <f ca="1">SUMIF(Марка!A:A,G256,Марка!B:B)</f>
        <v>1</v>
      </c>
      <c r="AR256" s="97">
        <f ca="1">SUMIF(Страна!A:A,M256,Страна!B:B)</f>
        <v>1</v>
      </c>
      <c r="AS256" s="64" t="str">
        <f ca="1">IF(VLOOKUP(V256,Товары!A:B,2,FALSE)=A256,"Есть в 1С","ERR")</f>
        <v>Есть в 1С</v>
      </c>
      <c r="AT256" s="65" t="str">
        <f ca="1">IF(VLOOKUP(A256,Товары!B:B,1,FALSE)=A256,"Есть в 1С","ERR")</f>
        <v>Есть в 1С</v>
      </c>
      <c r="AU256" s="96" t="str">
        <f ca="1">VLOOKUP(V256,Товары!A:B,2,FALSE)</f>
        <v>21-209-02</v>
      </c>
      <c r="AV256" s="94" t="str">
        <f ca="1">VLOOKUP(V256,Товары!A:B,1,FALSE)</f>
        <v>Шляпа BAILEY арт. 22721 BROOKS (бежевый) {natural}</v>
      </c>
    </row>
    <row r="257" spans="1:48" x14ac:dyDescent="0.25">
      <c r="A257" s="110" t="str">
        <f t="shared" ca="1" si="27"/>
        <v>21-209-02</v>
      </c>
      <c r="B257" s="107" t="str">
        <f ca="1">_xlfn.LET(_xlpm.CAPS,0,_xlpm.Style,_xlfn.XLOOKUP($A257,Строчный!$A:$A,Строчный!B:B,"ERR",0),IF(_xlpm.CAPS=0,_xlpm.Style,LOWER(_xlpm.Style)))</f>
        <v>22721 BROOKS</v>
      </c>
      <c r="C257" s="81" t="str">
        <f ca="1">PROPER(_xlfn.XLOOKUP($A257,Строчный!$A:$A,Строчный!C:C,"ERR",0))</f>
        <v>Шляпы</v>
      </c>
      <c r="D257" s="81" t="str">
        <f ca="1">_xlfn.LET(_xlpm.DATA,(_xlfn.XLOOKUP($A257,Строчный!$A:$A,Строчный!D:D,"ERR",0)),UPPER(MID(_xlpm.DATA,1,1))&amp;LOWER(MID(_xlpm.DATA,2,LEN(_xlpm.DATA)-1)))</f>
        <v>Шляпа федора</v>
      </c>
      <c r="E257" s="81" t="str">
        <f ca="1">PROPER(_xlfn.XLOOKUP($A257,Строчный!$A:$A,Строчный!E:E,"ERR",0))</f>
        <v>The Hollywood</v>
      </c>
      <c r="F257" s="81" t="str">
        <f ca="1">LOWER(_xlfn.XLOOKUP($A257,Строчный!$A:$A,Строчный!F:F,"ERR",0))</f>
        <v>летний</v>
      </c>
      <c r="G257" s="81" t="str">
        <f ca="1">UPPER(_xlfn.XLOOKUP($A257,Строчный!$A:$A,Строчный!G:G,"ERR",0))</f>
        <v>BAILEY</v>
      </c>
      <c r="H257" s="81" t="str">
        <f ca="1">LOWER(_xlfn.XLOOKUP($A257,Строчный!$A:$A,Строчный!H:H,"ERR",0))</f>
        <v>natural</v>
      </c>
      <c r="I257" s="81" t="str">
        <f ca="1">LOWER(_xlfn.XLOOKUP($A257,Строчный!$A:$A,Строчный!I:I,"ERR",0))</f>
        <v>бежевый</v>
      </c>
      <c r="J257" s="81" t="str">
        <f ca="1">SUBSTITUTE(LOWER(_xlfn.XLOOKUP($A257,Строчный!$A:$A,Строчный!J:J,"ERR",0)),"подклад","Подклад")</f>
        <v>100% солома токилла</v>
      </c>
      <c r="K257" s="81" t="str">
        <f ca="1">LOWER(_xlfn.XLOOKUP($A257,Строчный!$A:$A,Строчный!K:K,"ERR",0))</f>
        <v>соломенные</v>
      </c>
      <c r="L257" s="81" t="str">
        <f ca="1">PROPER(_xlfn.XLOOKUP($A257,Строчный!$A:$A,Строчный!L:L,"ERR",0))</f>
        <v>Унисекс</v>
      </c>
      <c r="M257" s="113" t="str">
        <f ca="1">PROPER(_xlfn.XLOOKUP($A257,Строчный!$A:$A,Строчный!M:M,"ERR",0))</f>
        <v>Соединенные Штаты</v>
      </c>
      <c r="N257" s="81" t="str">
        <f ca="1">UPPER(_xlfn.XLOOKUP($A257,Строчный!$A:$A,Строчный!O:O,"ERR",0))</f>
        <v/>
      </c>
      <c r="O257" s="107" t="str">
        <f ca="1">PROPER(_xlfn.XLOOKUP($A257,Строчный!$A:$A,Строчный!P:P,"ERR",0))</f>
        <v/>
      </c>
      <c r="P257" s="90">
        <f ca="1">VALUE(_xlfn.XLOOKUP($A257,Строчный!$A:$A,Строчный!N:N,"ERR",0))</f>
        <v>6002.0999999999995</v>
      </c>
      <c r="Q257" s="89" t="str">
        <f ca="1">_xlfn.XLOOKUP($G257,Фабрика!A:A,Фабрика!B:B,"ERR",0)</f>
        <v>Bollman Headwear Europe Ltd; 2 Merchants drive, Caelisle, Cumbria CA3 0JW, United Kingdom</v>
      </c>
      <c r="R257" s="80" t="str">
        <f ca="1">_xlfn.XLOOKUP(RIGHT(Z257,2),Размеры!D:D,Размеры!A:A,"ERR",0)</f>
        <v>57</v>
      </c>
      <c r="S257" s="80">
        <f ca="1">VALUE(_xlfn.XLOOKUP($Z257,Строчный!$R:$R,Строчный!T:T,"ERR",0))</f>
        <v>2</v>
      </c>
      <c r="T257" s="14" t="s">
        <v>265</v>
      </c>
      <c r="U257" s="101" t="str">
        <f t="shared" ca="1" si="28"/>
        <v>Шляпа BAILEY арт. 22721 BROOKS (бежевый)</v>
      </c>
      <c r="V257" s="100" t="str">
        <f t="shared" ca="1" si="29"/>
        <v>Шляпа BAILEY арт. 22721 BROOKS (бежевый) {natural}</v>
      </c>
      <c r="W257" s="18" t="str">
        <f t="shared" ca="1" si="30"/>
        <v>бежевый</v>
      </c>
      <c r="X257" s="18" t="str">
        <f t="shared" ca="1" si="31"/>
        <v>бежевый</v>
      </c>
      <c r="Y257" s="117" t="str">
        <f ca="1">_xlfn.LET(_xlpm.FormColors,_xlfn.XLOOKUP(A257,Строчный!A:A,Строчный!Q:Q,"",0),IF(_xlpm.FormColors=0,IFERROR(MID(I257,FIND("-",I257)+1,LEN(I257)),IFERROR(MID(I257,1,FIND("/",I257)-2),I257)),_xlpm.FormColors))</f>
        <v>бежевый</v>
      </c>
      <c r="Z257" s="73" t="str">
        <f ca="1"/>
        <v>21-209-02-57</v>
      </c>
      <c r="AA257" s="75" t="str">
        <f ca="1">VLOOKUP(C257,Группа!A:B,2,FALSE)</f>
        <v>Шляпа</v>
      </c>
      <c r="AB257" s="97" t="str">
        <f ca="1">IFERROR(VLOOKUP(R257,Размеры!A:C,3,FALSE),"")</f>
        <v>57 M</v>
      </c>
      <c r="AC257" s="97" t="str">
        <f ca="1">VLOOKUP(I257,ЦветПолный!A:B,2,FALSE)</f>
        <v>02</v>
      </c>
      <c r="AD257" s="97" t="str">
        <f ca="1">IFERROR(VLOOKUP(R257,Размеры!A:D,4,FALSE),"")</f>
        <v>57</v>
      </c>
      <c r="AE257" s="97">
        <f ca="1">IF(LEFT(IFERROR(VLOOKUP(LOOKUP(2,1/SEARCH(B257,Товары!A:A),Товары!A:A),Товары!A:B,2,0),""),6)=MID(Z257,1,6),1,0)</f>
        <v>1</v>
      </c>
      <c r="AG257" s="97">
        <f ca="1">SUMIF(Группа!A:A,C257,Группа!C:C)</f>
        <v>1</v>
      </c>
      <c r="AH257" s="97">
        <f ca="1">SUMIF(Группа!B:B,AA257,Группа!C:C)</f>
        <v>1</v>
      </c>
      <c r="AI257" s="97">
        <f ca="1">SUMIF(Формы!A:A,D257,Формы!B:B)</f>
        <v>1</v>
      </c>
      <c r="AJ257" s="97">
        <f ca="1">SUMIF(Материал!A:A,K257,Материал!B:B)</f>
        <v>1</v>
      </c>
      <c r="AK257" s="97">
        <f ca="1">SUMIF(Размеры!A:A,R257,Размеры!E:E)</f>
        <v>1</v>
      </c>
      <c r="AL257" s="97">
        <f ca="1">SUMIF(Сезон!A:A,F257,Сезон!B:B)</f>
        <v>1</v>
      </c>
      <c r="AM257" s="97">
        <f ca="1">SUMIF(Состав!A:A,J257,Состав!B:B)</f>
        <v>1</v>
      </c>
      <c r="AN257" s="97">
        <f ca="1">VLOOKUP(I257,ЦветПолный!A:C,3,0)</f>
        <v>1</v>
      </c>
      <c r="AO257" s="97">
        <f ca="1">SUMIF(Цвет!A:A,Y257,Цвет!B:B)</f>
        <v>1</v>
      </c>
      <c r="AP257" s="97">
        <f ca="1">_xlfn.XLOOKUP(L257,Пол!A:A,Пол!B:B,0,0)</f>
        <v>1</v>
      </c>
      <c r="AQ257" s="97">
        <f ca="1">SUMIF(Марка!A:A,G257,Марка!B:B)</f>
        <v>1</v>
      </c>
      <c r="AR257" s="97">
        <f ca="1">SUMIF(Страна!A:A,M257,Страна!B:B)</f>
        <v>1</v>
      </c>
      <c r="AS257" s="64" t="str">
        <f ca="1">IF(VLOOKUP(V257,Товары!A:B,2,FALSE)=A257,"Есть в 1С","ERR")</f>
        <v>Есть в 1С</v>
      </c>
      <c r="AT257" s="65" t="str">
        <f ca="1">IF(VLOOKUP(A257,Товары!B:B,1,FALSE)=A257,"Есть в 1С","ERR")</f>
        <v>Есть в 1С</v>
      </c>
      <c r="AU257" s="96" t="str">
        <f ca="1">VLOOKUP(V257,Товары!A:B,2,FALSE)</f>
        <v>21-209-02</v>
      </c>
      <c r="AV257" s="94" t="str">
        <f ca="1">VLOOKUP(V257,Товары!A:B,1,FALSE)</f>
        <v>Шляпа BAILEY арт. 22721 BROOKS (бежевый) {natural}</v>
      </c>
    </row>
    <row r="258" spans="1:48" x14ac:dyDescent="0.25">
      <c r="A258" s="110" t="str">
        <f t="shared" ca="1" si="27"/>
        <v>21-209-02</v>
      </c>
      <c r="B258" s="107" t="str">
        <f ca="1">_xlfn.LET(_xlpm.CAPS,0,_xlpm.Style,_xlfn.XLOOKUP($A258,Строчный!$A:$A,Строчный!B:B,"ERR",0),IF(_xlpm.CAPS=0,_xlpm.Style,LOWER(_xlpm.Style)))</f>
        <v>22721 BROOKS</v>
      </c>
      <c r="C258" s="81" t="str">
        <f ca="1">PROPER(_xlfn.XLOOKUP($A258,Строчный!$A:$A,Строчный!C:C,"ERR",0))</f>
        <v>Шляпы</v>
      </c>
      <c r="D258" s="81" t="str">
        <f ca="1">_xlfn.LET(_xlpm.DATA,(_xlfn.XLOOKUP($A258,Строчный!$A:$A,Строчный!D:D,"ERR",0)),UPPER(MID(_xlpm.DATA,1,1))&amp;LOWER(MID(_xlpm.DATA,2,LEN(_xlpm.DATA)-1)))</f>
        <v>Шляпа федора</v>
      </c>
      <c r="E258" s="81" t="str">
        <f ca="1">PROPER(_xlfn.XLOOKUP($A258,Строчный!$A:$A,Строчный!E:E,"ERR",0))</f>
        <v>The Hollywood</v>
      </c>
      <c r="F258" s="81" t="str">
        <f ca="1">LOWER(_xlfn.XLOOKUP($A258,Строчный!$A:$A,Строчный!F:F,"ERR",0))</f>
        <v>летний</v>
      </c>
      <c r="G258" s="81" t="str">
        <f ca="1">UPPER(_xlfn.XLOOKUP($A258,Строчный!$A:$A,Строчный!G:G,"ERR",0))</f>
        <v>BAILEY</v>
      </c>
      <c r="H258" s="81" t="str">
        <f ca="1">LOWER(_xlfn.XLOOKUP($A258,Строчный!$A:$A,Строчный!H:H,"ERR",0))</f>
        <v>natural</v>
      </c>
      <c r="I258" s="81" t="str">
        <f ca="1">LOWER(_xlfn.XLOOKUP($A258,Строчный!$A:$A,Строчный!I:I,"ERR",0))</f>
        <v>бежевый</v>
      </c>
      <c r="J258" s="81" t="str">
        <f ca="1">SUBSTITUTE(LOWER(_xlfn.XLOOKUP($A258,Строчный!$A:$A,Строчный!J:J,"ERR",0)),"подклад","Подклад")</f>
        <v>100% солома токилла</v>
      </c>
      <c r="K258" s="81" t="str">
        <f ca="1">LOWER(_xlfn.XLOOKUP($A258,Строчный!$A:$A,Строчный!K:K,"ERR",0))</f>
        <v>соломенные</v>
      </c>
      <c r="L258" s="81" t="str">
        <f ca="1">PROPER(_xlfn.XLOOKUP($A258,Строчный!$A:$A,Строчный!L:L,"ERR",0))</f>
        <v>Унисекс</v>
      </c>
      <c r="M258" s="113" t="str">
        <f ca="1">PROPER(_xlfn.XLOOKUP($A258,Строчный!$A:$A,Строчный!M:M,"ERR",0))</f>
        <v>Соединенные Штаты</v>
      </c>
      <c r="N258" s="81" t="str">
        <f ca="1">UPPER(_xlfn.XLOOKUP($A258,Строчный!$A:$A,Строчный!O:O,"ERR",0))</f>
        <v/>
      </c>
      <c r="O258" s="107" t="str">
        <f ca="1">PROPER(_xlfn.XLOOKUP($A258,Строчный!$A:$A,Строчный!P:P,"ERR",0))</f>
        <v/>
      </c>
      <c r="P258" s="90">
        <f ca="1">VALUE(_xlfn.XLOOKUP($A258,Строчный!$A:$A,Строчный!N:N,"ERR",0))</f>
        <v>6002.0999999999995</v>
      </c>
      <c r="Q258" s="89" t="str">
        <f ca="1">_xlfn.XLOOKUP($G258,Фабрика!A:A,Фабрика!B:B,"ERR",0)</f>
        <v>Bollman Headwear Europe Ltd; 2 Merchants drive, Caelisle, Cumbria CA3 0JW, United Kingdom</v>
      </c>
      <c r="R258" s="80" t="str">
        <f ca="1">_xlfn.XLOOKUP(RIGHT(Z258,2),Размеры!D:D,Размеры!A:A,"ERR",0)</f>
        <v>55</v>
      </c>
      <c r="S258" s="80">
        <f ca="1">VALUE(_xlfn.XLOOKUP($Z258,Строчный!$R:$R,Строчный!T:T,"ERR",0))</f>
        <v>2</v>
      </c>
      <c r="T258" s="14" t="s">
        <v>265</v>
      </c>
      <c r="U258" s="101" t="str">
        <f t="shared" ca="1" si="28"/>
        <v>Шляпа BAILEY арт. 22721 BROOKS (бежевый)</v>
      </c>
      <c r="V258" s="100" t="str">
        <f t="shared" ca="1" si="29"/>
        <v>Шляпа BAILEY арт. 22721 BROOKS (бежевый) {natural}</v>
      </c>
      <c r="W258" s="18" t="str">
        <f t="shared" ca="1" si="30"/>
        <v>бежевый</v>
      </c>
      <c r="X258" s="18" t="str">
        <f t="shared" ca="1" si="31"/>
        <v>бежевый</v>
      </c>
      <c r="Y258" s="117" t="str">
        <f ca="1">_xlfn.LET(_xlpm.FormColors,_xlfn.XLOOKUP(A258,Строчный!A:A,Строчный!Q:Q,"",0),IF(_xlpm.FormColors=0,IFERROR(MID(I258,FIND("-",I258)+1,LEN(I258)),IFERROR(MID(I258,1,FIND("/",I258)-2),I258)),_xlpm.FormColors))</f>
        <v>бежевый</v>
      </c>
      <c r="Z258" s="73" t="str">
        <f ca="1"/>
        <v>21-209-02-55</v>
      </c>
      <c r="AA258" s="75" t="str">
        <f ca="1">VLOOKUP(C258,Группа!A:B,2,FALSE)</f>
        <v>Шляпа</v>
      </c>
      <c r="AB258" s="97" t="str">
        <f ca="1">IFERROR(VLOOKUP(R258,Размеры!A:C,3,FALSE),"")</f>
        <v>55 S</v>
      </c>
      <c r="AC258" s="97" t="str">
        <f ca="1">VLOOKUP(I258,ЦветПолный!A:B,2,FALSE)</f>
        <v>02</v>
      </c>
      <c r="AD258" s="97" t="str">
        <f ca="1">IFERROR(VLOOKUP(R258,Размеры!A:D,4,FALSE),"")</f>
        <v>55</v>
      </c>
      <c r="AE258" s="97">
        <f ca="1">IF(LEFT(IFERROR(VLOOKUP(LOOKUP(2,1/SEARCH(B258,Товары!A:A),Товары!A:A),Товары!A:B,2,0),""),6)=MID(Z258,1,6),1,0)</f>
        <v>1</v>
      </c>
      <c r="AG258" s="97">
        <f ca="1">SUMIF(Группа!A:A,C258,Группа!C:C)</f>
        <v>1</v>
      </c>
      <c r="AH258" s="97">
        <f ca="1">SUMIF(Группа!B:B,AA258,Группа!C:C)</f>
        <v>1</v>
      </c>
      <c r="AI258" s="97">
        <f ca="1">SUMIF(Формы!A:A,D258,Формы!B:B)</f>
        <v>1</v>
      </c>
      <c r="AJ258" s="97">
        <f ca="1">SUMIF(Материал!A:A,K258,Материал!B:B)</f>
        <v>1</v>
      </c>
      <c r="AK258" s="97">
        <f ca="1">SUMIF(Размеры!A:A,R258,Размеры!E:E)</f>
        <v>1</v>
      </c>
      <c r="AL258" s="97">
        <f ca="1">SUMIF(Сезон!A:A,F258,Сезон!B:B)</f>
        <v>1</v>
      </c>
      <c r="AM258" s="97">
        <f ca="1">SUMIF(Состав!A:A,J258,Состав!B:B)</f>
        <v>1</v>
      </c>
      <c r="AN258" s="97">
        <f ca="1">VLOOKUP(I258,ЦветПолный!A:C,3,0)</f>
        <v>1</v>
      </c>
      <c r="AO258" s="97">
        <f ca="1">SUMIF(Цвет!A:A,Y258,Цвет!B:B)</f>
        <v>1</v>
      </c>
      <c r="AP258" s="97">
        <f ca="1">_xlfn.XLOOKUP(L258,Пол!A:A,Пол!B:B,0,0)</f>
        <v>1</v>
      </c>
      <c r="AQ258" s="97">
        <f ca="1">SUMIF(Марка!A:A,G258,Марка!B:B)</f>
        <v>1</v>
      </c>
      <c r="AR258" s="97">
        <f ca="1">SUMIF(Страна!A:A,M258,Страна!B:B)</f>
        <v>1</v>
      </c>
      <c r="AS258" s="64" t="str">
        <f ca="1">IF(VLOOKUP(V258,Товары!A:B,2,FALSE)=A258,"Есть в 1С","ERR")</f>
        <v>Есть в 1С</v>
      </c>
      <c r="AT258" s="65" t="str">
        <f ca="1">IF(VLOOKUP(A258,Товары!B:B,1,FALSE)=A258,"Есть в 1С","ERR")</f>
        <v>Есть в 1С</v>
      </c>
      <c r="AU258" s="96" t="str">
        <f ca="1">VLOOKUP(V258,Товары!A:B,2,FALSE)</f>
        <v>21-209-02</v>
      </c>
      <c r="AV258" s="94" t="str">
        <f ca="1">VLOOKUP(V258,Товары!A:B,1,FALSE)</f>
        <v>Шляпа BAILEY арт. 22721 BROOKS (бежевый) {natural}</v>
      </c>
    </row>
    <row r="259" spans="1:48" x14ac:dyDescent="0.25">
      <c r="A259" s="110" t="str">
        <f t="shared" ref="A259:A322" ca="1" si="32">LEFT(Z259,9)</f>
        <v>21-155-86</v>
      </c>
      <c r="B259" s="107" t="str">
        <f ca="1">_xlfn.LET(_xlpm.CAPS,0,_xlpm.Style,_xlfn.XLOOKUP($A259,Строчный!$A:$A,Строчный!B:B,"ERR",0),IF(_xlpm.CAPS=0,_xlpm.Style,LOWER(_xlpm.Style)))</f>
        <v>81810 WAITS</v>
      </c>
      <c r="C259" s="81" t="str">
        <f ca="1">PROPER(_xlfn.XLOOKUP($A259,Строчный!$A:$A,Строчный!C:C,"ERR",0))</f>
        <v>Шляпы</v>
      </c>
      <c r="D259" s="81" t="str">
        <f ca="1">_xlfn.LET(_xlpm.DATA,(_xlfn.XLOOKUP($A259,Строчный!$A:$A,Строчный!D:D,"ERR",0)),UPPER(MID(_xlpm.DATA,1,1))&amp;LOWER(MID(_xlpm.DATA,2,LEN(_xlpm.DATA)-1)))</f>
        <v>Шляпа поркпай</v>
      </c>
      <c r="E259" s="81" t="str">
        <f ca="1">PROPER(_xlfn.XLOOKUP($A259,Строчный!$A:$A,Строчный!E:E,"ERR",0))</f>
        <v>The Hollywood</v>
      </c>
      <c r="F259" s="81" t="str">
        <f ca="1">LOWER(_xlfn.XLOOKUP($A259,Строчный!$A:$A,Строчный!F:F,"ERR",0))</f>
        <v>летний</v>
      </c>
      <c r="G259" s="81" t="str">
        <f ca="1">UPPER(_xlfn.XLOOKUP($A259,Строчный!$A:$A,Строчный!G:G,"ERR",0))</f>
        <v>BAILEY</v>
      </c>
      <c r="H259" s="81" t="str">
        <f ca="1">LOWER(_xlfn.XLOOKUP($A259,Строчный!$A:$A,Строчный!H:H,"ERR",0))</f>
        <v>unbleached</v>
      </c>
      <c r="I259" s="81" t="str">
        <f ca="1">LOWER(_xlfn.XLOOKUP($A259,Строчный!$A:$A,Строчный!I:I,"ERR",0))</f>
        <v>светло-розовый</v>
      </c>
      <c r="J259" s="81" t="str">
        <f ca="1">SUBSTITUTE(LOWER(_xlfn.XLOOKUP($A259,Строчный!$A:$A,Строчный!J:J,"ERR",0)),"подклад","Подклад")</f>
        <v>50% бумага - 50% полипропилен</v>
      </c>
      <c r="K259" s="81" t="str">
        <f ca="1">LOWER(_xlfn.XLOOKUP($A259,Строчный!$A:$A,Строчный!K:K,"ERR",0))</f>
        <v>бумажные</v>
      </c>
      <c r="L259" s="81" t="str">
        <f ca="1">PROPER(_xlfn.XLOOKUP($A259,Строчный!$A:$A,Строчный!L:L,"ERR",0))</f>
        <v>Унисекс</v>
      </c>
      <c r="M259" s="113" t="str">
        <f ca="1">PROPER(_xlfn.XLOOKUP($A259,Строчный!$A:$A,Строчный!M:M,"ERR",0))</f>
        <v>Китай</v>
      </c>
      <c r="N259" s="81" t="str">
        <f ca="1">UPPER(_xlfn.XLOOKUP($A259,Строчный!$A:$A,Строчный!O:O,"ERR",0))</f>
        <v/>
      </c>
      <c r="O259" s="107" t="str">
        <f ca="1">PROPER(_xlfn.XLOOKUP($A259,Строчный!$A:$A,Строчный!P:P,"ERR",0))</f>
        <v/>
      </c>
      <c r="P259" s="90">
        <f ca="1">VALUE(_xlfn.XLOOKUP($A259,Строчный!$A:$A,Строчный!N:N,"ERR",0))</f>
        <v>2380.9500000000003</v>
      </c>
      <c r="Q259" s="89" t="str">
        <f ca="1">_xlfn.XLOOKUP($G259,Фабрика!A:A,Фабрика!B:B,"ERR",0)</f>
        <v>Bollman Headwear Europe Ltd; 2 Merchants drive, Caelisle, Cumbria CA3 0JW, United Kingdom</v>
      </c>
      <c r="R259" s="80" t="str">
        <f ca="1">_xlfn.XLOOKUP(RIGHT(Z259,2),Размеры!D:D,Размеры!A:A,"ERR",0)</f>
        <v>63</v>
      </c>
      <c r="S259" s="80">
        <f ca="1">VALUE(_xlfn.XLOOKUP($Z259,Строчный!$R:$R,Строчный!T:T,"ERR",0))</f>
        <v>3</v>
      </c>
      <c r="T259" s="14" t="s">
        <v>265</v>
      </c>
      <c r="U259" s="101" t="str">
        <f t="shared" ca="1" si="28"/>
        <v>Шляпа BAILEY арт. 81810 WAITS (светло-розовый)</v>
      </c>
      <c r="V259" s="100" t="str">
        <f t="shared" ca="1" si="29"/>
        <v>Шляпа BAILEY арт. 81810 WAITS (светло-розовый) {unbleached}</v>
      </c>
      <c r="W259" s="18" t="str">
        <f t="shared" ca="1" si="30"/>
        <v>розовый</v>
      </c>
      <c r="X259" s="18" t="str">
        <f t="shared" ca="1" si="31"/>
        <v>розовый</v>
      </c>
      <c r="Y259" s="117" t="str">
        <f ca="1">_xlfn.LET(_xlpm.FormColors,_xlfn.XLOOKUP(A259,Строчный!A:A,Строчный!Q:Q,"",0),IF(_xlpm.FormColors=0,IFERROR(MID(I259,FIND("-",I259)+1,LEN(I259)),IFERROR(MID(I259,1,FIND("/",I259)-2),I259)),_xlpm.FormColors))</f>
        <v>розовый</v>
      </c>
      <c r="Z259" s="73" t="str">
        <f ca="1"/>
        <v>21-155-86-63</v>
      </c>
      <c r="AA259" s="75" t="str">
        <f ca="1">VLOOKUP(C259,Группа!A:B,2,FALSE)</f>
        <v>Шляпа</v>
      </c>
      <c r="AB259" s="97" t="str">
        <f ca="1">IFERROR(VLOOKUP(R259,Размеры!A:C,3,FALSE),"")</f>
        <v>63 XXL</v>
      </c>
      <c r="AC259" s="97" t="str">
        <f ca="1">VLOOKUP(I259,ЦветПолный!A:B,2,FALSE)</f>
        <v>86</v>
      </c>
      <c r="AD259" s="97" t="str">
        <f ca="1">IFERROR(VLOOKUP(R259,Размеры!A:D,4,FALSE),"")</f>
        <v>63</v>
      </c>
      <c r="AE259" s="97">
        <f ca="1">IF(LEFT(IFERROR(VLOOKUP(LOOKUP(2,1/SEARCH(B259,Товары!A:A),Товары!A:A),Товары!A:B,2,0),""),6)=MID(Z259,1,6),1,0)</f>
        <v>1</v>
      </c>
      <c r="AG259" s="97">
        <f ca="1">SUMIF(Группа!A:A,C259,Группа!C:C)</f>
        <v>1</v>
      </c>
      <c r="AH259" s="97">
        <f ca="1">SUMIF(Группа!B:B,AA259,Группа!C:C)</f>
        <v>1</v>
      </c>
      <c r="AI259" s="97">
        <f ca="1">SUMIF(Формы!A:A,D259,Формы!B:B)</f>
        <v>1</v>
      </c>
      <c r="AJ259" s="97">
        <f ca="1">SUMIF(Материал!A:A,K259,Материал!B:B)</f>
        <v>1</v>
      </c>
      <c r="AK259" s="97">
        <f ca="1">SUMIF(Размеры!A:A,R259,Размеры!E:E)</f>
        <v>1</v>
      </c>
      <c r="AL259" s="97">
        <f ca="1">SUMIF(Сезон!A:A,F259,Сезон!B:B)</f>
        <v>1</v>
      </c>
      <c r="AM259" s="97">
        <f ca="1">SUMIF(Состав!A:A,J259,Состав!B:B)</f>
        <v>1</v>
      </c>
      <c r="AN259" s="97">
        <f ca="1">VLOOKUP(I259,ЦветПолный!A:C,3,0)</f>
        <v>1</v>
      </c>
      <c r="AO259" s="97">
        <f ca="1">SUMIF(Цвет!A:A,Y259,Цвет!B:B)</f>
        <v>1</v>
      </c>
      <c r="AP259" s="97">
        <f ca="1">_xlfn.XLOOKUP(L259,Пол!A:A,Пол!B:B,0,0)</f>
        <v>1</v>
      </c>
      <c r="AQ259" s="97">
        <f ca="1">SUMIF(Марка!A:A,G259,Марка!B:B)</f>
        <v>1</v>
      </c>
      <c r="AR259" s="97">
        <f ca="1">SUMIF(Страна!A:A,M259,Страна!B:B)</f>
        <v>1</v>
      </c>
      <c r="AS259" s="64" t="str">
        <f ca="1">IF(VLOOKUP(V259,Товары!A:B,2,FALSE)=A259,"Есть в 1С","ERR")</f>
        <v>Есть в 1С</v>
      </c>
      <c r="AT259" s="65" t="str">
        <f ca="1">IF(VLOOKUP(A259,Товары!B:B,1,FALSE)=A259,"Есть в 1С","ERR")</f>
        <v>Есть в 1С</v>
      </c>
      <c r="AU259" s="96" t="str">
        <f ca="1">VLOOKUP(V259,Товары!A:B,2,FALSE)</f>
        <v>21-155-86</v>
      </c>
      <c r="AV259" s="94" t="str">
        <f ca="1">VLOOKUP(V259,Товары!A:B,1,FALSE)</f>
        <v>Шляпа BAILEY арт. 81810 WAITS (светло-розовый) {unbleached}</v>
      </c>
    </row>
    <row r="260" spans="1:48" x14ac:dyDescent="0.25">
      <c r="A260" s="110" t="str">
        <f t="shared" ca="1" si="32"/>
        <v>21-155-86</v>
      </c>
      <c r="B260" s="107" t="str">
        <f ca="1">_xlfn.LET(_xlpm.CAPS,0,_xlpm.Style,_xlfn.XLOOKUP($A260,Строчный!$A:$A,Строчный!B:B,"ERR",0),IF(_xlpm.CAPS=0,_xlpm.Style,LOWER(_xlpm.Style)))</f>
        <v>81810 WAITS</v>
      </c>
      <c r="C260" s="81" t="str">
        <f ca="1">PROPER(_xlfn.XLOOKUP($A260,Строчный!$A:$A,Строчный!C:C,"ERR",0))</f>
        <v>Шляпы</v>
      </c>
      <c r="D260" s="81" t="str">
        <f ca="1">_xlfn.LET(_xlpm.DATA,(_xlfn.XLOOKUP($A260,Строчный!$A:$A,Строчный!D:D,"ERR",0)),UPPER(MID(_xlpm.DATA,1,1))&amp;LOWER(MID(_xlpm.DATA,2,LEN(_xlpm.DATA)-1)))</f>
        <v>Шляпа поркпай</v>
      </c>
      <c r="E260" s="81" t="str">
        <f ca="1">PROPER(_xlfn.XLOOKUP($A260,Строчный!$A:$A,Строчный!E:E,"ERR",0))</f>
        <v>The Hollywood</v>
      </c>
      <c r="F260" s="81" t="str">
        <f ca="1">LOWER(_xlfn.XLOOKUP($A260,Строчный!$A:$A,Строчный!F:F,"ERR",0))</f>
        <v>летний</v>
      </c>
      <c r="G260" s="81" t="str">
        <f ca="1">UPPER(_xlfn.XLOOKUP($A260,Строчный!$A:$A,Строчный!G:G,"ERR",0))</f>
        <v>BAILEY</v>
      </c>
      <c r="H260" s="81" t="str">
        <f ca="1">LOWER(_xlfn.XLOOKUP($A260,Строчный!$A:$A,Строчный!H:H,"ERR",0))</f>
        <v>unbleached</v>
      </c>
      <c r="I260" s="81" t="str">
        <f ca="1">LOWER(_xlfn.XLOOKUP($A260,Строчный!$A:$A,Строчный!I:I,"ERR",0))</f>
        <v>светло-розовый</v>
      </c>
      <c r="J260" s="81" t="str">
        <f ca="1">SUBSTITUTE(LOWER(_xlfn.XLOOKUP($A260,Строчный!$A:$A,Строчный!J:J,"ERR",0)),"подклад","Подклад")</f>
        <v>50% бумага - 50% полипропилен</v>
      </c>
      <c r="K260" s="81" t="str">
        <f ca="1">LOWER(_xlfn.XLOOKUP($A260,Строчный!$A:$A,Строчный!K:K,"ERR",0))</f>
        <v>бумажные</v>
      </c>
      <c r="L260" s="81" t="str">
        <f ca="1">PROPER(_xlfn.XLOOKUP($A260,Строчный!$A:$A,Строчный!L:L,"ERR",0))</f>
        <v>Унисекс</v>
      </c>
      <c r="M260" s="113" t="str">
        <f ca="1">PROPER(_xlfn.XLOOKUP($A260,Строчный!$A:$A,Строчный!M:M,"ERR",0))</f>
        <v>Китай</v>
      </c>
      <c r="N260" s="81" t="str">
        <f ca="1">UPPER(_xlfn.XLOOKUP($A260,Строчный!$A:$A,Строчный!O:O,"ERR",0))</f>
        <v/>
      </c>
      <c r="O260" s="107" t="str">
        <f ca="1">PROPER(_xlfn.XLOOKUP($A260,Строчный!$A:$A,Строчный!P:P,"ERR",0))</f>
        <v/>
      </c>
      <c r="P260" s="90">
        <f ca="1">VALUE(_xlfn.XLOOKUP($A260,Строчный!$A:$A,Строчный!N:N,"ERR",0))</f>
        <v>2380.9500000000003</v>
      </c>
      <c r="Q260" s="89" t="str">
        <f ca="1">_xlfn.XLOOKUP($G260,Фабрика!A:A,Фабрика!B:B,"ERR",0)</f>
        <v>Bollman Headwear Europe Ltd; 2 Merchants drive, Caelisle, Cumbria CA3 0JW, United Kingdom</v>
      </c>
      <c r="R260" s="80" t="str">
        <f ca="1">_xlfn.XLOOKUP(RIGHT(Z260,2),Размеры!D:D,Размеры!A:A,"ERR",0)</f>
        <v>61</v>
      </c>
      <c r="S260" s="80">
        <f ca="1">VALUE(_xlfn.XLOOKUP($Z260,Строчный!$R:$R,Строчный!T:T,"ERR",0))</f>
        <v>6</v>
      </c>
      <c r="T260" s="14" t="s">
        <v>265</v>
      </c>
      <c r="U260" s="101" t="str">
        <f t="shared" ca="1" si="28"/>
        <v>Шляпа BAILEY арт. 81810 WAITS (светло-розовый)</v>
      </c>
      <c r="V260" s="100" t="str">
        <f t="shared" ca="1" si="29"/>
        <v>Шляпа BAILEY арт. 81810 WAITS (светло-розовый) {unbleached}</v>
      </c>
      <c r="W260" s="18" t="str">
        <f t="shared" ca="1" si="30"/>
        <v>розовый</v>
      </c>
      <c r="X260" s="18" t="str">
        <f t="shared" ca="1" si="31"/>
        <v>розовый</v>
      </c>
      <c r="Y260" s="117" t="str">
        <f ca="1">_xlfn.LET(_xlpm.FormColors,_xlfn.XLOOKUP(A260,Строчный!A:A,Строчный!Q:Q,"",0),IF(_xlpm.FormColors=0,IFERROR(MID(I260,FIND("-",I260)+1,LEN(I260)),IFERROR(MID(I260,1,FIND("/",I260)-2),I260)),_xlpm.FormColors))</f>
        <v>розовый</v>
      </c>
      <c r="Z260" s="73" t="str">
        <f ca="1"/>
        <v>21-155-86-61</v>
      </c>
      <c r="AA260" s="75" t="str">
        <f ca="1">VLOOKUP(C260,Группа!A:B,2,FALSE)</f>
        <v>Шляпа</v>
      </c>
      <c r="AB260" s="97" t="str">
        <f ca="1">IFERROR(VLOOKUP(R260,Размеры!A:C,3,FALSE),"")</f>
        <v>61 XL</v>
      </c>
      <c r="AC260" s="97" t="str">
        <f ca="1">VLOOKUP(I260,ЦветПолный!A:B,2,FALSE)</f>
        <v>86</v>
      </c>
      <c r="AD260" s="97" t="str">
        <f ca="1">IFERROR(VLOOKUP(R260,Размеры!A:D,4,FALSE),"")</f>
        <v>61</v>
      </c>
      <c r="AE260" s="97">
        <f ca="1">IF(LEFT(IFERROR(VLOOKUP(LOOKUP(2,1/SEARCH(B260,Товары!A:A),Товары!A:A),Товары!A:B,2,0),""),6)=MID(Z260,1,6),1,0)</f>
        <v>1</v>
      </c>
      <c r="AG260" s="97">
        <f ca="1">SUMIF(Группа!A:A,C260,Группа!C:C)</f>
        <v>1</v>
      </c>
      <c r="AH260" s="97">
        <f ca="1">SUMIF(Группа!B:B,AA260,Группа!C:C)</f>
        <v>1</v>
      </c>
      <c r="AI260" s="97">
        <f ca="1">SUMIF(Формы!A:A,D260,Формы!B:B)</f>
        <v>1</v>
      </c>
      <c r="AJ260" s="97">
        <f ca="1">SUMIF(Материал!A:A,K260,Материал!B:B)</f>
        <v>1</v>
      </c>
      <c r="AK260" s="97">
        <f ca="1">SUMIF(Размеры!A:A,R260,Размеры!E:E)</f>
        <v>1</v>
      </c>
      <c r="AL260" s="97">
        <f ca="1">SUMIF(Сезон!A:A,F260,Сезон!B:B)</f>
        <v>1</v>
      </c>
      <c r="AM260" s="97">
        <f ca="1">SUMIF(Состав!A:A,J260,Состав!B:B)</f>
        <v>1</v>
      </c>
      <c r="AN260" s="97">
        <f ca="1">VLOOKUP(I260,ЦветПолный!A:C,3,0)</f>
        <v>1</v>
      </c>
      <c r="AO260" s="97">
        <f ca="1">SUMIF(Цвет!A:A,Y260,Цвет!B:B)</f>
        <v>1</v>
      </c>
      <c r="AP260" s="97">
        <f ca="1">_xlfn.XLOOKUP(L260,Пол!A:A,Пол!B:B,0,0)</f>
        <v>1</v>
      </c>
      <c r="AQ260" s="97">
        <f ca="1">SUMIF(Марка!A:A,G260,Марка!B:B)</f>
        <v>1</v>
      </c>
      <c r="AR260" s="97">
        <f ca="1">SUMIF(Страна!A:A,M260,Страна!B:B)</f>
        <v>1</v>
      </c>
      <c r="AS260" s="64" t="str">
        <f ca="1">IF(VLOOKUP(V260,Товары!A:B,2,FALSE)=A260,"Есть в 1С","ERR")</f>
        <v>Есть в 1С</v>
      </c>
      <c r="AT260" s="65" t="str">
        <f ca="1">IF(VLOOKUP(A260,Товары!B:B,1,FALSE)=A260,"Есть в 1С","ERR")</f>
        <v>Есть в 1С</v>
      </c>
      <c r="AU260" s="96" t="str">
        <f ca="1">VLOOKUP(V260,Товары!A:B,2,FALSE)</f>
        <v>21-155-86</v>
      </c>
      <c r="AV260" s="94" t="str">
        <f ca="1">VLOOKUP(V260,Товары!A:B,1,FALSE)</f>
        <v>Шляпа BAILEY арт. 81810 WAITS (светло-розовый) {unbleached}</v>
      </c>
    </row>
    <row r="261" spans="1:48" x14ac:dyDescent="0.25">
      <c r="A261" s="110" t="str">
        <f t="shared" ca="1" si="32"/>
        <v>21-155-86</v>
      </c>
      <c r="B261" s="107" t="str">
        <f ca="1">_xlfn.LET(_xlpm.CAPS,0,_xlpm.Style,_xlfn.XLOOKUP($A261,Строчный!$A:$A,Строчный!B:B,"ERR",0),IF(_xlpm.CAPS=0,_xlpm.Style,LOWER(_xlpm.Style)))</f>
        <v>81810 WAITS</v>
      </c>
      <c r="C261" s="81" t="str">
        <f ca="1">PROPER(_xlfn.XLOOKUP($A261,Строчный!$A:$A,Строчный!C:C,"ERR",0))</f>
        <v>Шляпы</v>
      </c>
      <c r="D261" s="81" t="str">
        <f ca="1">_xlfn.LET(_xlpm.DATA,(_xlfn.XLOOKUP($A261,Строчный!$A:$A,Строчный!D:D,"ERR",0)),UPPER(MID(_xlpm.DATA,1,1))&amp;LOWER(MID(_xlpm.DATA,2,LEN(_xlpm.DATA)-1)))</f>
        <v>Шляпа поркпай</v>
      </c>
      <c r="E261" s="81" t="str">
        <f ca="1">PROPER(_xlfn.XLOOKUP($A261,Строчный!$A:$A,Строчный!E:E,"ERR",0))</f>
        <v>The Hollywood</v>
      </c>
      <c r="F261" s="81" t="str">
        <f ca="1">LOWER(_xlfn.XLOOKUP($A261,Строчный!$A:$A,Строчный!F:F,"ERR",0))</f>
        <v>летний</v>
      </c>
      <c r="G261" s="81" t="str">
        <f ca="1">UPPER(_xlfn.XLOOKUP($A261,Строчный!$A:$A,Строчный!G:G,"ERR",0))</f>
        <v>BAILEY</v>
      </c>
      <c r="H261" s="81" t="str">
        <f ca="1">LOWER(_xlfn.XLOOKUP($A261,Строчный!$A:$A,Строчный!H:H,"ERR",0))</f>
        <v>unbleached</v>
      </c>
      <c r="I261" s="81" t="str">
        <f ca="1">LOWER(_xlfn.XLOOKUP($A261,Строчный!$A:$A,Строчный!I:I,"ERR",0))</f>
        <v>светло-розовый</v>
      </c>
      <c r="J261" s="81" t="str">
        <f ca="1">SUBSTITUTE(LOWER(_xlfn.XLOOKUP($A261,Строчный!$A:$A,Строчный!J:J,"ERR",0)),"подклад","Подклад")</f>
        <v>50% бумага - 50% полипропилен</v>
      </c>
      <c r="K261" s="81" t="str">
        <f ca="1">LOWER(_xlfn.XLOOKUP($A261,Строчный!$A:$A,Строчный!K:K,"ERR",0))</f>
        <v>бумажные</v>
      </c>
      <c r="L261" s="81" t="str">
        <f ca="1">PROPER(_xlfn.XLOOKUP($A261,Строчный!$A:$A,Строчный!L:L,"ERR",0))</f>
        <v>Унисекс</v>
      </c>
      <c r="M261" s="113" t="str">
        <f ca="1">PROPER(_xlfn.XLOOKUP($A261,Строчный!$A:$A,Строчный!M:M,"ERR",0))</f>
        <v>Китай</v>
      </c>
      <c r="N261" s="81" t="str">
        <f ca="1">UPPER(_xlfn.XLOOKUP($A261,Строчный!$A:$A,Строчный!O:O,"ERR",0))</f>
        <v/>
      </c>
      <c r="O261" s="107" t="str">
        <f ca="1">PROPER(_xlfn.XLOOKUP($A261,Строчный!$A:$A,Строчный!P:P,"ERR",0))</f>
        <v/>
      </c>
      <c r="P261" s="90">
        <f ca="1">VALUE(_xlfn.XLOOKUP($A261,Строчный!$A:$A,Строчный!N:N,"ERR",0))</f>
        <v>2380.9500000000003</v>
      </c>
      <c r="Q261" s="89" t="str">
        <f ca="1">_xlfn.XLOOKUP($G261,Фабрика!A:A,Фабрика!B:B,"ERR",0)</f>
        <v>Bollman Headwear Europe Ltd; 2 Merchants drive, Caelisle, Cumbria CA3 0JW, United Kingdom</v>
      </c>
      <c r="R261" s="80" t="str">
        <f ca="1">_xlfn.XLOOKUP(RIGHT(Z261,2),Размеры!D:D,Размеры!A:A,"ERR",0)</f>
        <v>59</v>
      </c>
      <c r="S261" s="80">
        <f ca="1">VALUE(_xlfn.XLOOKUP($Z261,Строчный!$R:$R,Строчный!T:T,"ERR",0))</f>
        <v>11</v>
      </c>
      <c r="T261" s="14" t="s">
        <v>265</v>
      </c>
      <c r="U261" s="101" t="str">
        <f t="shared" ca="1" si="28"/>
        <v>Шляпа BAILEY арт. 81810 WAITS (светло-розовый)</v>
      </c>
      <c r="V261" s="100" t="str">
        <f t="shared" ca="1" si="29"/>
        <v>Шляпа BAILEY арт. 81810 WAITS (светло-розовый) {unbleached}</v>
      </c>
      <c r="W261" s="18" t="str">
        <f t="shared" ca="1" si="30"/>
        <v>розовый</v>
      </c>
      <c r="X261" s="18" t="str">
        <f t="shared" ca="1" si="31"/>
        <v>розовый</v>
      </c>
      <c r="Y261" s="117" t="str">
        <f ca="1">_xlfn.LET(_xlpm.FormColors,_xlfn.XLOOKUP(A261,Строчный!A:A,Строчный!Q:Q,"",0),IF(_xlpm.FormColors=0,IFERROR(MID(I261,FIND("-",I261)+1,LEN(I261)),IFERROR(MID(I261,1,FIND("/",I261)-2),I261)),_xlpm.FormColors))</f>
        <v>розовый</v>
      </c>
      <c r="Z261" s="73" t="str">
        <f ca="1"/>
        <v>21-155-86-59</v>
      </c>
      <c r="AA261" s="75" t="str">
        <f ca="1">VLOOKUP(C261,Группа!A:B,2,FALSE)</f>
        <v>Шляпа</v>
      </c>
      <c r="AB261" s="97" t="str">
        <f ca="1">IFERROR(VLOOKUP(R261,Размеры!A:C,3,FALSE),"")</f>
        <v>59 L</v>
      </c>
      <c r="AC261" s="97" t="str">
        <f ca="1">VLOOKUP(I261,ЦветПолный!A:B,2,FALSE)</f>
        <v>86</v>
      </c>
      <c r="AD261" s="97" t="str">
        <f ca="1">IFERROR(VLOOKUP(R261,Размеры!A:D,4,FALSE),"")</f>
        <v>59</v>
      </c>
      <c r="AE261" s="97">
        <f ca="1">IF(LEFT(IFERROR(VLOOKUP(LOOKUP(2,1/SEARCH(B261,Товары!A:A),Товары!A:A),Товары!A:B,2,0),""),6)=MID(Z261,1,6),1,0)</f>
        <v>1</v>
      </c>
      <c r="AG261" s="97">
        <f ca="1">SUMIF(Группа!A:A,C261,Группа!C:C)</f>
        <v>1</v>
      </c>
      <c r="AH261" s="97">
        <f ca="1">SUMIF(Группа!B:B,AA261,Группа!C:C)</f>
        <v>1</v>
      </c>
      <c r="AI261" s="97">
        <f ca="1">SUMIF(Формы!A:A,D261,Формы!B:B)</f>
        <v>1</v>
      </c>
      <c r="AJ261" s="97">
        <f ca="1">SUMIF(Материал!A:A,K261,Материал!B:B)</f>
        <v>1</v>
      </c>
      <c r="AK261" s="97">
        <f ca="1">SUMIF(Размеры!A:A,R261,Размеры!E:E)</f>
        <v>1</v>
      </c>
      <c r="AL261" s="97">
        <f ca="1">SUMIF(Сезон!A:A,F261,Сезон!B:B)</f>
        <v>1</v>
      </c>
      <c r="AM261" s="97">
        <f ca="1">SUMIF(Состав!A:A,J261,Состав!B:B)</f>
        <v>1</v>
      </c>
      <c r="AN261" s="97">
        <f ca="1">VLOOKUP(I261,ЦветПолный!A:C,3,0)</f>
        <v>1</v>
      </c>
      <c r="AO261" s="97">
        <f ca="1">SUMIF(Цвет!A:A,Y261,Цвет!B:B)</f>
        <v>1</v>
      </c>
      <c r="AP261" s="97">
        <f ca="1">_xlfn.XLOOKUP(L261,Пол!A:A,Пол!B:B,0,0)</f>
        <v>1</v>
      </c>
      <c r="AQ261" s="97">
        <f ca="1">SUMIF(Марка!A:A,G261,Марка!B:B)</f>
        <v>1</v>
      </c>
      <c r="AR261" s="97">
        <f ca="1">SUMIF(Страна!A:A,M261,Страна!B:B)</f>
        <v>1</v>
      </c>
      <c r="AS261" s="64" t="str">
        <f ca="1">IF(VLOOKUP(V261,Товары!A:B,2,FALSE)=A261,"Есть в 1С","ERR")</f>
        <v>Есть в 1С</v>
      </c>
      <c r="AT261" s="65" t="str">
        <f ca="1">IF(VLOOKUP(A261,Товары!B:B,1,FALSE)=A261,"Есть в 1С","ERR")</f>
        <v>Есть в 1С</v>
      </c>
      <c r="AU261" s="96" t="str">
        <f ca="1">VLOOKUP(V261,Товары!A:B,2,FALSE)</f>
        <v>21-155-86</v>
      </c>
      <c r="AV261" s="94" t="str">
        <f ca="1">VLOOKUP(V261,Товары!A:B,1,FALSE)</f>
        <v>Шляпа BAILEY арт. 81810 WAITS (светло-розовый) {unbleached}</v>
      </c>
    </row>
    <row r="262" spans="1:48" x14ac:dyDescent="0.25">
      <c r="A262" s="110" t="str">
        <f t="shared" ca="1" si="32"/>
        <v>21-155-86</v>
      </c>
      <c r="B262" s="107" t="str">
        <f ca="1">_xlfn.LET(_xlpm.CAPS,0,_xlpm.Style,_xlfn.XLOOKUP($A262,Строчный!$A:$A,Строчный!B:B,"ERR",0),IF(_xlpm.CAPS=0,_xlpm.Style,LOWER(_xlpm.Style)))</f>
        <v>81810 WAITS</v>
      </c>
      <c r="C262" s="81" t="str">
        <f ca="1">PROPER(_xlfn.XLOOKUP($A262,Строчный!$A:$A,Строчный!C:C,"ERR",0))</f>
        <v>Шляпы</v>
      </c>
      <c r="D262" s="81" t="str">
        <f ca="1">_xlfn.LET(_xlpm.DATA,(_xlfn.XLOOKUP($A262,Строчный!$A:$A,Строчный!D:D,"ERR",0)),UPPER(MID(_xlpm.DATA,1,1))&amp;LOWER(MID(_xlpm.DATA,2,LEN(_xlpm.DATA)-1)))</f>
        <v>Шляпа поркпай</v>
      </c>
      <c r="E262" s="81" t="str">
        <f ca="1">PROPER(_xlfn.XLOOKUP($A262,Строчный!$A:$A,Строчный!E:E,"ERR",0))</f>
        <v>The Hollywood</v>
      </c>
      <c r="F262" s="81" t="str">
        <f ca="1">LOWER(_xlfn.XLOOKUP($A262,Строчный!$A:$A,Строчный!F:F,"ERR",0))</f>
        <v>летний</v>
      </c>
      <c r="G262" s="81" t="str">
        <f ca="1">UPPER(_xlfn.XLOOKUP($A262,Строчный!$A:$A,Строчный!G:G,"ERR",0))</f>
        <v>BAILEY</v>
      </c>
      <c r="H262" s="81" t="str">
        <f ca="1">LOWER(_xlfn.XLOOKUP($A262,Строчный!$A:$A,Строчный!H:H,"ERR",0))</f>
        <v>unbleached</v>
      </c>
      <c r="I262" s="81" t="str">
        <f ca="1">LOWER(_xlfn.XLOOKUP($A262,Строчный!$A:$A,Строчный!I:I,"ERR",0))</f>
        <v>светло-розовый</v>
      </c>
      <c r="J262" s="81" t="str">
        <f ca="1">SUBSTITUTE(LOWER(_xlfn.XLOOKUP($A262,Строчный!$A:$A,Строчный!J:J,"ERR",0)),"подклад","Подклад")</f>
        <v>50% бумага - 50% полипропилен</v>
      </c>
      <c r="K262" s="81" t="str">
        <f ca="1">LOWER(_xlfn.XLOOKUP($A262,Строчный!$A:$A,Строчный!K:K,"ERR",0))</f>
        <v>бумажные</v>
      </c>
      <c r="L262" s="81" t="str">
        <f ca="1">PROPER(_xlfn.XLOOKUP($A262,Строчный!$A:$A,Строчный!L:L,"ERR",0))</f>
        <v>Унисекс</v>
      </c>
      <c r="M262" s="113" t="str">
        <f ca="1">PROPER(_xlfn.XLOOKUP($A262,Строчный!$A:$A,Строчный!M:M,"ERR",0))</f>
        <v>Китай</v>
      </c>
      <c r="N262" s="81" t="str">
        <f ca="1">UPPER(_xlfn.XLOOKUP($A262,Строчный!$A:$A,Строчный!O:O,"ERR",0))</f>
        <v/>
      </c>
      <c r="O262" s="107" t="str">
        <f ca="1">PROPER(_xlfn.XLOOKUP($A262,Строчный!$A:$A,Строчный!P:P,"ERR",0))</f>
        <v/>
      </c>
      <c r="P262" s="90">
        <f ca="1">VALUE(_xlfn.XLOOKUP($A262,Строчный!$A:$A,Строчный!N:N,"ERR",0))</f>
        <v>2380.9500000000003</v>
      </c>
      <c r="Q262" s="89" t="str">
        <f ca="1">_xlfn.XLOOKUP($G262,Фабрика!A:A,Фабрика!B:B,"ERR",0)</f>
        <v>Bollman Headwear Europe Ltd; 2 Merchants drive, Caelisle, Cumbria CA3 0JW, United Kingdom</v>
      </c>
      <c r="R262" s="80" t="str">
        <f ca="1">_xlfn.XLOOKUP(RIGHT(Z262,2),Размеры!D:D,Размеры!A:A,"ERR",0)</f>
        <v>57</v>
      </c>
      <c r="S262" s="80">
        <f ca="1">VALUE(_xlfn.XLOOKUP($Z262,Строчный!$R:$R,Строчный!T:T,"ERR",0))</f>
        <v>7</v>
      </c>
      <c r="T262" s="14" t="s">
        <v>265</v>
      </c>
      <c r="U262" s="101" t="str">
        <f t="shared" ca="1" si="28"/>
        <v>Шляпа BAILEY арт. 81810 WAITS (светло-розовый)</v>
      </c>
      <c r="V262" s="100" t="str">
        <f t="shared" ca="1" si="29"/>
        <v>Шляпа BAILEY арт. 81810 WAITS (светло-розовый) {unbleached}</v>
      </c>
      <c r="W262" s="18" t="str">
        <f t="shared" ca="1" si="30"/>
        <v>розовый</v>
      </c>
      <c r="X262" s="18" t="str">
        <f t="shared" ca="1" si="31"/>
        <v>розовый</v>
      </c>
      <c r="Y262" s="117" t="str">
        <f ca="1">_xlfn.LET(_xlpm.FormColors,_xlfn.XLOOKUP(A262,Строчный!A:A,Строчный!Q:Q,"",0),IF(_xlpm.FormColors=0,IFERROR(MID(I262,FIND("-",I262)+1,LEN(I262)),IFERROR(MID(I262,1,FIND("/",I262)-2),I262)),_xlpm.FormColors))</f>
        <v>розовый</v>
      </c>
      <c r="Z262" s="73" t="str">
        <f ca="1"/>
        <v>21-155-86-57</v>
      </c>
      <c r="AA262" s="75" t="str">
        <f ca="1">VLOOKUP(C262,Группа!A:B,2,FALSE)</f>
        <v>Шляпа</v>
      </c>
      <c r="AB262" s="97" t="str">
        <f ca="1">IFERROR(VLOOKUP(R262,Размеры!A:C,3,FALSE),"")</f>
        <v>57 M</v>
      </c>
      <c r="AC262" s="97" t="str">
        <f ca="1">VLOOKUP(I262,ЦветПолный!A:B,2,FALSE)</f>
        <v>86</v>
      </c>
      <c r="AD262" s="97" t="str">
        <f ca="1">IFERROR(VLOOKUP(R262,Размеры!A:D,4,FALSE),"")</f>
        <v>57</v>
      </c>
      <c r="AE262" s="97">
        <f ca="1">IF(LEFT(IFERROR(VLOOKUP(LOOKUP(2,1/SEARCH(B262,Товары!A:A),Товары!A:A),Товары!A:B,2,0),""),6)=MID(Z262,1,6),1,0)</f>
        <v>1</v>
      </c>
      <c r="AG262" s="97">
        <f ca="1">SUMIF(Группа!A:A,C262,Группа!C:C)</f>
        <v>1</v>
      </c>
      <c r="AH262" s="97">
        <f ca="1">SUMIF(Группа!B:B,AA262,Группа!C:C)</f>
        <v>1</v>
      </c>
      <c r="AI262" s="97">
        <f ca="1">SUMIF(Формы!A:A,D262,Формы!B:B)</f>
        <v>1</v>
      </c>
      <c r="AJ262" s="97">
        <f ca="1">SUMIF(Материал!A:A,K262,Материал!B:B)</f>
        <v>1</v>
      </c>
      <c r="AK262" s="97">
        <f ca="1">SUMIF(Размеры!A:A,R262,Размеры!E:E)</f>
        <v>1</v>
      </c>
      <c r="AL262" s="97">
        <f ca="1">SUMIF(Сезон!A:A,F262,Сезон!B:B)</f>
        <v>1</v>
      </c>
      <c r="AM262" s="97">
        <f ca="1">SUMIF(Состав!A:A,J262,Состав!B:B)</f>
        <v>1</v>
      </c>
      <c r="AN262" s="97">
        <f ca="1">VLOOKUP(I262,ЦветПолный!A:C,3,0)</f>
        <v>1</v>
      </c>
      <c r="AO262" s="97">
        <f ca="1">SUMIF(Цвет!A:A,Y262,Цвет!B:B)</f>
        <v>1</v>
      </c>
      <c r="AP262" s="97">
        <f ca="1">_xlfn.XLOOKUP(L262,Пол!A:A,Пол!B:B,0,0)</f>
        <v>1</v>
      </c>
      <c r="AQ262" s="97">
        <f ca="1">SUMIF(Марка!A:A,G262,Марка!B:B)</f>
        <v>1</v>
      </c>
      <c r="AR262" s="97">
        <f ca="1">SUMIF(Страна!A:A,M262,Страна!B:B)</f>
        <v>1</v>
      </c>
      <c r="AS262" s="64" t="str">
        <f ca="1">IF(VLOOKUP(V262,Товары!A:B,2,FALSE)=A262,"Есть в 1С","ERR")</f>
        <v>Есть в 1С</v>
      </c>
      <c r="AT262" s="65" t="str">
        <f ca="1">IF(VLOOKUP(A262,Товары!B:B,1,FALSE)=A262,"Есть в 1С","ERR")</f>
        <v>Есть в 1С</v>
      </c>
      <c r="AU262" s="96" t="str">
        <f ca="1">VLOOKUP(V262,Товары!A:B,2,FALSE)</f>
        <v>21-155-86</v>
      </c>
      <c r="AV262" s="94" t="str">
        <f ca="1">VLOOKUP(V262,Товары!A:B,1,FALSE)</f>
        <v>Шляпа BAILEY арт. 81810 WAITS (светло-розовый) {unbleached}</v>
      </c>
    </row>
    <row r="263" spans="1:48" x14ac:dyDescent="0.25">
      <c r="A263" s="110" t="str">
        <f t="shared" ca="1" si="32"/>
        <v>21-155-86</v>
      </c>
      <c r="B263" s="107" t="str">
        <f ca="1">_xlfn.LET(_xlpm.CAPS,0,_xlpm.Style,_xlfn.XLOOKUP($A263,Строчный!$A:$A,Строчный!B:B,"ERR",0),IF(_xlpm.CAPS=0,_xlpm.Style,LOWER(_xlpm.Style)))</f>
        <v>81810 WAITS</v>
      </c>
      <c r="C263" s="81" t="str">
        <f ca="1">PROPER(_xlfn.XLOOKUP($A263,Строчный!$A:$A,Строчный!C:C,"ERR",0))</f>
        <v>Шляпы</v>
      </c>
      <c r="D263" s="81" t="str">
        <f ca="1">_xlfn.LET(_xlpm.DATA,(_xlfn.XLOOKUP($A263,Строчный!$A:$A,Строчный!D:D,"ERR",0)),UPPER(MID(_xlpm.DATA,1,1))&amp;LOWER(MID(_xlpm.DATA,2,LEN(_xlpm.DATA)-1)))</f>
        <v>Шляпа поркпай</v>
      </c>
      <c r="E263" s="81" t="str">
        <f ca="1">PROPER(_xlfn.XLOOKUP($A263,Строчный!$A:$A,Строчный!E:E,"ERR",0))</f>
        <v>The Hollywood</v>
      </c>
      <c r="F263" s="81" t="str">
        <f ca="1">LOWER(_xlfn.XLOOKUP($A263,Строчный!$A:$A,Строчный!F:F,"ERR",0))</f>
        <v>летний</v>
      </c>
      <c r="G263" s="81" t="str">
        <f ca="1">UPPER(_xlfn.XLOOKUP($A263,Строчный!$A:$A,Строчный!G:G,"ERR",0))</f>
        <v>BAILEY</v>
      </c>
      <c r="H263" s="81" t="str">
        <f ca="1">LOWER(_xlfn.XLOOKUP($A263,Строчный!$A:$A,Строчный!H:H,"ERR",0))</f>
        <v>unbleached</v>
      </c>
      <c r="I263" s="81" t="str">
        <f ca="1">LOWER(_xlfn.XLOOKUP($A263,Строчный!$A:$A,Строчный!I:I,"ERR",0))</f>
        <v>светло-розовый</v>
      </c>
      <c r="J263" s="81" t="str">
        <f ca="1">SUBSTITUTE(LOWER(_xlfn.XLOOKUP($A263,Строчный!$A:$A,Строчный!J:J,"ERR",0)),"подклад","Подклад")</f>
        <v>50% бумага - 50% полипропилен</v>
      </c>
      <c r="K263" s="81" t="str">
        <f ca="1">LOWER(_xlfn.XLOOKUP($A263,Строчный!$A:$A,Строчный!K:K,"ERR",0))</f>
        <v>бумажные</v>
      </c>
      <c r="L263" s="81" t="str">
        <f ca="1">PROPER(_xlfn.XLOOKUP($A263,Строчный!$A:$A,Строчный!L:L,"ERR",0))</f>
        <v>Унисекс</v>
      </c>
      <c r="M263" s="113" t="str">
        <f ca="1">PROPER(_xlfn.XLOOKUP($A263,Строчный!$A:$A,Строчный!M:M,"ERR",0))</f>
        <v>Китай</v>
      </c>
      <c r="N263" s="81" t="str">
        <f ca="1">UPPER(_xlfn.XLOOKUP($A263,Строчный!$A:$A,Строчный!O:O,"ERR",0))</f>
        <v/>
      </c>
      <c r="O263" s="107" t="str">
        <f ca="1">PROPER(_xlfn.XLOOKUP($A263,Строчный!$A:$A,Строчный!P:P,"ERR",0))</f>
        <v/>
      </c>
      <c r="P263" s="90">
        <f ca="1">VALUE(_xlfn.XLOOKUP($A263,Строчный!$A:$A,Строчный!N:N,"ERR",0))</f>
        <v>2380.9500000000003</v>
      </c>
      <c r="Q263" s="89" t="str">
        <f ca="1">_xlfn.XLOOKUP($G263,Фабрика!A:A,Фабрика!B:B,"ERR",0)</f>
        <v>Bollman Headwear Europe Ltd; 2 Merchants drive, Caelisle, Cumbria CA3 0JW, United Kingdom</v>
      </c>
      <c r="R263" s="80" t="str">
        <f ca="1">_xlfn.XLOOKUP(RIGHT(Z263,2),Размеры!D:D,Размеры!A:A,"ERR",0)</f>
        <v>55</v>
      </c>
      <c r="S263" s="80">
        <f ca="1">VALUE(_xlfn.XLOOKUP($Z263,Строчный!$R:$R,Строчный!T:T,"ERR",0))</f>
        <v>3</v>
      </c>
      <c r="T263" s="14" t="s">
        <v>265</v>
      </c>
      <c r="U263" s="101" t="str">
        <f t="shared" ca="1" si="28"/>
        <v>Шляпа BAILEY арт. 81810 WAITS (светло-розовый)</v>
      </c>
      <c r="V263" s="100" t="str">
        <f t="shared" ca="1" si="29"/>
        <v>Шляпа BAILEY арт. 81810 WAITS (светло-розовый) {unbleached}</v>
      </c>
      <c r="W263" s="18" t="str">
        <f t="shared" ca="1" si="30"/>
        <v>розовый</v>
      </c>
      <c r="X263" s="18" t="str">
        <f t="shared" ca="1" si="31"/>
        <v>розовый</v>
      </c>
      <c r="Y263" s="117" t="str">
        <f ca="1">_xlfn.LET(_xlpm.FormColors,_xlfn.XLOOKUP(A263,Строчный!A:A,Строчный!Q:Q,"",0),IF(_xlpm.FormColors=0,IFERROR(MID(I263,FIND("-",I263)+1,LEN(I263)),IFERROR(MID(I263,1,FIND("/",I263)-2),I263)),_xlpm.FormColors))</f>
        <v>розовый</v>
      </c>
      <c r="Z263" s="73" t="str">
        <f ca="1"/>
        <v>21-155-86-55</v>
      </c>
      <c r="AA263" s="75" t="str">
        <f ca="1">VLOOKUP(C263,Группа!A:B,2,FALSE)</f>
        <v>Шляпа</v>
      </c>
      <c r="AB263" s="97" t="str">
        <f ca="1">IFERROR(VLOOKUP(R263,Размеры!A:C,3,FALSE),"")</f>
        <v>55 S</v>
      </c>
      <c r="AC263" s="97" t="str">
        <f ca="1">VLOOKUP(I263,ЦветПолный!A:B,2,FALSE)</f>
        <v>86</v>
      </c>
      <c r="AD263" s="97" t="str">
        <f ca="1">IFERROR(VLOOKUP(R263,Размеры!A:D,4,FALSE),"")</f>
        <v>55</v>
      </c>
      <c r="AE263" s="97">
        <f ca="1">IF(LEFT(IFERROR(VLOOKUP(LOOKUP(2,1/SEARCH(B263,Товары!A:A),Товары!A:A),Товары!A:B,2,0),""),6)=MID(Z263,1,6),1,0)</f>
        <v>1</v>
      </c>
      <c r="AG263" s="97">
        <f ca="1">SUMIF(Группа!A:A,C263,Группа!C:C)</f>
        <v>1</v>
      </c>
      <c r="AH263" s="97">
        <f ca="1">SUMIF(Группа!B:B,AA263,Группа!C:C)</f>
        <v>1</v>
      </c>
      <c r="AI263" s="97">
        <f ca="1">SUMIF(Формы!A:A,D263,Формы!B:B)</f>
        <v>1</v>
      </c>
      <c r="AJ263" s="97">
        <f ca="1">SUMIF(Материал!A:A,K263,Материал!B:B)</f>
        <v>1</v>
      </c>
      <c r="AK263" s="97">
        <f ca="1">SUMIF(Размеры!A:A,R263,Размеры!E:E)</f>
        <v>1</v>
      </c>
      <c r="AL263" s="97">
        <f ca="1">SUMIF(Сезон!A:A,F263,Сезон!B:B)</f>
        <v>1</v>
      </c>
      <c r="AM263" s="97">
        <f ca="1">SUMIF(Состав!A:A,J263,Состав!B:B)</f>
        <v>1</v>
      </c>
      <c r="AN263" s="97">
        <f ca="1">VLOOKUP(I263,ЦветПолный!A:C,3,0)</f>
        <v>1</v>
      </c>
      <c r="AO263" s="97">
        <f ca="1">SUMIF(Цвет!A:A,Y263,Цвет!B:B)</f>
        <v>1</v>
      </c>
      <c r="AP263" s="97">
        <f ca="1">_xlfn.XLOOKUP(L263,Пол!A:A,Пол!B:B,0,0)</f>
        <v>1</v>
      </c>
      <c r="AQ263" s="97">
        <f ca="1">SUMIF(Марка!A:A,G263,Марка!B:B)</f>
        <v>1</v>
      </c>
      <c r="AR263" s="97">
        <f ca="1">SUMIF(Страна!A:A,M263,Страна!B:B)</f>
        <v>1</v>
      </c>
      <c r="AS263" s="64" t="str">
        <f ca="1">IF(VLOOKUP(V263,Товары!A:B,2,FALSE)=A263,"Есть в 1С","ERR")</f>
        <v>Есть в 1С</v>
      </c>
      <c r="AT263" s="65" t="str">
        <f ca="1">IF(VLOOKUP(A263,Товары!B:B,1,FALSE)=A263,"Есть в 1С","ERR")</f>
        <v>Есть в 1С</v>
      </c>
      <c r="AU263" s="96" t="str">
        <f ca="1">VLOOKUP(V263,Товары!A:B,2,FALSE)</f>
        <v>21-155-86</v>
      </c>
      <c r="AV263" s="94" t="str">
        <f ca="1">VLOOKUP(V263,Товары!A:B,1,FALSE)</f>
        <v>Шляпа BAILEY арт. 81810 WAITS (светло-розовый) {unbleached}</v>
      </c>
    </row>
    <row r="264" spans="1:48" x14ac:dyDescent="0.25">
      <c r="A264" s="110" t="str">
        <f t="shared" ca="1" si="32"/>
        <v>21-155-36</v>
      </c>
      <c r="B264" s="107" t="str">
        <f ca="1">_xlfn.LET(_xlpm.CAPS,0,_xlpm.Style,_xlfn.XLOOKUP($A264,Строчный!$A:$A,Строчный!B:B,"ERR",0),IF(_xlpm.CAPS=0,_xlpm.Style,LOWER(_xlpm.Style)))</f>
        <v>81810 WAITS</v>
      </c>
      <c r="C264" s="81" t="str">
        <f ca="1">PROPER(_xlfn.XLOOKUP($A264,Строчный!$A:$A,Строчный!C:C,"ERR",0))</f>
        <v>Шляпы</v>
      </c>
      <c r="D264" s="81" t="str">
        <f ca="1">_xlfn.LET(_xlpm.DATA,(_xlfn.XLOOKUP($A264,Строчный!$A:$A,Строчный!D:D,"ERR",0)),UPPER(MID(_xlpm.DATA,1,1))&amp;LOWER(MID(_xlpm.DATA,2,LEN(_xlpm.DATA)-1)))</f>
        <v>Шляпа поркпай</v>
      </c>
      <c r="E264" s="81" t="str">
        <f ca="1">PROPER(_xlfn.XLOOKUP($A264,Строчный!$A:$A,Строчный!E:E,"ERR",0))</f>
        <v>The Hollywood</v>
      </c>
      <c r="F264" s="81" t="str">
        <f ca="1">LOWER(_xlfn.XLOOKUP($A264,Строчный!$A:$A,Строчный!F:F,"ERR",0))</f>
        <v>летний</v>
      </c>
      <c r="G264" s="81" t="str">
        <f ca="1">UPPER(_xlfn.XLOOKUP($A264,Строчный!$A:$A,Строчный!G:G,"ERR",0))</f>
        <v>BAILEY</v>
      </c>
      <c r="H264" s="81" t="str">
        <f ca="1">LOWER(_xlfn.XLOOKUP($A264,Строчный!$A:$A,Строчный!H:H,"ERR",0))</f>
        <v>smoke</v>
      </c>
      <c r="I264" s="81" t="str">
        <f ca="1">LOWER(_xlfn.XLOOKUP($A264,Строчный!$A:$A,Строчный!I:I,"ERR",0))</f>
        <v>светло-серый</v>
      </c>
      <c r="J264" s="81" t="str">
        <f ca="1">SUBSTITUTE(LOWER(_xlfn.XLOOKUP($A264,Строчный!$A:$A,Строчный!J:J,"ERR",0)),"подклад","Подклад")</f>
        <v>50% бумага - 50% полипропилен</v>
      </c>
      <c r="K264" s="81" t="str">
        <f ca="1">LOWER(_xlfn.XLOOKUP($A264,Строчный!$A:$A,Строчный!K:K,"ERR",0))</f>
        <v>бумажные</v>
      </c>
      <c r="L264" s="81" t="str">
        <f ca="1">PROPER(_xlfn.XLOOKUP($A264,Строчный!$A:$A,Строчный!L:L,"ERR",0))</f>
        <v>Унисекс</v>
      </c>
      <c r="M264" s="113" t="str">
        <f ca="1">PROPER(_xlfn.XLOOKUP($A264,Строчный!$A:$A,Строчный!M:M,"ERR",0))</f>
        <v>Китай</v>
      </c>
      <c r="N264" s="81" t="str">
        <f ca="1">UPPER(_xlfn.XLOOKUP($A264,Строчный!$A:$A,Строчный!O:O,"ERR",0))</f>
        <v/>
      </c>
      <c r="O264" s="107" t="str">
        <f ca="1">PROPER(_xlfn.XLOOKUP($A264,Строчный!$A:$A,Строчный!P:P,"ERR",0))</f>
        <v/>
      </c>
      <c r="P264" s="90">
        <f ca="1">VALUE(_xlfn.XLOOKUP($A264,Строчный!$A:$A,Строчный!N:N,"ERR",0))</f>
        <v>2380.9500000000003</v>
      </c>
      <c r="Q264" s="89" t="str">
        <f ca="1">_xlfn.XLOOKUP($G264,Фабрика!A:A,Фабрика!B:B,"ERR",0)</f>
        <v>Bollman Headwear Europe Ltd; 2 Merchants drive, Caelisle, Cumbria CA3 0JW, United Kingdom</v>
      </c>
      <c r="R264" s="80" t="str">
        <f ca="1">_xlfn.XLOOKUP(RIGHT(Z264,2),Размеры!D:D,Размеры!A:A,"ERR",0)</f>
        <v>63</v>
      </c>
      <c r="S264" s="80">
        <f ca="1">VALUE(_xlfn.XLOOKUP($Z264,Строчный!$R:$R,Строчный!T:T,"ERR",0))</f>
        <v>2</v>
      </c>
      <c r="T264" s="14" t="s">
        <v>265</v>
      </c>
      <c r="U264" s="101" t="str">
        <f t="shared" ca="1" si="28"/>
        <v>Шляпа BAILEY арт. 81810 WAITS (светло-серый)</v>
      </c>
      <c r="V264" s="100" t="str">
        <f t="shared" ca="1" si="29"/>
        <v>Шляпа BAILEY арт. 81810 WAITS (светло-серый) {smoke}</v>
      </c>
      <c r="W264" s="18" t="str">
        <f t="shared" ca="1" si="30"/>
        <v>серый</v>
      </c>
      <c r="X264" s="18" t="str">
        <f t="shared" ca="1" si="31"/>
        <v>серый</v>
      </c>
      <c r="Y264" s="117" t="str">
        <f ca="1">_xlfn.LET(_xlpm.FormColors,_xlfn.XLOOKUP(A264,Строчный!A:A,Строчный!Q:Q,"",0),IF(_xlpm.FormColors=0,IFERROR(MID(I264,FIND("-",I264)+1,LEN(I264)),IFERROR(MID(I264,1,FIND("/",I264)-2),I264)),_xlpm.FormColors))</f>
        <v>серый</v>
      </c>
      <c r="Z264" s="73" t="str">
        <f ca="1"/>
        <v>21-155-36-63</v>
      </c>
      <c r="AA264" s="75" t="str">
        <f ca="1">VLOOKUP(C264,Группа!A:B,2,FALSE)</f>
        <v>Шляпа</v>
      </c>
      <c r="AB264" s="97" t="str">
        <f ca="1">IFERROR(VLOOKUP(R264,Размеры!A:C,3,FALSE),"")</f>
        <v>63 XXL</v>
      </c>
      <c r="AC264" s="97" t="str">
        <f ca="1">VLOOKUP(I264,ЦветПолный!A:B,2,FALSE)</f>
        <v>01</v>
      </c>
      <c r="AD264" s="97" t="str">
        <f ca="1">IFERROR(VLOOKUP(R264,Размеры!A:D,4,FALSE),"")</f>
        <v>63</v>
      </c>
      <c r="AE264" s="97">
        <f ca="1">IF(LEFT(IFERROR(VLOOKUP(LOOKUP(2,1/SEARCH(B264,Товары!A:A),Товары!A:A),Товары!A:B,2,0),""),6)=MID(Z264,1,6),1,0)</f>
        <v>1</v>
      </c>
      <c r="AG264" s="97">
        <f ca="1">SUMIF(Группа!A:A,C264,Группа!C:C)</f>
        <v>1</v>
      </c>
      <c r="AH264" s="97">
        <f ca="1">SUMIF(Группа!B:B,AA264,Группа!C:C)</f>
        <v>1</v>
      </c>
      <c r="AI264" s="97">
        <f ca="1">SUMIF(Формы!A:A,D264,Формы!B:B)</f>
        <v>1</v>
      </c>
      <c r="AJ264" s="97">
        <f ca="1">SUMIF(Материал!A:A,K264,Материал!B:B)</f>
        <v>1</v>
      </c>
      <c r="AK264" s="97">
        <f ca="1">SUMIF(Размеры!A:A,R264,Размеры!E:E)</f>
        <v>1</v>
      </c>
      <c r="AL264" s="97">
        <f ca="1">SUMIF(Сезон!A:A,F264,Сезон!B:B)</f>
        <v>1</v>
      </c>
      <c r="AM264" s="97">
        <f ca="1">SUMIF(Состав!A:A,J264,Состав!B:B)</f>
        <v>1</v>
      </c>
      <c r="AN264" s="97">
        <f ca="1">VLOOKUP(I264,ЦветПолный!A:C,3,0)</f>
        <v>1</v>
      </c>
      <c r="AO264" s="97">
        <f ca="1">SUMIF(Цвет!A:A,Y264,Цвет!B:B)</f>
        <v>1</v>
      </c>
      <c r="AP264" s="97">
        <f ca="1">_xlfn.XLOOKUP(L264,Пол!A:A,Пол!B:B,0,0)</f>
        <v>1</v>
      </c>
      <c r="AQ264" s="97">
        <f ca="1">SUMIF(Марка!A:A,G264,Марка!B:B)</f>
        <v>1</v>
      </c>
      <c r="AR264" s="97">
        <f ca="1">SUMIF(Страна!A:A,M264,Страна!B:B)</f>
        <v>1</v>
      </c>
      <c r="AS264" s="64" t="str">
        <f ca="1">IF(VLOOKUP(V264,Товары!A:B,2,FALSE)=A264,"Есть в 1С","ERR")</f>
        <v>Есть в 1С</v>
      </c>
      <c r="AT264" s="65" t="str">
        <f ca="1">IF(VLOOKUP(A264,Товары!B:B,1,FALSE)=A264,"Есть в 1С","ERR")</f>
        <v>Есть в 1С</v>
      </c>
      <c r="AU264" s="96" t="str">
        <f ca="1">VLOOKUP(V264,Товары!A:B,2,FALSE)</f>
        <v>21-155-36</v>
      </c>
      <c r="AV264" s="94" t="str">
        <f ca="1">VLOOKUP(V264,Товары!A:B,1,FALSE)</f>
        <v>Шляпа BAILEY арт. 81810 WAITS (светло-серый) {smoke}</v>
      </c>
    </row>
    <row r="265" spans="1:48" x14ac:dyDescent="0.25">
      <c r="A265" s="110" t="str">
        <f t="shared" ca="1" si="32"/>
        <v>21-155-36</v>
      </c>
      <c r="B265" s="107" t="str">
        <f ca="1">_xlfn.LET(_xlpm.CAPS,0,_xlpm.Style,_xlfn.XLOOKUP($A265,Строчный!$A:$A,Строчный!B:B,"ERR",0),IF(_xlpm.CAPS=0,_xlpm.Style,LOWER(_xlpm.Style)))</f>
        <v>81810 WAITS</v>
      </c>
      <c r="C265" s="81" t="str">
        <f ca="1">PROPER(_xlfn.XLOOKUP($A265,Строчный!$A:$A,Строчный!C:C,"ERR",0))</f>
        <v>Шляпы</v>
      </c>
      <c r="D265" s="81" t="str">
        <f ca="1">_xlfn.LET(_xlpm.DATA,(_xlfn.XLOOKUP($A265,Строчный!$A:$A,Строчный!D:D,"ERR",0)),UPPER(MID(_xlpm.DATA,1,1))&amp;LOWER(MID(_xlpm.DATA,2,LEN(_xlpm.DATA)-1)))</f>
        <v>Шляпа поркпай</v>
      </c>
      <c r="E265" s="81" t="str">
        <f ca="1">PROPER(_xlfn.XLOOKUP($A265,Строчный!$A:$A,Строчный!E:E,"ERR",0))</f>
        <v>The Hollywood</v>
      </c>
      <c r="F265" s="81" t="str">
        <f ca="1">LOWER(_xlfn.XLOOKUP($A265,Строчный!$A:$A,Строчный!F:F,"ERR",0))</f>
        <v>летний</v>
      </c>
      <c r="G265" s="81" t="str">
        <f ca="1">UPPER(_xlfn.XLOOKUP($A265,Строчный!$A:$A,Строчный!G:G,"ERR",0))</f>
        <v>BAILEY</v>
      </c>
      <c r="H265" s="81" t="str">
        <f ca="1">LOWER(_xlfn.XLOOKUP($A265,Строчный!$A:$A,Строчный!H:H,"ERR",0))</f>
        <v>smoke</v>
      </c>
      <c r="I265" s="81" t="str">
        <f ca="1">LOWER(_xlfn.XLOOKUP($A265,Строчный!$A:$A,Строчный!I:I,"ERR",0))</f>
        <v>светло-серый</v>
      </c>
      <c r="J265" s="81" t="str">
        <f ca="1">SUBSTITUTE(LOWER(_xlfn.XLOOKUP($A265,Строчный!$A:$A,Строчный!J:J,"ERR",0)),"подклад","Подклад")</f>
        <v>50% бумага - 50% полипропилен</v>
      </c>
      <c r="K265" s="81" t="str">
        <f ca="1">LOWER(_xlfn.XLOOKUP($A265,Строчный!$A:$A,Строчный!K:K,"ERR",0))</f>
        <v>бумажные</v>
      </c>
      <c r="L265" s="81" t="str">
        <f ca="1">PROPER(_xlfn.XLOOKUP($A265,Строчный!$A:$A,Строчный!L:L,"ERR",0))</f>
        <v>Унисекс</v>
      </c>
      <c r="M265" s="113" t="str">
        <f ca="1">PROPER(_xlfn.XLOOKUP($A265,Строчный!$A:$A,Строчный!M:M,"ERR",0))</f>
        <v>Китай</v>
      </c>
      <c r="N265" s="81" t="str">
        <f ca="1">UPPER(_xlfn.XLOOKUP($A265,Строчный!$A:$A,Строчный!O:O,"ERR",0))</f>
        <v/>
      </c>
      <c r="O265" s="107" t="str">
        <f ca="1">PROPER(_xlfn.XLOOKUP($A265,Строчный!$A:$A,Строчный!P:P,"ERR",0))</f>
        <v/>
      </c>
      <c r="P265" s="90">
        <f ca="1">VALUE(_xlfn.XLOOKUP($A265,Строчный!$A:$A,Строчный!N:N,"ERR",0))</f>
        <v>2380.9500000000003</v>
      </c>
      <c r="Q265" s="89" t="str">
        <f ca="1">_xlfn.XLOOKUP($G265,Фабрика!A:A,Фабрика!B:B,"ERR",0)</f>
        <v>Bollman Headwear Europe Ltd; 2 Merchants drive, Caelisle, Cumbria CA3 0JW, United Kingdom</v>
      </c>
      <c r="R265" s="80" t="str">
        <f ca="1">_xlfn.XLOOKUP(RIGHT(Z265,2),Размеры!D:D,Размеры!A:A,"ERR",0)</f>
        <v>61</v>
      </c>
      <c r="S265" s="80">
        <f ca="1">VALUE(_xlfn.XLOOKUP($Z265,Строчный!$R:$R,Строчный!T:T,"ERR",0))</f>
        <v>5</v>
      </c>
      <c r="T265" s="14" t="s">
        <v>265</v>
      </c>
      <c r="U265" s="101" t="str">
        <f t="shared" ca="1" si="28"/>
        <v>Шляпа BAILEY арт. 81810 WAITS (светло-серый)</v>
      </c>
      <c r="V265" s="100" t="str">
        <f t="shared" ca="1" si="29"/>
        <v>Шляпа BAILEY арт. 81810 WAITS (светло-серый) {smoke}</v>
      </c>
      <c r="W265" s="18" t="str">
        <f t="shared" ca="1" si="30"/>
        <v>серый</v>
      </c>
      <c r="X265" s="18" t="str">
        <f t="shared" ca="1" si="31"/>
        <v>серый</v>
      </c>
      <c r="Y265" s="117" t="str">
        <f ca="1">_xlfn.LET(_xlpm.FormColors,_xlfn.XLOOKUP(A265,Строчный!A:A,Строчный!Q:Q,"",0),IF(_xlpm.FormColors=0,IFERROR(MID(I265,FIND("-",I265)+1,LEN(I265)),IFERROR(MID(I265,1,FIND("/",I265)-2),I265)),_xlpm.FormColors))</f>
        <v>серый</v>
      </c>
      <c r="Z265" s="73" t="str">
        <f ca="1"/>
        <v>21-155-36-61</v>
      </c>
      <c r="AA265" s="75" t="str">
        <f ca="1">VLOOKUP(C265,Группа!A:B,2,FALSE)</f>
        <v>Шляпа</v>
      </c>
      <c r="AB265" s="97" t="str">
        <f ca="1">IFERROR(VLOOKUP(R265,Размеры!A:C,3,FALSE),"")</f>
        <v>61 XL</v>
      </c>
      <c r="AC265" s="97" t="str">
        <f ca="1">VLOOKUP(I265,ЦветПолный!A:B,2,FALSE)</f>
        <v>01</v>
      </c>
      <c r="AD265" s="97" t="str">
        <f ca="1">IFERROR(VLOOKUP(R265,Размеры!A:D,4,FALSE),"")</f>
        <v>61</v>
      </c>
      <c r="AE265" s="97">
        <f ca="1">IF(LEFT(IFERROR(VLOOKUP(LOOKUP(2,1/SEARCH(B265,Товары!A:A),Товары!A:A),Товары!A:B,2,0),""),6)=MID(Z265,1,6),1,0)</f>
        <v>1</v>
      </c>
      <c r="AG265" s="97">
        <f ca="1">SUMIF(Группа!A:A,C265,Группа!C:C)</f>
        <v>1</v>
      </c>
      <c r="AH265" s="97">
        <f ca="1">SUMIF(Группа!B:B,AA265,Группа!C:C)</f>
        <v>1</v>
      </c>
      <c r="AI265" s="97">
        <f ca="1">SUMIF(Формы!A:A,D265,Формы!B:B)</f>
        <v>1</v>
      </c>
      <c r="AJ265" s="97">
        <f ca="1">SUMIF(Материал!A:A,K265,Материал!B:B)</f>
        <v>1</v>
      </c>
      <c r="AK265" s="97">
        <f ca="1">SUMIF(Размеры!A:A,R265,Размеры!E:E)</f>
        <v>1</v>
      </c>
      <c r="AL265" s="97">
        <f ca="1">SUMIF(Сезон!A:A,F265,Сезон!B:B)</f>
        <v>1</v>
      </c>
      <c r="AM265" s="97">
        <f ca="1">SUMIF(Состав!A:A,J265,Состав!B:B)</f>
        <v>1</v>
      </c>
      <c r="AN265" s="97">
        <f ca="1">VLOOKUP(I265,ЦветПолный!A:C,3,0)</f>
        <v>1</v>
      </c>
      <c r="AO265" s="97">
        <f ca="1">SUMIF(Цвет!A:A,Y265,Цвет!B:B)</f>
        <v>1</v>
      </c>
      <c r="AP265" s="97">
        <f ca="1">_xlfn.XLOOKUP(L265,Пол!A:A,Пол!B:B,0,0)</f>
        <v>1</v>
      </c>
      <c r="AQ265" s="97">
        <f ca="1">SUMIF(Марка!A:A,G265,Марка!B:B)</f>
        <v>1</v>
      </c>
      <c r="AR265" s="97">
        <f ca="1">SUMIF(Страна!A:A,M265,Страна!B:B)</f>
        <v>1</v>
      </c>
      <c r="AS265" s="64" t="str">
        <f ca="1">IF(VLOOKUP(V265,Товары!A:B,2,FALSE)=A265,"Есть в 1С","ERR")</f>
        <v>Есть в 1С</v>
      </c>
      <c r="AT265" s="65" t="str">
        <f ca="1">IF(VLOOKUP(A265,Товары!B:B,1,FALSE)=A265,"Есть в 1С","ERR")</f>
        <v>Есть в 1С</v>
      </c>
      <c r="AU265" s="96" t="str">
        <f ca="1">VLOOKUP(V265,Товары!A:B,2,FALSE)</f>
        <v>21-155-36</v>
      </c>
      <c r="AV265" s="94" t="str">
        <f ca="1">VLOOKUP(V265,Товары!A:B,1,FALSE)</f>
        <v>Шляпа BAILEY арт. 81810 WAITS (светло-серый) {smoke}</v>
      </c>
    </row>
    <row r="266" spans="1:48" x14ac:dyDescent="0.25">
      <c r="A266" s="110" t="str">
        <f t="shared" ca="1" si="32"/>
        <v>21-155-36</v>
      </c>
      <c r="B266" s="107" t="str">
        <f ca="1">_xlfn.LET(_xlpm.CAPS,0,_xlpm.Style,_xlfn.XLOOKUP($A266,Строчный!$A:$A,Строчный!B:B,"ERR",0),IF(_xlpm.CAPS=0,_xlpm.Style,LOWER(_xlpm.Style)))</f>
        <v>81810 WAITS</v>
      </c>
      <c r="C266" s="81" t="str">
        <f ca="1">PROPER(_xlfn.XLOOKUP($A266,Строчный!$A:$A,Строчный!C:C,"ERR",0))</f>
        <v>Шляпы</v>
      </c>
      <c r="D266" s="81" t="str">
        <f ca="1">_xlfn.LET(_xlpm.DATA,(_xlfn.XLOOKUP($A266,Строчный!$A:$A,Строчный!D:D,"ERR",0)),UPPER(MID(_xlpm.DATA,1,1))&amp;LOWER(MID(_xlpm.DATA,2,LEN(_xlpm.DATA)-1)))</f>
        <v>Шляпа поркпай</v>
      </c>
      <c r="E266" s="81" t="str">
        <f ca="1">PROPER(_xlfn.XLOOKUP($A266,Строчный!$A:$A,Строчный!E:E,"ERR",0))</f>
        <v>The Hollywood</v>
      </c>
      <c r="F266" s="81" t="str">
        <f ca="1">LOWER(_xlfn.XLOOKUP($A266,Строчный!$A:$A,Строчный!F:F,"ERR",0))</f>
        <v>летний</v>
      </c>
      <c r="G266" s="81" t="str">
        <f ca="1">UPPER(_xlfn.XLOOKUP($A266,Строчный!$A:$A,Строчный!G:G,"ERR",0))</f>
        <v>BAILEY</v>
      </c>
      <c r="H266" s="81" t="str">
        <f ca="1">LOWER(_xlfn.XLOOKUP($A266,Строчный!$A:$A,Строчный!H:H,"ERR",0))</f>
        <v>smoke</v>
      </c>
      <c r="I266" s="81" t="str">
        <f ca="1">LOWER(_xlfn.XLOOKUP($A266,Строчный!$A:$A,Строчный!I:I,"ERR",0))</f>
        <v>светло-серый</v>
      </c>
      <c r="J266" s="81" t="str">
        <f ca="1">SUBSTITUTE(LOWER(_xlfn.XLOOKUP($A266,Строчный!$A:$A,Строчный!J:J,"ERR",0)),"подклад","Подклад")</f>
        <v>50% бумага - 50% полипропилен</v>
      </c>
      <c r="K266" s="81" t="str">
        <f ca="1">LOWER(_xlfn.XLOOKUP($A266,Строчный!$A:$A,Строчный!K:K,"ERR",0))</f>
        <v>бумажные</v>
      </c>
      <c r="L266" s="81" t="str">
        <f ca="1">PROPER(_xlfn.XLOOKUP($A266,Строчный!$A:$A,Строчный!L:L,"ERR",0))</f>
        <v>Унисекс</v>
      </c>
      <c r="M266" s="113" t="str">
        <f ca="1">PROPER(_xlfn.XLOOKUP($A266,Строчный!$A:$A,Строчный!M:M,"ERR",0))</f>
        <v>Китай</v>
      </c>
      <c r="N266" s="81" t="str">
        <f ca="1">UPPER(_xlfn.XLOOKUP($A266,Строчный!$A:$A,Строчный!O:O,"ERR",0))</f>
        <v/>
      </c>
      <c r="O266" s="107" t="str">
        <f ca="1">PROPER(_xlfn.XLOOKUP($A266,Строчный!$A:$A,Строчный!P:P,"ERR",0))</f>
        <v/>
      </c>
      <c r="P266" s="90">
        <f ca="1">VALUE(_xlfn.XLOOKUP($A266,Строчный!$A:$A,Строчный!N:N,"ERR",0))</f>
        <v>2380.9500000000003</v>
      </c>
      <c r="Q266" s="89" t="str">
        <f ca="1">_xlfn.XLOOKUP($G266,Фабрика!A:A,Фабрика!B:B,"ERR",0)</f>
        <v>Bollman Headwear Europe Ltd; 2 Merchants drive, Caelisle, Cumbria CA3 0JW, United Kingdom</v>
      </c>
      <c r="R266" s="80" t="str">
        <f ca="1">_xlfn.XLOOKUP(RIGHT(Z266,2),Размеры!D:D,Размеры!A:A,"ERR",0)</f>
        <v>59</v>
      </c>
      <c r="S266" s="80">
        <f ca="1">VALUE(_xlfn.XLOOKUP($Z266,Строчный!$R:$R,Строчный!T:T,"ERR",0))</f>
        <v>9</v>
      </c>
      <c r="T266" s="14" t="s">
        <v>265</v>
      </c>
      <c r="U266" s="101" t="str">
        <f t="shared" ca="1" si="28"/>
        <v>Шляпа BAILEY арт. 81810 WAITS (светло-серый)</v>
      </c>
      <c r="V266" s="100" t="str">
        <f t="shared" ca="1" si="29"/>
        <v>Шляпа BAILEY арт. 81810 WAITS (светло-серый) {smoke}</v>
      </c>
      <c r="W266" s="18" t="str">
        <f t="shared" ca="1" si="30"/>
        <v>серый</v>
      </c>
      <c r="X266" s="18" t="str">
        <f t="shared" ca="1" si="31"/>
        <v>серый</v>
      </c>
      <c r="Y266" s="117" t="str">
        <f ca="1">_xlfn.LET(_xlpm.FormColors,_xlfn.XLOOKUP(A266,Строчный!A:A,Строчный!Q:Q,"",0),IF(_xlpm.FormColors=0,IFERROR(MID(I266,FIND("-",I266)+1,LEN(I266)),IFERROR(MID(I266,1,FIND("/",I266)-2),I266)),_xlpm.FormColors))</f>
        <v>серый</v>
      </c>
      <c r="Z266" s="73" t="str">
        <f ca="1"/>
        <v>21-155-36-59</v>
      </c>
      <c r="AA266" s="75" t="str">
        <f ca="1">VLOOKUP(C266,Группа!A:B,2,FALSE)</f>
        <v>Шляпа</v>
      </c>
      <c r="AB266" s="97" t="str">
        <f ca="1">IFERROR(VLOOKUP(R266,Размеры!A:C,3,FALSE),"")</f>
        <v>59 L</v>
      </c>
      <c r="AC266" s="97" t="str">
        <f ca="1">VLOOKUP(I266,ЦветПолный!A:B,2,FALSE)</f>
        <v>01</v>
      </c>
      <c r="AD266" s="97" t="str">
        <f ca="1">IFERROR(VLOOKUP(R266,Размеры!A:D,4,FALSE),"")</f>
        <v>59</v>
      </c>
      <c r="AE266" s="97">
        <f ca="1">IF(LEFT(IFERROR(VLOOKUP(LOOKUP(2,1/SEARCH(B266,Товары!A:A),Товары!A:A),Товары!A:B,2,0),""),6)=MID(Z266,1,6),1,0)</f>
        <v>1</v>
      </c>
      <c r="AG266" s="97">
        <f ca="1">SUMIF(Группа!A:A,C266,Группа!C:C)</f>
        <v>1</v>
      </c>
      <c r="AH266" s="97">
        <f ca="1">SUMIF(Группа!B:B,AA266,Группа!C:C)</f>
        <v>1</v>
      </c>
      <c r="AI266" s="97">
        <f ca="1">SUMIF(Формы!A:A,D266,Формы!B:B)</f>
        <v>1</v>
      </c>
      <c r="AJ266" s="97">
        <f ca="1">SUMIF(Материал!A:A,K266,Материал!B:B)</f>
        <v>1</v>
      </c>
      <c r="AK266" s="97">
        <f ca="1">SUMIF(Размеры!A:A,R266,Размеры!E:E)</f>
        <v>1</v>
      </c>
      <c r="AL266" s="97">
        <f ca="1">SUMIF(Сезон!A:A,F266,Сезон!B:B)</f>
        <v>1</v>
      </c>
      <c r="AM266" s="97">
        <f ca="1">SUMIF(Состав!A:A,J266,Состав!B:B)</f>
        <v>1</v>
      </c>
      <c r="AN266" s="97">
        <f ca="1">VLOOKUP(I266,ЦветПолный!A:C,3,0)</f>
        <v>1</v>
      </c>
      <c r="AO266" s="97">
        <f ca="1">SUMIF(Цвет!A:A,Y266,Цвет!B:B)</f>
        <v>1</v>
      </c>
      <c r="AP266" s="97">
        <f ca="1">_xlfn.XLOOKUP(L266,Пол!A:A,Пол!B:B,0,0)</f>
        <v>1</v>
      </c>
      <c r="AQ266" s="97">
        <f ca="1">SUMIF(Марка!A:A,G266,Марка!B:B)</f>
        <v>1</v>
      </c>
      <c r="AR266" s="97">
        <f ca="1">SUMIF(Страна!A:A,M266,Страна!B:B)</f>
        <v>1</v>
      </c>
      <c r="AS266" s="64" t="str">
        <f ca="1">IF(VLOOKUP(V266,Товары!A:B,2,FALSE)=A266,"Есть в 1С","ERR")</f>
        <v>Есть в 1С</v>
      </c>
      <c r="AT266" s="65" t="str">
        <f ca="1">IF(VLOOKUP(A266,Товары!B:B,1,FALSE)=A266,"Есть в 1С","ERR")</f>
        <v>Есть в 1С</v>
      </c>
      <c r="AU266" s="96" t="str">
        <f ca="1">VLOOKUP(V266,Товары!A:B,2,FALSE)</f>
        <v>21-155-36</v>
      </c>
      <c r="AV266" s="94" t="str">
        <f ca="1">VLOOKUP(V266,Товары!A:B,1,FALSE)</f>
        <v>Шляпа BAILEY арт. 81810 WAITS (светло-серый) {smoke}</v>
      </c>
    </row>
    <row r="267" spans="1:48" x14ac:dyDescent="0.25">
      <c r="A267" s="110" t="str">
        <f t="shared" ca="1" si="32"/>
        <v>21-155-36</v>
      </c>
      <c r="B267" s="107" t="str">
        <f ca="1">_xlfn.LET(_xlpm.CAPS,0,_xlpm.Style,_xlfn.XLOOKUP($A267,Строчный!$A:$A,Строчный!B:B,"ERR",0),IF(_xlpm.CAPS=0,_xlpm.Style,LOWER(_xlpm.Style)))</f>
        <v>81810 WAITS</v>
      </c>
      <c r="C267" s="81" t="str">
        <f ca="1">PROPER(_xlfn.XLOOKUP($A267,Строчный!$A:$A,Строчный!C:C,"ERR",0))</f>
        <v>Шляпы</v>
      </c>
      <c r="D267" s="81" t="str">
        <f ca="1">_xlfn.LET(_xlpm.DATA,(_xlfn.XLOOKUP($A267,Строчный!$A:$A,Строчный!D:D,"ERR",0)),UPPER(MID(_xlpm.DATA,1,1))&amp;LOWER(MID(_xlpm.DATA,2,LEN(_xlpm.DATA)-1)))</f>
        <v>Шляпа поркпай</v>
      </c>
      <c r="E267" s="81" t="str">
        <f ca="1">PROPER(_xlfn.XLOOKUP($A267,Строчный!$A:$A,Строчный!E:E,"ERR",0))</f>
        <v>The Hollywood</v>
      </c>
      <c r="F267" s="81" t="str">
        <f ca="1">LOWER(_xlfn.XLOOKUP($A267,Строчный!$A:$A,Строчный!F:F,"ERR",0))</f>
        <v>летний</v>
      </c>
      <c r="G267" s="81" t="str">
        <f ca="1">UPPER(_xlfn.XLOOKUP($A267,Строчный!$A:$A,Строчный!G:G,"ERR",0))</f>
        <v>BAILEY</v>
      </c>
      <c r="H267" s="81" t="str">
        <f ca="1">LOWER(_xlfn.XLOOKUP($A267,Строчный!$A:$A,Строчный!H:H,"ERR",0))</f>
        <v>smoke</v>
      </c>
      <c r="I267" s="81" t="str">
        <f ca="1">LOWER(_xlfn.XLOOKUP($A267,Строчный!$A:$A,Строчный!I:I,"ERR",0))</f>
        <v>светло-серый</v>
      </c>
      <c r="J267" s="81" t="str">
        <f ca="1">SUBSTITUTE(LOWER(_xlfn.XLOOKUP($A267,Строчный!$A:$A,Строчный!J:J,"ERR",0)),"подклад","Подклад")</f>
        <v>50% бумага - 50% полипропилен</v>
      </c>
      <c r="K267" s="81" t="str">
        <f ca="1">LOWER(_xlfn.XLOOKUP($A267,Строчный!$A:$A,Строчный!K:K,"ERR",0))</f>
        <v>бумажные</v>
      </c>
      <c r="L267" s="81" t="str">
        <f ca="1">PROPER(_xlfn.XLOOKUP($A267,Строчный!$A:$A,Строчный!L:L,"ERR",0))</f>
        <v>Унисекс</v>
      </c>
      <c r="M267" s="113" t="str">
        <f ca="1">PROPER(_xlfn.XLOOKUP($A267,Строчный!$A:$A,Строчный!M:M,"ERR",0))</f>
        <v>Китай</v>
      </c>
      <c r="N267" s="81" t="str">
        <f ca="1">UPPER(_xlfn.XLOOKUP($A267,Строчный!$A:$A,Строчный!O:O,"ERR",0))</f>
        <v/>
      </c>
      <c r="O267" s="107" t="str">
        <f ca="1">PROPER(_xlfn.XLOOKUP($A267,Строчный!$A:$A,Строчный!P:P,"ERR",0))</f>
        <v/>
      </c>
      <c r="P267" s="90">
        <f ca="1">VALUE(_xlfn.XLOOKUP($A267,Строчный!$A:$A,Строчный!N:N,"ERR",0))</f>
        <v>2380.9500000000003</v>
      </c>
      <c r="Q267" s="89" t="str">
        <f ca="1">_xlfn.XLOOKUP($G267,Фабрика!A:A,Фабрика!B:B,"ERR",0)</f>
        <v>Bollman Headwear Europe Ltd; 2 Merchants drive, Caelisle, Cumbria CA3 0JW, United Kingdom</v>
      </c>
      <c r="R267" s="80" t="str">
        <f ca="1">_xlfn.XLOOKUP(RIGHT(Z267,2),Размеры!D:D,Размеры!A:A,"ERR",0)</f>
        <v>57</v>
      </c>
      <c r="S267" s="80">
        <f ca="1">VALUE(_xlfn.XLOOKUP($Z267,Строчный!$R:$R,Строчный!T:T,"ERR",0))</f>
        <v>8</v>
      </c>
      <c r="T267" s="14" t="s">
        <v>265</v>
      </c>
      <c r="U267" s="101" t="str">
        <f t="shared" ca="1" si="28"/>
        <v>Шляпа BAILEY арт. 81810 WAITS (светло-серый)</v>
      </c>
      <c r="V267" s="100" t="str">
        <f t="shared" ca="1" si="29"/>
        <v>Шляпа BAILEY арт. 81810 WAITS (светло-серый) {smoke}</v>
      </c>
      <c r="W267" s="18" t="str">
        <f t="shared" ca="1" si="30"/>
        <v>серый</v>
      </c>
      <c r="X267" s="18" t="str">
        <f t="shared" ca="1" si="31"/>
        <v>серый</v>
      </c>
      <c r="Y267" s="117" t="str">
        <f ca="1">_xlfn.LET(_xlpm.FormColors,_xlfn.XLOOKUP(A267,Строчный!A:A,Строчный!Q:Q,"",0),IF(_xlpm.FormColors=0,IFERROR(MID(I267,FIND("-",I267)+1,LEN(I267)),IFERROR(MID(I267,1,FIND("/",I267)-2),I267)),_xlpm.FormColors))</f>
        <v>серый</v>
      </c>
      <c r="Z267" s="73" t="str">
        <f ca="1"/>
        <v>21-155-36-57</v>
      </c>
      <c r="AA267" s="75" t="str">
        <f ca="1">VLOOKUP(C267,Группа!A:B,2,FALSE)</f>
        <v>Шляпа</v>
      </c>
      <c r="AB267" s="97" t="str">
        <f ca="1">IFERROR(VLOOKUP(R267,Размеры!A:C,3,FALSE),"")</f>
        <v>57 M</v>
      </c>
      <c r="AC267" s="97" t="str">
        <f ca="1">VLOOKUP(I267,ЦветПолный!A:B,2,FALSE)</f>
        <v>01</v>
      </c>
      <c r="AD267" s="97" t="str">
        <f ca="1">IFERROR(VLOOKUP(R267,Размеры!A:D,4,FALSE),"")</f>
        <v>57</v>
      </c>
      <c r="AE267" s="97">
        <f ca="1">IF(LEFT(IFERROR(VLOOKUP(LOOKUP(2,1/SEARCH(B267,Товары!A:A),Товары!A:A),Товары!A:B,2,0),""),6)=MID(Z267,1,6),1,0)</f>
        <v>1</v>
      </c>
      <c r="AG267" s="97">
        <f ca="1">SUMIF(Группа!A:A,C267,Группа!C:C)</f>
        <v>1</v>
      </c>
      <c r="AH267" s="97">
        <f ca="1">SUMIF(Группа!B:B,AA267,Группа!C:C)</f>
        <v>1</v>
      </c>
      <c r="AI267" s="97">
        <f ca="1">SUMIF(Формы!A:A,D267,Формы!B:B)</f>
        <v>1</v>
      </c>
      <c r="AJ267" s="97">
        <f ca="1">SUMIF(Материал!A:A,K267,Материал!B:B)</f>
        <v>1</v>
      </c>
      <c r="AK267" s="97">
        <f ca="1">SUMIF(Размеры!A:A,R267,Размеры!E:E)</f>
        <v>1</v>
      </c>
      <c r="AL267" s="97">
        <f ca="1">SUMIF(Сезон!A:A,F267,Сезон!B:B)</f>
        <v>1</v>
      </c>
      <c r="AM267" s="97">
        <f ca="1">SUMIF(Состав!A:A,J267,Состав!B:B)</f>
        <v>1</v>
      </c>
      <c r="AN267" s="97">
        <f ca="1">VLOOKUP(I267,ЦветПолный!A:C,3,0)</f>
        <v>1</v>
      </c>
      <c r="AO267" s="97">
        <f ca="1">SUMIF(Цвет!A:A,Y267,Цвет!B:B)</f>
        <v>1</v>
      </c>
      <c r="AP267" s="97">
        <f ca="1">_xlfn.XLOOKUP(L267,Пол!A:A,Пол!B:B,0,0)</f>
        <v>1</v>
      </c>
      <c r="AQ267" s="97">
        <f ca="1">SUMIF(Марка!A:A,G267,Марка!B:B)</f>
        <v>1</v>
      </c>
      <c r="AR267" s="97">
        <f ca="1">SUMIF(Страна!A:A,M267,Страна!B:B)</f>
        <v>1</v>
      </c>
      <c r="AS267" s="64" t="str">
        <f ca="1">IF(VLOOKUP(V267,Товары!A:B,2,FALSE)=A267,"Есть в 1С","ERR")</f>
        <v>Есть в 1С</v>
      </c>
      <c r="AT267" s="65" t="str">
        <f ca="1">IF(VLOOKUP(A267,Товары!B:B,1,FALSE)=A267,"Есть в 1С","ERR")</f>
        <v>Есть в 1С</v>
      </c>
      <c r="AU267" s="96" t="str">
        <f ca="1">VLOOKUP(V267,Товары!A:B,2,FALSE)</f>
        <v>21-155-36</v>
      </c>
      <c r="AV267" s="94" t="str">
        <f ca="1">VLOOKUP(V267,Товары!A:B,1,FALSE)</f>
        <v>Шляпа BAILEY арт. 81810 WAITS (светло-серый) {smoke}</v>
      </c>
    </row>
    <row r="268" spans="1:48" x14ac:dyDescent="0.25">
      <c r="A268" s="110" t="str">
        <f t="shared" ca="1" si="32"/>
        <v>21-155-36</v>
      </c>
      <c r="B268" s="107" t="str">
        <f ca="1">_xlfn.LET(_xlpm.CAPS,0,_xlpm.Style,_xlfn.XLOOKUP($A268,Строчный!$A:$A,Строчный!B:B,"ERR",0),IF(_xlpm.CAPS=0,_xlpm.Style,LOWER(_xlpm.Style)))</f>
        <v>81810 WAITS</v>
      </c>
      <c r="C268" s="81" t="str">
        <f ca="1">PROPER(_xlfn.XLOOKUP($A268,Строчный!$A:$A,Строчный!C:C,"ERR",0))</f>
        <v>Шляпы</v>
      </c>
      <c r="D268" s="81" t="str">
        <f ca="1">_xlfn.LET(_xlpm.DATA,(_xlfn.XLOOKUP($A268,Строчный!$A:$A,Строчный!D:D,"ERR",0)),UPPER(MID(_xlpm.DATA,1,1))&amp;LOWER(MID(_xlpm.DATA,2,LEN(_xlpm.DATA)-1)))</f>
        <v>Шляпа поркпай</v>
      </c>
      <c r="E268" s="81" t="str">
        <f ca="1">PROPER(_xlfn.XLOOKUP($A268,Строчный!$A:$A,Строчный!E:E,"ERR",0))</f>
        <v>The Hollywood</v>
      </c>
      <c r="F268" s="81" t="str">
        <f ca="1">LOWER(_xlfn.XLOOKUP($A268,Строчный!$A:$A,Строчный!F:F,"ERR",0))</f>
        <v>летний</v>
      </c>
      <c r="G268" s="81" t="str">
        <f ca="1">UPPER(_xlfn.XLOOKUP($A268,Строчный!$A:$A,Строчный!G:G,"ERR",0))</f>
        <v>BAILEY</v>
      </c>
      <c r="H268" s="81" t="str">
        <f ca="1">LOWER(_xlfn.XLOOKUP($A268,Строчный!$A:$A,Строчный!H:H,"ERR",0))</f>
        <v>smoke</v>
      </c>
      <c r="I268" s="81" t="str">
        <f ca="1">LOWER(_xlfn.XLOOKUP($A268,Строчный!$A:$A,Строчный!I:I,"ERR",0))</f>
        <v>светло-серый</v>
      </c>
      <c r="J268" s="81" t="str">
        <f ca="1">SUBSTITUTE(LOWER(_xlfn.XLOOKUP($A268,Строчный!$A:$A,Строчный!J:J,"ERR",0)),"подклад","Подклад")</f>
        <v>50% бумага - 50% полипропилен</v>
      </c>
      <c r="K268" s="81" t="str">
        <f ca="1">LOWER(_xlfn.XLOOKUP($A268,Строчный!$A:$A,Строчный!K:K,"ERR",0))</f>
        <v>бумажные</v>
      </c>
      <c r="L268" s="81" t="str">
        <f ca="1">PROPER(_xlfn.XLOOKUP($A268,Строчный!$A:$A,Строчный!L:L,"ERR",0))</f>
        <v>Унисекс</v>
      </c>
      <c r="M268" s="113" t="str">
        <f ca="1">PROPER(_xlfn.XLOOKUP($A268,Строчный!$A:$A,Строчный!M:M,"ERR",0))</f>
        <v>Китай</v>
      </c>
      <c r="N268" s="81" t="str">
        <f ca="1">UPPER(_xlfn.XLOOKUP($A268,Строчный!$A:$A,Строчный!O:O,"ERR",0))</f>
        <v/>
      </c>
      <c r="O268" s="107" t="str">
        <f ca="1">PROPER(_xlfn.XLOOKUP($A268,Строчный!$A:$A,Строчный!P:P,"ERR",0))</f>
        <v/>
      </c>
      <c r="P268" s="90">
        <f ca="1">VALUE(_xlfn.XLOOKUP($A268,Строчный!$A:$A,Строчный!N:N,"ERR",0))</f>
        <v>2380.9500000000003</v>
      </c>
      <c r="Q268" s="89" t="str">
        <f ca="1">_xlfn.XLOOKUP($G268,Фабрика!A:A,Фабрика!B:B,"ERR",0)</f>
        <v>Bollman Headwear Europe Ltd; 2 Merchants drive, Caelisle, Cumbria CA3 0JW, United Kingdom</v>
      </c>
      <c r="R268" s="80" t="str">
        <f ca="1">_xlfn.XLOOKUP(RIGHT(Z268,2),Размеры!D:D,Размеры!A:A,"ERR",0)</f>
        <v>55</v>
      </c>
      <c r="S268" s="80">
        <f ca="1">VALUE(_xlfn.XLOOKUP($Z268,Строчный!$R:$R,Строчный!T:T,"ERR",0))</f>
        <v>2</v>
      </c>
      <c r="T268" s="14" t="s">
        <v>265</v>
      </c>
      <c r="U268" s="101" t="str">
        <f t="shared" ca="1" si="28"/>
        <v>Шляпа BAILEY арт. 81810 WAITS (светло-серый)</v>
      </c>
      <c r="V268" s="100" t="str">
        <f t="shared" ca="1" si="29"/>
        <v>Шляпа BAILEY арт. 81810 WAITS (светло-серый) {smoke}</v>
      </c>
      <c r="W268" s="18" t="str">
        <f t="shared" ca="1" si="30"/>
        <v>серый</v>
      </c>
      <c r="X268" s="18" t="str">
        <f t="shared" ca="1" si="31"/>
        <v>серый</v>
      </c>
      <c r="Y268" s="117" t="str">
        <f ca="1">_xlfn.LET(_xlpm.FormColors,_xlfn.XLOOKUP(A268,Строчный!A:A,Строчный!Q:Q,"",0),IF(_xlpm.FormColors=0,IFERROR(MID(I268,FIND("-",I268)+1,LEN(I268)),IFERROR(MID(I268,1,FIND("/",I268)-2),I268)),_xlpm.FormColors))</f>
        <v>серый</v>
      </c>
      <c r="Z268" s="73" t="str">
        <f ca="1"/>
        <v>21-155-36-55</v>
      </c>
      <c r="AA268" s="75" t="str">
        <f ca="1">VLOOKUP(C268,Группа!A:B,2,FALSE)</f>
        <v>Шляпа</v>
      </c>
      <c r="AB268" s="97" t="str">
        <f ca="1">IFERROR(VLOOKUP(R268,Размеры!A:C,3,FALSE),"")</f>
        <v>55 S</v>
      </c>
      <c r="AC268" s="97" t="str">
        <f ca="1">VLOOKUP(I268,ЦветПолный!A:B,2,FALSE)</f>
        <v>01</v>
      </c>
      <c r="AD268" s="97" t="str">
        <f ca="1">IFERROR(VLOOKUP(R268,Размеры!A:D,4,FALSE),"")</f>
        <v>55</v>
      </c>
      <c r="AE268" s="97">
        <f ca="1">IF(LEFT(IFERROR(VLOOKUP(LOOKUP(2,1/SEARCH(B268,Товары!A:A),Товары!A:A),Товары!A:B,2,0),""),6)=MID(Z268,1,6),1,0)</f>
        <v>1</v>
      </c>
      <c r="AG268" s="97">
        <f ca="1">SUMIF(Группа!A:A,C268,Группа!C:C)</f>
        <v>1</v>
      </c>
      <c r="AH268" s="97">
        <f ca="1">SUMIF(Группа!B:B,AA268,Группа!C:C)</f>
        <v>1</v>
      </c>
      <c r="AI268" s="97">
        <f ca="1">SUMIF(Формы!A:A,D268,Формы!B:B)</f>
        <v>1</v>
      </c>
      <c r="AJ268" s="97">
        <f ca="1">SUMIF(Материал!A:A,K268,Материал!B:B)</f>
        <v>1</v>
      </c>
      <c r="AK268" s="97">
        <f ca="1">SUMIF(Размеры!A:A,R268,Размеры!E:E)</f>
        <v>1</v>
      </c>
      <c r="AL268" s="97">
        <f ca="1">SUMIF(Сезон!A:A,F268,Сезон!B:B)</f>
        <v>1</v>
      </c>
      <c r="AM268" s="97">
        <f ca="1">SUMIF(Состав!A:A,J268,Состав!B:B)</f>
        <v>1</v>
      </c>
      <c r="AN268" s="97">
        <f ca="1">VLOOKUP(I268,ЦветПолный!A:C,3,0)</f>
        <v>1</v>
      </c>
      <c r="AO268" s="97">
        <f ca="1">SUMIF(Цвет!A:A,Y268,Цвет!B:B)</f>
        <v>1</v>
      </c>
      <c r="AP268" s="97">
        <f ca="1">_xlfn.XLOOKUP(L268,Пол!A:A,Пол!B:B,0,0)</f>
        <v>1</v>
      </c>
      <c r="AQ268" s="97">
        <f ca="1">SUMIF(Марка!A:A,G268,Марка!B:B)</f>
        <v>1</v>
      </c>
      <c r="AR268" s="97">
        <f ca="1">SUMIF(Страна!A:A,M268,Страна!B:B)</f>
        <v>1</v>
      </c>
      <c r="AS268" s="64" t="str">
        <f ca="1">IF(VLOOKUP(V268,Товары!A:B,2,FALSE)=A268,"Есть в 1С","ERR")</f>
        <v>Есть в 1С</v>
      </c>
      <c r="AT268" s="65" t="str">
        <f ca="1">IF(VLOOKUP(A268,Товары!B:B,1,FALSE)=A268,"Есть в 1С","ERR")</f>
        <v>Есть в 1С</v>
      </c>
      <c r="AU268" s="96" t="str">
        <f ca="1">VLOOKUP(V268,Товары!A:B,2,FALSE)</f>
        <v>21-155-36</v>
      </c>
      <c r="AV268" s="94" t="str">
        <f ca="1">VLOOKUP(V268,Товары!A:B,1,FALSE)</f>
        <v>Шляпа BAILEY арт. 81810 WAITS (светло-серый) {smoke}</v>
      </c>
    </row>
    <row r="269" spans="1:48" x14ac:dyDescent="0.25">
      <c r="A269" s="110" t="str">
        <f t="shared" ca="1" si="32"/>
        <v>21-155-18</v>
      </c>
      <c r="B269" s="107" t="str">
        <f ca="1">_xlfn.LET(_xlpm.CAPS,0,_xlpm.Style,_xlfn.XLOOKUP($A269,Строчный!$A:$A,Строчный!B:B,"ERR",0),IF(_xlpm.CAPS=0,_xlpm.Style,LOWER(_xlpm.Style)))</f>
        <v>81810 WAITS</v>
      </c>
      <c r="C269" s="81" t="str">
        <f ca="1">PROPER(_xlfn.XLOOKUP($A269,Строчный!$A:$A,Строчный!C:C,"ERR",0))</f>
        <v>Шляпы</v>
      </c>
      <c r="D269" s="81" t="str">
        <f ca="1">_xlfn.LET(_xlpm.DATA,(_xlfn.XLOOKUP($A269,Строчный!$A:$A,Строчный!D:D,"ERR",0)),UPPER(MID(_xlpm.DATA,1,1))&amp;LOWER(MID(_xlpm.DATA,2,LEN(_xlpm.DATA)-1)))</f>
        <v>Шляпа поркпай</v>
      </c>
      <c r="E269" s="81" t="str">
        <f ca="1">PROPER(_xlfn.XLOOKUP($A269,Строчный!$A:$A,Строчный!E:E,"ERR",0))</f>
        <v>The Hollywood</v>
      </c>
      <c r="F269" s="81" t="str">
        <f ca="1">LOWER(_xlfn.XLOOKUP($A269,Строчный!$A:$A,Строчный!F:F,"ERR",0))</f>
        <v>летний</v>
      </c>
      <c r="G269" s="81" t="str">
        <f ca="1">UPPER(_xlfn.XLOOKUP($A269,Строчный!$A:$A,Строчный!G:G,"ERR",0))</f>
        <v>BAILEY</v>
      </c>
      <c r="H269" s="81" t="str">
        <f ca="1">LOWER(_xlfn.XLOOKUP($A269,Строчный!$A:$A,Строчный!H:H,"ERR",0))</f>
        <v>chili pepper</v>
      </c>
      <c r="I269" s="81" t="str">
        <f ca="1">LOWER(_xlfn.XLOOKUP($A269,Строчный!$A:$A,Строчный!I:I,"ERR",0))</f>
        <v>красный</v>
      </c>
      <c r="J269" s="81" t="str">
        <f ca="1">SUBSTITUTE(LOWER(_xlfn.XLOOKUP($A269,Строчный!$A:$A,Строчный!J:J,"ERR",0)),"подклад","Подклад")</f>
        <v>50% бумага - 50% полипропилен</v>
      </c>
      <c r="K269" s="81" t="str">
        <f ca="1">LOWER(_xlfn.XLOOKUP($A269,Строчный!$A:$A,Строчный!K:K,"ERR",0))</f>
        <v>бумажные</v>
      </c>
      <c r="L269" s="81" t="str">
        <f ca="1">PROPER(_xlfn.XLOOKUP($A269,Строчный!$A:$A,Строчный!L:L,"ERR",0))</f>
        <v>Унисекс</v>
      </c>
      <c r="M269" s="113" t="str">
        <f ca="1">PROPER(_xlfn.XLOOKUP($A269,Строчный!$A:$A,Строчный!M:M,"ERR",0))</f>
        <v>Китай</v>
      </c>
      <c r="N269" s="81" t="str">
        <f ca="1">UPPER(_xlfn.XLOOKUP($A269,Строчный!$A:$A,Строчный!O:O,"ERR",0))</f>
        <v/>
      </c>
      <c r="O269" s="107" t="str">
        <f ca="1">PROPER(_xlfn.XLOOKUP($A269,Строчный!$A:$A,Строчный!P:P,"ERR",0))</f>
        <v/>
      </c>
      <c r="P269" s="90">
        <f ca="1">VALUE(_xlfn.XLOOKUP($A269,Строчный!$A:$A,Строчный!N:N,"ERR",0))</f>
        <v>2380.9500000000003</v>
      </c>
      <c r="Q269" s="89" t="str">
        <f ca="1">_xlfn.XLOOKUP($G269,Фабрика!A:A,Фабрика!B:B,"ERR",0)</f>
        <v>Bollman Headwear Europe Ltd; 2 Merchants drive, Caelisle, Cumbria CA3 0JW, United Kingdom</v>
      </c>
      <c r="R269" s="80" t="str">
        <f ca="1">_xlfn.XLOOKUP(RIGHT(Z269,2),Размеры!D:D,Размеры!A:A,"ERR",0)</f>
        <v>63</v>
      </c>
      <c r="S269" s="80">
        <f ca="1">VALUE(_xlfn.XLOOKUP($Z269,Строчный!$R:$R,Строчный!T:T,"ERR",0))</f>
        <v>1</v>
      </c>
      <c r="T269" s="14" t="s">
        <v>265</v>
      </c>
      <c r="U269" s="101" t="str">
        <f t="shared" ca="1" si="28"/>
        <v>Шляпа BAILEY арт. 81810 WAITS (красный)</v>
      </c>
      <c r="V269" s="100" t="str">
        <f t="shared" ca="1" si="29"/>
        <v>Шляпа BAILEY арт. 81810 WAITS (красный) {chili pepper}</v>
      </c>
      <c r="W269" s="18" t="str">
        <f t="shared" ca="1" si="30"/>
        <v>красный</v>
      </c>
      <c r="X269" s="18" t="str">
        <f t="shared" ca="1" si="31"/>
        <v>красный</v>
      </c>
      <c r="Y269" s="117" t="str">
        <f ca="1">_xlfn.LET(_xlpm.FormColors,_xlfn.XLOOKUP(A269,Строчный!A:A,Строчный!Q:Q,"",0),IF(_xlpm.FormColors=0,IFERROR(MID(I269,FIND("-",I269)+1,LEN(I269)),IFERROR(MID(I269,1,FIND("/",I269)-2),I269)),_xlpm.FormColors))</f>
        <v>красный</v>
      </c>
      <c r="Z269" s="73" t="str">
        <f ca="1"/>
        <v>21-155-18-63</v>
      </c>
      <c r="AA269" s="75" t="str">
        <f ca="1">VLOOKUP(C269,Группа!A:B,2,FALSE)</f>
        <v>Шляпа</v>
      </c>
      <c r="AB269" s="97" t="str">
        <f ca="1">IFERROR(VLOOKUP(R269,Размеры!A:C,3,FALSE),"")</f>
        <v>63 XXL</v>
      </c>
      <c r="AC269" s="97" t="str">
        <f ca="1">VLOOKUP(I269,ЦветПолный!A:B,2,FALSE)</f>
        <v>18</v>
      </c>
      <c r="AD269" s="97" t="str">
        <f ca="1">IFERROR(VLOOKUP(R269,Размеры!A:D,4,FALSE),"")</f>
        <v>63</v>
      </c>
      <c r="AE269" s="97">
        <f ca="1">IF(LEFT(IFERROR(VLOOKUP(LOOKUP(2,1/SEARCH(B269,Товары!A:A),Товары!A:A),Товары!A:B,2,0),""),6)=MID(Z269,1,6),1,0)</f>
        <v>1</v>
      </c>
      <c r="AG269" s="97">
        <f ca="1">SUMIF(Группа!A:A,C269,Группа!C:C)</f>
        <v>1</v>
      </c>
      <c r="AH269" s="97">
        <f ca="1">SUMIF(Группа!B:B,AA269,Группа!C:C)</f>
        <v>1</v>
      </c>
      <c r="AI269" s="97">
        <f ca="1">SUMIF(Формы!A:A,D269,Формы!B:B)</f>
        <v>1</v>
      </c>
      <c r="AJ269" s="97">
        <f ca="1">SUMIF(Материал!A:A,K269,Материал!B:B)</f>
        <v>1</v>
      </c>
      <c r="AK269" s="97">
        <f ca="1">SUMIF(Размеры!A:A,R269,Размеры!E:E)</f>
        <v>1</v>
      </c>
      <c r="AL269" s="97">
        <f ca="1">SUMIF(Сезон!A:A,F269,Сезон!B:B)</f>
        <v>1</v>
      </c>
      <c r="AM269" s="97">
        <f ca="1">SUMIF(Состав!A:A,J269,Состав!B:B)</f>
        <v>1</v>
      </c>
      <c r="AN269" s="97">
        <f ca="1">VLOOKUP(I269,ЦветПолный!A:C,3,0)</f>
        <v>1</v>
      </c>
      <c r="AO269" s="97">
        <f ca="1">SUMIF(Цвет!A:A,Y269,Цвет!B:B)</f>
        <v>1</v>
      </c>
      <c r="AP269" s="97">
        <f ca="1">_xlfn.XLOOKUP(L269,Пол!A:A,Пол!B:B,0,0)</f>
        <v>1</v>
      </c>
      <c r="AQ269" s="97">
        <f ca="1">SUMIF(Марка!A:A,G269,Марка!B:B)</f>
        <v>1</v>
      </c>
      <c r="AR269" s="97">
        <f ca="1">SUMIF(Страна!A:A,M269,Страна!B:B)</f>
        <v>1</v>
      </c>
      <c r="AS269" s="64" t="str">
        <f ca="1">IF(VLOOKUP(V269,Товары!A:B,2,FALSE)=A269,"Есть в 1С","ERR")</f>
        <v>Есть в 1С</v>
      </c>
      <c r="AT269" s="65" t="str">
        <f ca="1">IF(VLOOKUP(A269,Товары!B:B,1,FALSE)=A269,"Есть в 1С","ERR")</f>
        <v>Есть в 1С</v>
      </c>
      <c r="AU269" s="96" t="str">
        <f ca="1">VLOOKUP(V269,Товары!A:B,2,FALSE)</f>
        <v>21-155-18</v>
      </c>
      <c r="AV269" s="94" t="str">
        <f ca="1">VLOOKUP(V269,Товары!A:B,1,FALSE)</f>
        <v>Шляпа BAILEY арт. 81810 WAITS (красный) {chili pepper}</v>
      </c>
    </row>
    <row r="270" spans="1:48" x14ac:dyDescent="0.25">
      <c r="A270" s="110" t="str">
        <f t="shared" ca="1" si="32"/>
        <v>21-155-18</v>
      </c>
      <c r="B270" s="107" t="str">
        <f ca="1">_xlfn.LET(_xlpm.CAPS,0,_xlpm.Style,_xlfn.XLOOKUP($A270,Строчный!$A:$A,Строчный!B:B,"ERR",0),IF(_xlpm.CAPS=0,_xlpm.Style,LOWER(_xlpm.Style)))</f>
        <v>81810 WAITS</v>
      </c>
      <c r="C270" s="81" t="str">
        <f ca="1">PROPER(_xlfn.XLOOKUP($A270,Строчный!$A:$A,Строчный!C:C,"ERR",0))</f>
        <v>Шляпы</v>
      </c>
      <c r="D270" s="81" t="str">
        <f ca="1">_xlfn.LET(_xlpm.DATA,(_xlfn.XLOOKUP($A270,Строчный!$A:$A,Строчный!D:D,"ERR",0)),UPPER(MID(_xlpm.DATA,1,1))&amp;LOWER(MID(_xlpm.DATA,2,LEN(_xlpm.DATA)-1)))</f>
        <v>Шляпа поркпай</v>
      </c>
      <c r="E270" s="81" t="str">
        <f ca="1">PROPER(_xlfn.XLOOKUP($A270,Строчный!$A:$A,Строчный!E:E,"ERR",0))</f>
        <v>The Hollywood</v>
      </c>
      <c r="F270" s="81" t="str">
        <f ca="1">LOWER(_xlfn.XLOOKUP($A270,Строчный!$A:$A,Строчный!F:F,"ERR",0))</f>
        <v>летний</v>
      </c>
      <c r="G270" s="81" t="str">
        <f ca="1">UPPER(_xlfn.XLOOKUP($A270,Строчный!$A:$A,Строчный!G:G,"ERR",0))</f>
        <v>BAILEY</v>
      </c>
      <c r="H270" s="81" t="str">
        <f ca="1">LOWER(_xlfn.XLOOKUP($A270,Строчный!$A:$A,Строчный!H:H,"ERR",0))</f>
        <v>chili pepper</v>
      </c>
      <c r="I270" s="81" t="str">
        <f ca="1">LOWER(_xlfn.XLOOKUP($A270,Строчный!$A:$A,Строчный!I:I,"ERR",0))</f>
        <v>красный</v>
      </c>
      <c r="J270" s="81" t="str">
        <f ca="1">SUBSTITUTE(LOWER(_xlfn.XLOOKUP($A270,Строчный!$A:$A,Строчный!J:J,"ERR",0)),"подклад","Подклад")</f>
        <v>50% бумага - 50% полипропилен</v>
      </c>
      <c r="K270" s="81" t="str">
        <f ca="1">LOWER(_xlfn.XLOOKUP($A270,Строчный!$A:$A,Строчный!K:K,"ERR",0))</f>
        <v>бумажные</v>
      </c>
      <c r="L270" s="81" t="str">
        <f ca="1">PROPER(_xlfn.XLOOKUP($A270,Строчный!$A:$A,Строчный!L:L,"ERR",0))</f>
        <v>Унисекс</v>
      </c>
      <c r="M270" s="113" t="str">
        <f ca="1">PROPER(_xlfn.XLOOKUP($A270,Строчный!$A:$A,Строчный!M:M,"ERR",0))</f>
        <v>Китай</v>
      </c>
      <c r="N270" s="81" t="str">
        <f ca="1">UPPER(_xlfn.XLOOKUP($A270,Строчный!$A:$A,Строчный!O:O,"ERR",0))</f>
        <v/>
      </c>
      <c r="O270" s="107" t="str">
        <f ca="1">PROPER(_xlfn.XLOOKUP($A270,Строчный!$A:$A,Строчный!P:P,"ERR",0))</f>
        <v/>
      </c>
      <c r="P270" s="90">
        <f ca="1">VALUE(_xlfn.XLOOKUP($A270,Строчный!$A:$A,Строчный!N:N,"ERR",0))</f>
        <v>2380.9500000000003</v>
      </c>
      <c r="Q270" s="89" t="str">
        <f ca="1">_xlfn.XLOOKUP($G270,Фабрика!A:A,Фабрика!B:B,"ERR",0)</f>
        <v>Bollman Headwear Europe Ltd; 2 Merchants drive, Caelisle, Cumbria CA3 0JW, United Kingdom</v>
      </c>
      <c r="R270" s="80" t="str">
        <f ca="1">_xlfn.XLOOKUP(RIGHT(Z270,2),Размеры!D:D,Размеры!A:A,"ERR",0)</f>
        <v>61</v>
      </c>
      <c r="S270" s="80">
        <f ca="1">VALUE(_xlfn.XLOOKUP($Z270,Строчный!$R:$R,Строчный!T:T,"ERR",0))</f>
        <v>3</v>
      </c>
      <c r="T270" s="14" t="s">
        <v>265</v>
      </c>
      <c r="U270" s="101" t="str">
        <f t="shared" ca="1" si="28"/>
        <v>Шляпа BAILEY арт. 81810 WAITS (красный)</v>
      </c>
      <c r="V270" s="100" t="str">
        <f t="shared" ca="1" si="29"/>
        <v>Шляпа BAILEY арт. 81810 WAITS (красный) {chili pepper}</v>
      </c>
      <c r="W270" s="18" t="str">
        <f t="shared" ca="1" si="30"/>
        <v>красный</v>
      </c>
      <c r="X270" s="18" t="str">
        <f t="shared" ca="1" si="31"/>
        <v>красный</v>
      </c>
      <c r="Y270" s="117" t="str">
        <f ca="1">_xlfn.LET(_xlpm.FormColors,_xlfn.XLOOKUP(A270,Строчный!A:A,Строчный!Q:Q,"",0),IF(_xlpm.FormColors=0,IFERROR(MID(I270,FIND("-",I270)+1,LEN(I270)),IFERROR(MID(I270,1,FIND("/",I270)-2),I270)),_xlpm.FormColors))</f>
        <v>красный</v>
      </c>
      <c r="Z270" s="73" t="str">
        <f ca="1"/>
        <v>21-155-18-61</v>
      </c>
      <c r="AA270" s="75" t="str">
        <f ca="1">VLOOKUP(C270,Группа!A:B,2,FALSE)</f>
        <v>Шляпа</v>
      </c>
      <c r="AB270" s="97" t="str">
        <f ca="1">IFERROR(VLOOKUP(R270,Размеры!A:C,3,FALSE),"")</f>
        <v>61 XL</v>
      </c>
      <c r="AC270" s="97" t="str">
        <f ca="1">VLOOKUP(I270,ЦветПолный!A:B,2,FALSE)</f>
        <v>18</v>
      </c>
      <c r="AD270" s="97" t="str">
        <f ca="1">IFERROR(VLOOKUP(R270,Размеры!A:D,4,FALSE),"")</f>
        <v>61</v>
      </c>
      <c r="AE270" s="97">
        <f ca="1">IF(LEFT(IFERROR(VLOOKUP(LOOKUP(2,1/SEARCH(B270,Товары!A:A),Товары!A:A),Товары!A:B,2,0),""),6)=MID(Z270,1,6),1,0)</f>
        <v>1</v>
      </c>
      <c r="AG270" s="97">
        <f ca="1">SUMIF(Группа!A:A,C270,Группа!C:C)</f>
        <v>1</v>
      </c>
      <c r="AH270" s="97">
        <f ca="1">SUMIF(Группа!B:B,AA270,Группа!C:C)</f>
        <v>1</v>
      </c>
      <c r="AI270" s="97">
        <f ca="1">SUMIF(Формы!A:A,D270,Формы!B:B)</f>
        <v>1</v>
      </c>
      <c r="AJ270" s="97">
        <f ca="1">SUMIF(Материал!A:A,K270,Материал!B:B)</f>
        <v>1</v>
      </c>
      <c r="AK270" s="97">
        <f ca="1">SUMIF(Размеры!A:A,R270,Размеры!E:E)</f>
        <v>1</v>
      </c>
      <c r="AL270" s="97">
        <f ca="1">SUMIF(Сезон!A:A,F270,Сезон!B:B)</f>
        <v>1</v>
      </c>
      <c r="AM270" s="97">
        <f ca="1">SUMIF(Состав!A:A,J270,Состав!B:B)</f>
        <v>1</v>
      </c>
      <c r="AN270" s="97">
        <f ca="1">VLOOKUP(I270,ЦветПолный!A:C,3,0)</f>
        <v>1</v>
      </c>
      <c r="AO270" s="97">
        <f ca="1">SUMIF(Цвет!A:A,Y270,Цвет!B:B)</f>
        <v>1</v>
      </c>
      <c r="AP270" s="97">
        <f ca="1">_xlfn.XLOOKUP(L270,Пол!A:A,Пол!B:B,0,0)</f>
        <v>1</v>
      </c>
      <c r="AQ270" s="97">
        <f ca="1">SUMIF(Марка!A:A,G270,Марка!B:B)</f>
        <v>1</v>
      </c>
      <c r="AR270" s="97">
        <f ca="1">SUMIF(Страна!A:A,M270,Страна!B:B)</f>
        <v>1</v>
      </c>
      <c r="AS270" s="64" t="str">
        <f ca="1">IF(VLOOKUP(V270,Товары!A:B,2,FALSE)=A270,"Есть в 1С","ERR")</f>
        <v>Есть в 1С</v>
      </c>
      <c r="AT270" s="65" t="str">
        <f ca="1">IF(VLOOKUP(A270,Товары!B:B,1,FALSE)=A270,"Есть в 1С","ERR")</f>
        <v>Есть в 1С</v>
      </c>
      <c r="AU270" s="96" t="str">
        <f ca="1">VLOOKUP(V270,Товары!A:B,2,FALSE)</f>
        <v>21-155-18</v>
      </c>
      <c r="AV270" s="94" t="str">
        <f ca="1">VLOOKUP(V270,Товары!A:B,1,FALSE)</f>
        <v>Шляпа BAILEY арт. 81810 WAITS (красный) {chili pepper}</v>
      </c>
    </row>
    <row r="271" spans="1:48" x14ac:dyDescent="0.25">
      <c r="A271" s="110" t="str">
        <f t="shared" ca="1" si="32"/>
        <v>21-155-18</v>
      </c>
      <c r="B271" s="107" t="str">
        <f ca="1">_xlfn.LET(_xlpm.CAPS,0,_xlpm.Style,_xlfn.XLOOKUP($A271,Строчный!$A:$A,Строчный!B:B,"ERR",0),IF(_xlpm.CAPS=0,_xlpm.Style,LOWER(_xlpm.Style)))</f>
        <v>81810 WAITS</v>
      </c>
      <c r="C271" s="81" t="str">
        <f ca="1">PROPER(_xlfn.XLOOKUP($A271,Строчный!$A:$A,Строчный!C:C,"ERR",0))</f>
        <v>Шляпы</v>
      </c>
      <c r="D271" s="81" t="str">
        <f ca="1">_xlfn.LET(_xlpm.DATA,(_xlfn.XLOOKUP($A271,Строчный!$A:$A,Строчный!D:D,"ERR",0)),UPPER(MID(_xlpm.DATA,1,1))&amp;LOWER(MID(_xlpm.DATA,2,LEN(_xlpm.DATA)-1)))</f>
        <v>Шляпа поркпай</v>
      </c>
      <c r="E271" s="81" t="str">
        <f ca="1">PROPER(_xlfn.XLOOKUP($A271,Строчный!$A:$A,Строчный!E:E,"ERR",0))</f>
        <v>The Hollywood</v>
      </c>
      <c r="F271" s="81" t="str">
        <f ca="1">LOWER(_xlfn.XLOOKUP($A271,Строчный!$A:$A,Строчный!F:F,"ERR",0))</f>
        <v>летний</v>
      </c>
      <c r="G271" s="81" t="str">
        <f ca="1">UPPER(_xlfn.XLOOKUP($A271,Строчный!$A:$A,Строчный!G:G,"ERR",0))</f>
        <v>BAILEY</v>
      </c>
      <c r="H271" s="81" t="str">
        <f ca="1">LOWER(_xlfn.XLOOKUP($A271,Строчный!$A:$A,Строчный!H:H,"ERR",0))</f>
        <v>chili pepper</v>
      </c>
      <c r="I271" s="81" t="str">
        <f ca="1">LOWER(_xlfn.XLOOKUP($A271,Строчный!$A:$A,Строчный!I:I,"ERR",0))</f>
        <v>красный</v>
      </c>
      <c r="J271" s="81" t="str">
        <f ca="1">SUBSTITUTE(LOWER(_xlfn.XLOOKUP($A271,Строчный!$A:$A,Строчный!J:J,"ERR",0)),"подклад","Подклад")</f>
        <v>50% бумага - 50% полипропилен</v>
      </c>
      <c r="K271" s="81" t="str">
        <f ca="1">LOWER(_xlfn.XLOOKUP($A271,Строчный!$A:$A,Строчный!K:K,"ERR",0))</f>
        <v>бумажные</v>
      </c>
      <c r="L271" s="81" t="str">
        <f ca="1">PROPER(_xlfn.XLOOKUP($A271,Строчный!$A:$A,Строчный!L:L,"ERR",0))</f>
        <v>Унисекс</v>
      </c>
      <c r="M271" s="113" t="str">
        <f ca="1">PROPER(_xlfn.XLOOKUP($A271,Строчный!$A:$A,Строчный!M:M,"ERR",0))</f>
        <v>Китай</v>
      </c>
      <c r="N271" s="81" t="str">
        <f ca="1">UPPER(_xlfn.XLOOKUP($A271,Строчный!$A:$A,Строчный!O:O,"ERR",0))</f>
        <v/>
      </c>
      <c r="O271" s="107" t="str">
        <f ca="1">PROPER(_xlfn.XLOOKUP($A271,Строчный!$A:$A,Строчный!P:P,"ERR",0))</f>
        <v/>
      </c>
      <c r="P271" s="90">
        <f ca="1">VALUE(_xlfn.XLOOKUP($A271,Строчный!$A:$A,Строчный!N:N,"ERR",0))</f>
        <v>2380.9500000000003</v>
      </c>
      <c r="Q271" s="89" t="str">
        <f ca="1">_xlfn.XLOOKUP($G271,Фабрика!A:A,Фабрика!B:B,"ERR",0)</f>
        <v>Bollman Headwear Europe Ltd; 2 Merchants drive, Caelisle, Cumbria CA3 0JW, United Kingdom</v>
      </c>
      <c r="R271" s="80" t="str">
        <f ca="1">_xlfn.XLOOKUP(RIGHT(Z271,2),Размеры!D:D,Размеры!A:A,"ERR",0)</f>
        <v>59</v>
      </c>
      <c r="S271" s="80">
        <f ca="1">VALUE(_xlfn.XLOOKUP($Z271,Строчный!$R:$R,Строчный!T:T,"ERR",0))</f>
        <v>7</v>
      </c>
      <c r="T271" s="14" t="s">
        <v>265</v>
      </c>
      <c r="U271" s="101" t="str">
        <f t="shared" ca="1" si="28"/>
        <v>Шляпа BAILEY арт. 81810 WAITS (красный)</v>
      </c>
      <c r="V271" s="100" t="str">
        <f t="shared" ca="1" si="29"/>
        <v>Шляпа BAILEY арт. 81810 WAITS (красный) {chili pepper}</v>
      </c>
      <c r="W271" s="18" t="str">
        <f t="shared" ca="1" si="30"/>
        <v>красный</v>
      </c>
      <c r="X271" s="18" t="str">
        <f t="shared" ca="1" si="31"/>
        <v>красный</v>
      </c>
      <c r="Y271" s="117" t="str">
        <f ca="1">_xlfn.LET(_xlpm.FormColors,_xlfn.XLOOKUP(A271,Строчный!A:A,Строчный!Q:Q,"",0),IF(_xlpm.FormColors=0,IFERROR(MID(I271,FIND("-",I271)+1,LEN(I271)),IFERROR(MID(I271,1,FIND("/",I271)-2),I271)),_xlpm.FormColors))</f>
        <v>красный</v>
      </c>
      <c r="Z271" s="73" t="str">
        <f ca="1"/>
        <v>21-155-18-59</v>
      </c>
      <c r="AA271" s="75" t="str">
        <f ca="1">VLOOKUP(C271,Группа!A:B,2,FALSE)</f>
        <v>Шляпа</v>
      </c>
      <c r="AB271" s="97" t="str">
        <f ca="1">IFERROR(VLOOKUP(R271,Размеры!A:C,3,FALSE),"")</f>
        <v>59 L</v>
      </c>
      <c r="AC271" s="97" t="str">
        <f ca="1">VLOOKUP(I271,ЦветПолный!A:B,2,FALSE)</f>
        <v>18</v>
      </c>
      <c r="AD271" s="97" t="str">
        <f ca="1">IFERROR(VLOOKUP(R271,Размеры!A:D,4,FALSE),"")</f>
        <v>59</v>
      </c>
      <c r="AE271" s="97">
        <f ca="1">IF(LEFT(IFERROR(VLOOKUP(LOOKUP(2,1/SEARCH(B271,Товары!A:A),Товары!A:A),Товары!A:B,2,0),""),6)=MID(Z271,1,6),1,0)</f>
        <v>1</v>
      </c>
      <c r="AG271" s="97">
        <f ca="1">SUMIF(Группа!A:A,C271,Группа!C:C)</f>
        <v>1</v>
      </c>
      <c r="AH271" s="97">
        <f ca="1">SUMIF(Группа!B:B,AA271,Группа!C:C)</f>
        <v>1</v>
      </c>
      <c r="AI271" s="97">
        <f ca="1">SUMIF(Формы!A:A,D271,Формы!B:B)</f>
        <v>1</v>
      </c>
      <c r="AJ271" s="97">
        <f ca="1">SUMIF(Материал!A:A,K271,Материал!B:B)</f>
        <v>1</v>
      </c>
      <c r="AK271" s="97">
        <f ca="1">SUMIF(Размеры!A:A,R271,Размеры!E:E)</f>
        <v>1</v>
      </c>
      <c r="AL271" s="97">
        <f ca="1">SUMIF(Сезон!A:A,F271,Сезон!B:B)</f>
        <v>1</v>
      </c>
      <c r="AM271" s="97">
        <f ca="1">SUMIF(Состав!A:A,J271,Состав!B:B)</f>
        <v>1</v>
      </c>
      <c r="AN271" s="97">
        <f ca="1">VLOOKUP(I271,ЦветПолный!A:C,3,0)</f>
        <v>1</v>
      </c>
      <c r="AO271" s="97">
        <f ca="1">SUMIF(Цвет!A:A,Y271,Цвет!B:B)</f>
        <v>1</v>
      </c>
      <c r="AP271" s="97">
        <f ca="1">_xlfn.XLOOKUP(L271,Пол!A:A,Пол!B:B,0,0)</f>
        <v>1</v>
      </c>
      <c r="AQ271" s="97">
        <f ca="1">SUMIF(Марка!A:A,G271,Марка!B:B)</f>
        <v>1</v>
      </c>
      <c r="AR271" s="97">
        <f ca="1">SUMIF(Страна!A:A,M271,Страна!B:B)</f>
        <v>1</v>
      </c>
      <c r="AS271" s="64" t="str">
        <f ca="1">IF(VLOOKUP(V271,Товары!A:B,2,FALSE)=A271,"Есть в 1С","ERR")</f>
        <v>Есть в 1С</v>
      </c>
      <c r="AT271" s="65" t="str">
        <f ca="1">IF(VLOOKUP(A271,Товары!B:B,1,FALSE)=A271,"Есть в 1С","ERR")</f>
        <v>Есть в 1С</v>
      </c>
      <c r="AU271" s="96" t="str">
        <f ca="1">VLOOKUP(V271,Товары!A:B,2,FALSE)</f>
        <v>21-155-18</v>
      </c>
      <c r="AV271" s="94" t="str">
        <f ca="1">VLOOKUP(V271,Товары!A:B,1,FALSE)</f>
        <v>Шляпа BAILEY арт. 81810 WAITS (красный) {chili pepper}</v>
      </c>
    </row>
    <row r="272" spans="1:48" x14ac:dyDescent="0.25">
      <c r="A272" s="110" t="str">
        <f t="shared" ca="1" si="32"/>
        <v>21-155-18</v>
      </c>
      <c r="B272" s="107" t="str">
        <f ca="1">_xlfn.LET(_xlpm.CAPS,0,_xlpm.Style,_xlfn.XLOOKUP($A272,Строчный!$A:$A,Строчный!B:B,"ERR",0),IF(_xlpm.CAPS=0,_xlpm.Style,LOWER(_xlpm.Style)))</f>
        <v>81810 WAITS</v>
      </c>
      <c r="C272" s="81" t="str">
        <f ca="1">PROPER(_xlfn.XLOOKUP($A272,Строчный!$A:$A,Строчный!C:C,"ERR",0))</f>
        <v>Шляпы</v>
      </c>
      <c r="D272" s="81" t="str">
        <f ca="1">_xlfn.LET(_xlpm.DATA,(_xlfn.XLOOKUP($A272,Строчный!$A:$A,Строчный!D:D,"ERR",0)),UPPER(MID(_xlpm.DATA,1,1))&amp;LOWER(MID(_xlpm.DATA,2,LEN(_xlpm.DATA)-1)))</f>
        <v>Шляпа поркпай</v>
      </c>
      <c r="E272" s="81" t="str">
        <f ca="1">PROPER(_xlfn.XLOOKUP($A272,Строчный!$A:$A,Строчный!E:E,"ERR",0))</f>
        <v>The Hollywood</v>
      </c>
      <c r="F272" s="81" t="str">
        <f ca="1">LOWER(_xlfn.XLOOKUP($A272,Строчный!$A:$A,Строчный!F:F,"ERR",0))</f>
        <v>летний</v>
      </c>
      <c r="G272" s="81" t="str">
        <f ca="1">UPPER(_xlfn.XLOOKUP($A272,Строчный!$A:$A,Строчный!G:G,"ERR",0))</f>
        <v>BAILEY</v>
      </c>
      <c r="H272" s="81" t="str">
        <f ca="1">LOWER(_xlfn.XLOOKUP($A272,Строчный!$A:$A,Строчный!H:H,"ERR",0))</f>
        <v>chili pepper</v>
      </c>
      <c r="I272" s="81" t="str">
        <f ca="1">LOWER(_xlfn.XLOOKUP($A272,Строчный!$A:$A,Строчный!I:I,"ERR",0))</f>
        <v>красный</v>
      </c>
      <c r="J272" s="81" t="str">
        <f ca="1">SUBSTITUTE(LOWER(_xlfn.XLOOKUP($A272,Строчный!$A:$A,Строчный!J:J,"ERR",0)),"подклад","Подклад")</f>
        <v>50% бумага - 50% полипропилен</v>
      </c>
      <c r="K272" s="81" t="str">
        <f ca="1">LOWER(_xlfn.XLOOKUP($A272,Строчный!$A:$A,Строчный!K:K,"ERR",0))</f>
        <v>бумажные</v>
      </c>
      <c r="L272" s="81" t="str">
        <f ca="1">PROPER(_xlfn.XLOOKUP($A272,Строчный!$A:$A,Строчный!L:L,"ERR",0))</f>
        <v>Унисекс</v>
      </c>
      <c r="M272" s="113" t="str">
        <f ca="1">PROPER(_xlfn.XLOOKUP($A272,Строчный!$A:$A,Строчный!M:M,"ERR",0))</f>
        <v>Китай</v>
      </c>
      <c r="N272" s="81" t="str">
        <f ca="1">UPPER(_xlfn.XLOOKUP($A272,Строчный!$A:$A,Строчный!O:O,"ERR",0))</f>
        <v/>
      </c>
      <c r="O272" s="107" t="str">
        <f ca="1">PROPER(_xlfn.XLOOKUP($A272,Строчный!$A:$A,Строчный!P:P,"ERR",0))</f>
        <v/>
      </c>
      <c r="P272" s="90">
        <f ca="1">VALUE(_xlfn.XLOOKUP($A272,Строчный!$A:$A,Строчный!N:N,"ERR",0))</f>
        <v>2380.9500000000003</v>
      </c>
      <c r="Q272" s="89" t="str">
        <f ca="1">_xlfn.XLOOKUP($G272,Фабрика!A:A,Фабрика!B:B,"ERR",0)</f>
        <v>Bollman Headwear Europe Ltd; 2 Merchants drive, Caelisle, Cumbria CA3 0JW, United Kingdom</v>
      </c>
      <c r="R272" s="80" t="str">
        <f ca="1">_xlfn.XLOOKUP(RIGHT(Z272,2),Размеры!D:D,Размеры!A:A,"ERR",0)</f>
        <v>57</v>
      </c>
      <c r="S272" s="80">
        <f ca="1">VALUE(_xlfn.XLOOKUP($Z272,Строчный!$R:$R,Строчный!T:T,"ERR",0))</f>
        <v>2</v>
      </c>
      <c r="T272" s="14" t="s">
        <v>265</v>
      </c>
      <c r="U272" s="101" t="str">
        <f t="shared" ca="1" si="28"/>
        <v>Шляпа BAILEY арт. 81810 WAITS (красный)</v>
      </c>
      <c r="V272" s="100" t="str">
        <f t="shared" ca="1" si="29"/>
        <v>Шляпа BAILEY арт. 81810 WAITS (красный) {chili pepper}</v>
      </c>
      <c r="W272" s="18" t="str">
        <f t="shared" ca="1" si="30"/>
        <v>красный</v>
      </c>
      <c r="X272" s="18" t="str">
        <f t="shared" ca="1" si="31"/>
        <v>красный</v>
      </c>
      <c r="Y272" s="117" t="str">
        <f ca="1">_xlfn.LET(_xlpm.FormColors,_xlfn.XLOOKUP(A272,Строчный!A:A,Строчный!Q:Q,"",0),IF(_xlpm.FormColors=0,IFERROR(MID(I272,FIND("-",I272)+1,LEN(I272)),IFERROR(MID(I272,1,FIND("/",I272)-2),I272)),_xlpm.FormColors))</f>
        <v>красный</v>
      </c>
      <c r="Z272" s="73" t="str">
        <f ca="1"/>
        <v>21-155-18-57</v>
      </c>
      <c r="AA272" s="75" t="str">
        <f ca="1">VLOOKUP(C272,Группа!A:B,2,FALSE)</f>
        <v>Шляпа</v>
      </c>
      <c r="AB272" s="97" t="str">
        <f ca="1">IFERROR(VLOOKUP(R272,Размеры!A:C,3,FALSE),"")</f>
        <v>57 M</v>
      </c>
      <c r="AC272" s="97" t="str">
        <f ca="1">VLOOKUP(I272,ЦветПолный!A:B,2,FALSE)</f>
        <v>18</v>
      </c>
      <c r="AD272" s="97" t="str">
        <f ca="1">IFERROR(VLOOKUP(R272,Размеры!A:D,4,FALSE),"")</f>
        <v>57</v>
      </c>
      <c r="AE272" s="97">
        <f ca="1">IF(LEFT(IFERROR(VLOOKUP(LOOKUP(2,1/SEARCH(B272,Товары!A:A),Товары!A:A),Товары!A:B,2,0),""),6)=MID(Z272,1,6),1,0)</f>
        <v>1</v>
      </c>
      <c r="AG272" s="97">
        <f ca="1">SUMIF(Группа!A:A,C272,Группа!C:C)</f>
        <v>1</v>
      </c>
      <c r="AH272" s="97">
        <f ca="1">SUMIF(Группа!B:B,AA272,Группа!C:C)</f>
        <v>1</v>
      </c>
      <c r="AI272" s="97">
        <f ca="1">SUMIF(Формы!A:A,D272,Формы!B:B)</f>
        <v>1</v>
      </c>
      <c r="AJ272" s="97">
        <f ca="1">SUMIF(Материал!A:A,K272,Материал!B:B)</f>
        <v>1</v>
      </c>
      <c r="AK272" s="97">
        <f ca="1">SUMIF(Размеры!A:A,R272,Размеры!E:E)</f>
        <v>1</v>
      </c>
      <c r="AL272" s="97">
        <f ca="1">SUMIF(Сезон!A:A,F272,Сезон!B:B)</f>
        <v>1</v>
      </c>
      <c r="AM272" s="97">
        <f ca="1">SUMIF(Состав!A:A,J272,Состав!B:B)</f>
        <v>1</v>
      </c>
      <c r="AN272" s="97">
        <f ca="1">VLOOKUP(I272,ЦветПолный!A:C,3,0)</f>
        <v>1</v>
      </c>
      <c r="AO272" s="97">
        <f ca="1">SUMIF(Цвет!A:A,Y272,Цвет!B:B)</f>
        <v>1</v>
      </c>
      <c r="AP272" s="97">
        <f ca="1">_xlfn.XLOOKUP(L272,Пол!A:A,Пол!B:B,0,0)</f>
        <v>1</v>
      </c>
      <c r="AQ272" s="97">
        <f ca="1">SUMIF(Марка!A:A,G272,Марка!B:B)</f>
        <v>1</v>
      </c>
      <c r="AR272" s="97">
        <f ca="1">SUMIF(Страна!A:A,M272,Страна!B:B)</f>
        <v>1</v>
      </c>
      <c r="AS272" s="64" t="str">
        <f ca="1">IF(VLOOKUP(V272,Товары!A:B,2,FALSE)=A272,"Есть в 1С","ERR")</f>
        <v>Есть в 1С</v>
      </c>
      <c r="AT272" s="65" t="str">
        <f ca="1">IF(VLOOKUP(A272,Товары!B:B,1,FALSE)=A272,"Есть в 1С","ERR")</f>
        <v>Есть в 1С</v>
      </c>
      <c r="AU272" s="96" t="str">
        <f ca="1">VLOOKUP(V272,Товары!A:B,2,FALSE)</f>
        <v>21-155-18</v>
      </c>
      <c r="AV272" s="94" t="str">
        <f ca="1">VLOOKUP(V272,Товары!A:B,1,FALSE)</f>
        <v>Шляпа BAILEY арт. 81810 WAITS (красный) {chili pepper}</v>
      </c>
    </row>
    <row r="273" spans="1:48" x14ac:dyDescent="0.25">
      <c r="A273" s="110" t="str">
        <f t="shared" ca="1" si="32"/>
        <v>21-155-15</v>
      </c>
      <c r="B273" s="107" t="str">
        <f ca="1">_xlfn.LET(_xlpm.CAPS,0,_xlpm.Style,_xlfn.XLOOKUP($A273,Строчный!$A:$A,Строчный!B:B,"ERR",0),IF(_xlpm.CAPS=0,_xlpm.Style,LOWER(_xlpm.Style)))</f>
        <v>81810 WAITS</v>
      </c>
      <c r="C273" s="81" t="str">
        <f ca="1">PROPER(_xlfn.XLOOKUP($A273,Строчный!$A:$A,Строчный!C:C,"ERR",0))</f>
        <v>Шляпы</v>
      </c>
      <c r="D273" s="81" t="str">
        <f ca="1">_xlfn.LET(_xlpm.DATA,(_xlfn.XLOOKUP($A273,Строчный!$A:$A,Строчный!D:D,"ERR",0)),UPPER(MID(_xlpm.DATA,1,1))&amp;LOWER(MID(_xlpm.DATA,2,LEN(_xlpm.DATA)-1)))</f>
        <v>Шляпа поркпай</v>
      </c>
      <c r="E273" s="81" t="str">
        <f ca="1">PROPER(_xlfn.XLOOKUP($A273,Строчный!$A:$A,Строчный!E:E,"ERR",0))</f>
        <v>The Hollywood</v>
      </c>
      <c r="F273" s="81" t="str">
        <f ca="1">LOWER(_xlfn.XLOOKUP($A273,Строчный!$A:$A,Строчный!F:F,"ERR",0))</f>
        <v>летний</v>
      </c>
      <c r="G273" s="81" t="str">
        <f ca="1">UPPER(_xlfn.XLOOKUP($A273,Строчный!$A:$A,Строчный!G:G,"ERR",0))</f>
        <v>BAILEY</v>
      </c>
      <c r="H273" s="81" t="str">
        <f ca="1">LOWER(_xlfn.XLOOKUP($A273,Строчный!$A:$A,Строчный!H:H,"ERR",0))</f>
        <v>copper</v>
      </c>
      <c r="I273" s="81" t="str">
        <f ca="1">LOWER(_xlfn.XLOOKUP($A273,Строчный!$A:$A,Строчный!I:I,"ERR",0))</f>
        <v>коньячный</v>
      </c>
      <c r="J273" s="81" t="str">
        <f ca="1">SUBSTITUTE(LOWER(_xlfn.XLOOKUP($A273,Строчный!$A:$A,Строчный!J:J,"ERR",0)),"подклад","Подклад")</f>
        <v>50% бумага - 50% полипропилен</v>
      </c>
      <c r="K273" s="81" t="str">
        <f ca="1">LOWER(_xlfn.XLOOKUP($A273,Строчный!$A:$A,Строчный!K:K,"ERR",0))</f>
        <v>бумажные</v>
      </c>
      <c r="L273" s="81" t="str">
        <f ca="1">PROPER(_xlfn.XLOOKUP($A273,Строчный!$A:$A,Строчный!L:L,"ERR",0))</f>
        <v>Унисекс</v>
      </c>
      <c r="M273" s="113" t="str">
        <f ca="1">PROPER(_xlfn.XLOOKUP($A273,Строчный!$A:$A,Строчный!M:M,"ERR",0))</f>
        <v>Китай</v>
      </c>
      <c r="N273" s="81" t="str">
        <f ca="1">UPPER(_xlfn.XLOOKUP($A273,Строчный!$A:$A,Строчный!O:O,"ERR",0))</f>
        <v/>
      </c>
      <c r="O273" s="107" t="str">
        <f ca="1">PROPER(_xlfn.XLOOKUP($A273,Строчный!$A:$A,Строчный!P:P,"ERR",0))</f>
        <v/>
      </c>
      <c r="P273" s="90">
        <f ca="1">VALUE(_xlfn.XLOOKUP($A273,Строчный!$A:$A,Строчный!N:N,"ERR",0))</f>
        <v>2380.9500000000003</v>
      </c>
      <c r="Q273" s="89" t="str">
        <f ca="1">_xlfn.XLOOKUP($G273,Фабрика!A:A,Фабрика!B:B,"ERR",0)</f>
        <v>Bollman Headwear Europe Ltd; 2 Merchants drive, Caelisle, Cumbria CA3 0JW, United Kingdom</v>
      </c>
      <c r="R273" s="80" t="str">
        <f ca="1">_xlfn.XLOOKUP(RIGHT(Z273,2),Размеры!D:D,Размеры!A:A,"ERR",0)</f>
        <v>63</v>
      </c>
      <c r="S273" s="80">
        <f ca="1">VALUE(_xlfn.XLOOKUP($Z273,Строчный!$R:$R,Строчный!T:T,"ERR",0))</f>
        <v>2</v>
      </c>
      <c r="T273" s="14" t="s">
        <v>265</v>
      </c>
      <c r="U273" s="101" t="str">
        <f t="shared" ca="1" si="28"/>
        <v>Шляпа BAILEY арт. 81810 WAITS (коньячный)</v>
      </c>
      <c r="V273" s="100" t="str">
        <f t="shared" ca="1" si="29"/>
        <v>Шляпа BAILEY арт. 81810 WAITS (коньячный) {copper}</v>
      </c>
      <c r="W273" s="18" t="str">
        <f t="shared" ca="1" si="30"/>
        <v>коньячный</v>
      </c>
      <c r="X273" s="18" t="str">
        <f t="shared" ca="1" si="31"/>
        <v>коньячный</v>
      </c>
      <c r="Y273" s="117" t="str">
        <f ca="1">_xlfn.LET(_xlpm.FormColors,_xlfn.XLOOKUP(A273,Строчный!A:A,Строчный!Q:Q,"",0),IF(_xlpm.FormColors=0,IFERROR(MID(I273,FIND("-",I273)+1,LEN(I273)),IFERROR(MID(I273,1,FIND("/",I273)-2),I273)),_xlpm.FormColors))</f>
        <v>коньячный</v>
      </c>
      <c r="Z273" s="73" t="str">
        <f ca="1"/>
        <v>21-155-15-63</v>
      </c>
      <c r="AA273" s="75" t="str">
        <f ca="1">VLOOKUP(C273,Группа!A:B,2,FALSE)</f>
        <v>Шляпа</v>
      </c>
      <c r="AB273" s="97" t="str">
        <f ca="1">IFERROR(VLOOKUP(R273,Размеры!A:C,3,FALSE),"")</f>
        <v>63 XXL</v>
      </c>
      <c r="AC273" s="97" t="str">
        <f ca="1">VLOOKUP(I273,ЦветПолный!A:B,2,FALSE)</f>
        <v>90</v>
      </c>
      <c r="AD273" s="97" t="str">
        <f ca="1">IFERROR(VLOOKUP(R273,Размеры!A:D,4,FALSE),"")</f>
        <v>63</v>
      </c>
      <c r="AE273" s="97">
        <f ca="1">IF(LEFT(IFERROR(VLOOKUP(LOOKUP(2,1/SEARCH(B273,Товары!A:A),Товары!A:A),Товары!A:B,2,0),""),6)=MID(Z273,1,6),1,0)</f>
        <v>1</v>
      </c>
      <c r="AG273" s="97">
        <f ca="1">SUMIF(Группа!A:A,C273,Группа!C:C)</f>
        <v>1</v>
      </c>
      <c r="AH273" s="97">
        <f ca="1">SUMIF(Группа!B:B,AA273,Группа!C:C)</f>
        <v>1</v>
      </c>
      <c r="AI273" s="97">
        <f ca="1">SUMIF(Формы!A:A,D273,Формы!B:B)</f>
        <v>1</v>
      </c>
      <c r="AJ273" s="97">
        <f ca="1">SUMIF(Материал!A:A,K273,Материал!B:B)</f>
        <v>1</v>
      </c>
      <c r="AK273" s="97">
        <f ca="1">SUMIF(Размеры!A:A,R273,Размеры!E:E)</f>
        <v>1</v>
      </c>
      <c r="AL273" s="97">
        <f ca="1">SUMIF(Сезон!A:A,F273,Сезон!B:B)</f>
        <v>1</v>
      </c>
      <c r="AM273" s="97">
        <f ca="1">SUMIF(Состав!A:A,J273,Состав!B:B)</f>
        <v>1</v>
      </c>
      <c r="AN273" s="97">
        <f ca="1">VLOOKUP(I273,ЦветПолный!A:C,3,0)</f>
        <v>1</v>
      </c>
      <c r="AO273" s="97">
        <f ca="1">SUMIF(Цвет!A:A,Y273,Цвет!B:B)</f>
        <v>0</v>
      </c>
      <c r="AP273" s="97">
        <f ca="1">_xlfn.XLOOKUP(L273,Пол!A:A,Пол!B:B,0,0)</f>
        <v>1</v>
      </c>
      <c r="AQ273" s="97">
        <f ca="1">SUMIF(Марка!A:A,G273,Марка!B:B)</f>
        <v>1</v>
      </c>
      <c r="AR273" s="97">
        <f ca="1">SUMIF(Страна!A:A,M273,Страна!B:B)</f>
        <v>1</v>
      </c>
      <c r="AS273" s="64" t="str">
        <f ca="1">IF(VLOOKUP(V273,Товары!A:B,2,FALSE)=A273,"Есть в 1С","ERR")</f>
        <v>Есть в 1С</v>
      </c>
      <c r="AT273" s="65" t="str">
        <f ca="1">IF(VLOOKUP(A273,Товары!B:B,1,FALSE)=A273,"Есть в 1С","ERR")</f>
        <v>Есть в 1С</v>
      </c>
      <c r="AU273" s="96" t="str">
        <f ca="1">VLOOKUP(V273,Товары!A:B,2,FALSE)</f>
        <v>21-155-15</v>
      </c>
      <c r="AV273" s="94" t="str">
        <f ca="1">VLOOKUP(V273,Товары!A:B,1,FALSE)</f>
        <v>Шляпа BAILEY арт. 81810 WAITS (коньячный) {copper}</v>
      </c>
    </row>
    <row r="274" spans="1:48" x14ac:dyDescent="0.25">
      <c r="A274" s="110" t="str">
        <f t="shared" ca="1" si="32"/>
        <v>21-155-15</v>
      </c>
      <c r="B274" s="107" t="str">
        <f ca="1">_xlfn.LET(_xlpm.CAPS,0,_xlpm.Style,_xlfn.XLOOKUP($A274,Строчный!$A:$A,Строчный!B:B,"ERR",0),IF(_xlpm.CAPS=0,_xlpm.Style,LOWER(_xlpm.Style)))</f>
        <v>81810 WAITS</v>
      </c>
      <c r="C274" s="81" t="str">
        <f ca="1">PROPER(_xlfn.XLOOKUP($A274,Строчный!$A:$A,Строчный!C:C,"ERR",0))</f>
        <v>Шляпы</v>
      </c>
      <c r="D274" s="81" t="str">
        <f ca="1">_xlfn.LET(_xlpm.DATA,(_xlfn.XLOOKUP($A274,Строчный!$A:$A,Строчный!D:D,"ERR",0)),UPPER(MID(_xlpm.DATA,1,1))&amp;LOWER(MID(_xlpm.DATA,2,LEN(_xlpm.DATA)-1)))</f>
        <v>Шляпа поркпай</v>
      </c>
      <c r="E274" s="81" t="str">
        <f ca="1">PROPER(_xlfn.XLOOKUP($A274,Строчный!$A:$A,Строчный!E:E,"ERR",0))</f>
        <v>The Hollywood</v>
      </c>
      <c r="F274" s="81" t="str">
        <f ca="1">LOWER(_xlfn.XLOOKUP($A274,Строчный!$A:$A,Строчный!F:F,"ERR",0))</f>
        <v>летний</v>
      </c>
      <c r="G274" s="81" t="str">
        <f ca="1">UPPER(_xlfn.XLOOKUP($A274,Строчный!$A:$A,Строчный!G:G,"ERR",0))</f>
        <v>BAILEY</v>
      </c>
      <c r="H274" s="81" t="str">
        <f ca="1">LOWER(_xlfn.XLOOKUP($A274,Строчный!$A:$A,Строчный!H:H,"ERR",0))</f>
        <v>copper</v>
      </c>
      <c r="I274" s="81" t="str">
        <f ca="1">LOWER(_xlfn.XLOOKUP($A274,Строчный!$A:$A,Строчный!I:I,"ERR",0))</f>
        <v>коньячный</v>
      </c>
      <c r="J274" s="81" t="str">
        <f ca="1">SUBSTITUTE(LOWER(_xlfn.XLOOKUP($A274,Строчный!$A:$A,Строчный!J:J,"ERR",0)),"подклад","Подклад")</f>
        <v>50% бумага - 50% полипропилен</v>
      </c>
      <c r="K274" s="81" t="str">
        <f ca="1">LOWER(_xlfn.XLOOKUP($A274,Строчный!$A:$A,Строчный!K:K,"ERR",0))</f>
        <v>бумажные</v>
      </c>
      <c r="L274" s="81" t="str">
        <f ca="1">PROPER(_xlfn.XLOOKUP($A274,Строчный!$A:$A,Строчный!L:L,"ERR",0))</f>
        <v>Унисекс</v>
      </c>
      <c r="M274" s="113" t="str">
        <f ca="1">PROPER(_xlfn.XLOOKUP($A274,Строчный!$A:$A,Строчный!M:M,"ERR",0))</f>
        <v>Китай</v>
      </c>
      <c r="N274" s="81" t="str">
        <f ca="1">UPPER(_xlfn.XLOOKUP($A274,Строчный!$A:$A,Строчный!O:O,"ERR",0))</f>
        <v/>
      </c>
      <c r="O274" s="107" t="str">
        <f ca="1">PROPER(_xlfn.XLOOKUP($A274,Строчный!$A:$A,Строчный!P:P,"ERR",0))</f>
        <v/>
      </c>
      <c r="P274" s="90">
        <f ca="1">VALUE(_xlfn.XLOOKUP($A274,Строчный!$A:$A,Строчный!N:N,"ERR",0))</f>
        <v>2380.9500000000003</v>
      </c>
      <c r="Q274" s="89" t="str">
        <f ca="1">_xlfn.XLOOKUP($G274,Фабрика!A:A,Фабрика!B:B,"ERR",0)</f>
        <v>Bollman Headwear Europe Ltd; 2 Merchants drive, Caelisle, Cumbria CA3 0JW, United Kingdom</v>
      </c>
      <c r="R274" s="80" t="str">
        <f ca="1">_xlfn.XLOOKUP(RIGHT(Z274,2),Размеры!D:D,Размеры!A:A,"ERR",0)</f>
        <v>61</v>
      </c>
      <c r="S274" s="80">
        <f ca="1">VALUE(_xlfn.XLOOKUP($Z274,Строчный!$R:$R,Строчный!T:T,"ERR",0))</f>
        <v>6</v>
      </c>
      <c r="T274" s="14" t="s">
        <v>265</v>
      </c>
      <c r="U274" s="101" t="str">
        <f t="shared" ca="1" si="28"/>
        <v>Шляпа BAILEY арт. 81810 WAITS (коньячный)</v>
      </c>
      <c r="V274" s="100" t="str">
        <f t="shared" ca="1" si="29"/>
        <v>Шляпа BAILEY арт. 81810 WAITS (коньячный) {copper}</v>
      </c>
      <c r="W274" s="18" t="str">
        <f t="shared" ca="1" si="30"/>
        <v>коньячный</v>
      </c>
      <c r="X274" s="18" t="str">
        <f t="shared" ca="1" si="31"/>
        <v>коньячный</v>
      </c>
      <c r="Y274" s="117" t="str">
        <f ca="1">_xlfn.LET(_xlpm.FormColors,_xlfn.XLOOKUP(A274,Строчный!A:A,Строчный!Q:Q,"",0),IF(_xlpm.FormColors=0,IFERROR(MID(I274,FIND("-",I274)+1,LEN(I274)),IFERROR(MID(I274,1,FIND("/",I274)-2),I274)),_xlpm.FormColors))</f>
        <v>коньячный</v>
      </c>
      <c r="Z274" s="73" t="str">
        <f ca="1"/>
        <v>21-155-15-61</v>
      </c>
      <c r="AA274" s="75" t="str">
        <f ca="1">VLOOKUP(C274,Группа!A:B,2,FALSE)</f>
        <v>Шляпа</v>
      </c>
      <c r="AB274" s="97" t="str">
        <f ca="1">IFERROR(VLOOKUP(R274,Размеры!A:C,3,FALSE),"")</f>
        <v>61 XL</v>
      </c>
      <c r="AC274" s="97" t="str">
        <f ca="1">VLOOKUP(I274,ЦветПолный!A:B,2,FALSE)</f>
        <v>90</v>
      </c>
      <c r="AD274" s="97" t="str">
        <f ca="1">IFERROR(VLOOKUP(R274,Размеры!A:D,4,FALSE),"")</f>
        <v>61</v>
      </c>
      <c r="AE274" s="97">
        <f ca="1">IF(LEFT(IFERROR(VLOOKUP(LOOKUP(2,1/SEARCH(B274,Товары!A:A),Товары!A:A),Товары!A:B,2,0),""),6)=MID(Z274,1,6),1,0)</f>
        <v>1</v>
      </c>
      <c r="AG274" s="97">
        <f ca="1">SUMIF(Группа!A:A,C274,Группа!C:C)</f>
        <v>1</v>
      </c>
      <c r="AH274" s="97">
        <f ca="1">SUMIF(Группа!B:B,AA274,Группа!C:C)</f>
        <v>1</v>
      </c>
      <c r="AI274" s="97">
        <f ca="1">SUMIF(Формы!A:A,D274,Формы!B:B)</f>
        <v>1</v>
      </c>
      <c r="AJ274" s="97">
        <f ca="1">SUMIF(Материал!A:A,K274,Материал!B:B)</f>
        <v>1</v>
      </c>
      <c r="AK274" s="97">
        <f ca="1">SUMIF(Размеры!A:A,R274,Размеры!E:E)</f>
        <v>1</v>
      </c>
      <c r="AL274" s="97">
        <f ca="1">SUMIF(Сезон!A:A,F274,Сезон!B:B)</f>
        <v>1</v>
      </c>
      <c r="AM274" s="97">
        <f ca="1">SUMIF(Состав!A:A,J274,Состав!B:B)</f>
        <v>1</v>
      </c>
      <c r="AN274" s="97">
        <f ca="1">VLOOKUP(I274,ЦветПолный!A:C,3,0)</f>
        <v>1</v>
      </c>
      <c r="AO274" s="97">
        <f ca="1">SUMIF(Цвет!A:A,Y274,Цвет!B:B)</f>
        <v>0</v>
      </c>
      <c r="AP274" s="97">
        <f ca="1">_xlfn.XLOOKUP(L274,Пол!A:A,Пол!B:B,0,0)</f>
        <v>1</v>
      </c>
      <c r="AQ274" s="97">
        <f ca="1">SUMIF(Марка!A:A,G274,Марка!B:B)</f>
        <v>1</v>
      </c>
      <c r="AR274" s="97">
        <f ca="1">SUMIF(Страна!A:A,M274,Страна!B:B)</f>
        <v>1</v>
      </c>
      <c r="AS274" s="64" t="str">
        <f ca="1">IF(VLOOKUP(V274,Товары!A:B,2,FALSE)=A274,"Есть в 1С","ERR")</f>
        <v>Есть в 1С</v>
      </c>
      <c r="AT274" s="65" t="str">
        <f ca="1">IF(VLOOKUP(A274,Товары!B:B,1,FALSE)=A274,"Есть в 1С","ERR")</f>
        <v>Есть в 1С</v>
      </c>
      <c r="AU274" s="96" t="str">
        <f ca="1">VLOOKUP(V274,Товары!A:B,2,FALSE)</f>
        <v>21-155-15</v>
      </c>
      <c r="AV274" s="94" t="str">
        <f ca="1">VLOOKUP(V274,Товары!A:B,1,FALSE)</f>
        <v>Шляпа BAILEY арт. 81810 WAITS (коньячный) {copper}</v>
      </c>
    </row>
    <row r="275" spans="1:48" x14ac:dyDescent="0.25">
      <c r="A275" s="110" t="str">
        <f t="shared" ca="1" si="32"/>
        <v>21-155-15</v>
      </c>
      <c r="B275" s="107" t="str">
        <f ca="1">_xlfn.LET(_xlpm.CAPS,0,_xlpm.Style,_xlfn.XLOOKUP($A275,Строчный!$A:$A,Строчный!B:B,"ERR",0),IF(_xlpm.CAPS=0,_xlpm.Style,LOWER(_xlpm.Style)))</f>
        <v>81810 WAITS</v>
      </c>
      <c r="C275" s="81" t="str">
        <f ca="1">PROPER(_xlfn.XLOOKUP($A275,Строчный!$A:$A,Строчный!C:C,"ERR",0))</f>
        <v>Шляпы</v>
      </c>
      <c r="D275" s="81" t="str">
        <f ca="1">_xlfn.LET(_xlpm.DATA,(_xlfn.XLOOKUP($A275,Строчный!$A:$A,Строчный!D:D,"ERR",0)),UPPER(MID(_xlpm.DATA,1,1))&amp;LOWER(MID(_xlpm.DATA,2,LEN(_xlpm.DATA)-1)))</f>
        <v>Шляпа поркпай</v>
      </c>
      <c r="E275" s="81" t="str">
        <f ca="1">PROPER(_xlfn.XLOOKUP($A275,Строчный!$A:$A,Строчный!E:E,"ERR",0))</f>
        <v>The Hollywood</v>
      </c>
      <c r="F275" s="81" t="str">
        <f ca="1">LOWER(_xlfn.XLOOKUP($A275,Строчный!$A:$A,Строчный!F:F,"ERR",0))</f>
        <v>летний</v>
      </c>
      <c r="G275" s="81" t="str">
        <f ca="1">UPPER(_xlfn.XLOOKUP($A275,Строчный!$A:$A,Строчный!G:G,"ERR",0))</f>
        <v>BAILEY</v>
      </c>
      <c r="H275" s="81" t="str">
        <f ca="1">LOWER(_xlfn.XLOOKUP($A275,Строчный!$A:$A,Строчный!H:H,"ERR",0))</f>
        <v>copper</v>
      </c>
      <c r="I275" s="81" t="str">
        <f ca="1">LOWER(_xlfn.XLOOKUP($A275,Строчный!$A:$A,Строчный!I:I,"ERR",0))</f>
        <v>коньячный</v>
      </c>
      <c r="J275" s="81" t="str">
        <f ca="1">SUBSTITUTE(LOWER(_xlfn.XLOOKUP($A275,Строчный!$A:$A,Строчный!J:J,"ERR",0)),"подклад","Подклад")</f>
        <v>50% бумага - 50% полипропилен</v>
      </c>
      <c r="K275" s="81" t="str">
        <f ca="1">LOWER(_xlfn.XLOOKUP($A275,Строчный!$A:$A,Строчный!K:K,"ERR",0))</f>
        <v>бумажные</v>
      </c>
      <c r="L275" s="81" t="str">
        <f ca="1">PROPER(_xlfn.XLOOKUP($A275,Строчный!$A:$A,Строчный!L:L,"ERR",0))</f>
        <v>Унисекс</v>
      </c>
      <c r="M275" s="113" t="str">
        <f ca="1">PROPER(_xlfn.XLOOKUP($A275,Строчный!$A:$A,Строчный!M:M,"ERR",0))</f>
        <v>Китай</v>
      </c>
      <c r="N275" s="81" t="str">
        <f ca="1">UPPER(_xlfn.XLOOKUP($A275,Строчный!$A:$A,Строчный!O:O,"ERR",0))</f>
        <v/>
      </c>
      <c r="O275" s="107" t="str">
        <f ca="1">PROPER(_xlfn.XLOOKUP($A275,Строчный!$A:$A,Строчный!P:P,"ERR",0))</f>
        <v/>
      </c>
      <c r="P275" s="90">
        <f ca="1">VALUE(_xlfn.XLOOKUP($A275,Строчный!$A:$A,Строчный!N:N,"ERR",0))</f>
        <v>2380.9500000000003</v>
      </c>
      <c r="Q275" s="89" t="str">
        <f ca="1">_xlfn.XLOOKUP($G275,Фабрика!A:A,Фабрика!B:B,"ERR",0)</f>
        <v>Bollman Headwear Europe Ltd; 2 Merchants drive, Caelisle, Cumbria CA3 0JW, United Kingdom</v>
      </c>
      <c r="R275" s="80" t="str">
        <f ca="1">_xlfn.XLOOKUP(RIGHT(Z275,2),Размеры!D:D,Размеры!A:A,"ERR",0)</f>
        <v>59</v>
      </c>
      <c r="S275" s="80">
        <f ca="1">VALUE(_xlfn.XLOOKUP($Z275,Строчный!$R:$R,Строчный!T:T,"ERR",0))</f>
        <v>10</v>
      </c>
      <c r="T275" s="14" t="s">
        <v>265</v>
      </c>
      <c r="U275" s="101" t="str">
        <f t="shared" ca="1" si="28"/>
        <v>Шляпа BAILEY арт. 81810 WAITS (коньячный)</v>
      </c>
      <c r="V275" s="100" t="str">
        <f t="shared" ca="1" si="29"/>
        <v>Шляпа BAILEY арт. 81810 WAITS (коньячный) {copper}</v>
      </c>
      <c r="W275" s="18" t="str">
        <f t="shared" ca="1" si="30"/>
        <v>коньячный</v>
      </c>
      <c r="X275" s="18" t="str">
        <f t="shared" ca="1" si="31"/>
        <v>коньячный</v>
      </c>
      <c r="Y275" s="117" t="str">
        <f ca="1">_xlfn.LET(_xlpm.FormColors,_xlfn.XLOOKUP(A275,Строчный!A:A,Строчный!Q:Q,"",0),IF(_xlpm.FormColors=0,IFERROR(MID(I275,FIND("-",I275)+1,LEN(I275)),IFERROR(MID(I275,1,FIND("/",I275)-2),I275)),_xlpm.FormColors))</f>
        <v>коньячный</v>
      </c>
      <c r="Z275" s="73" t="str">
        <f ca="1"/>
        <v>21-155-15-59</v>
      </c>
      <c r="AA275" s="75" t="str">
        <f ca="1">VLOOKUP(C275,Группа!A:B,2,FALSE)</f>
        <v>Шляпа</v>
      </c>
      <c r="AB275" s="97" t="str">
        <f ca="1">IFERROR(VLOOKUP(R275,Размеры!A:C,3,FALSE),"")</f>
        <v>59 L</v>
      </c>
      <c r="AC275" s="97" t="str">
        <f ca="1">VLOOKUP(I275,ЦветПолный!A:B,2,FALSE)</f>
        <v>90</v>
      </c>
      <c r="AD275" s="97" t="str">
        <f ca="1">IFERROR(VLOOKUP(R275,Размеры!A:D,4,FALSE),"")</f>
        <v>59</v>
      </c>
      <c r="AE275" s="97">
        <f ca="1">IF(LEFT(IFERROR(VLOOKUP(LOOKUP(2,1/SEARCH(B275,Товары!A:A),Товары!A:A),Товары!A:B,2,0),""),6)=MID(Z275,1,6),1,0)</f>
        <v>1</v>
      </c>
      <c r="AG275" s="97">
        <f ca="1">SUMIF(Группа!A:A,C275,Группа!C:C)</f>
        <v>1</v>
      </c>
      <c r="AH275" s="97">
        <f ca="1">SUMIF(Группа!B:B,AA275,Группа!C:C)</f>
        <v>1</v>
      </c>
      <c r="AI275" s="97">
        <f ca="1">SUMIF(Формы!A:A,D275,Формы!B:B)</f>
        <v>1</v>
      </c>
      <c r="AJ275" s="97">
        <f ca="1">SUMIF(Материал!A:A,K275,Материал!B:B)</f>
        <v>1</v>
      </c>
      <c r="AK275" s="97">
        <f ca="1">SUMIF(Размеры!A:A,R275,Размеры!E:E)</f>
        <v>1</v>
      </c>
      <c r="AL275" s="97">
        <f ca="1">SUMIF(Сезон!A:A,F275,Сезон!B:B)</f>
        <v>1</v>
      </c>
      <c r="AM275" s="97">
        <f ca="1">SUMIF(Состав!A:A,J275,Состав!B:B)</f>
        <v>1</v>
      </c>
      <c r="AN275" s="97">
        <f ca="1">VLOOKUP(I275,ЦветПолный!A:C,3,0)</f>
        <v>1</v>
      </c>
      <c r="AO275" s="97">
        <f ca="1">SUMIF(Цвет!A:A,Y275,Цвет!B:B)</f>
        <v>0</v>
      </c>
      <c r="AP275" s="97">
        <f ca="1">_xlfn.XLOOKUP(L275,Пол!A:A,Пол!B:B,0,0)</f>
        <v>1</v>
      </c>
      <c r="AQ275" s="97">
        <f ca="1">SUMIF(Марка!A:A,G275,Марка!B:B)</f>
        <v>1</v>
      </c>
      <c r="AR275" s="97">
        <f ca="1">SUMIF(Страна!A:A,M275,Страна!B:B)</f>
        <v>1</v>
      </c>
      <c r="AS275" s="64" t="str">
        <f ca="1">IF(VLOOKUP(V275,Товары!A:B,2,FALSE)=A275,"Есть в 1С","ERR")</f>
        <v>Есть в 1С</v>
      </c>
      <c r="AT275" s="65" t="str">
        <f ca="1">IF(VLOOKUP(A275,Товары!B:B,1,FALSE)=A275,"Есть в 1С","ERR")</f>
        <v>Есть в 1С</v>
      </c>
      <c r="AU275" s="96" t="str">
        <f ca="1">VLOOKUP(V275,Товары!A:B,2,FALSE)</f>
        <v>21-155-15</v>
      </c>
      <c r="AV275" s="94" t="str">
        <f ca="1">VLOOKUP(V275,Товары!A:B,1,FALSE)</f>
        <v>Шляпа BAILEY арт. 81810 WAITS (коньячный) {copper}</v>
      </c>
    </row>
    <row r="276" spans="1:48" x14ac:dyDescent="0.25">
      <c r="A276" s="110" t="str">
        <f t="shared" ca="1" si="32"/>
        <v>21-155-15</v>
      </c>
      <c r="B276" s="107" t="str">
        <f ca="1">_xlfn.LET(_xlpm.CAPS,0,_xlpm.Style,_xlfn.XLOOKUP($A276,Строчный!$A:$A,Строчный!B:B,"ERR",0),IF(_xlpm.CAPS=0,_xlpm.Style,LOWER(_xlpm.Style)))</f>
        <v>81810 WAITS</v>
      </c>
      <c r="C276" s="81" t="str">
        <f ca="1">PROPER(_xlfn.XLOOKUP($A276,Строчный!$A:$A,Строчный!C:C,"ERR",0))</f>
        <v>Шляпы</v>
      </c>
      <c r="D276" s="81" t="str">
        <f ca="1">_xlfn.LET(_xlpm.DATA,(_xlfn.XLOOKUP($A276,Строчный!$A:$A,Строчный!D:D,"ERR",0)),UPPER(MID(_xlpm.DATA,1,1))&amp;LOWER(MID(_xlpm.DATA,2,LEN(_xlpm.DATA)-1)))</f>
        <v>Шляпа поркпай</v>
      </c>
      <c r="E276" s="81" t="str">
        <f ca="1">PROPER(_xlfn.XLOOKUP($A276,Строчный!$A:$A,Строчный!E:E,"ERR",0))</f>
        <v>The Hollywood</v>
      </c>
      <c r="F276" s="81" t="str">
        <f ca="1">LOWER(_xlfn.XLOOKUP($A276,Строчный!$A:$A,Строчный!F:F,"ERR",0))</f>
        <v>летний</v>
      </c>
      <c r="G276" s="81" t="str">
        <f ca="1">UPPER(_xlfn.XLOOKUP($A276,Строчный!$A:$A,Строчный!G:G,"ERR",0))</f>
        <v>BAILEY</v>
      </c>
      <c r="H276" s="81" t="str">
        <f ca="1">LOWER(_xlfn.XLOOKUP($A276,Строчный!$A:$A,Строчный!H:H,"ERR",0))</f>
        <v>copper</v>
      </c>
      <c r="I276" s="81" t="str">
        <f ca="1">LOWER(_xlfn.XLOOKUP($A276,Строчный!$A:$A,Строчный!I:I,"ERR",0))</f>
        <v>коньячный</v>
      </c>
      <c r="J276" s="81" t="str">
        <f ca="1">SUBSTITUTE(LOWER(_xlfn.XLOOKUP($A276,Строчный!$A:$A,Строчный!J:J,"ERR",0)),"подклад","Подклад")</f>
        <v>50% бумага - 50% полипропилен</v>
      </c>
      <c r="K276" s="81" t="str">
        <f ca="1">LOWER(_xlfn.XLOOKUP($A276,Строчный!$A:$A,Строчный!K:K,"ERR",0))</f>
        <v>бумажные</v>
      </c>
      <c r="L276" s="81" t="str">
        <f ca="1">PROPER(_xlfn.XLOOKUP($A276,Строчный!$A:$A,Строчный!L:L,"ERR",0))</f>
        <v>Унисекс</v>
      </c>
      <c r="M276" s="113" t="str">
        <f ca="1">PROPER(_xlfn.XLOOKUP($A276,Строчный!$A:$A,Строчный!M:M,"ERR",0))</f>
        <v>Китай</v>
      </c>
      <c r="N276" s="81" t="str">
        <f ca="1">UPPER(_xlfn.XLOOKUP($A276,Строчный!$A:$A,Строчный!O:O,"ERR",0))</f>
        <v/>
      </c>
      <c r="O276" s="107" t="str">
        <f ca="1">PROPER(_xlfn.XLOOKUP($A276,Строчный!$A:$A,Строчный!P:P,"ERR",0))</f>
        <v/>
      </c>
      <c r="P276" s="90">
        <f ca="1">VALUE(_xlfn.XLOOKUP($A276,Строчный!$A:$A,Строчный!N:N,"ERR",0))</f>
        <v>2380.9500000000003</v>
      </c>
      <c r="Q276" s="89" t="str">
        <f ca="1">_xlfn.XLOOKUP($G276,Фабрика!A:A,Фабрика!B:B,"ERR",0)</f>
        <v>Bollman Headwear Europe Ltd; 2 Merchants drive, Caelisle, Cumbria CA3 0JW, United Kingdom</v>
      </c>
      <c r="R276" s="80" t="str">
        <f ca="1">_xlfn.XLOOKUP(RIGHT(Z276,2),Размеры!D:D,Размеры!A:A,"ERR",0)</f>
        <v>57</v>
      </c>
      <c r="S276" s="80">
        <f ca="1">VALUE(_xlfn.XLOOKUP($Z276,Строчный!$R:$R,Строчный!T:T,"ERR",0))</f>
        <v>9</v>
      </c>
      <c r="T276" s="14" t="s">
        <v>265</v>
      </c>
      <c r="U276" s="101" t="str">
        <f t="shared" ca="1" si="28"/>
        <v>Шляпа BAILEY арт. 81810 WAITS (коньячный)</v>
      </c>
      <c r="V276" s="100" t="str">
        <f t="shared" ca="1" si="29"/>
        <v>Шляпа BAILEY арт. 81810 WAITS (коньячный) {copper}</v>
      </c>
      <c r="W276" s="18" t="str">
        <f t="shared" ca="1" si="30"/>
        <v>коньячный</v>
      </c>
      <c r="X276" s="18" t="str">
        <f t="shared" ca="1" si="31"/>
        <v>коньячный</v>
      </c>
      <c r="Y276" s="117" t="str">
        <f ca="1">_xlfn.LET(_xlpm.FormColors,_xlfn.XLOOKUP(A276,Строчный!A:A,Строчный!Q:Q,"",0),IF(_xlpm.FormColors=0,IFERROR(MID(I276,FIND("-",I276)+1,LEN(I276)),IFERROR(MID(I276,1,FIND("/",I276)-2),I276)),_xlpm.FormColors))</f>
        <v>коньячный</v>
      </c>
      <c r="Z276" s="73" t="str">
        <f ca="1"/>
        <v>21-155-15-57</v>
      </c>
      <c r="AA276" s="75" t="str">
        <f ca="1">VLOOKUP(C276,Группа!A:B,2,FALSE)</f>
        <v>Шляпа</v>
      </c>
      <c r="AB276" s="97" t="str">
        <f ca="1">IFERROR(VLOOKUP(R276,Размеры!A:C,3,FALSE),"")</f>
        <v>57 M</v>
      </c>
      <c r="AC276" s="97" t="str">
        <f ca="1">VLOOKUP(I276,ЦветПолный!A:B,2,FALSE)</f>
        <v>90</v>
      </c>
      <c r="AD276" s="97" t="str">
        <f ca="1">IFERROR(VLOOKUP(R276,Размеры!A:D,4,FALSE),"")</f>
        <v>57</v>
      </c>
      <c r="AE276" s="97">
        <f ca="1">IF(LEFT(IFERROR(VLOOKUP(LOOKUP(2,1/SEARCH(B276,Товары!A:A),Товары!A:A),Товары!A:B,2,0),""),6)=MID(Z276,1,6),1,0)</f>
        <v>1</v>
      </c>
      <c r="AG276" s="97">
        <f ca="1">SUMIF(Группа!A:A,C276,Группа!C:C)</f>
        <v>1</v>
      </c>
      <c r="AH276" s="97">
        <f ca="1">SUMIF(Группа!B:B,AA276,Группа!C:C)</f>
        <v>1</v>
      </c>
      <c r="AI276" s="97">
        <f ca="1">SUMIF(Формы!A:A,D276,Формы!B:B)</f>
        <v>1</v>
      </c>
      <c r="AJ276" s="97">
        <f ca="1">SUMIF(Материал!A:A,K276,Материал!B:B)</f>
        <v>1</v>
      </c>
      <c r="AK276" s="97">
        <f ca="1">SUMIF(Размеры!A:A,R276,Размеры!E:E)</f>
        <v>1</v>
      </c>
      <c r="AL276" s="97">
        <f ca="1">SUMIF(Сезон!A:A,F276,Сезон!B:B)</f>
        <v>1</v>
      </c>
      <c r="AM276" s="97">
        <f ca="1">SUMIF(Состав!A:A,J276,Состав!B:B)</f>
        <v>1</v>
      </c>
      <c r="AN276" s="97">
        <f ca="1">VLOOKUP(I276,ЦветПолный!A:C,3,0)</f>
        <v>1</v>
      </c>
      <c r="AO276" s="97">
        <f ca="1">SUMIF(Цвет!A:A,Y276,Цвет!B:B)</f>
        <v>0</v>
      </c>
      <c r="AP276" s="97">
        <f ca="1">_xlfn.XLOOKUP(L276,Пол!A:A,Пол!B:B,0,0)</f>
        <v>1</v>
      </c>
      <c r="AQ276" s="97">
        <f ca="1">SUMIF(Марка!A:A,G276,Марка!B:B)</f>
        <v>1</v>
      </c>
      <c r="AR276" s="97">
        <f ca="1">SUMIF(Страна!A:A,M276,Страна!B:B)</f>
        <v>1</v>
      </c>
      <c r="AS276" s="64" t="str">
        <f ca="1">IF(VLOOKUP(V276,Товары!A:B,2,FALSE)=A276,"Есть в 1С","ERR")</f>
        <v>Есть в 1С</v>
      </c>
      <c r="AT276" s="65" t="str">
        <f ca="1">IF(VLOOKUP(A276,Товары!B:B,1,FALSE)=A276,"Есть в 1С","ERR")</f>
        <v>Есть в 1С</v>
      </c>
      <c r="AU276" s="96" t="str">
        <f ca="1">VLOOKUP(V276,Товары!A:B,2,FALSE)</f>
        <v>21-155-15</v>
      </c>
      <c r="AV276" s="94" t="str">
        <f ca="1">VLOOKUP(V276,Товары!A:B,1,FALSE)</f>
        <v>Шляпа BAILEY арт. 81810 WAITS (коньячный) {copper}</v>
      </c>
    </row>
    <row r="277" spans="1:48" x14ac:dyDescent="0.25">
      <c r="A277" s="110" t="str">
        <f t="shared" ca="1" si="32"/>
        <v>21-155-15</v>
      </c>
      <c r="B277" s="107" t="str">
        <f ca="1">_xlfn.LET(_xlpm.CAPS,0,_xlpm.Style,_xlfn.XLOOKUP($A277,Строчный!$A:$A,Строчный!B:B,"ERR",0),IF(_xlpm.CAPS=0,_xlpm.Style,LOWER(_xlpm.Style)))</f>
        <v>81810 WAITS</v>
      </c>
      <c r="C277" s="81" t="str">
        <f ca="1">PROPER(_xlfn.XLOOKUP($A277,Строчный!$A:$A,Строчный!C:C,"ERR",0))</f>
        <v>Шляпы</v>
      </c>
      <c r="D277" s="81" t="str">
        <f ca="1">_xlfn.LET(_xlpm.DATA,(_xlfn.XLOOKUP($A277,Строчный!$A:$A,Строчный!D:D,"ERR",0)),UPPER(MID(_xlpm.DATA,1,1))&amp;LOWER(MID(_xlpm.DATA,2,LEN(_xlpm.DATA)-1)))</f>
        <v>Шляпа поркпай</v>
      </c>
      <c r="E277" s="81" t="str">
        <f ca="1">PROPER(_xlfn.XLOOKUP($A277,Строчный!$A:$A,Строчный!E:E,"ERR",0))</f>
        <v>The Hollywood</v>
      </c>
      <c r="F277" s="81" t="str">
        <f ca="1">LOWER(_xlfn.XLOOKUP($A277,Строчный!$A:$A,Строчный!F:F,"ERR",0))</f>
        <v>летний</v>
      </c>
      <c r="G277" s="81" t="str">
        <f ca="1">UPPER(_xlfn.XLOOKUP($A277,Строчный!$A:$A,Строчный!G:G,"ERR",0))</f>
        <v>BAILEY</v>
      </c>
      <c r="H277" s="81" t="str">
        <f ca="1">LOWER(_xlfn.XLOOKUP($A277,Строчный!$A:$A,Строчный!H:H,"ERR",0))</f>
        <v>copper</v>
      </c>
      <c r="I277" s="81" t="str">
        <f ca="1">LOWER(_xlfn.XLOOKUP($A277,Строчный!$A:$A,Строчный!I:I,"ERR",0))</f>
        <v>коньячный</v>
      </c>
      <c r="J277" s="81" t="str">
        <f ca="1">SUBSTITUTE(LOWER(_xlfn.XLOOKUP($A277,Строчный!$A:$A,Строчный!J:J,"ERR",0)),"подклад","Подклад")</f>
        <v>50% бумага - 50% полипропилен</v>
      </c>
      <c r="K277" s="81" t="str">
        <f ca="1">LOWER(_xlfn.XLOOKUP($A277,Строчный!$A:$A,Строчный!K:K,"ERR",0))</f>
        <v>бумажные</v>
      </c>
      <c r="L277" s="81" t="str">
        <f ca="1">PROPER(_xlfn.XLOOKUP($A277,Строчный!$A:$A,Строчный!L:L,"ERR",0))</f>
        <v>Унисекс</v>
      </c>
      <c r="M277" s="113" t="str">
        <f ca="1">PROPER(_xlfn.XLOOKUP($A277,Строчный!$A:$A,Строчный!M:M,"ERR",0))</f>
        <v>Китай</v>
      </c>
      <c r="N277" s="81" t="str">
        <f ca="1">UPPER(_xlfn.XLOOKUP($A277,Строчный!$A:$A,Строчный!O:O,"ERR",0))</f>
        <v/>
      </c>
      <c r="O277" s="107" t="str">
        <f ca="1">PROPER(_xlfn.XLOOKUP($A277,Строчный!$A:$A,Строчный!P:P,"ERR",0))</f>
        <v/>
      </c>
      <c r="P277" s="90">
        <f ca="1">VALUE(_xlfn.XLOOKUP($A277,Строчный!$A:$A,Строчный!N:N,"ERR",0))</f>
        <v>2380.9500000000003</v>
      </c>
      <c r="Q277" s="89" t="str">
        <f ca="1">_xlfn.XLOOKUP($G277,Фабрика!A:A,Фабрика!B:B,"ERR",0)</f>
        <v>Bollman Headwear Europe Ltd; 2 Merchants drive, Caelisle, Cumbria CA3 0JW, United Kingdom</v>
      </c>
      <c r="R277" s="80" t="str">
        <f ca="1">_xlfn.XLOOKUP(RIGHT(Z277,2),Размеры!D:D,Размеры!A:A,"ERR",0)</f>
        <v>55</v>
      </c>
      <c r="S277" s="80">
        <f ca="1">VALUE(_xlfn.XLOOKUP($Z277,Строчный!$R:$R,Строчный!T:T,"ERR",0))</f>
        <v>2</v>
      </c>
      <c r="T277" s="14" t="s">
        <v>265</v>
      </c>
      <c r="U277" s="101" t="str">
        <f t="shared" ca="1" si="28"/>
        <v>Шляпа BAILEY арт. 81810 WAITS (коньячный)</v>
      </c>
      <c r="V277" s="100" t="str">
        <f t="shared" ca="1" si="29"/>
        <v>Шляпа BAILEY арт. 81810 WAITS (коньячный) {copper}</v>
      </c>
      <c r="W277" s="18" t="str">
        <f t="shared" ca="1" si="30"/>
        <v>коньячный</v>
      </c>
      <c r="X277" s="18" t="str">
        <f t="shared" ca="1" si="31"/>
        <v>коньячный</v>
      </c>
      <c r="Y277" s="117" t="str">
        <f ca="1">_xlfn.LET(_xlpm.FormColors,_xlfn.XLOOKUP(A277,Строчный!A:A,Строчный!Q:Q,"",0),IF(_xlpm.FormColors=0,IFERROR(MID(I277,FIND("-",I277)+1,LEN(I277)),IFERROR(MID(I277,1,FIND("/",I277)-2),I277)),_xlpm.FormColors))</f>
        <v>коньячный</v>
      </c>
      <c r="Z277" s="73" t="str">
        <f ca="1"/>
        <v>21-155-15-55</v>
      </c>
      <c r="AA277" s="75" t="str">
        <f ca="1">VLOOKUP(C277,Группа!A:B,2,FALSE)</f>
        <v>Шляпа</v>
      </c>
      <c r="AB277" s="97" t="str">
        <f ca="1">IFERROR(VLOOKUP(R277,Размеры!A:C,3,FALSE),"")</f>
        <v>55 S</v>
      </c>
      <c r="AC277" s="97" t="str">
        <f ca="1">VLOOKUP(I277,ЦветПолный!A:B,2,FALSE)</f>
        <v>90</v>
      </c>
      <c r="AD277" s="97" t="str">
        <f ca="1">IFERROR(VLOOKUP(R277,Размеры!A:D,4,FALSE),"")</f>
        <v>55</v>
      </c>
      <c r="AE277" s="97">
        <f ca="1">IF(LEFT(IFERROR(VLOOKUP(LOOKUP(2,1/SEARCH(B277,Товары!A:A),Товары!A:A),Товары!A:B,2,0),""),6)=MID(Z277,1,6),1,0)</f>
        <v>1</v>
      </c>
      <c r="AG277" s="97">
        <f ca="1">SUMIF(Группа!A:A,C277,Группа!C:C)</f>
        <v>1</v>
      </c>
      <c r="AH277" s="97">
        <f ca="1">SUMIF(Группа!B:B,AA277,Группа!C:C)</f>
        <v>1</v>
      </c>
      <c r="AI277" s="97">
        <f ca="1">SUMIF(Формы!A:A,D277,Формы!B:B)</f>
        <v>1</v>
      </c>
      <c r="AJ277" s="97">
        <f ca="1">SUMIF(Материал!A:A,K277,Материал!B:B)</f>
        <v>1</v>
      </c>
      <c r="AK277" s="97">
        <f ca="1">SUMIF(Размеры!A:A,R277,Размеры!E:E)</f>
        <v>1</v>
      </c>
      <c r="AL277" s="97">
        <f ca="1">SUMIF(Сезон!A:A,F277,Сезон!B:B)</f>
        <v>1</v>
      </c>
      <c r="AM277" s="97">
        <f ca="1">SUMIF(Состав!A:A,J277,Состав!B:B)</f>
        <v>1</v>
      </c>
      <c r="AN277" s="97">
        <f ca="1">VLOOKUP(I277,ЦветПолный!A:C,3,0)</f>
        <v>1</v>
      </c>
      <c r="AO277" s="97">
        <f ca="1">SUMIF(Цвет!A:A,Y277,Цвет!B:B)</f>
        <v>0</v>
      </c>
      <c r="AP277" s="97">
        <f ca="1">_xlfn.XLOOKUP(L277,Пол!A:A,Пол!B:B,0,0)</f>
        <v>1</v>
      </c>
      <c r="AQ277" s="97">
        <f ca="1">SUMIF(Марка!A:A,G277,Марка!B:B)</f>
        <v>1</v>
      </c>
      <c r="AR277" s="97">
        <f ca="1">SUMIF(Страна!A:A,M277,Страна!B:B)</f>
        <v>1</v>
      </c>
      <c r="AS277" s="64" t="str">
        <f ca="1">IF(VLOOKUP(V277,Товары!A:B,2,FALSE)=A277,"Есть в 1С","ERR")</f>
        <v>Есть в 1С</v>
      </c>
      <c r="AT277" s="65" t="str">
        <f ca="1">IF(VLOOKUP(A277,Товары!B:B,1,FALSE)=A277,"Есть в 1С","ERR")</f>
        <v>Есть в 1С</v>
      </c>
      <c r="AU277" s="96" t="str">
        <f ca="1">VLOOKUP(V277,Товары!A:B,2,FALSE)</f>
        <v>21-155-15</v>
      </c>
      <c r="AV277" s="94" t="str">
        <f ca="1">VLOOKUP(V277,Товары!A:B,1,FALSE)</f>
        <v>Шляпа BAILEY арт. 81810 WAITS (коньячный) {copper}</v>
      </c>
    </row>
    <row r="278" spans="1:48" x14ac:dyDescent="0.25">
      <c r="A278" s="110" t="str">
        <f t="shared" ca="1" si="32"/>
        <v>21-155-09</v>
      </c>
      <c r="B278" s="107" t="str">
        <f ca="1">_xlfn.LET(_xlpm.CAPS,0,_xlpm.Style,_xlfn.XLOOKUP($A278,Строчный!$A:$A,Строчный!B:B,"ERR",0),IF(_xlpm.CAPS=0,_xlpm.Style,LOWER(_xlpm.Style)))</f>
        <v>81810 WAITS</v>
      </c>
      <c r="C278" s="81" t="str">
        <f ca="1">PROPER(_xlfn.XLOOKUP($A278,Строчный!$A:$A,Строчный!C:C,"ERR",0))</f>
        <v>Шляпы</v>
      </c>
      <c r="D278" s="81" t="str">
        <f ca="1">_xlfn.LET(_xlpm.DATA,(_xlfn.XLOOKUP($A278,Строчный!$A:$A,Строчный!D:D,"ERR",0)),UPPER(MID(_xlpm.DATA,1,1))&amp;LOWER(MID(_xlpm.DATA,2,LEN(_xlpm.DATA)-1)))</f>
        <v>Шляпа поркпай</v>
      </c>
      <c r="E278" s="81" t="str">
        <f ca="1">PROPER(_xlfn.XLOOKUP($A278,Строчный!$A:$A,Строчный!E:E,"ERR",0))</f>
        <v>The Hollywood</v>
      </c>
      <c r="F278" s="81" t="str">
        <f ca="1">LOWER(_xlfn.XLOOKUP($A278,Строчный!$A:$A,Строчный!F:F,"ERR",0))</f>
        <v>летний</v>
      </c>
      <c r="G278" s="81" t="str">
        <f ca="1">UPPER(_xlfn.XLOOKUP($A278,Строчный!$A:$A,Строчный!G:G,"ERR",0))</f>
        <v>BAILEY</v>
      </c>
      <c r="H278" s="81" t="str">
        <f ca="1">LOWER(_xlfn.XLOOKUP($A278,Строчный!$A:$A,Строчный!H:H,"ERR",0))</f>
        <v>black</v>
      </c>
      <c r="I278" s="81" t="str">
        <f ca="1">LOWER(_xlfn.XLOOKUP($A278,Строчный!$A:$A,Строчный!I:I,"ERR",0))</f>
        <v>черный</v>
      </c>
      <c r="J278" s="81" t="str">
        <f ca="1">SUBSTITUTE(LOWER(_xlfn.XLOOKUP($A278,Строчный!$A:$A,Строчный!J:J,"ERR",0)),"подклад","Подклад")</f>
        <v>50% бумага - 50% полипропилен</v>
      </c>
      <c r="K278" s="81" t="str">
        <f ca="1">LOWER(_xlfn.XLOOKUP($A278,Строчный!$A:$A,Строчный!K:K,"ERR",0))</f>
        <v>бумажные</v>
      </c>
      <c r="L278" s="81" t="str">
        <f ca="1">PROPER(_xlfn.XLOOKUP($A278,Строчный!$A:$A,Строчный!L:L,"ERR",0))</f>
        <v>Унисекс</v>
      </c>
      <c r="M278" s="113" t="str">
        <f ca="1">PROPER(_xlfn.XLOOKUP($A278,Строчный!$A:$A,Строчный!M:M,"ERR",0))</f>
        <v>Китай</v>
      </c>
      <c r="N278" s="81" t="str">
        <f ca="1">UPPER(_xlfn.XLOOKUP($A278,Строчный!$A:$A,Строчный!O:O,"ERR",0))</f>
        <v/>
      </c>
      <c r="O278" s="107" t="str">
        <f ca="1">PROPER(_xlfn.XLOOKUP($A278,Строчный!$A:$A,Строчный!P:P,"ERR",0))</f>
        <v/>
      </c>
      <c r="P278" s="90">
        <f ca="1">VALUE(_xlfn.XLOOKUP($A278,Строчный!$A:$A,Строчный!N:N,"ERR",0))</f>
        <v>2380.9500000000003</v>
      </c>
      <c r="Q278" s="89" t="str">
        <f ca="1">_xlfn.XLOOKUP($G278,Фабрика!A:A,Фабрика!B:B,"ERR",0)</f>
        <v>Bollman Headwear Europe Ltd; 2 Merchants drive, Caelisle, Cumbria CA3 0JW, United Kingdom</v>
      </c>
      <c r="R278" s="80" t="str">
        <f ca="1">_xlfn.XLOOKUP(RIGHT(Z278,2),Размеры!D:D,Размеры!A:A,"ERR",0)</f>
        <v>63</v>
      </c>
      <c r="S278" s="80">
        <f ca="1">VALUE(_xlfn.XLOOKUP($Z278,Строчный!$R:$R,Строчный!T:T,"ERR",0))</f>
        <v>3</v>
      </c>
      <c r="T278" s="14" t="s">
        <v>265</v>
      </c>
      <c r="U278" s="101" t="str">
        <f t="shared" ca="1" si="28"/>
        <v>Шляпа BAILEY арт. 81810 WAITS (черный)</v>
      </c>
      <c r="V278" s="100" t="str">
        <f t="shared" ca="1" si="29"/>
        <v>Шляпа BAILEY арт. 81810 WAITS (черный) {black}</v>
      </c>
      <c r="W278" s="18" t="str">
        <f t="shared" ca="1" si="30"/>
        <v>черный</v>
      </c>
      <c r="X278" s="18" t="str">
        <f t="shared" ca="1" si="31"/>
        <v>черный</v>
      </c>
      <c r="Y278" s="117" t="str">
        <f ca="1">_xlfn.LET(_xlpm.FormColors,_xlfn.XLOOKUP(A278,Строчный!A:A,Строчный!Q:Q,"",0),IF(_xlpm.FormColors=0,IFERROR(MID(I278,FIND("-",I278)+1,LEN(I278)),IFERROR(MID(I278,1,FIND("/",I278)-2),I278)),_xlpm.FormColors))</f>
        <v>черный</v>
      </c>
      <c r="Z278" s="73" t="str">
        <f ca="1"/>
        <v>21-155-09-63</v>
      </c>
      <c r="AA278" s="75" t="str">
        <f ca="1">VLOOKUP(C278,Группа!A:B,2,FALSE)</f>
        <v>Шляпа</v>
      </c>
      <c r="AB278" s="97" t="str">
        <f ca="1">IFERROR(VLOOKUP(R278,Размеры!A:C,3,FALSE),"")</f>
        <v>63 XXL</v>
      </c>
      <c r="AC278" s="97" t="str">
        <f ca="1">VLOOKUP(I278,ЦветПолный!A:B,2,FALSE)</f>
        <v>09</v>
      </c>
      <c r="AD278" s="97" t="str">
        <f ca="1">IFERROR(VLOOKUP(R278,Размеры!A:D,4,FALSE),"")</f>
        <v>63</v>
      </c>
      <c r="AE278" s="97">
        <f ca="1">IF(LEFT(IFERROR(VLOOKUP(LOOKUP(2,1/SEARCH(B278,Товары!A:A),Товары!A:A),Товары!A:B,2,0),""),6)=MID(Z278,1,6),1,0)</f>
        <v>1</v>
      </c>
      <c r="AG278" s="97">
        <f ca="1">SUMIF(Группа!A:A,C278,Группа!C:C)</f>
        <v>1</v>
      </c>
      <c r="AH278" s="97">
        <f ca="1">SUMIF(Группа!B:B,AA278,Группа!C:C)</f>
        <v>1</v>
      </c>
      <c r="AI278" s="97">
        <f ca="1">SUMIF(Формы!A:A,D278,Формы!B:B)</f>
        <v>1</v>
      </c>
      <c r="AJ278" s="97">
        <f ca="1">SUMIF(Материал!A:A,K278,Материал!B:B)</f>
        <v>1</v>
      </c>
      <c r="AK278" s="97">
        <f ca="1">SUMIF(Размеры!A:A,R278,Размеры!E:E)</f>
        <v>1</v>
      </c>
      <c r="AL278" s="97">
        <f ca="1">SUMIF(Сезон!A:A,F278,Сезон!B:B)</f>
        <v>1</v>
      </c>
      <c r="AM278" s="97">
        <f ca="1">SUMIF(Состав!A:A,J278,Состав!B:B)</f>
        <v>1</v>
      </c>
      <c r="AN278" s="97">
        <f ca="1">VLOOKUP(I278,ЦветПолный!A:C,3,0)</f>
        <v>1</v>
      </c>
      <c r="AO278" s="97">
        <f ca="1">SUMIF(Цвет!A:A,Y278,Цвет!B:B)</f>
        <v>1</v>
      </c>
      <c r="AP278" s="97">
        <f ca="1">_xlfn.XLOOKUP(L278,Пол!A:A,Пол!B:B,0,0)</f>
        <v>1</v>
      </c>
      <c r="AQ278" s="97">
        <f ca="1">SUMIF(Марка!A:A,G278,Марка!B:B)</f>
        <v>1</v>
      </c>
      <c r="AR278" s="97">
        <f ca="1">SUMIF(Страна!A:A,M278,Страна!B:B)</f>
        <v>1</v>
      </c>
      <c r="AS278" s="64" t="str">
        <f ca="1">IF(VLOOKUP(V278,Товары!A:B,2,FALSE)=A278,"Есть в 1С","ERR")</f>
        <v>Есть в 1С</v>
      </c>
      <c r="AT278" s="65" t="str">
        <f ca="1">IF(VLOOKUP(A278,Товары!B:B,1,FALSE)=A278,"Есть в 1С","ERR")</f>
        <v>Есть в 1С</v>
      </c>
      <c r="AU278" s="96" t="str">
        <f ca="1">VLOOKUP(V278,Товары!A:B,2,FALSE)</f>
        <v>21-155-09</v>
      </c>
      <c r="AV278" s="94" t="str">
        <f ca="1">VLOOKUP(V278,Товары!A:B,1,FALSE)</f>
        <v>Шляпа BAILEY арт. 81810 WAITS (черный) {black}</v>
      </c>
    </row>
    <row r="279" spans="1:48" x14ac:dyDescent="0.25">
      <c r="A279" s="110" t="str">
        <f t="shared" ca="1" si="32"/>
        <v>21-155-09</v>
      </c>
      <c r="B279" s="107" t="str">
        <f ca="1">_xlfn.LET(_xlpm.CAPS,0,_xlpm.Style,_xlfn.XLOOKUP($A279,Строчный!$A:$A,Строчный!B:B,"ERR",0),IF(_xlpm.CAPS=0,_xlpm.Style,LOWER(_xlpm.Style)))</f>
        <v>81810 WAITS</v>
      </c>
      <c r="C279" s="81" t="str">
        <f ca="1">PROPER(_xlfn.XLOOKUP($A279,Строчный!$A:$A,Строчный!C:C,"ERR",0))</f>
        <v>Шляпы</v>
      </c>
      <c r="D279" s="81" t="str">
        <f ca="1">_xlfn.LET(_xlpm.DATA,(_xlfn.XLOOKUP($A279,Строчный!$A:$A,Строчный!D:D,"ERR",0)),UPPER(MID(_xlpm.DATA,1,1))&amp;LOWER(MID(_xlpm.DATA,2,LEN(_xlpm.DATA)-1)))</f>
        <v>Шляпа поркпай</v>
      </c>
      <c r="E279" s="81" t="str">
        <f ca="1">PROPER(_xlfn.XLOOKUP($A279,Строчный!$A:$A,Строчный!E:E,"ERR",0))</f>
        <v>The Hollywood</v>
      </c>
      <c r="F279" s="81" t="str">
        <f ca="1">LOWER(_xlfn.XLOOKUP($A279,Строчный!$A:$A,Строчный!F:F,"ERR",0))</f>
        <v>летний</v>
      </c>
      <c r="G279" s="81" t="str">
        <f ca="1">UPPER(_xlfn.XLOOKUP($A279,Строчный!$A:$A,Строчный!G:G,"ERR",0))</f>
        <v>BAILEY</v>
      </c>
      <c r="H279" s="81" t="str">
        <f ca="1">LOWER(_xlfn.XLOOKUP($A279,Строчный!$A:$A,Строчный!H:H,"ERR",0))</f>
        <v>black</v>
      </c>
      <c r="I279" s="81" t="str">
        <f ca="1">LOWER(_xlfn.XLOOKUP($A279,Строчный!$A:$A,Строчный!I:I,"ERR",0))</f>
        <v>черный</v>
      </c>
      <c r="J279" s="81" t="str">
        <f ca="1">SUBSTITUTE(LOWER(_xlfn.XLOOKUP($A279,Строчный!$A:$A,Строчный!J:J,"ERR",0)),"подклад","Подклад")</f>
        <v>50% бумага - 50% полипропилен</v>
      </c>
      <c r="K279" s="81" t="str">
        <f ca="1">LOWER(_xlfn.XLOOKUP($A279,Строчный!$A:$A,Строчный!K:K,"ERR",0))</f>
        <v>бумажные</v>
      </c>
      <c r="L279" s="81" t="str">
        <f ca="1">PROPER(_xlfn.XLOOKUP($A279,Строчный!$A:$A,Строчный!L:L,"ERR",0))</f>
        <v>Унисекс</v>
      </c>
      <c r="M279" s="113" t="str">
        <f ca="1">PROPER(_xlfn.XLOOKUP($A279,Строчный!$A:$A,Строчный!M:M,"ERR",0))</f>
        <v>Китай</v>
      </c>
      <c r="N279" s="81" t="str">
        <f ca="1">UPPER(_xlfn.XLOOKUP($A279,Строчный!$A:$A,Строчный!O:O,"ERR",0))</f>
        <v/>
      </c>
      <c r="O279" s="107" t="str">
        <f ca="1">PROPER(_xlfn.XLOOKUP($A279,Строчный!$A:$A,Строчный!P:P,"ERR",0))</f>
        <v/>
      </c>
      <c r="P279" s="90">
        <f ca="1">VALUE(_xlfn.XLOOKUP($A279,Строчный!$A:$A,Строчный!N:N,"ERR",0))</f>
        <v>2380.9500000000003</v>
      </c>
      <c r="Q279" s="89" t="str">
        <f ca="1">_xlfn.XLOOKUP($G279,Фабрика!A:A,Фабрика!B:B,"ERR",0)</f>
        <v>Bollman Headwear Europe Ltd; 2 Merchants drive, Caelisle, Cumbria CA3 0JW, United Kingdom</v>
      </c>
      <c r="R279" s="80" t="str">
        <f ca="1">_xlfn.XLOOKUP(RIGHT(Z279,2),Размеры!D:D,Размеры!A:A,"ERR",0)</f>
        <v>61</v>
      </c>
      <c r="S279" s="80">
        <f ca="1">VALUE(_xlfn.XLOOKUP($Z279,Строчный!$R:$R,Строчный!T:T,"ERR",0))</f>
        <v>7</v>
      </c>
      <c r="T279" s="14" t="s">
        <v>265</v>
      </c>
      <c r="U279" s="101" t="str">
        <f t="shared" ca="1" si="28"/>
        <v>Шляпа BAILEY арт. 81810 WAITS (черный)</v>
      </c>
      <c r="V279" s="100" t="str">
        <f t="shared" ca="1" si="29"/>
        <v>Шляпа BAILEY арт. 81810 WAITS (черный) {black}</v>
      </c>
      <c r="W279" s="18" t="str">
        <f t="shared" ca="1" si="30"/>
        <v>черный</v>
      </c>
      <c r="X279" s="18" t="str">
        <f t="shared" ca="1" si="31"/>
        <v>черный</v>
      </c>
      <c r="Y279" s="117" t="str">
        <f ca="1">_xlfn.LET(_xlpm.FormColors,_xlfn.XLOOKUP(A279,Строчный!A:A,Строчный!Q:Q,"",0),IF(_xlpm.FormColors=0,IFERROR(MID(I279,FIND("-",I279)+1,LEN(I279)),IFERROR(MID(I279,1,FIND("/",I279)-2),I279)),_xlpm.FormColors))</f>
        <v>черный</v>
      </c>
      <c r="Z279" s="73" t="str">
        <f ca="1"/>
        <v>21-155-09-61</v>
      </c>
      <c r="AA279" s="75" t="str">
        <f ca="1">VLOOKUP(C279,Группа!A:B,2,FALSE)</f>
        <v>Шляпа</v>
      </c>
      <c r="AB279" s="97" t="str">
        <f ca="1">IFERROR(VLOOKUP(R279,Размеры!A:C,3,FALSE),"")</f>
        <v>61 XL</v>
      </c>
      <c r="AC279" s="97" t="str">
        <f ca="1">VLOOKUP(I279,ЦветПолный!A:B,2,FALSE)</f>
        <v>09</v>
      </c>
      <c r="AD279" s="97" t="str">
        <f ca="1">IFERROR(VLOOKUP(R279,Размеры!A:D,4,FALSE),"")</f>
        <v>61</v>
      </c>
      <c r="AE279" s="97">
        <f ca="1">IF(LEFT(IFERROR(VLOOKUP(LOOKUP(2,1/SEARCH(B279,Товары!A:A),Товары!A:A),Товары!A:B,2,0),""),6)=MID(Z279,1,6),1,0)</f>
        <v>1</v>
      </c>
      <c r="AG279" s="97">
        <f ca="1">SUMIF(Группа!A:A,C279,Группа!C:C)</f>
        <v>1</v>
      </c>
      <c r="AH279" s="97">
        <f ca="1">SUMIF(Группа!B:B,AA279,Группа!C:C)</f>
        <v>1</v>
      </c>
      <c r="AI279" s="97">
        <f ca="1">SUMIF(Формы!A:A,D279,Формы!B:B)</f>
        <v>1</v>
      </c>
      <c r="AJ279" s="97">
        <f ca="1">SUMIF(Материал!A:A,K279,Материал!B:B)</f>
        <v>1</v>
      </c>
      <c r="AK279" s="97">
        <f ca="1">SUMIF(Размеры!A:A,R279,Размеры!E:E)</f>
        <v>1</v>
      </c>
      <c r="AL279" s="97">
        <f ca="1">SUMIF(Сезон!A:A,F279,Сезон!B:B)</f>
        <v>1</v>
      </c>
      <c r="AM279" s="97">
        <f ca="1">SUMIF(Состав!A:A,J279,Состав!B:B)</f>
        <v>1</v>
      </c>
      <c r="AN279" s="97">
        <f ca="1">VLOOKUP(I279,ЦветПолный!A:C,3,0)</f>
        <v>1</v>
      </c>
      <c r="AO279" s="97">
        <f ca="1">SUMIF(Цвет!A:A,Y279,Цвет!B:B)</f>
        <v>1</v>
      </c>
      <c r="AP279" s="97">
        <f ca="1">_xlfn.XLOOKUP(L279,Пол!A:A,Пол!B:B,0,0)</f>
        <v>1</v>
      </c>
      <c r="AQ279" s="97">
        <f ca="1">SUMIF(Марка!A:A,G279,Марка!B:B)</f>
        <v>1</v>
      </c>
      <c r="AR279" s="97">
        <f ca="1">SUMIF(Страна!A:A,M279,Страна!B:B)</f>
        <v>1</v>
      </c>
      <c r="AS279" s="64" t="str">
        <f ca="1">IF(VLOOKUP(V279,Товары!A:B,2,FALSE)=A279,"Есть в 1С","ERR")</f>
        <v>Есть в 1С</v>
      </c>
      <c r="AT279" s="65" t="str">
        <f ca="1">IF(VLOOKUP(A279,Товары!B:B,1,FALSE)=A279,"Есть в 1С","ERR")</f>
        <v>Есть в 1С</v>
      </c>
      <c r="AU279" s="96" t="str">
        <f ca="1">VLOOKUP(V279,Товары!A:B,2,FALSE)</f>
        <v>21-155-09</v>
      </c>
      <c r="AV279" s="94" t="str">
        <f ca="1">VLOOKUP(V279,Товары!A:B,1,FALSE)</f>
        <v>Шляпа BAILEY арт. 81810 WAITS (черный) {black}</v>
      </c>
    </row>
    <row r="280" spans="1:48" x14ac:dyDescent="0.25">
      <c r="A280" s="110" t="str">
        <f t="shared" ca="1" si="32"/>
        <v>21-155-09</v>
      </c>
      <c r="B280" s="107" t="str">
        <f ca="1">_xlfn.LET(_xlpm.CAPS,0,_xlpm.Style,_xlfn.XLOOKUP($A280,Строчный!$A:$A,Строчный!B:B,"ERR",0),IF(_xlpm.CAPS=0,_xlpm.Style,LOWER(_xlpm.Style)))</f>
        <v>81810 WAITS</v>
      </c>
      <c r="C280" s="81" t="str">
        <f ca="1">PROPER(_xlfn.XLOOKUP($A280,Строчный!$A:$A,Строчный!C:C,"ERR",0))</f>
        <v>Шляпы</v>
      </c>
      <c r="D280" s="81" t="str">
        <f ca="1">_xlfn.LET(_xlpm.DATA,(_xlfn.XLOOKUP($A280,Строчный!$A:$A,Строчный!D:D,"ERR",0)),UPPER(MID(_xlpm.DATA,1,1))&amp;LOWER(MID(_xlpm.DATA,2,LEN(_xlpm.DATA)-1)))</f>
        <v>Шляпа поркпай</v>
      </c>
      <c r="E280" s="81" t="str">
        <f ca="1">PROPER(_xlfn.XLOOKUP($A280,Строчный!$A:$A,Строчный!E:E,"ERR",0))</f>
        <v>The Hollywood</v>
      </c>
      <c r="F280" s="81" t="str">
        <f ca="1">LOWER(_xlfn.XLOOKUP($A280,Строчный!$A:$A,Строчный!F:F,"ERR",0))</f>
        <v>летний</v>
      </c>
      <c r="G280" s="81" t="str">
        <f ca="1">UPPER(_xlfn.XLOOKUP($A280,Строчный!$A:$A,Строчный!G:G,"ERR",0))</f>
        <v>BAILEY</v>
      </c>
      <c r="H280" s="81" t="str">
        <f ca="1">LOWER(_xlfn.XLOOKUP($A280,Строчный!$A:$A,Строчный!H:H,"ERR",0))</f>
        <v>black</v>
      </c>
      <c r="I280" s="81" t="str">
        <f ca="1">LOWER(_xlfn.XLOOKUP($A280,Строчный!$A:$A,Строчный!I:I,"ERR",0))</f>
        <v>черный</v>
      </c>
      <c r="J280" s="81" t="str">
        <f ca="1">SUBSTITUTE(LOWER(_xlfn.XLOOKUP($A280,Строчный!$A:$A,Строчный!J:J,"ERR",0)),"подклад","Подклад")</f>
        <v>50% бумага - 50% полипропилен</v>
      </c>
      <c r="K280" s="81" t="str">
        <f ca="1">LOWER(_xlfn.XLOOKUP($A280,Строчный!$A:$A,Строчный!K:K,"ERR",0))</f>
        <v>бумажные</v>
      </c>
      <c r="L280" s="81" t="str">
        <f ca="1">PROPER(_xlfn.XLOOKUP($A280,Строчный!$A:$A,Строчный!L:L,"ERR",0))</f>
        <v>Унисекс</v>
      </c>
      <c r="M280" s="113" t="str">
        <f ca="1">PROPER(_xlfn.XLOOKUP($A280,Строчный!$A:$A,Строчный!M:M,"ERR",0))</f>
        <v>Китай</v>
      </c>
      <c r="N280" s="81" t="str">
        <f ca="1">UPPER(_xlfn.XLOOKUP($A280,Строчный!$A:$A,Строчный!O:O,"ERR",0))</f>
        <v/>
      </c>
      <c r="O280" s="107" t="str">
        <f ca="1">PROPER(_xlfn.XLOOKUP($A280,Строчный!$A:$A,Строчный!P:P,"ERR",0))</f>
        <v/>
      </c>
      <c r="P280" s="90">
        <f ca="1">VALUE(_xlfn.XLOOKUP($A280,Строчный!$A:$A,Строчный!N:N,"ERR",0))</f>
        <v>2380.9500000000003</v>
      </c>
      <c r="Q280" s="89" t="str">
        <f ca="1">_xlfn.XLOOKUP($G280,Фабрика!A:A,Фабрика!B:B,"ERR",0)</f>
        <v>Bollman Headwear Europe Ltd; 2 Merchants drive, Caelisle, Cumbria CA3 0JW, United Kingdom</v>
      </c>
      <c r="R280" s="80" t="str">
        <f ca="1">_xlfn.XLOOKUP(RIGHT(Z280,2),Размеры!D:D,Размеры!A:A,"ERR",0)</f>
        <v>59</v>
      </c>
      <c r="S280" s="80">
        <f ca="1">VALUE(_xlfn.XLOOKUP($Z280,Строчный!$R:$R,Строчный!T:T,"ERR",0))</f>
        <v>12</v>
      </c>
      <c r="T280" s="14" t="s">
        <v>265</v>
      </c>
      <c r="U280" s="101" t="str">
        <f t="shared" ca="1" si="28"/>
        <v>Шляпа BAILEY арт. 81810 WAITS (черный)</v>
      </c>
      <c r="V280" s="100" t="str">
        <f t="shared" ca="1" si="29"/>
        <v>Шляпа BAILEY арт. 81810 WAITS (черный) {black}</v>
      </c>
      <c r="W280" s="18" t="str">
        <f t="shared" ca="1" si="30"/>
        <v>черный</v>
      </c>
      <c r="X280" s="18" t="str">
        <f t="shared" ca="1" si="31"/>
        <v>черный</v>
      </c>
      <c r="Y280" s="117" t="str">
        <f ca="1">_xlfn.LET(_xlpm.FormColors,_xlfn.XLOOKUP(A280,Строчный!A:A,Строчный!Q:Q,"",0),IF(_xlpm.FormColors=0,IFERROR(MID(I280,FIND("-",I280)+1,LEN(I280)),IFERROR(MID(I280,1,FIND("/",I280)-2),I280)),_xlpm.FormColors))</f>
        <v>черный</v>
      </c>
      <c r="Z280" s="73" t="str">
        <f ca="1"/>
        <v>21-155-09-59</v>
      </c>
      <c r="AA280" s="75" t="str">
        <f ca="1">VLOOKUP(C280,Группа!A:B,2,FALSE)</f>
        <v>Шляпа</v>
      </c>
      <c r="AB280" s="97" t="str">
        <f ca="1">IFERROR(VLOOKUP(R280,Размеры!A:C,3,FALSE),"")</f>
        <v>59 L</v>
      </c>
      <c r="AC280" s="97" t="str">
        <f ca="1">VLOOKUP(I280,ЦветПолный!A:B,2,FALSE)</f>
        <v>09</v>
      </c>
      <c r="AD280" s="97" t="str">
        <f ca="1">IFERROR(VLOOKUP(R280,Размеры!A:D,4,FALSE),"")</f>
        <v>59</v>
      </c>
      <c r="AE280" s="97">
        <f ca="1">IF(LEFT(IFERROR(VLOOKUP(LOOKUP(2,1/SEARCH(B280,Товары!A:A),Товары!A:A),Товары!A:B,2,0),""),6)=MID(Z280,1,6),1,0)</f>
        <v>1</v>
      </c>
      <c r="AG280" s="97">
        <f ca="1">SUMIF(Группа!A:A,C280,Группа!C:C)</f>
        <v>1</v>
      </c>
      <c r="AH280" s="97">
        <f ca="1">SUMIF(Группа!B:B,AA280,Группа!C:C)</f>
        <v>1</v>
      </c>
      <c r="AI280" s="97">
        <f ca="1">SUMIF(Формы!A:A,D280,Формы!B:B)</f>
        <v>1</v>
      </c>
      <c r="AJ280" s="97">
        <f ca="1">SUMIF(Материал!A:A,K280,Материал!B:B)</f>
        <v>1</v>
      </c>
      <c r="AK280" s="97">
        <f ca="1">SUMIF(Размеры!A:A,R280,Размеры!E:E)</f>
        <v>1</v>
      </c>
      <c r="AL280" s="97">
        <f ca="1">SUMIF(Сезон!A:A,F280,Сезон!B:B)</f>
        <v>1</v>
      </c>
      <c r="AM280" s="97">
        <f ca="1">SUMIF(Состав!A:A,J280,Состав!B:B)</f>
        <v>1</v>
      </c>
      <c r="AN280" s="97">
        <f ca="1">VLOOKUP(I280,ЦветПолный!A:C,3,0)</f>
        <v>1</v>
      </c>
      <c r="AO280" s="97">
        <f ca="1">SUMIF(Цвет!A:A,Y280,Цвет!B:B)</f>
        <v>1</v>
      </c>
      <c r="AP280" s="97">
        <f ca="1">_xlfn.XLOOKUP(L280,Пол!A:A,Пол!B:B,0,0)</f>
        <v>1</v>
      </c>
      <c r="AQ280" s="97">
        <f ca="1">SUMIF(Марка!A:A,G280,Марка!B:B)</f>
        <v>1</v>
      </c>
      <c r="AR280" s="97">
        <f ca="1">SUMIF(Страна!A:A,M280,Страна!B:B)</f>
        <v>1</v>
      </c>
      <c r="AS280" s="64" t="str">
        <f ca="1">IF(VLOOKUP(V280,Товары!A:B,2,FALSE)=A280,"Есть в 1С","ERR")</f>
        <v>Есть в 1С</v>
      </c>
      <c r="AT280" s="65" t="str">
        <f ca="1">IF(VLOOKUP(A280,Товары!B:B,1,FALSE)=A280,"Есть в 1С","ERR")</f>
        <v>Есть в 1С</v>
      </c>
      <c r="AU280" s="96" t="str">
        <f ca="1">VLOOKUP(V280,Товары!A:B,2,FALSE)</f>
        <v>21-155-09</v>
      </c>
      <c r="AV280" s="94" t="str">
        <f ca="1">VLOOKUP(V280,Товары!A:B,1,FALSE)</f>
        <v>Шляпа BAILEY арт. 81810 WAITS (черный) {black}</v>
      </c>
    </row>
    <row r="281" spans="1:48" x14ac:dyDescent="0.25">
      <c r="A281" s="110" t="str">
        <f t="shared" ca="1" si="32"/>
        <v>21-155-09</v>
      </c>
      <c r="B281" s="107" t="str">
        <f ca="1">_xlfn.LET(_xlpm.CAPS,0,_xlpm.Style,_xlfn.XLOOKUP($A281,Строчный!$A:$A,Строчный!B:B,"ERR",0),IF(_xlpm.CAPS=0,_xlpm.Style,LOWER(_xlpm.Style)))</f>
        <v>81810 WAITS</v>
      </c>
      <c r="C281" s="81" t="str">
        <f ca="1">PROPER(_xlfn.XLOOKUP($A281,Строчный!$A:$A,Строчный!C:C,"ERR",0))</f>
        <v>Шляпы</v>
      </c>
      <c r="D281" s="81" t="str">
        <f ca="1">_xlfn.LET(_xlpm.DATA,(_xlfn.XLOOKUP($A281,Строчный!$A:$A,Строчный!D:D,"ERR",0)),UPPER(MID(_xlpm.DATA,1,1))&amp;LOWER(MID(_xlpm.DATA,2,LEN(_xlpm.DATA)-1)))</f>
        <v>Шляпа поркпай</v>
      </c>
      <c r="E281" s="81" t="str">
        <f ca="1">PROPER(_xlfn.XLOOKUP($A281,Строчный!$A:$A,Строчный!E:E,"ERR",0))</f>
        <v>The Hollywood</v>
      </c>
      <c r="F281" s="81" t="str">
        <f ca="1">LOWER(_xlfn.XLOOKUP($A281,Строчный!$A:$A,Строчный!F:F,"ERR",0))</f>
        <v>летний</v>
      </c>
      <c r="G281" s="81" t="str">
        <f ca="1">UPPER(_xlfn.XLOOKUP($A281,Строчный!$A:$A,Строчный!G:G,"ERR",0))</f>
        <v>BAILEY</v>
      </c>
      <c r="H281" s="81" t="str">
        <f ca="1">LOWER(_xlfn.XLOOKUP($A281,Строчный!$A:$A,Строчный!H:H,"ERR",0))</f>
        <v>black</v>
      </c>
      <c r="I281" s="81" t="str">
        <f ca="1">LOWER(_xlfn.XLOOKUP($A281,Строчный!$A:$A,Строчный!I:I,"ERR",0))</f>
        <v>черный</v>
      </c>
      <c r="J281" s="81" t="str">
        <f ca="1">SUBSTITUTE(LOWER(_xlfn.XLOOKUP($A281,Строчный!$A:$A,Строчный!J:J,"ERR",0)),"подклад","Подклад")</f>
        <v>50% бумага - 50% полипропилен</v>
      </c>
      <c r="K281" s="81" t="str">
        <f ca="1">LOWER(_xlfn.XLOOKUP($A281,Строчный!$A:$A,Строчный!K:K,"ERR",0))</f>
        <v>бумажные</v>
      </c>
      <c r="L281" s="81" t="str">
        <f ca="1">PROPER(_xlfn.XLOOKUP($A281,Строчный!$A:$A,Строчный!L:L,"ERR",0))</f>
        <v>Унисекс</v>
      </c>
      <c r="M281" s="113" t="str">
        <f ca="1">PROPER(_xlfn.XLOOKUP($A281,Строчный!$A:$A,Строчный!M:M,"ERR",0))</f>
        <v>Китай</v>
      </c>
      <c r="N281" s="81" t="str">
        <f ca="1">UPPER(_xlfn.XLOOKUP($A281,Строчный!$A:$A,Строчный!O:O,"ERR",0))</f>
        <v/>
      </c>
      <c r="O281" s="107" t="str">
        <f ca="1">PROPER(_xlfn.XLOOKUP($A281,Строчный!$A:$A,Строчный!P:P,"ERR",0))</f>
        <v/>
      </c>
      <c r="P281" s="90">
        <f ca="1">VALUE(_xlfn.XLOOKUP($A281,Строчный!$A:$A,Строчный!N:N,"ERR",0))</f>
        <v>2380.9500000000003</v>
      </c>
      <c r="Q281" s="89" t="str">
        <f ca="1">_xlfn.XLOOKUP($G281,Фабрика!A:A,Фабрика!B:B,"ERR",0)</f>
        <v>Bollman Headwear Europe Ltd; 2 Merchants drive, Caelisle, Cumbria CA3 0JW, United Kingdom</v>
      </c>
      <c r="R281" s="80" t="str">
        <f ca="1">_xlfn.XLOOKUP(RIGHT(Z281,2),Размеры!D:D,Размеры!A:A,"ERR",0)</f>
        <v>57</v>
      </c>
      <c r="S281" s="80">
        <f ca="1">VALUE(_xlfn.XLOOKUP($Z281,Строчный!$R:$R,Строчный!T:T,"ERR",0))</f>
        <v>9</v>
      </c>
      <c r="T281" s="14" t="s">
        <v>265</v>
      </c>
      <c r="U281" s="101" t="str">
        <f t="shared" ca="1" si="28"/>
        <v>Шляпа BAILEY арт. 81810 WAITS (черный)</v>
      </c>
      <c r="V281" s="100" t="str">
        <f t="shared" ca="1" si="29"/>
        <v>Шляпа BAILEY арт. 81810 WAITS (черный) {black}</v>
      </c>
      <c r="W281" s="18" t="str">
        <f t="shared" ca="1" si="30"/>
        <v>черный</v>
      </c>
      <c r="X281" s="18" t="str">
        <f t="shared" ca="1" si="31"/>
        <v>черный</v>
      </c>
      <c r="Y281" s="117" t="str">
        <f ca="1">_xlfn.LET(_xlpm.FormColors,_xlfn.XLOOKUP(A281,Строчный!A:A,Строчный!Q:Q,"",0),IF(_xlpm.FormColors=0,IFERROR(MID(I281,FIND("-",I281)+1,LEN(I281)),IFERROR(MID(I281,1,FIND("/",I281)-2),I281)),_xlpm.FormColors))</f>
        <v>черный</v>
      </c>
      <c r="Z281" s="73" t="str">
        <f ca="1"/>
        <v>21-155-09-57</v>
      </c>
      <c r="AA281" s="75" t="str">
        <f ca="1">VLOOKUP(C281,Группа!A:B,2,FALSE)</f>
        <v>Шляпа</v>
      </c>
      <c r="AB281" s="97" t="str">
        <f ca="1">IFERROR(VLOOKUP(R281,Размеры!A:C,3,FALSE),"")</f>
        <v>57 M</v>
      </c>
      <c r="AC281" s="97" t="str">
        <f ca="1">VLOOKUP(I281,ЦветПолный!A:B,2,FALSE)</f>
        <v>09</v>
      </c>
      <c r="AD281" s="97" t="str">
        <f ca="1">IFERROR(VLOOKUP(R281,Размеры!A:D,4,FALSE),"")</f>
        <v>57</v>
      </c>
      <c r="AE281" s="97">
        <f ca="1">IF(LEFT(IFERROR(VLOOKUP(LOOKUP(2,1/SEARCH(B281,Товары!A:A),Товары!A:A),Товары!A:B,2,0),""),6)=MID(Z281,1,6),1,0)</f>
        <v>1</v>
      </c>
      <c r="AG281" s="97">
        <f ca="1">SUMIF(Группа!A:A,C281,Группа!C:C)</f>
        <v>1</v>
      </c>
      <c r="AH281" s="97">
        <f ca="1">SUMIF(Группа!B:B,AA281,Группа!C:C)</f>
        <v>1</v>
      </c>
      <c r="AI281" s="97">
        <f ca="1">SUMIF(Формы!A:A,D281,Формы!B:B)</f>
        <v>1</v>
      </c>
      <c r="AJ281" s="97">
        <f ca="1">SUMIF(Материал!A:A,K281,Материал!B:B)</f>
        <v>1</v>
      </c>
      <c r="AK281" s="97">
        <f ca="1">SUMIF(Размеры!A:A,R281,Размеры!E:E)</f>
        <v>1</v>
      </c>
      <c r="AL281" s="97">
        <f ca="1">SUMIF(Сезон!A:A,F281,Сезон!B:B)</f>
        <v>1</v>
      </c>
      <c r="AM281" s="97">
        <f ca="1">SUMIF(Состав!A:A,J281,Состав!B:B)</f>
        <v>1</v>
      </c>
      <c r="AN281" s="97">
        <f ca="1">VLOOKUP(I281,ЦветПолный!A:C,3,0)</f>
        <v>1</v>
      </c>
      <c r="AO281" s="97">
        <f ca="1">SUMIF(Цвет!A:A,Y281,Цвет!B:B)</f>
        <v>1</v>
      </c>
      <c r="AP281" s="97">
        <f ca="1">_xlfn.XLOOKUP(L281,Пол!A:A,Пол!B:B,0,0)</f>
        <v>1</v>
      </c>
      <c r="AQ281" s="97">
        <f ca="1">SUMIF(Марка!A:A,G281,Марка!B:B)</f>
        <v>1</v>
      </c>
      <c r="AR281" s="97">
        <f ca="1">SUMIF(Страна!A:A,M281,Страна!B:B)</f>
        <v>1</v>
      </c>
      <c r="AS281" s="64" t="str">
        <f ca="1">IF(VLOOKUP(V281,Товары!A:B,2,FALSE)=A281,"Есть в 1С","ERR")</f>
        <v>Есть в 1С</v>
      </c>
      <c r="AT281" s="65" t="str">
        <f ca="1">IF(VLOOKUP(A281,Товары!B:B,1,FALSE)=A281,"Есть в 1С","ERR")</f>
        <v>Есть в 1С</v>
      </c>
      <c r="AU281" s="96" t="str">
        <f ca="1">VLOOKUP(V281,Товары!A:B,2,FALSE)</f>
        <v>21-155-09</v>
      </c>
      <c r="AV281" s="94" t="str">
        <f ca="1">VLOOKUP(V281,Товары!A:B,1,FALSE)</f>
        <v>Шляпа BAILEY арт. 81810 WAITS (черный) {black}</v>
      </c>
    </row>
    <row r="282" spans="1:48" x14ac:dyDescent="0.25">
      <c r="A282" s="110" t="str">
        <f t="shared" ca="1" si="32"/>
        <v>21-155-09</v>
      </c>
      <c r="B282" s="107" t="str">
        <f ca="1">_xlfn.LET(_xlpm.CAPS,0,_xlpm.Style,_xlfn.XLOOKUP($A282,Строчный!$A:$A,Строчный!B:B,"ERR",0),IF(_xlpm.CAPS=0,_xlpm.Style,LOWER(_xlpm.Style)))</f>
        <v>81810 WAITS</v>
      </c>
      <c r="C282" s="81" t="str">
        <f ca="1">PROPER(_xlfn.XLOOKUP($A282,Строчный!$A:$A,Строчный!C:C,"ERR",0))</f>
        <v>Шляпы</v>
      </c>
      <c r="D282" s="81" t="str">
        <f ca="1">_xlfn.LET(_xlpm.DATA,(_xlfn.XLOOKUP($A282,Строчный!$A:$A,Строчный!D:D,"ERR",0)),UPPER(MID(_xlpm.DATA,1,1))&amp;LOWER(MID(_xlpm.DATA,2,LEN(_xlpm.DATA)-1)))</f>
        <v>Шляпа поркпай</v>
      </c>
      <c r="E282" s="81" t="str">
        <f ca="1">PROPER(_xlfn.XLOOKUP($A282,Строчный!$A:$A,Строчный!E:E,"ERR",0))</f>
        <v>The Hollywood</v>
      </c>
      <c r="F282" s="81" t="str">
        <f ca="1">LOWER(_xlfn.XLOOKUP($A282,Строчный!$A:$A,Строчный!F:F,"ERR",0))</f>
        <v>летний</v>
      </c>
      <c r="G282" s="81" t="str">
        <f ca="1">UPPER(_xlfn.XLOOKUP($A282,Строчный!$A:$A,Строчный!G:G,"ERR",0))</f>
        <v>BAILEY</v>
      </c>
      <c r="H282" s="81" t="str">
        <f ca="1">LOWER(_xlfn.XLOOKUP($A282,Строчный!$A:$A,Строчный!H:H,"ERR",0))</f>
        <v>black</v>
      </c>
      <c r="I282" s="81" t="str">
        <f ca="1">LOWER(_xlfn.XLOOKUP($A282,Строчный!$A:$A,Строчный!I:I,"ERR",0))</f>
        <v>черный</v>
      </c>
      <c r="J282" s="81" t="str">
        <f ca="1">SUBSTITUTE(LOWER(_xlfn.XLOOKUP($A282,Строчный!$A:$A,Строчный!J:J,"ERR",0)),"подклад","Подклад")</f>
        <v>50% бумага - 50% полипропилен</v>
      </c>
      <c r="K282" s="81" t="str">
        <f ca="1">LOWER(_xlfn.XLOOKUP($A282,Строчный!$A:$A,Строчный!K:K,"ERR",0))</f>
        <v>бумажные</v>
      </c>
      <c r="L282" s="81" t="str">
        <f ca="1">PROPER(_xlfn.XLOOKUP($A282,Строчный!$A:$A,Строчный!L:L,"ERR",0))</f>
        <v>Унисекс</v>
      </c>
      <c r="M282" s="113" t="str">
        <f ca="1">PROPER(_xlfn.XLOOKUP($A282,Строчный!$A:$A,Строчный!M:M,"ERR",0))</f>
        <v>Китай</v>
      </c>
      <c r="N282" s="81" t="str">
        <f ca="1">UPPER(_xlfn.XLOOKUP($A282,Строчный!$A:$A,Строчный!O:O,"ERR",0))</f>
        <v/>
      </c>
      <c r="O282" s="107" t="str">
        <f ca="1">PROPER(_xlfn.XLOOKUP($A282,Строчный!$A:$A,Строчный!P:P,"ERR",0))</f>
        <v/>
      </c>
      <c r="P282" s="90">
        <f ca="1">VALUE(_xlfn.XLOOKUP($A282,Строчный!$A:$A,Строчный!N:N,"ERR",0))</f>
        <v>2380.9500000000003</v>
      </c>
      <c r="Q282" s="89" t="str">
        <f ca="1">_xlfn.XLOOKUP($G282,Фабрика!A:A,Фабрика!B:B,"ERR",0)</f>
        <v>Bollman Headwear Europe Ltd; 2 Merchants drive, Caelisle, Cumbria CA3 0JW, United Kingdom</v>
      </c>
      <c r="R282" s="80" t="str">
        <f ca="1">_xlfn.XLOOKUP(RIGHT(Z282,2),Размеры!D:D,Размеры!A:A,"ERR",0)</f>
        <v>55</v>
      </c>
      <c r="S282" s="80">
        <f ca="1">VALUE(_xlfn.XLOOKUP($Z282,Строчный!$R:$R,Строчный!T:T,"ERR",0))</f>
        <v>3</v>
      </c>
      <c r="T282" s="14" t="s">
        <v>265</v>
      </c>
      <c r="U282" s="101" t="str">
        <f t="shared" ca="1" si="28"/>
        <v>Шляпа BAILEY арт. 81810 WAITS (черный)</v>
      </c>
      <c r="V282" s="100" t="str">
        <f t="shared" ca="1" si="29"/>
        <v>Шляпа BAILEY арт. 81810 WAITS (черный) {black}</v>
      </c>
      <c r="W282" s="18" t="str">
        <f t="shared" ca="1" si="30"/>
        <v>черный</v>
      </c>
      <c r="X282" s="18" t="str">
        <f t="shared" ca="1" si="31"/>
        <v>черный</v>
      </c>
      <c r="Y282" s="117" t="str">
        <f ca="1">_xlfn.LET(_xlpm.FormColors,_xlfn.XLOOKUP(A282,Строчный!A:A,Строчный!Q:Q,"",0),IF(_xlpm.FormColors=0,IFERROR(MID(I282,FIND("-",I282)+1,LEN(I282)),IFERROR(MID(I282,1,FIND("/",I282)-2),I282)),_xlpm.FormColors))</f>
        <v>черный</v>
      </c>
      <c r="Z282" s="73" t="str">
        <f ca="1"/>
        <v>21-155-09-55</v>
      </c>
      <c r="AA282" s="75" t="str">
        <f ca="1">VLOOKUP(C282,Группа!A:B,2,FALSE)</f>
        <v>Шляпа</v>
      </c>
      <c r="AB282" s="97" t="str">
        <f ca="1">IFERROR(VLOOKUP(R282,Размеры!A:C,3,FALSE),"")</f>
        <v>55 S</v>
      </c>
      <c r="AC282" s="97" t="str">
        <f ca="1">VLOOKUP(I282,ЦветПолный!A:B,2,FALSE)</f>
        <v>09</v>
      </c>
      <c r="AD282" s="97" t="str">
        <f ca="1">IFERROR(VLOOKUP(R282,Размеры!A:D,4,FALSE),"")</f>
        <v>55</v>
      </c>
      <c r="AE282" s="97">
        <f ca="1">IF(LEFT(IFERROR(VLOOKUP(LOOKUP(2,1/SEARCH(B282,Товары!A:A),Товары!A:A),Товары!A:B,2,0),""),6)=MID(Z282,1,6),1,0)</f>
        <v>1</v>
      </c>
      <c r="AG282" s="97">
        <f ca="1">SUMIF(Группа!A:A,C282,Группа!C:C)</f>
        <v>1</v>
      </c>
      <c r="AH282" s="97">
        <f ca="1">SUMIF(Группа!B:B,AA282,Группа!C:C)</f>
        <v>1</v>
      </c>
      <c r="AI282" s="97">
        <f ca="1">SUMIF(Формы!A:A,D282,Формы!B:B)</f>
        <v>1</v>
      </c>
      <c r="AJ282" s="97">
        <f ca="1">SUMIF(Материал!A:A,K282,Материал!B:B)</f>
        <v>1</v>
      </c>
      <c r="AK282" s="97">
        <f ca="1">SUMIF(Размеры!A:A,R282,Размеры!E:E)</f>
        <v>1</v>
      </c>
      <c r="AL282" s="97">
        <f ca="1">SUMIF(Сезон!A:A,F282,Сезон!B:B)</f>
        <v>1</v>
      </c>
      <c r="AM282" s="97">
        <f ca="1">SUMIF(Состав!A:A,J282,Состав!B:B)</f>
        <v>1</v>
      </c>
      <c r="AN282" s="97">
        <f ca="1">VLOOKUP(I282,ЦветПолный!A:C,3,0)</f>
        <v>1</v>
      </c>
      <c r="AO282" s="97">
        <f ca="1">SUMIF(Цвет!A:A,Y282,Цвет!B:B)</f>
        <v>1</v>
      </c>
      <c r="AP282" s="97">
        <f ca="1">_xlfn.XLOOKUP(L282,Пол!A:A,Пол!B:B,0,0)</f>
        <v>1</v>
      </c>
      <c r="AQ282" s="97">
        <f ca="1">SUMIF(Марка!A:A,G282,Марка!B:B)</f>
        <v>1</v>
      </c>
      <c r="AR282" s="97">
        <f ca="1">SUMIF(Страна!A:A,M282,Страна!B:B)</f>
        <v>1</v>
      </c>
      <c r="AS282" s="64" t="str">
        <f ca="1">IF(VLOOKUP(V282,Товары!A:B,2,FALSE)=A282,"Есть в 1С","ERR")</f>
        <v>Есть в 1С</v>
      </c>
      <c r="AT282" s="65" t="str">
        <f ca="1">IF(VLOOKUP(A282,Товары!B:B,1,FALSE)=A282,"Есть в 1С","ERR")</f>
        <v>Есть в 1С</v>
      </c>
      <c r="AU282" s="96" t="str">
        <f ca="1">VLOOKUP(V282,Товары!A:B,2,FALSE)</f>
        <v>21-155-09</v>
      </c>
      <c r="AV282" s="94" t="str">
        <f ca="1">VLOOKUP(V282,Товары!A:B,1,FALSE)</f>
        <v>Шляпа BAILEY арт. 81810 WAITS (черный) {black}</v>
      </c>
    </row>
    <row r="283" spans="1:48" x14ac:dyDescent="0.25">
      <c r="A283" s="110" t="str">
        <f t="shared" ca="1" si="32"/>
        <v>21-155-02</v>
      </c>
      <c r="B283" s="107" t="str">
        <f ca="1">_xlfn.LET(_xlpm.CAPS,0,_xlpm.Style,_xlfn.XLOOKUP($A283,Строчный!$A:$A,Строчный!B:B,"ERR",0),IF(_xlpm.CAPS=0,_xlpm.Style,LOWER(_xlpm.Style)))</f>
        <v>81810 WAITS</v>
      </c>
      <c r="C283" s="81" t="str">
        <f ca="1">PROPER(_xlfn.XLOOKUP($A283,Строчный!$A:$A,Строчный!C:C,"ERR",0))</f>
        <v>Шляпы</v>
      </c>
      <c r="D283" s="81" t="str">
        <f ca="1">_xlfn.LET(_xlpm.DATA,(_xlfn.XLOOKUP($A283,Строчный!$A:$A,Строчный!D:D,"ERR",0)),UPPER(MID(_xlpm.DATA,1,1))&amp;LOWER(MID(_xlpm.DATA,2,LEN(_xlpm.DATA)-1)))</f>
        <v>Шляпа поркпай</v>
      </c>
      <c r="E283" s="81" t="str">
        <f ca="1">PROPER(_xlfn.XLOOKUP($A283,Строчный!$A:$A,Строчный!E:E,"ERR",0))</f>
        <v>The Hollywood</v>
      </c>
      <c r="F283" s="81" t="str">
        <f ca="1">LOWER(_xlfn.XLOOKUP($A283,Строчный!$A:$A,Строчный!F:F,"ERR",0))</f>
        <v>летний</v>
      </c>
      <c r="G283" s="81" t="str">
        <f ca="1">UPPER(_xlfn.XLOOKUP($A283,Строчный!$A:$A,Строчный!G:G,"ERR",0))</f>
        <v>BAILEY</v>
      </c>
      <c r="H283" s="81" t="str">
        <f ca="1">LOWER(_xlfn.XLOOKUP($A283,Строчный!$A:$A,Строчный!H:H,"ERR",0))</f>
        <v>sand</v>
      </c>
      <c r="I283" s="81" t="str">
        <f ca="1">LOWER(_xlfn.XLOOKUP($A283,Строчный!$A:$A,Строчный!I:I,"ERR",0))</f>
        <v>бежевый</v>
      </c>
      <c r="J283" s="81" t="str">
        <f ca="1">SUBSTITUTE(LOWER(_xlfn.XLOOKUP($A283,Строчный!$A:$A,Строчный!J:J,"ERR",0)),"подклад","Подклад")</f>
        <v>50% бумага - 50% полипропилен</v>
      </c>
      <c r="K283" s="81" t="str">
        <f ca="1">LOWER(_xlfn.XLOOKUP($A283,Строчный!$A:$A,Строчный!K:K,"ERR",0))</f>
        <v>бумажные</v>
      </c>
      <c r="L283" s="81" t="str">
        <f ca="1">PROPER(_xlfn.XLOOKUP($A283,Строчный!$A:$A,Строчный!L:L,"ERR",0))</f>
        <v>Унисекс</v>
      </c>
      <c r="M283" s="113" t="str">
        <f ca="1">PROPER(_xlfn.XLOOKUP($A283,Строчный!$A:$A,Строчный!M:M,"ERR",0))</f>
        <v>Китай</v>
      </c>
      <c r="N283" s="81" t="str">
        <f ca="1">UPPER(_xlfn.XLOOKUP($A283,Строчный!$A:$A,Строчный!O:O,"ERR",0))</f>
        <v/>
      </c>
      <c r="O283" s="107" t="str">
        <f ca="1">PROPER(_xlfn.XLOOKUP($A283,Строчный!$A:$A,Строчный!P:P,"ERR",0))</f>
        <v/>
      </c>
      <c r="P283" s="90">
        <f ca="1">VALUE(_xlfn.XLOOKUP($A283,Строчный!$A:$A,Строчный!N:N,"ERR",0))</f>
        <v>2380.9500000000003</v>
      </c>
      <c r="Q283" s="89" t="str">
        <f ca="1">_xlfn.XLOOKUP($G283,Фабрика!A:A,Фабрика!B:B,"ERR",0)</f>
        <v>Bollman Headwear Europe Ltd; 2 Merchants drive, Caelisle, Cumbria CA3 0JW, United Kingdom</v>
      </c>
      <c r="R283" s="80" t="str">
        <f ca="1">_xlfn.XLOOKUP(RIGHT(Z283,2),Размеры!D:D,Размеры!A:A,"ERR",0)</f>
        <v>63</v>
      </c>
      <c r="S283" s="80">
        <f ca="1">VALUE(_xlfn.XLOOKUP($Z283,Строчный!$R:$R,Строчный!T:T,"ERR",0))</f>
        <v>4</v>
      </c>
      <c r="T283" s="14" t="s">
        <v>265</v>
      </c>
      <c r="U283" s="101" t="str">
        <f t="shared" ca="1" si="28"/>
        <v>Шляпа BAILEY арт. 81810 WAITS (бежевый)</v>
      </c>
      <c r="V283" s="100" t="str">
        <f t="shared" ca="1" si="29"/>
        <v>Шляпа BAILEY арт. 81810 WAITS (бежевый) {sand}</v>
      </c>
      <c r="W283" s="18" t="str">
        <f t="shared" ca="1" si="30"/>
        <v>бежевый</v>
      </c>
      <c r="X283" s="18" t="str">
        <f t="shared" ca="1" si="31"/>
        <v>бежевый</v>
      </c>
      <c r="Y283" s="117" t="str">
        <f ca="1">_xlfn.LET(_xlpm.FormColors,_xlfn.XLOOKUP(A283,Строчный!A:A,Строчный!Q:Q,"",0),IF(_xlpm.FormColors=0,IFERROR(MID(I283,FIND("-",I283)+1,LEN(I283)),IFERROR(MID(I283,1,FIND("/",I283)-2),I283)),_xlpm.FormColors))</f>
        <v>бежевый</v>
      </c>
      <c r="Z283" s="73" t="str">
        <f ca="1"/>
        <v>21-155-02-63</v>
      </c>
      <c r="AA283" s="75" t="str">
        <f ca="1">VLOOKUP(C283,Группа!A:B,2,FALSE)</f>
        <v>Шляпа</v>
      </c>
      <c r="AB283" s="97" t="str">
        <f ca="1">IFERROR(VLOOKUP(R283,Размеры!A:C,3,FALSE),"")</f>
        <v>63 XXL</v>
      </c>
      <c r="AC283" s="97" t="str">
        <f ca="1">VLOOKUP(I283,ЦветПолный!A:B,2,FALSE)</f>
        <v>02</v>
      </c>
      <c r="AD283" s="97" t="str">
        <f ca="1">IFERROR(VLOOKUP(R283,Размеры!A:D,4,FALSE),"")</f>
        <v>63</v>
      </c>
      <c r="AE283" s="97">
        <f ca="1">IF(LEFT(IFERROR(VLOOKUP(LOOKUP(2,1/SEARCH(B283,Товары!A:A),Товары!A:A),Товары!A:B,2,0),""),6)=MID(Z283,1,6),1,0)</f>
        <v>1</v>
      </c>
      <c r="AG283" s="97">
        <f ca="1">SUMIF(Группа!A:A,C283,Группа!C:C)</f>
        <v>1</v>
      </c>
      <c r="AH283" s="97">
        <f ca="1">SUMIF(Группа!B:B,AA283,Группа!C:C)</f>
        <v>1</v>
      </c>
      <c r="AI283" s="97">
        <f ca="1">SUMIF(Формы!A:A,D283,Формы!B:B)</f>
        <v>1</v>
      </c>
      <c r="AJ283" s="97">
        <f ca="1">SUMIF(Материал!A:A,K283,Материал!B:B)</f>
        <v>1</v>
      </c>
      <c r="AK283" s="97">
        <f ca="1">SUMIF(Размеры!A:A,R283,Размеры!E:E)</f>
        <v>1</v>
      </c>
      <c r="AL283" s="97">
        <f ca="1">SUMIF(Сезон!A:A,F283,Сезон!B:B)</f>
        <v>1</v>
      </c>
      <c r="AM283" s="97">
        <f ca="1">SUMIF(Состав!A:A,J283,Состав!B:B)</f>
        <v>1</v>
      </c>
      <c r="AN283" s="97">
        <f ca="1">VLOOKUP(I283,ЦветПолный!A:C,3,0)</f>
        <v>1</v>
      </c>
      <c r="AO283" s="97">
        <f ca="1">SUMIF(Цвет!A:A,Y283,Цвет!B:B)</f>
        <v>1</v>
      </c>
      <c r="AP283" s="97">
        <f ca="1">_xlfn.XLOOKUP(L283,Пол!A:A,Пол!B:B,0,0)</f>
        <v>1</v>
      </c>
      <c r="AQ283" s="97">
        <f ca="1">SUMIF(Марка!A:A,G283,Марка!B:B)</f>
        <v>1</v>
      </c>
      <c r="AR283" s="97">
        <f ca="1">SUMIF(Страна!A:A,M283,Страна!B:B)</f>
        <v>1</v>
      </c>
      <c r="AS283" s="64" t="str">
        <f ca="1">IF(VLOOKUP(V283,Товары!A:B,2,FALSE)=A283,"Есть в 1С","ERR")</f>
        <v>Есть в 1С</v>
      </c>
      <c r="AT283" s="65" t="str">
        <f ca="1">IF(VLOOKUP(A283,Товары!B:B,1,FALSE)=A283,"Есть в 1С","ERR")</f>
        <v>Есть в 1С</v>
      </c>
      <c r="AU283" s="96" t="str">
        <f ca="1">VLOOKUP(V283,Товары!A:B,2,FALSE)</f>
        <v>21-155-02</v>
      </c>
      <c r="AV283" s="94" t="str">
        <f ca="1">VLOOKUP(V283,Товары!A:B,1,FALSE)</f>
        <v>Шляпа BAILEY арт. 81810 WAITS (бежевый) {sand}</v>
      </c>
    </row>
    <row r="284" spans="1:48" x14ac:dyDescent="0.25">
      <c r="A284" s="110" t="str">
        <f t="shared" ca="1" si="32"/>
        <v>21-155-02</v>
      </c>
      <c r="B284" s="107" t="str">
        <f ca="1">_xlfn.LET(_xlpm.CAPS,0,_xlpm.Style,_xlfn.XLOOKUP($A284,Строчный!$A:$A,Строчный!B:B,"ERR",0),IF(_xlpm.CAPS=0,_xlpm.Style,LOWER(_xlpm.Style)))</f>
        <v>81810 WAITS</v>
      </c>
      <c r="C284" s="81" t="str">
        <f ca="1">PROPER(_xlfn.XLOOKUP($A284,Строчный!$A:$A,Строчный!C:C,"ERR",0))</f>
        <v>Шляпы</v>
      </c>
      <c r="D284" s="81" t="str">
        <f ca="1">_xlfn.LET(_xlpm.DATA,(_xlfn.XLOOKUP($A284,Строчный!$A:$A,Строчный!D:D,"ERR",0)),UPPER(MID(_xlpm.DATA,1,1))&amp;LOWER(MID(_xlpm.DATA,2,LEN(_xlpm.DATA)-1)))</f>
        <v>Шляпа поркпай</v>
      </c>
      <c r="E284" s="81" t="str">
        <f ca="1">PROPER(_xlfn.XLOOKUP($A284,Строчный!$A:$A,Строчный!E:E,"ERR",0))</f>
        <v>The Hollywood</v>
      </c>
      <c r="F284" s="81" t="str">
        <f ca="1">LOWER(_xlfn.XLOOKUP($A284,Строчный!$A:$A,Строчный!F:F,"ERR",0))</f>
        <v>летний</v>
      </c>
      <c r="G284" s="81" t="str">
        <f ca="1">UPPER(_xlfn.XLOOKUP($A284,Строчный!$A:$A,Строчный!G:G,"ERR",0))</f>
        <v>BAILEY</v>
      </c>
      <c r="H284" s="81" t="str">
        <f ca="1">LOWER(_xlfn.XLOOKUP($A284,Строчный!$A:$A,Строчный!H:H,"ERR",0))</f>
        <v>sand</v>
      </c>
      <c r="I284" s="81" t="str">
        <f ca="1">LOWER(_xlfn.XLOOKUP($A284,Строчный!$A:$A,Строчный!I:I,"ERR",0))</f>
        <v>бежевый</v>
      </c>
      <c r="J284" s="81" t="str">
        <f ca="1">SUBSTITUTE(LOWER(_xlfn.XLOOKUP($A284,Строчный!$A:$A,Строчный!J:J,"ERR",0)),"подклад","Подклад")</f>
        <v>50% бумага - 50% полипропилен</v>
      </c>
      <c r="K284" s="81" t="str">
        <f ca="1">LOWER(_xlfn.XLOOKUP($A284,Строчный!$A:$A,Строчный!K:K,"ERR",0))</f>
        <v>бумажные</v>
      </c>
      <c r="L284" s="81" t="str">
        <f ca="1">PROPER(_xlfn.XLOOKUP($A284,Строчный!$A:$A,Строчный!L:L,"ERR",0))</f>
        <v>Унисекс</v>
      </c>
      <c r="M284" s="113" t="str">
        <f ca="1">PROPER(_xlfn.XLOOKUP($A284,Строчный!$A:$A,Строчный!M:M,"ERR",0))</f>
        <v>Китай</v>
      </c>
      <c r="N284" s="81" t="str">
        <f ca="1">UPPER(_xlfn.XLOOKUP($A284,Строчный!$A:$A,Строчный!O:O,"ERR",0))</f>
        <v/>
      </c>
      <c r="O284" s="107" t="str">
        <f ca="1">PROPER(_xlfn.XLOOKUP($A284,Строчный!$A:$A,Строчный!P:P,"ERR",0))</f>
        <v/>
      </c>
      <c r="P284" s="90">
        <f ca="1">VALUE(_xlfn.XLOOKUP($A284,Строчный!$A:$A,Строчный!N:N,"ERR",0))</f>
        <v>2380.9500000000003</v>
      </c>
      <c r="Q284" s="89" t="str">
        <f ca="1">_xlfn.XLOOKUP($G284,Фабрика!A:A,Фабрика!B:B,"ERR",0)</f>
        <v>Bollman Headwear Europe Ltd; 2 Merchants drive, Caelisle, Cumbria CA3 0JW, United Kingdom</v>
      </c>
      <c r="R284" s="80" t="str">
        <f ca="1">_xlfn.XLOOKUP(RIGHT(Z284,2),Размеры!D:D,Размеры!A:A,"ERR",0)</f>
        <v>61</v>
      </c>
      <c r="S284" s="80">
        <f ca="1">VALUE(_xlfn.XLOOKUP($Z284,Строчный!$R:$R,Строчный!T:T,"ERR",0))</f>
        <v>10</v>
      </c>
      <c r="T284" s="14" t="s">
        <v>265</v>
      </c>
      <c r="U284" s="101" t="str">
        <f t="shared" ca="1" si="28"/>
        <v>Шляпа BAILEY арт. 81810 WAITS (бежевый)</v>
      </c>
      <c r="V284" s="100" t="str">
        <f t="shared" ca="1" si="29"/>
        <v>Шляпа BAILEY арт. 81810 WAITS (бежевый) {sand}</v>
      </c>
      <c r="W284" s="18" t="str">
        <f t="shared" ca="1" si="30"/>
        <v>бежевый</v>
      </c>
      <c r="X284" s="18" t="str">
        <f t="shared" ca="1" si="31"/>
        <v>бежевый</v>
      </c>
      <c r="Y284" s="117" t="str">
        <f ca="1">_xlfn.LET(_xlpm.FormColors,_xlfn.XLOOKUP(A284,Строчный!A:A,Строчный!Q:Q,"",0),IF(_xlpm.FormColors=0,IFERROR(MID(I284,FIND("-",I284)+1,LEN(I284)),IFERROR(MID(I284,1,FIND("/",I284)-2),I284)),_xlpm.FormColors))</f>
        <v>бежевый</v>
      </c>
      <c r="Z284" s="73" t="str">
        <f ca="1"/>
        <v>21-155-02-61</v>
      </c>
      <c r="AA284" s="75" t="str">
        <f ca="1">VLOOKUP(C284,Группа!A:B,2,FALSE)</f>
        <v>Шляпа</v>
      </c>
      <c r="AB284" s="97" t="str">
        <f ca="1">IFERROR(VLOOKUP(R284,Размеры!A:C,3,FALSE),"")</f>
        <v>61 XL</v>
      </c>
      <c r="AC284" s="97" t="str">
        <f ca="1">VLOOKUP(I284,ЦветПолный!A:B,2,FALSE)</f>
        <v>02</v>
      </c>
      <c r="AD284" s="97" t="str">
        <f ca="1">IFERROR(VLOOKUP(R284,Размеры!A:D,4,FALSE),"")</f>
        <v>61</v>
      </c>
      <c r="AE284" s="97">
        <f ca="1">IF(LEFT(IFERROR(VLOOKUP(LOOKUP(2,1/SEARCH(B284,Товары!A:A),Товары!A:A),Товары!A:B,2,0),""),6)=MID(Z284,1,6),1,0)</f>
        <v>1</v>
      </c>
      <c r="AG284" s="97">
        <f ca="1">SUMIF(Группа!A:A,C284,Группа!C:C)</f>
        <v>1</v>
      </c>
      <c r="AH284" s="97">
        <f ca="1">SUMIF(Группа!B:B,AA284,Группа!C:C)</f>
        <v>1</v>
      </c>
      <c r="AI284" s="97">
        <f ca="1">SUMIF(Формы!A:A,D284,Формы!B:B)</f>
        <v>1</v>
      </c>
      <c r="AJ284" s="97">
        <f ca="1">SUMIF(Материал!A:A,K284,Материал!B:B)</f>
        <v>1</v>
      </c>
      <c r="AK284" s="97">
        <f ca="1">SUMIF(Размеры!A:A,R284,Размеры!E:E)</f>
        <v>1</v>
      </c>
      <c r="AL284" s="97">
        <f ca="1">SUMIF(Сезон!A:A,F284,Сезон!B:B)</f>
        <v>1</v>
      </c>
      <c r="AM284" s="97">
        <f ca="1">SUMIF(Состав!A:A,J284,Состав!B:B)</f>
        <v>1</v>
      </c>
      <c r="AN284" s="97">
        <f ca="1">VLOOKUP(I284,ЦветПолный!A:C,3,0)</f>
        <v>1</v>
      </c>
      <c r="AO284" s="97">
        <f ca="1">SUMIF(Цвет!A:A,Y284,Цвет!B:B)</f>
        <v>1</v>
      </c>
      <c r="AP284" s="97">
        <f ca="1">_xlfn.XLOOKUP(L284,Пол!A:A,Пол!B:B,0,0)</f>
        <v>1</v>
      </c>
      <c r="AQ284" s="97">
        <f ca="1">SUMIF(Марка!A:A,G284,Марка!B:B)</f>
        <v>1</v>
      </c>
      <c r="AR284" s="97">
        <f ca="1">SUMIF(Страна!A:A,M284,Страна!B:B)</f>
        <v>1</v>
      </c>
      <c r="AS284" s="64" t="str">
        <f ca="1">IF(VLOOKUP(V284,Товары!A:B,2,FALSE)=A284,"Есть в 1С","ERR")</f>
        <v>Есть в 1С</v>
      </c>
      <c r="AT284" s="65" t="str">
        <f ca="1">IF(VLOOKUP(A284,Товары!B:B,1,FALSE)=A284,"Есть в 1С","ERR")</f>
        <v>Есть в 1С</v>
      </c>
      <c r="AU284" s="96" t="str">
        <f ca="1">VLOOKUP(V284,Товары!A:B,2,FALSE)</f>
        <v>21-155-02</v>
      </c>
      <c r="AV284" s="94" t="str">
        <f ca="1">VLOOKUP(V284,Товары!A:B,1,FALSE)</f>
        <v>Шляпа BAILEY арт. 81810 WAITS (бежевый) {sand}</v>
      </c>
    </row>
    <row r="285" spans="1:48" x14ac:dyDescent="0.25">
      <c r="A285" s="110" t="str">
        <f t="shared" ca="1" si="32"/>
        <v>21-155-02</v>
      </c>
      <c r="B285" s="107" t="str">
        <f ca="1">_xlfn.LET(_xlpm.CAPS,0,_xlpm.Style,_xlfn.XLOOKUP($A285,Строчный!$A:$A,Строчный!B:B,"ERR",0),IF(_xlpm.CAPS=0,_xlpm.Style,LOWER(_xlpm.Style)))</f>
        <v>81810 WAITS</v>
      </c>
      <c r="C285" s="81" t="str">
        <f ca="1">PROPER(_xlfn.XLOOKUP($A285,Строчный!$A:$A,Строчный!C:C,"ERR",0))</f>
        <v>Шляпы</v>
      </c>
      <c r="D285" s="81" t="str">
        <f ca="1">_xlfn.LET(_xlpm.DATA,(_xlfn.XLOOKUP($A285,Строчный!$A:$A,Строчный!D:D,"ERR",0)),UPPER(MID(_xlpm.DATA,1,1))&amp;LOWER(MID(_xlpm.DATA,2,LEN(_xlpm.DATA)-1)))</f>
        <v>Шляпа поркпай</v>
      </c>
      <c r="E285" s="81" t="str">
        <f ca="1">PROPER(_xlfn.XLOOKUP($A285,Строчный!$A:$A,Строчный!E:E,"ERR",0))</f>
        <v>The Hollywood</v>
      </c>
      <c r="F285" s="81" t="str">
        <f ca="1">LOWER(_xlfn.XLOOKUP($A285,Строчный!$A:$A,Строчный!F:F,"ERR",0))</f>
        <v>летний</v>
      </c>
      <c r="G285" s="81" t="str">
        <f ca="1">UPPER(_xlfn.XLOOKUP($A285,Строчный!$A:$A,Строчный!G:G,"ERR",0))</f>
        <v>BAILEY</v>
      </c>
      <c r="H285" s="81" t="str">
        <f ca="1">LOWER(_xlfn.XLOOKUP($A285,Строчный!$A:$A,Строчный!H:H,"ERR",0))</f>
        <v>sand</v>
      </c>
      <c r="I285" s="81" t="str">
        <f ca="1">LOWER(_xlfn.XLOOKUP($A285,Строчный!$A:$A,Строчный!I:I,"ERR",0))</f>
        <v>бежевый</v>
      </c>
      <c r="J285" s="81" t="str">
        <f ca="1">SUBSTITUTE(LOWER(_xlfn.XLOOKUP($A285,Строчный!$A:$A,Строчный!J:J,"ERR",0)),"подклад","Подклад")</f>
        <v>50% бумага - 50% полипропилен</v>
      </c>
      <c r="K285" s="81" t="str">
        <f ca="1">LOWER(_xlfn.XLOOKUP($A285,Строчный!$A:$A,Строчный!K:K,"ERR",0))</f>
        <v>бумажные</v>
      </c>
      <c r="L285" s="81" t="str">
        <f ca="1">PROPER(_xlfn.XLOOKUP($A285,Строчный!$A:$A,Строчный!L:L,"ERR",0))</f>
        <v>Унисекс</v>
      </c>
      <c r="M285" s="113" t="str">
        <f ca="1">PROPER(_xlfn.XLOOKUP($A285,Строчный!$A:$A,Строчный!M:M,"ERR",0))</f>
        <v>Китай</v>
      </c>
      <c r="N285" s="81" t="str">
        <f ca="1">UPPER(_xlfn.XLOOKUP($A285,Строчный!$A:$A,Строчный!O:O,"ERR",0))</f>
        <v/>
      </c>
      <c r="O285" s="107" t="str">
        <f ca="1">PROPER(_xlfn.XLOOKUP($A285,Строчный!$A:$A,Строчный!P:P,"ERR",0))</f>
        <v/>
      </c>
      <c r="P285" s="90">
        <f ca="1">VALUE(_xlfn.XLOOKUP($A285,Строчный!$A:$A,Строчный!N:N,"ERR",0))</f>
        <v>2380.9500000000003</v>
      </c>
      <c r="Q285" s="89" t="str">
        <f ca="1">_xlfn.XLOOKUP($G285,Фабрика!A:A,Фабрика!B:B,"ERR",0)</f>
        <v>Bollman Headwear Europe Ltd; 2 Merchants drive, Caelisle, Cumbria CA3 0JW, United Kingdom</v>
      </c>
      <c r="R285" s="80" t="str">
        <f ca="1">_xlfn.XLOOKUP(RIGHT(Z285,2),Размеры!D:D,Размеры!A:A,"ERR",0)</f>
        <v>59</v>
      </c>
      <c r="S285" s="80">
        <f ca="1">VALUE(_xlfn.XLOOKUP($Z285,Строчный!$R:$R,Строчный!T:T,"ERR",0))</f>
        <v>16</v>
      </c>
      <c r="T285" s="14" t="s">
        <v>265</v>
      </c>
      <c r="U285" s="101" t="str">
        <f t="shared" ca="1" si="28"/>
        <v>Шляпа BAILEY арт. 81810 WAITS (бежевый)</v>
      </c>
      <c r="V285" s="100" t="str">
        <f t="shared" ca="1" si="29"/>
        <v>Шляпа BAILEY арт. 81810 WAITS (бежевый) {sand}</v>
      </c>
      <c r="W285" s="18" t="str">
        <f t="shared" ca="1" si="30"/>
        <v>бежевый</v>
      </c>
      <c r="X285" s="18" t="str">
        <f t="shared" ca="1" si="31"/>
        <v>бежевый</v>
      </c>
      <c r="Y285" s="117" t="str">
        <f ca="1">_xlfn.LET(_xlpm.FormColors,_xlfn.XLOOKUP(A285,Строчный!A:A,Строчный!Q:Q,"",0),IF(_xlpm.FormColors=0,IFERROR(MID(I285,FIND("-",I285)+1,LEN(I285)),IFERROR(MID(I285,1,FIND("/",I285)-2),I285)),_xlpm.FormColors))</f>
        <v>бежевый</v>
      </c>
      <c r="Z285" s="73" t="str">
        <f ca="1"/>
        <v>21-155-02-59</v>
      </c>
      <c r="AA285" s="75" t="str">
        <f ca="1">VLOOKUP(C285,Группа!A:B,2,FALSE)</f>
        <v>Шляпа</v>
      </c>
      <c r="AB285" s="97" t="str">
        <f ca="1">IFERROR(VLOOKUP(R285,Размеры!A:C,3,FALSE),"")</f>
        <v>59 L</v>
      </c>
      <c r="AC285" s="97" t="str">
        <f ca="1">VLOOKUP(I285,ЦветПолный!A:B,2,FALSE)</f>
        <v>02</v>
      </c>
      <c r="AD285" s="97" t="str">
        <f ca="1">IFERROR(VLOOKUP(R285,Размеры!A:D,4,FALSE),"")</f>
        <v>59</v>
      </c>
      <c r="AE285" s="97">
        <f ca="1">IF(LEFT(IFERROR(VLOOKUP(LOOKUP(2,1/SEARCH(B285,Товары!A:A),Товары!A:A),Товары!A:B,2,0),""),6)=MID(Z285,1,6),1,0)</f>
        <v>1</v>
      </c>
      <c r="AG285" s="97">
        <f ca="1">SUMIF(Группа!A:A,C285,Группа!C:C)</f>
        <v>1</v>
      </c>
      <c r="AH285" s="97">
        <f ca="1">SUMIF(Группа!B:B,AA285,Группа!C:C)</f>
        <v>1</v>
      </c>
      <c r="AI285" s="97">
        <f ca="1">SUMIF(Формы!A:A,D285,Формы!B:B)</f>
        <v>1</v>
      </c>
      <c r="AJ285" s="97">
        <f ca="1">SUMIF(Материал!A:A,K285,Материал!B:B)</f>
        <v>1</v>
      </c>
      <c r="AK285" s="97">
        <f ca="1">SUMIF(Размеры!A:A,R285,Размеры!E:E)</f>
        <v>1</v>
      </c>
      <c r="AL285" s="97">
        <f ca="1">SUMIF(Сезон!A:A,F285,Сезон!B:B)</f>
        <v>1</v>
      </c>
      <c r="AM285" s="97">
        <f ca="1">SUMIF(Состав!A:A,J285,Состав!B:B)</f>
        <v>1</v>
      </c>
      <c r="AN285" s="97">
        <f ca="1">VLOOKUP(I285,ЦветПолный!A:C,3,0)</f>
        <v>1</v>
      </c>
      <c r="AO285" s="97">
        <f ca="1">SUMIF(Цвет!A:A,Y285,Цвет!B:B)</f>
        <v>1</v>
      </c>
      <c r="AP285" s="97">
        <f ca="1">_xlfn.XLOOKUP(L285,Пол!A:A,Пол!B:B,0,0)</f>
        <v>1</v>
      </c>
      <c r="AQ285" s="97">
        <f ca="1">SUMIF(Марка!A:A,G285,Марка!B:B)</f>
        <v>1</v>
      </c>
      <c r="AR285" s="97">
        <f ca="1">SUMIF(Страна!A:A,M285,Страна!B:B)</f>
        <v>1</v>
      </c>
      <c r="AS285" s="64" t="str">
        <f ca="1">IF(VLOOKUP(V285,Товары!A:B,2,FALSE)=A285,"Есть в 1С","ERR")</f>
        <v>Есть в 1С</v>
      </c>
      <c r="AT285" s="65" t="str">
        <f ca="1">IF(VLOOKUP(A285,Товары!B:B,1,FALSE)=A285,"Есть в 1С","ERR")</f>
        <v>Есть в 1С</v>
      </c>
      <c r="AU285" s="96" t="str">
        <f ca="1">VLOOKUP(V285,Товары!A:B,2,FALSE)</f>
        <v>21-155-02</v>
      </c>
      <c r="AV285" s="94" t="str">
        <f ca="1">VLOOKUP(V285,Товары!A:B,1,FALSE)</f>
        <v>Шляпа BAILEY арт. 81810 WAITS (бежевый) {sand}</v>
      </c>
    </row>
    <row r="286" spans="1:48" x14ac:dyDescent="0.25">
      <c r="A286" s="110" t="str">
        <f t="shared" ca="1" si="32"/>
        <v>21-155-02</v>
      </c>
      <c r="B286" s="107" t="str">
        <f ca="1">_xlfn.LET(_xlpm.CAPS,0,_xlpm.Style,_xlfn.XLOOKUP($A286,Строчный!$A:$A,Строчный!B:B,"ERR",0),IF(_xlpm.CAPS=0,_xlpm.Style,LOWER(_xlpm.Style)))</f>
        <v>81810 WAITS</v>
      </c>
      <c r="C286" s="81" t="str">
        <f ca="1">PROPER(_xlfn.XLOOKUP($A286,Строчный!$A:$A,Строчный!C:C,"ERR",0))</f>
        <v>Шляпы</v>
      </c>
      <c r="D286" s="81" t="str">
        <f ca="1">_xlfn.LET(_xlpm.DATA,(_xlfn.XLOOKUP($A286,Строчный!$A:$A,Строчный!D:D,"ERR",0)),UPPER(MID(_xlpm.DATA,1,1))&amp;LOWER(MID(_xlpm.DATA,2,LEN(_xlpm.DATA)-1)))</f>
        <v>Шляпа поркпай</v>
      </c>
      <c r="E286" s="81" t="str">
        <f ca="1">PROPER(_xlfn.XLOOKUP($A286,Строчный!$A:$A,Строчный!E:E,"ERR",0))</f>
        <v>The Hollywood</v>
      </c>
      <c r="F286" s="81" t="str">
        <f ca="1">LOWER(_xlfn.XLOOKUP($A286,Строчный!$A:$A,Строчный!F:F,"ERR",0))</f>
        <v>летний</v>
      </c>
      <c r="G286" s="81" t="str">
        <f ca="1">UPPER(_xlfn.XLOOKUP($A286,Строчный!$A:$A,Строчный!G:G,"ERR",0))</f>
        <v>BAILEY</v>
      </c>
      <c r="H286" s="81" t="str">
        <f ca="1">LOWER(_xlfn.XLOOKUP($A286,Строчный!$A:$A,Строчный!H:H,"ERR",0))</f>
        <v>sand</v>
      </c>
      <c r="I286" s="81" t="str">
        <f ca="1">LOWER(_xlfn.XLOOKUP($A286,Строчный!$A:$A,Строчный!I:I,"ERR",0))</f>
        <v>бежевый</v>
      </c>
      <c r="J286" s="81" t="str">
        <f ca="1">SUBSTITUTE(LOWER(_xlfn.XLOOKUP($A286,Строчный!$A:$A,Строчный!J:J,"ERR",0)),"подклад","Подклад")</f>
        <v>50% бумага - 50% полипропилен</v>
      </c>
      <c r="K286" s="81" t="str">
        <f ca="1">LOWER(_xlfn.XLOOKUP($A286,Строчный!$A:$A,Строчный!K:K,"ERR",0))</f>
        <v>бумажные</v>
      </c>
      <c r="L286" s="81" t="str">
        <f ca="1">PROPER(_xlfn.XLOOKUP($A286,Строчный!$A:$A,Строчный!L:L,"ERR",0))</f>
        <v>Унисекс</v>
      </c>
      <c r="M286" s="113" t="str">
        <f ca="1">PROPER(_xlfn.XLOOKUP($A286,Строчный!$A:$A,Строчный!M:M,"ERR",0))</f>
        <v>Китай</v>
      </c>
      <c r="N286" s="81" t="str">
        <f ca="1">UPPER(_xlfn.XLOOKUP($A286,Строчный!$A:$A,Строчный!O:O,"ERR",0))</f>
        <v/>
      </c>
      <c r="O286" s="107" t="str">
        <f ca="1">PROPER(_xlfn.XLOOKUP($A286,Строчный!$A:$A,Строчный!P:P,"ERR",0))</f>
        <v/>
      </c>
      <c r="P286" s="90">
        <f ca="1">VALUE(_xlfn.XLOOKUP($A286,Строчный!$A:$A,Строчный!N:N,"ERR",0))</f>
        <v>2380.9500000000003</v>
      </c>
      <c r="Q286" s="89" t="str">
        <f ca="1">_xlfn.XLOOKUP($G286,Фабрика!A:A,Фабрика!B:B,"ERR",0)</f>
        <v>Bollman Headwear Europe Ltd; 2 Merchants drive, Caelisle, Cumbria CA3 0JW, United Kingdom</v>
      </c>
      <c r="R286" s="80" t="str">
        <f ca="1">_xlfn.XLOOKUP(RIGHT(Z286,2),Размеры!D:D,Размеры!A:A,"ERR",0)</f>
        <v>57</v>
      </c>
      <c r="S286" s="80">
        <f ca="1">VALUE(_xlfn.XLOOKUP($Z286,Строчный!$R:$R,Строчный!T:T,"ERR",0))</f>
        <v>9</v>
      </c>
      <c r="T286" s="14" t="s">
        <v>265</v>
      </c>
      <c r="U286" s="101" t="str">
        <f t="shared" ca="1" si="28"/>
        <v>Шляпа BAILEY арт. 81810 WAITS (бежевый)</v>
      </c>
      <c r="V286" s="100" t="str">
        <f t="shared" ca="1" si="29"/>
        <v>Шляпа BAILEY арт. 81810 WAITS (бежевый) {sand}</v>
      </c>
      <c r="W286" s="18" t="str">
        <f t="shared" ca="1" si="30"/>
        <v>бежевый</v>
      </c>
      <c r="X286" s="18" t="str">
        <f t="shared" ca="1" si="31"/>
        <v>бежевый</v>
      </c>
      <c r="Y286" s="117" t="str">
        <f ca="1">_xlfn.LET(_xlpm.FormColors,_xlfn.XLOOKUP(A286,Строчный!A:A,Строчный!Q:Q,"",0),IF(_xlpm.FormColors=0,IFERROR(MID(I286,FIND("-",I286)+1,LEN(I286)),IFERROR(MID(I286,1,FIND("/",I286)-2),I286)),_xlpm.FormColors))</f>
        <v>бежевый</v>
      </c>
      <c r="Z286" s="73" t="str">
        <f ca="1"/>
        <v>21-155-02-57</v>
      </c>
      <c r="AA286" s="75" t="str">
        <f ca="1">VLOOKUP(C286,Группа!A:B,2,FALSE)</f>
        <v>Шляпа</v>
      </c>
      <c r="AB286" s="97" t="str">
        <f ca="1">IFERROR(VLOOKUP(R286,Размеры!A:C,3,FALSE),"")</f>
        <v>57 M</v>
      </c>
      <c r="AC286" s="97" t="str">
        <f ca="1">VLOOKUP(I286,ЦветПолный!A:B,2,FALSE)</f>
        <v>02</v>
      </c>
      <c r="AD286" s="97" t="str">
        <f ca="1">IFERROR(VLOOKUP(R286,Размеры!A:D,4,FALSE),"")</f>
        <v>57</v>
      </c>
      <c r="AE286" s="97">
        <f ca="1">IF(LEFT(IFERROR(VLOOKUP(LOOKUP(2,1/SEARCH(B286,Товары!A:A),Товары!A:A),Товары!A:B,2,0),""),6)=MID(Z286,1,6),1,0)</f>
        <v>1</v>
      </c>
      <c r="AG286" s="97">
        <f ca="1">SUMIF(Группа!A:A,C286,Группа!C:C)</f>
        <v>1</v>
      </c>
      <c r="AH286" s="97">
        <f ca="1">SUMIF(Группа!B:B,AA286,Группа!C:C)</f>
        <v>1</v>
      </c>
      <c r="AI286" s="97">
        <f ca="1">SUMIF(Формы!A:A,D286,Формы!B:B)</f>
        <v>1</v>
      </c>
      <c r="AJ286" s="97">
        <f ca="1">SUMIF(Материал!A:A,K286,Материал!B:B)</f>
        <v>1</v>
      </c>
      <c r="AK286" s="97">
        <f ca="1">SUMIF(Размеры!A:A,R286,Размеры!E:E)</f>
        <v>1</v>
      </c>
      <c r="AL286" s="97">
        <f ca="1">SUMIF(Сезон!A:A,F286,Сезон!B:B)</f>
        <v>1</v>
      </c>
      <c r="AM286" s="97">
        <f ca="1">SUMIF(Состав!A:A,J286,Состав!B:B)</f>
        <v>1</v>
      </c>
      <c r="AN286" s="97">
        <f ca="1">VLOOKUP(I286,ЦветПолный!A:C,3,0)</f>
        <v>1</v>
      </c>
      <c r="AO286" s="97">
        <f ca="1">SUMIF(Цвет!A:A,Y286,Цвет!B:B)</f>
        <v>1</v>
      </c>
      <c r="AP286" s="97">
        <f ca="1">_xlfn.XLOOKUP(L286,Пол!A:A,Пол!B:B,0,0)</f>
        <v>1</v>
      </c>
      <c r="AQ286" s="97">
        <f ca="1">SUMIF(Марка!A:A,G286,Марка!B:B)</f>
        <v>1</v>
      </c>
      <c r="AR286" s="97">
        <f ca="1">SUMIF(Страна!A:A,M286,Страна!B:B)</f>
        <v>1</v>
      </c>
      <c r="AS286" s="64" t="str">
        <f ca="1">IF(VLOOKUP(V286,Товары!A:B,2,FALSE)=A286,"Есть в 1С","ERR")</f>
        <v>Есть в 1С</v>
      </c>
      <c r="AT286" s="65" t="str">
        <f ca="1">IF(VLOOKUP(A286,Товары!B:B,1,FALSE)=A286,"Есть в 1С","ERR")</f>
        <v>Есть в 1С</v>
      </c>
      <c r="AU286" s="96" t="str">
        <f ca="1">VLOOKUP(V286,Товары!A:B,2,FALSE)</f>
        <v>21-155-02</v>
      </c>
      <c r="AV286" s="94" t="str">
        <f ca="1">VLOOKUP(V286,Товары!A:B,1,FALSE)</f>
        <v>Шляпа BAILEY арт. 81810 WAITS (бежевый) {sand}</v>
      </c>
    </row>
    <row r="287" spans="1:48" x14ac:dyDescent="0.25">
      <c r="A287" s="110" t="str">
        <f t="shared" ca="1" si="32"/>
        <v>21-155-02</v>
      </c>
      <c r="B287" s="107" t="str">
        <f ca="1">_xlfn.LET(_xlpm.CAPS,0,_xlpm.Style,_xlfn.XLOOKUP($A287,Строчный!$A:$A,Строчный!B:B,"ERR",0),IF(_xlpm.CAPS=0,_xlpm.Style,LOWER(_xlpm.Style)))</f>
        <v>81810 WAITS</v>
      </c>
      <c r="C287" s="81" t="str">
        <f ca="1">PROPER(_xlfn.XLOOKUP($A287,Строчный!$A:$A,Строчный!C:C,"ERR",0))</f>
        <v>Шляпы</v>
      </c>
      <c r="D287" s="81" t="str">
        <f ca="1">_xlfn.LET(_xlpm.DATA,(_xlfn.XLOOKUP($A287,Строчный!$A:$A,Строчный!D:D,"ERR",0)),UPPER(MID(_xlpm.DATA,1,1))&amp;LOWER(MID(_xlpm.DATA,2,LEN(_xlpm.DATA)-1)))</f>
        <v>Шляпа поркпай</v>
      </c>
      <c r="E287" s="81" t="str">
        <f ca="1">PROPER(_xlfn.XLOOKUP($A287,Строчный!$A:$A,Строчный!E:E,"ERR",0))</f>
        <v>The Hollywood</v>
      </c>
      <c r="F287" s="81" t="str">
        <f ca="1">LOWER(_xlfn.XLOOKUP($A287,Строчный!$A:$A,Строчный!F:F,"ERR",0))</f>
        <v>летний</v>
      </c>
      <c r="G287" s="81" t="str">
        <f ca="1">UPPER(_xlfn.XLOOKUP($A287,Строчный!$A:$A,Строчный!G:G,"ERR",0))</f>
        <v>BAILEY</v>
      </c>
      <c r="H287" s="81" t="str">
        <f ca="1">LOWER(_xlfn.XLOOKUP($A287,Строчный!$A:$A,Строчный!H:H,"ERR",0))</f>
        <v>sand</v>
      </c>
      <c r="I287" s="81" t="str">
        <f ca="1">LOWER(_xlfn.XLOOKUP($A287,Строчный!$A:$A,Строчный!I:I,"ERR",0))</f>
        <v>бежевый</v>
      </c>
      <c r="J287" s="81" t="str">
        <f ca="1">SUBSTITUTE(LOWER(_xlfn.XLOOKUP($A287,Строчный!$A:$A,Строчный!J:J,"ERR",0)),"подклад","Подклад")</f>
        <v>50% бумага - 50% полипропилен</v>
      </c>
      <c r="K287" s="81" t="str">
        <f ca="1">LOWER(_xlfn.XLOOKUP($A287,Строчный!$A:$A,Строчный!K:K,"ERR",0))</f>
        <v>бумажные</v>
      </c>
      <c r="L287" s="81" t="str">
        <f ca="1">PROPER(_xlfn.XLOOKUP($A287,Строчный!$A:$A,Строчный!L:L,"ERR",0))</f>
        <v>Унисекс</v>
      </c>
      <c r="M287" s="113" t="str">
        <f ca="1">PROPER(_xlfn.XLOOKUP($A287,Строчный!$A:$A,Строчный!M:M,"ERR",0))</f>
        <v>Китай</v>
      </c>
      <c r="N287" s="81" t="str">
        <f ca="1">UPPER(_xlfn.XLOOKUP($A287,Строчный!$A:$A,Строчный!O:O,"ERR",0))</f>
        <v/>
      </c>
      <c r="O287" s="107" t="str">
        <f ca="1">PROPER(_xlfn.XLOOKUP($A287,Строчный!$A:$A,Строчный!P:P,"ERR",0))</f>
        <v/>
      </c>
      <c r="P287" s="90">
        <f ca="1">VALUE(_xlfn.XLOOKUP($A287,Строчный!$A:$A,Строчный!N:N,"ERR",0))</f>
        <v>2380.9500000000003</v>
      </c>
      <c r="Q287" s="89" t="str">
        <f ca="1">_xlfn.XLOOKUP($G287,Фабрика!A:A,Фабрика!B:B,"ERR",0)</f>
        <v>Bollman Headwear Europe Ltd; 2 Merchants drive, Caelisle, Cumbria CA3 0JW, United Kingdom</v>
      </c>
      <c r="R287" s="80" t="str">
        <f ca="1">_xlfn.XLOOKUP(RIGHT(Z287,2),Размеры!D:D,Размеры!A:A,"ERR",0)</f>
        <v>55</v>
      </c>
      <c r="S287" s="80">
        <f ca="1">VALUE(_xlfn.XLOOKUP($Z287,Строчный!$R:$R,Строчный!T:T,"ERR",0))</f>
        <v>4</v>
      </c>
      <c r="T287" s="14" t="s">
        <v>265</v>
      </c>
      <c r="U287" s="101" t="str">
        <f t="shared" ca="1" si="28"/>
        <v>Шляпа BAILEY арт. 81810 WAITS (бежевый)</v>
      </c>
      <c r="V287" s="100" t="str">
        <f t="shared" ca="1" si="29"/>
        <v>Шляпа BAILEY арт. 81810 WAITS (бежевый) {sand}</v>
      </c>
      <c r="W287" s="18" t="str">
        <f t="shared" ca="1" si="30"/>
        <v>бежевый</v>
      </c>
      <c r="X287" s="18" t="str">
        <f t="shared" ca="1" si="31"/>
        <v>бежевый</v>
      </c>
      <c r="Y287" s="117" t="str">
        <f ca="1">_xlfn.LET(_xlpm.FormColors,_xlfn.XLOOKUP(A287,Строчный!A:A,Строчный!Q:Q,"",0),IF(_xlpm.FormColors=0,IFERROR(MID(I287,FIND("-",I287)+1,LEN(I287)),IFERROR(MID(I287,1,FIND("/",I287)-2),I287)),_xlpm.FormColors))</f>
        <v>бежевый</v>
      </c>
      <c r="Z287" s="73" t="str">
        <f ca="1"/>
        <v>21-155-02-55</v>
      </c>
      <c r="AA287" s="75" t="str">
        <f ca="1">VLOOKUP(C287,Группа!A:B,2,FALSE)</f>
        <v>Шляпа</v>
      </c>
      <c r="AB287" s="97" t="str">
        <f ca="1">IFERROR(VLOOKUP(R287,Размеры!A:C,3,FALSE),"")</f>
        <v>55 S</v>
      </c>
      <c r="AC287" s="97" t="str">
        <f ca="1">VLOOKUP(I287,ЦветПолный!A:B,2,FALSE)</f>
        <v>02</v>
      </c>
      <c r="AD287" s="97" t="str">
        <f ca="1">IFERROR(VLOOKUP(R287,Размеры!A:D,4,FALSE),"")</f>
        <v>55</v>
      </c>
      <c r="AE287" s="97">
        <f ca="1">IF(LEFT(IFERROR(VLOOKUP(LOOKUP(2,1/SEARCH(B287,Товары!A:A),Товары!A:A),Товары!A:B,2,0),""),6)=MID(Z287,1,6),1,0)</f>
        <v>1</v>
      </c>
      <c r="AG287" s="97">
        <f ca="1">SUMIF(Группа!A:A,C287,Группа!C:C)</f>
        <v>1</v>
      </c>
      <c r="AH287" s="97">
        <f ca="1">SUMIF(Группа!B:B,AA287,Группа!C:C)</f>
        <v>1</v>
      </c>
      <c r="AI287" s="97">
        <f ca="1">SUMIF(Формы!A:A,D287,Формы!B:B)</f>
        <v>1</v>
      </c>
      <c r="AJ287" s="97">
        <f ca="1">SUMIF(Материал!A:A,K287,Материал!B:B)</f>
        <v>1</v>
      </c>
      <c r="AK287" s="97">
        <f ca="1">SUMIF(Размеры!A:A,R287,Размеры!E:E)</f>
        <v>1</v>
      </c>
      <c r="AL287" s="97">
        <f ca="1">SUMIF(Сезон!A:A,F287,Сезон!B:B)</f>
        <v>1</v>
      </c>
      <c r="AM287" s="97">
        <f ca="1">SUMIF(Состав!A:A,J287,Состав!B:B)</f>
        <v>1</v>
      </c>
      <c r="AN287" s="97">
        <f ca="1">VLOOKUP(I287,ЦветПолный!A:C,3,0)</f>
        <v>1</v>
      </c>
      <c r="AO287" s="97">
        <f ca="1">SUMIF(Цвет!A:A,Y287,Цвет!B:B)</f>
        <v>1</v>
      </c>
      <c r="AP287" s="97">
        <f ca="1">_xlfn.XLOOKUP(L287,Пол!A:A,Пол!B:B,0,0)</f>
        <v>1</v>
      </c>
      <c r="AQ287" s="97">
        <f ca="1">SUMIF(Марка!A:A,G287,Марка!B:B)</f>
        <v>1</v>
      </c>
      <c r="AR287" s="97">
        <f ca="1">SUMIF(Страна!A:A,M287,Страна!B:B)</f>
        <v>1</v>
      </c>
      <c r="AS287" s="64" t="str">
        <f ca="1">IF(VLOOKUP(V287,Товары!A:B,2,FALSE)=A287,"Есть в 1С","ERR")</f>
        <v>Есть в 1С</v>
      </c>
      <c r="AT287" s="65" t="str">
        <f ca="1">IF(VLOOKUP(A287,Товары!B:B,1,FALSE)=A287,"Есть в 1С","ERR")</f>
        <v>Есть в 1С</v>
      </c>
      <c r="AU287" s="96" t="str">
        <f ca="1">VLOOKUP(V287,Товары!A:B,2,FALSE)</f>
        <v>21-155-02</v>
      </c>
      <c r="AV287" s="94" t="str">
        <f ca="1">VLOOKUP(V287,Товары!A:B,1,FALSE)</f>
        <v>Шляпа BAILEY арт. 81810 WAITS (бежевый) {sand}</v>
      </c>
    </row>
    <row r="288" spans="1:48" x14ac:dyDescent="0.25">
      <c r="A288" s="110" t="str">
        <f t="shared" ca="1" si="32"/>
        <v>21-150-17</v>
      </c>
      <c r="B288" s="107" t="str">
        <f ca="1">_xlfn.LET(_xlpm.CAPS,0,_xlpm.Style,_xlfn.XLOOKUP($A288,Строчный!$A:$A,Строчный!B:B,"ERR",0),IF(_xlpm.CAPS=0,_xlpm.Style,LOWER(_xlpm.Style)))</f>
        <v>81695 MANNESROE</v>
      </c>
      <c r="C288" s="81" t="str">
        <f ca="1">PROPER(_xlfn.XLOOKUP($A288,Строчный!$A:$A,Строчный!C:C,"ERR",0))</f>
        <v>Шляпы</v>
      </c>
      <c r="D288" s="81" t="str">
        <f ca="1">_xlfn.LET(_xlpm.DATA,(_xlfn.XLOOKUP($A288,Строчный!$A:$A,Строчный!D:D,"ERR",0)),UPPER(MID(_xlpm.DATA,1,1))&amp;LOWER(MID(_xlpm.DATA,2,LEN(_xlpm.DATA)-1)))</f>
        <v>Шляпа федора</v>
      </c>
      <c r="E288" s="81" t="str">
        <f ca="1">PROPER(_xlfn.XLOOKUP($A288,Строчный!$A:$A,Строчный!E:E,"ERR",0))</f>
        <v>The Hollywood</v>
      </c>
      <c r="F288" s="81" t="str">
        <f ca="1">LOWER(_xlfn.XLOOKUP($A288,Строчный!$A:$A,Строчный!F:F,"ERR",0))</f>
        <v>всесезон</v>
      </c>
      <c r="G288" s="81" t="str">
        <f ca="1">UPPER(_xlfn.XLOOKUP($A288,Строчный!$A:$A,Строчный!G:G,"ERR",0))</f>
        <v>BAILEY</v>
      </c>
      <c r="H288" s="81" t="str">
        <f ca="1">LOWER(_xlfn.XLOOKUP($A288,Строчный!$A:$A,Строчный!H:H,"ERR",0))</f>
        <v>ivory/adobe multi</v>
      </c>
      <c r="I288" s="81" t="str">
        <f ca="1">LOWER(_xlfn.XLOOKUP($A288,Строчный!$A:$A,Строчный!I:I,"ERR",0))</f>
        <v>белый</v>
      </c>
      <c r="J288" s="81" t="str">
        <f ca="1">SUBSTITUTE(LOWER(_xlfn.XLOOKUP($A288,Строчный!$A:$A,Строчный!J:J,"ERR",0)),"подклад","Подклад")</f>
        <v>100% полипропилен</v>
      </c>
      <c r="K288" s="81" t="str">
        <f ca="1">LOWER(_xlfn.XLOOKUP($A288,Строчный!$A:$A,Строчный!K:K,"ERR",0))</f>
        <v/>
      </c>
      <c r="L288" s="81" t="str">
        <f ca="1">PROPER(_xlfn.XLOOKUP($A288,Строчный!$A:$A,Строчный!L:L,"ERR",0))</f>
        <v>Унисекс</v>
      </c>
      <c r="M288" s="113" t="str">
        <f ca="1">PROPER(_xlfn.XLOOKUP($A288,Строчный!$A:$A,Строчный!M:M,"ERR",0))</f>
        <v>Китай</v>
      </c>
      <c r="N288" s="81" t="str">
        <f ca="1">UPPER(_xlfn.XLOOKUP($A288,Строчный!$A:$A,Строчный!O:O,"ERR",0))</f>
        <v/>
      </c>
      <c r="O288" s="107" t="str">
        <f ca="1">PROPER(_xlfn.XLOOKUP($A288,Строчный!$A:$A,Строчный!P:P,"ERR",0))</f>
        <v/>
      </c>
      <c r="P288" s="90">
        <f ca="1">VALUE(_xlfn.XLOOKUP($A288,Строчный!$A:$A,Строчный!N:N,"ERR",0))</f>
        <v>2094.3000000000002</v>
      </c>
      <c r="Q288" s="89" t="str">
        <f ca="1">_xlfn.XLOOKUP($G288,Фабрика!A:A,Фабрика!B:B,"ERR",0)</f>
        <v>Bollman Headwear Europe Ltd; 2 Merchants drive, Caelisle, Cumbria CA3 0JW, United Kingdom</v>
      </c>
      <c r="R288" s="80" t="str">
        <f ca="1">_xlfn.XLOOKUP(RIGHT(Z288,2),Размеры!D:D,Размеры!A:A,"ERR",0)</f>
        <v>63</v>
      </c>
      <c r="S288" s="80">
        <f ca="1">VALUE(_xlfn.XLOOKUP($Z288,Строчный!$R:$R,Строчный!T:T,"ERR",0))</f>
        <v>2</v>
      </c>
      <c r="T288" s="14" t="s">
        <v>265</v>
      </c>
      <c r="U288" s="101" t="str">
        <f t="shared" ca="1" si="28"/>
        <v>Шляпа BAILEY арт. 81695 MANNESROE (белый)</v>
      </c>
      <c r="V288" s="100" t="str">
        <f t="shared" ca="1" si="29"/>
        <v>Шляпа BAILEY арт. 81695 MANNESROE (белый) {ivory/adobe multi}</v>
      </c>
      <c r="W288" s="18" t="str">
        <f t="shared" ca="1" si="30"/>
        <v>белый</v>
      </c>
      <c r="X288" s="18" t="str">
        <f t="shared" ca="1" si="31"/>
        <v>белый</v>
      </c>
      <c r="Y288" s="117" t="str">
        <f ca="1">_xlfn.LET(_xlpm.FormColors,_xlfn.XLOOKUP(A288,Строчный!A:A,Строчный!Q:Q,"",0),IF(_xlpm.FormColors=0,IFERROR(MID(I288,FIND("-",I288)+1,LEN(I288)),IFERROR(MID(I288,1,FIND("/",I288)-2),I288)),_xlpm.FormColors))</f>
        <v>белый</v>
      </c>
      <c r="Z288" s="73" t="str">
        <f ca="1"/>
        <v>21-150-17-63</v>
      </c>
      <c r="AA288" s="75" t="str">
        <f ca="1">VLOOKUP(C288,Группа!A:B,2,FALSE)</f>
        <v>Шляпа</v>
      </c>
      <c r="AB288" s="97" t="str">
        <f ca="1">IFERROR(VLOOKUP(R288,Размеры!A:C,3,FALSE),"")</f>
        <v>63 XXL</v>
      </c>
      <c r="AC288" s="97" t="str">
        <f ca="1">VLOOKUP(I288,ЦветПолный!A:B,2,FALSE)</f>
        <v>17</v>
      </c>
      <c r="AD288" s="97" t="str">
        <f ca="1">IFERROR(VLOOKUP(R288,Размеры!A:D,4,FALSE),"")</f>
        <v>63</v>
      </c>
      <c r="AE288" s="97">
        <f ca="1">IF(LEFT(IFERROR(VLOOKUP(LOOKUP(2,1/SEARCH(B288,Товары!A:A),Товары!A:A),Товары!A:B,2,0),""),6)=MID(Z288,1,6),1,0)</f>
        <v>1</v>
      </c>
      <c r="AG288" s="97">
        <f ca="1">SUMIF(Группа!A:A,C288,Группа!C:C)</f>
        <v>1</v>
      </c>
      <c r="AH288" s="97">
        <f ca="1">SUMIF(Группа!B:B,AA288,Группа!C:C)</f>
        <v>1</v>
      </c>
      <c r="AI288" s="97">
        <f ca="1">SUMIF(Формы!A:A,D288,Формы!B:B)</f>
        <v>1</v>
      </c>
      <c r="AJ288" s="97">
        <f ca="1">SUMIF(Материал!A:A,K288,Материал!B:B)</f>
        <v>0</v>
      </c>
      <c r="AK288" s="97">
        <f ca="1">SUMIF(Размеры!A:A,R288,Размеры!E:E)</f>
        <v>1</v>
      </c>
      <c r="AL288" s="97">
        <f ca="1">SUMIF(Сезон!A:A,F288,Сезон!B:B)</f>
        <v>1</v>
      </c>
      <c r="AM288" s="97">
        <f ca="1">SUMIF(Состав!A:A,J288,Состав!B:B)</f>
        <v>1</v>
      </c>
      <c r="AN288" s="97">
        <f ca="1">VLOOKUP(I288,ЦветПолный!A:C,3,0)</f>
        <v>1</v>
      </c>
      <c r="AO288" s="97">
        <f ca="1">SUMIF(Цвет!A:A,Y288,Цвет!B:B)</f>
        <v>1</v>
      </c>
      <c r="AP288" s="97">
        <f ca="1">_xlfn.XLOOKUP(L288,Пол!A:A,Пол!B:B,0,0)</f>
        <v>1</v>
      </c>
      <c r="AQ288" s="97">
        <f ca="1">SUMIF(Марка!A:A,G288,Марка!B:B)</f>
        <v>1</v>
      </c>
      <c r="AR288" s="97">
        <f ca="1">SUMIF(Страна!A:A,M288,Страна!B:B)</f>
        <v>1</v>
      </c>
      <c r="AS288" s="64" t="e">
        <f ca="1">IF(VLOOKUP(V288,Товары!A:B,2,FALSE)=A288,"Есть в 1С","ERR")</f>
        <v>#N/A</v>
      </c>
      <c r="AT288" s="65" t="e">
        <f ca="1">IF(VLOOKUP(A288,Товары!B:B,1,FALSE)=A288,"Есть в 1С","ERR")</f>
        <v>#N/A</v>
      </c>
      <c r="AU288" s="96" t="e">
        <f ca="1">VLOOKUP(V288,Товары!A:B,2,FALSE)</f>
        <v>#N/A</v>
      </c>
      <c r="AV288" s="94" t="e">
        <f ca="1">VLOOKUP(V288,Товары!A:B,1,FALSE)</f>
        <v>#N/A</v>
      </c>
    </row>
    <row r="289" spans="1:48" x14ac:dyDescent="0.25">
      <c r="A289" s="110" t="str">
        <f t="shared" ca="1" si="32"/>
        <v>21-150-17</v>
      </c>
      <c r="B289" s="107" t="str">
        <f ca="1">_xlfn.LET(_xlpm.CAPS,0,_xlpm.Style,_xlfn.XLOOKUP($A289,Строчный!$A:$A,Строчный!B:B,"ERR",0),IF(_xlpm.CAPS=0,_xlpm.Style,LOWER(_xlpm.Style)))</f>
        <v>81695 MANNESROE</v>
      </c>
      <c r="C289" s="81" t="str">
        <f ca="1">PROPER(_xlfn.XLOOKUP($A289,Строчный!$A:$A,Строчный!C:C,"ERR",0))</f>
        <v>Шляпы</v>
      </c>
      <c r="D289" s="81" t="str">
        <f ca="1">_xlfn.LET(_xlpm.DATA,(_xlfn.XLOOKUP($A289,Строчный!$A:$A,Строчный!D:D,"ERR",0)),UPPER(MID(_xlpm.DATA,1,1))&amp;LOWER(MID(_xlpm.DATA,2,LEN(_xlpm.DATA)-1)))</f>
        <v>Шляпа федора</v>
      </c>
      <c r="E289" s="81" t="str">
        <f ca="1">PROPER(_xlfn.XLOOKUP($A289,Строчный!$A:$A,Строчный!E:E,"ERR",0))</f>
        <v>The Hollywood</v>
      </c>
      <c r="F289" s="81" t="str">
        <f ca="1">LOWER(_xlfn.XLOOKUP($A289,Строчный!$A:$A,Строчный!F:F,"ERR",0))</f>
        <v>всесезон</v>
      </c>
      <c r="G289" s="81" t="str">
        <f ca="1">UPPER(_xlfn.XLOOKUP($A289,Строчный!$A:$A,Строчный!G:G,"ERR",0))</f>
        <v>BAILEY</v>
      </c>
      <c r="H289" s="81" t="str">
        <f ca="1">LOWER(_xlfn.XLOOKUP($A289,Строчный!$A:$A,Строчный!H:H,"ERR",0))</f>
        <v>ivory/adobe multi</v>
      </c>
      <c r="I289" s="81" t="str">
        <f ca="1">LOWER(_xlfn.XLOOKUP($A289,Строчный!$A:$A,Строчный!I:I,"ERR",0))</f>
        <v>белый</v>
      </c>
      <c r="J289" s="81" t="str">
        <f ca="1">SUBSTITUTE(LOWER(_xlfn.XLOOKUP($A289,Строчный!$A:$A,Строчный!J:J,"ERR",0)),"подклад","Подклад")</f>
        <v>100% полипропилен</v>
      </c>
      <c r="K289" s="81" t="str">
        <f ca="1">LOWER(_xlfn.XLOOKUP($A289,Строчный!$A:$A,Строчный!K:K,"ERR",0))</f>
        <v/>
      </c>
      <c r="L289" s="81" t="str">
        <f ca="1">PROPER(_xlfn.XLOOKUP($A289,Строчный!$A:$A,Строчный!L:L,"ERR",0))</f>
        <v>Унисекс</v>
      </c>
      <c r="M289" s="113" t="str">
        <f ca="1">PROPER(_xlfn.XLOOKUP($A289,Строчный!$A:$A,Строчный!M:M,"ERR",0))</f>
        <v>Китай</v>
      </c>
      <c r="N289" s="81" t="str">
        <f ca="1">UPPER(_xlfn.XLOOKUP($A289,Строчный!$A:$A,Строчный!O:O,"ERR",0))</f>
        <v/>
      </c>
      <c r="O289" s="107" t="str">
        <f ca="1">PROPER(_xlfn.XLOOKUP($A289,Строчный!$A:$A,Строчный!P:P,"ERR",0))</f>
        <v/>
      </c>
      <c r="P289" s="90">
        <f ca="1">VALUE(_xlfn.XLOOKUP($A289,Строчный!$A:$A,Строчный!N:N,"ERR",0))</f>
        <v>2094.3000000000002</v>
      </c>
      <c r="Q289" s="89" t="str">
        <f ca="1">_xlfn.XLOOKUP($G289,Фабрика!A:A,Фабрика!B:B,"ERR",0)</f>
        <v>Bollman Headwear Europe Ltd; 2 Merchants drive, Caelisle, Cumbria CA3 0JW, United Kingdom</v>
      </c>
      <c r="R289" s="80" t="str">
        <f ca="1">_xlfn.XLOOKUP(RIGHT(Z289,2),Размеры!D:D,Размеры!A:A,"ERR",0)</f>
        <v>61</v>
      </c>
      <c r="S289" s="80">
        <f ca="1">VALUE(_xlfn.XLOOKUP($Z289,Строчный!$R:$R,Строчный!T:T,"ERR",0))</f>
        <v>7</v>
      </c>
      <c r="T289" s="14" t="s">
        <v>265</v>
      </c>
      <c r="U289" s="101" t="str">
        <f t="shared" ca="1" si="28"/>
        <v>Шляпа BAILEY арт. 81695 MANNESROE (белый)</v>
      </c>
      <c r="V289" s="100" t="str">
        <f t="shared" ca="1" si="29"/>
        <v>Шляпа BAILEY арт. 81695 MANNESROE (белый) {ivory/adobe multi}</v>
      </c>
      <c r="W289" s="18" t="str">
        <f t="shared" ca="1" si="30"/>
        <v>белый</v>
      </c>
      <c r="X289" s="18" t="str">
        <f t="shared" ca="1" si="31"/>
        <v>белый</v>
      </c>
      <c r="Y289" s="117" t="str">
        <f ca="1">_xlfn.LET(_xlpm.FormColors,_xlfn.XLOOKUP(A289,Строчный!A:A,Строчный!Q:Q,"",0),IF(_xlpm.FormColors=0,IFERROR(MID(I289,FIND("-",I289)+1,LEN(I289)),IFERROR(MID(I289,1,FIND("/",I289)-2),I289)),_xlpm.FormColors))</f>
        <v>белый</v>
      </c>
      <c r="Z289" s="73" t="str">
        <f ca="1"/>
        <v>21-150-17-61</v>
      </c>
      <c r="AA289" s="75" t="str">
        <f ca="1">VLOOKUP(C289,Группа!A:B,2,FALSE)</f>
        <v>Шляпа</v>
      </c>
      <c r="AB289" s="97" t="str">
        <f ca="1">IFERROR(VLOOKUP(R289,Размеры!A:C,3,FALSE),"")</f>
        <v>61 XL</v>
      </c>
      <c r="AC289" s="97" t="str">
        <f ca="1">VLOOKUP(I289,ЦветПолный!A:B,2,FALSE)</f>
        <v>17</v>
      </c>
      <c r="AD289" s="97" t="str">
        <f ca="1">IFERROR(VLOOKUP(R289,Размеры!A:D,4,FALSE),"")</f>
        <v>61</v>
      </c>
      <c r="AE289" s="97">
        <f ca="1">IF(LEFT(IFERROR(VLOOKUP(LOOKUP(2,1/SEARCH(B289,Товары!A:A),Товары!A:A),Товары!A:B,2,0),""),6)=MID(Z289,1,6),1,0)</f>
        <v>1</v>
      </c>
      <c r="AG289" s="97">
        <f ca="1">SUMIF(Группа!A:A,C289,Группа!C:C)</f>
        <v>1</v>
      </c>
      <c r="AH289" s="97">
        <f ca="1">SUMIF(Группа!B:B,AA289,Группа!C:C)</f>
        <v>1</v>
      </c>
      <c r="AI289" s="97">
        <f ca="1">SUMIF(Формы!A:A,D289,Формы!B:B)</f>
        <v>1</v>
      </c>
      <c r="AJ289" s="97">
        <f ca="1">SUMIF(Материал!A:A,K289,Материал!B:B)</f>
        <v>0</v>
      </c>
      <c r="AK289" s="97">
        <f ca="1">SUMIF(Размеры!A:A,R289,Размеры!E:E)</f>
        <v>1</v>
      </c>
      <c r="AL289" s="97">
        <f ca="1">SUMIF(Сезон!A:A,F289,Сезон!B:B)</f>
        <v>1</v>
      </c>
      <c r="AM289" s="97">
        <f ca="1">SUMIF(Состав!A:A,J289,Состав!B:B)</f>
        <v>1</v>
      </c>
      <c r="AN289" s="97">
        <f ca="1">VLOOKUP(I289,ЦветПолный!A:C,3,0)</f>
        <v>1</v>
      </c>
      <c r="AO289" s="97">
        <f ca="1">SUMIF(Цвет!A:A,Y289,Цвет!B:B)</f>
        <v>1</v>
      </c>
      <c r="AP289" s="97">
        <f ca="1">_xlfn.XLOOKUP(L289,Пол!A:A,Пол!B:B,0,0)</f>
        <v>1</v>
      </c>
      <c r="AQ289" s="97">
        <f ca="1">SUMIF(Марка!A:A,G289,Марка!B:B)</f>
        <v>1</v>
      </c>
      <c r="AR289" s="97">
        <f ca="1">SUMIF(Страна!A:A,M289,Страна!B:B)</f>
        <v>1</v>
      </c>
      <c r="AS289" s="64" t="e">
        <f ca="1">IF(VLOOKUP(V289,Товары!A:B,2,FALSE)=A289,"Есть в 1С","ERR")</f>
        <v>#N/A</v>
      </c>
      <c r="AT289" s="65" t="e">
        <f ca="1">IF(VLOOKUP(A289,Товары!B:B,1,FALSE)=A289,"Есть в 1С","ERR")</f>
        <v>#N/A</v>
      </c>
      <c r="AU289" s="96" t="e">
        <f ca="1">VLOOKUP(V289,Товары!A:B,2,FALSE)</f>
        <v>#N/A</v>
      </c>
      <c r="AV289" s="94" t="e">
        <f ca="1">VLOOKUP(V289,Товары!A:B,1,FALSE)</f>
        <v>#N/A</v>
      </c>
    </row>
    <row r="290" spans="1:48" x14ac:dyDescent="0.25">
      <c r="A290" s="110" t="str">
        <f t="shared" ca="1" si="32"/>
        <v>21-150-17</v>
      </c>
      <c r="B290" s="107" t="str">
        <f ca="1">_xlfn.LET(_xlpm.CAPS,0,_xlpm.Style,_xlfn.XLOOKUP($A290,Строчный!$A:$A,Строчный!B:B,"ERR",0),IF(_xlpm.CAPS=0,_xlpm.Style,LOWER(_xlpm.Style)))</f>
        <v>81695 MANNESROE</v>
      </c>
      <c r="C290" s="81" t="str">
        <f ca="1">PROPER(_xlfn.XLOOKUP($A290,Строчный!$A:$A,Строчный!C:C,"ERR",0))</f>
        <v>Шляпы</v>
      </c>
      <c r="D290" s="81" t="str">
        <f ca="1">_xlfn.LET(_xlpm.DATA,(_xlfn.XLOOKUP($A290,Строчный!$A:$A,Строчный!D:D,"ERR",0)),UPPER(MID(_xlpm.DATA,1,1))&amp;LOWER(MID(_xlpm.DATA,2,LEN(_xlpm.DATA)-1)))</f>
        <v>Шляпа федора</v>
      </c>
      <c r="E290" s="81" t="str">
        <f ca="1">PROPER(_xlfn.XLOOKUP($A290,Строчный!$A:$A,Строчный!E:E,"ERR",0))</f>
        <v>The Hollywood</v>
      </c>
      <c r="F290" s="81" t="str">
        <f ca="1">LOWER(_xlfn.XLOOKUP($A290,Строчный!$A:$A,Строчный!F:F,"ERR",0))</f>
        <v>всесезон</v>
      </c>
      <c r="G290" s="81" t="str">
        <f ca="1">UPPER(_xlfn.XLOOKUP($A290,Строчный!$A:$A,Строчный!G:G,"ERR",0))</f>
        <v>BAILEY</v>
      </c>
      <c r="H290" s="81" t="str">
        <f ca="1">LOWER(_xlfn.XLOOKUP($A290,Строчный!$A:$A,Строчный!H:H,"ERR",0))</f>
        <v>ivory/adobe multi</v>
      </c>
      <c r="I290" s="81" t="str">
        <f ca="1">LOWER(_xlfn.XLOOKUP($A290,Строчный!$A:$A,Строчный!I:I,"ERR",0))</f>
        <v>белый</v>
      </c>
      <c r="J290" s="81" t="str">
        <f ca="1">SUBSTITUTE(LOWER(_xlfn.XLOOKUP($A290,Строчный!$A:$A,Строчный!J:J,"ERR",0)),"подклад","Подклад")</f>
        <v>100% полипропилен</v>
      </c>
      <c r="K290" s="81" t="str">
        <f ca="1">LOWER(_xlfn.XLOOKUP($A290,Строчный!$A:$A,Строчный!K:K,"ERR",0))</f>
        <v/>
      </c>
      <c r="L290" s="81" t="str">
        <f ca="1">PROPER(_xlfn.XLOOKUP($A290,Строчный!$A:$A,Строчный!L:L,"ERR",0))</f>
        <v>Унисекс</v>
      </c>
      <c r="M290" s="113" t="str">
        <f ca="1">PROPER(_xlfn.XLOOKUP($A290,Строчный!$A:$A,Строчный!M:M,"ERR",0))</f>
        <v>Китай</v>
      </c>
      <c r="N290" s="81" t="str">
        <f ca="1">UPPER(_xlfn.XLOOKUP($A290,Строчный!$A:$A,Строчный!O:O,"ERR",0))</f>
        <v/>
      </c>
      <c r="O290" s="107" t="str">
        <f ca="1">PROPER(_xlfn.XLOOKUP($A290,Строчный!$A:$A,Строчный!P:P,"ERR",0))</f>
        <v/>
      </c>
      <c r="P290" s="90">
        <f ca="1">VALUE(_xlfn.XLOOKUP($A290,Строчный!$A:$A,Строчный!N:N,"ERR",0))</f>
        <v>2094.3000000000002</v>
      </c>
      <c r="Q290" s="89" t="str">
        <f ca="1">_xlfn.XLOOKUP($G290,Фабрика!A:A,Фабрика!B:B,"ERR",0)</f>
        <v>Bollman Headwear Europe Ltd; 2 Merchants drive, Caelisle, Cumbria CA3 0JW, United Kingdom</v>
      </c>
      <c r="R290" s="80" t="str">
        <f ca="1">_xlfn.XLOOKUP(RIGHT(Z290,2),Размеры!D:D,Размеры!A:A,"ERR",0)</f>
        <v>59</v>
      </c>
      <c r="S290" s="80">
        <f ca="1">VALUE(_xlfn.XLOOKUP($Z290,Строчный!$R:$R,Строчный!T:T,"ERR",0))</f>
        <v>8</v>
      </c>
      <c r="T290" s="14" t="s">
        <v>265</v>
      </c>
      <c r="U290" s="101" t="str">
        <f t="shared" ca="1" si="28"/>
        <v>Шляпа BAILEY арт. 81695 MANNESROE (белый)</v>
      </c>
      <c r="V290" s="100" t="str">
        <f t="shared" ca="1" si="29"/>
        <v>Шляпа BAILEY арт. 81695 MANNESROE (белый) {ivory/adobe multi}</v>
      </c>
      <c r="W290" s="18" t="str">
        <f t="shared" ca="1" si="30"/>
        <v>белый</v>
      </c>
      <c r="X290" s="18" t="str">
        <f t="shared" ca="1" si="31"/>
        <v>белый</v>
      </c>
      <c r="Y290" s="117" t="str">
        <f ca="1">_xlfn.LET(_xlpm.FormColors,_xlfn.XLOOKUP(A290,Строчный!A:A,Строчный!Q:Q,"",0),IF(_xlpm.FormColors=0,IFERROR(MID(I290,FIND("-",I290)+1,LEN(I290)),IFERROR(MID(I290,1,FIND("/",I290)-2),I290)),_xlpm.FormColors))</f>
        <v>белый</v>
      </c>
      <c r="Z290" s="73" t="str">
        <f ca="1"/>
        <v>21-150-17-59</v>
      </c>
      <c r="AA290" s="75" t="str">
        <f ca="1">VLOOKUP(C290,Группа!A:B,2,FALSE)</f>
        <v>Шляпа</v>
      </c>
      <c r="AB290" s="97" t="str">
        <f ca="1">IFERROR(VLOOKUP(R290,Размеры!A:C,3,FALSE),"")</f>
        <v>59 L</v>
      </c>
      <c r="AC290" s="97" t="str">
        <f ca="1">VLOOKUP(I290,ЦветПолный!A:B,2,FALSE)</f>
        <v>17</v>
      </c>
      <c r="AD290" s="97" t="str">
        <f ca="1">IFERROR(VLOOKUP(R290,Размеры!A:D,4,FALSE),"")</f>
        <v>59</v>
      </c>
      <c r="AE290" s="97">
        <f ca="1">IF(LEFT(IFERROR(VLOOKUP(LOOKUP(2,1/SEARCH(B290,Товары!A:A),Товары!A:A),Товары!A:B,2,0),""),6)=MID(Z290,1,6),1,0)</f>
        <v>1</v>
      </c>
      <c r="AG290" s="97">
        <f ca="1">SUMIF(Группа!A:A,C290,Группа!C:C)</f>
        <v>1</v>
      </c>
      <c r="AH290" s="97">
        <f ca="1">SUMIF(Группа!B:B,AA290,Группа!C:C)</f>
        <v>1</v>
      </c>
      <c r="AI290" s="97">
        <f ca="1">SUMIF(Формы!A:A,D290,Формы!B:B)</f>
        <v>1</v>
      </c>
      <c r="AJ290" s="97">
        <f ca="1">SUMIF(Материал!A:A,K290,Материал!B:B)</f>
        <v>0</v>
      </c>
      <c r="AK290" s="97">
        <f ca="1">SUMIF(Размеры!A:A,R290,Размеры!E:E)</f>
        <v>1</v>
      </c>
      <c r="AL290" s="97">
        <f ca="1">SUMIF(Сезон!A:A,F290,Сезон!B:B)</f>
        <v>1</v>
      </c>
      <c r="AM290" s="97">
        <f ca="1">SUMIF(Состав!A:A,J290,Состав!B:B)</f>
        <v>1</v>
      </c>
      <c r="AN290" s="97">
        <f ca="1">VLOOKUP(I290,ЦветПолный!A:C,3,0)</f>
        <v>1</v>
      </c>
      <c r="AO290" s="97">
        <f ca="1">SUMIF(Цвет!A:A,Y290,Цвет!B:B)</f>
        <v>1</v>
      </c>
      <c r="AP290" s="97">
        <f ca="1">_xlfn.XLOOKUP(L290,Пол!A:A,Пол!B:B,0,0)</f>
        <v>1</v>
      </c>
      <c r="AQ290" s="97">
        <f ca="1">SUMIF(Марка!A:A,G290,Марка!B:B)</f>
        <v>1</v>
      </c>
      <c r="AR290" s="97">
        <f ca="1">SUMIF(Страна!A:A,M290,Страна!B:B)</f>
        <v>1</v>
      </c>
      <c r="AS290" s="64" t="e">
        <f ca="1">IF(VLOOKUP(V290,Товары!A:B,2,FALSE)=A290,"Есть в 1С","ERR")</f>
        <v>#N/A</v>
      </c>
      <c r="AT290" s="65" t="e">
        <f ca="1">IF(VLOOKUP(A290,Товары!B:B,1,FALSE)=A290,"Есть в 1С","ERR")</f>
        <v>#N/A</v>
      </c>
      <c r="AU290" s="96" t="e">
        <f ca="1">VLOOKUP(V290,Товары!A:B,2,FALSE)</f>
        <v>#N/A</v>
      </c>
      <c r="AV290" s="94" t="e">
        <f ca="1">VLOOKUP(V290,Товары!A:B,1,FALSE)</f>
        <v>#N/A</v>
      </c>
    </row>
    <row r="291" spans="1:48" x14ac:dyDescent="0.25">
      <c r="A291" s="110" t="str">
        <f t="shared" ca="1" si="32"/>
        <v>21-150-17</v>
      </c>
      <c r="B291" s="107" t="str">
        <f ca="1">_xlfn.LET(_xlpm.CAPS,0,_xlpm.Style,_xlfn.XLOOKUP($A291,Строчный!$A:$A,Строчный!B:B,"ERR",0),IF(_xlpm.CAPS=0,_xlpm.Style,LOWER(_xlpm.Style)))</f>
        <v>81695 MANNESROE</v>
      </c>
      <c r="C291" s="81" t="str">
        <f ca="1">PROPER(_xlfn.XLOOKUP($A291,Строчный!$A:$A,Строчный!C:C,"ERR",0))</f>
        <v>Шляпы</v>
      </c>
      <c r="D291" s="81" t="str">
        <f ca="1">_xlfn.LET(_xlpm.DATA,(_xlfn.XLOOKUP($A291,Строчный!$A:$A,Строчный!D:D,"ERR",0)),UPPER(MID(_xlpm.DATA,1,1))&amp;LOWER(MID(_xlpm.DATA,2,LEN(_xlpm.DATA)-1)))</f>
        <v>Шляпа федора</v>
      </c>
      <c r="E291" s="81" t="str">
        <f ca="1">PROPER(_xlfn.XLOOKUP($A291,Строчный!$A:$A,Строчный!E:E,"ERR",0))</f>
        <v>The Hollywood</v>
      </c>
      <c r="F291" s="81" t="str">
        <f ca="1">LOWER(_xlfn.XLOOKUP($A291,Строчный!$A:$A,Строчный!F:F,"ERR",0))</f>
        <v>всесезон</v>
      </c>
      <c r="G291" s="81" t="str">
        <f ca="1">UPPER(_xlfn.XLOOKUP($A291,Строчный!$A:$A,Строчный!G:G,"ERR",0))</f>
        <v>BAILEY</v>
      </c>
      <c r="H291" s="81" t="str">
        <f ca="1">LOWER(_xlfn.XLOOKUP($A291,Строчный!$A:$A,Строчный!H:H,"ERR",0))</f>
        <v>ivory/adobe multi</v>
      </c>
      <c r="I291" s="81" t="str">
        <f ca="1">LOWER(_xlfn.XLOOKUP($A291,Строчный!$A:$A,Строчный!I:I,"ERR",0))</f>
        <v>белый</v>
      </c>
      <c r="J291" s="81" t="str">
        <f ca="1">SUBSTITUTE(LOWER(_xlfn.XLOOKUP($A291,Строчный!$A:$A,Строчный!J:J,"ERR",0)),"подклад","Подклад")</f>
        <v>100% полипропилен</v>
      </c>
      <c r="K291" s="81" t="str">
        <f ca="1">LOWER(_xlfn.XLOOKUP($A291,Строчный!$A:$A,Строчный!K:K,"ERR",0))</f>
        <v/>
      </c>
      <c r="L291" s="81" t="str">
        <f ca="1">PROPER(_xlfn.XLOOKUP($A291,Строчный!$A:$A,Строчный!L:L,"ERR",0))</f>
        <v>Унисекс</v>
      </c>
      <c r="M291" s="113" t="str">
        <f ca="1">PROPER(_xlfn.XLOOKUP($A291,Строчный!$A:$A,Строчный!M:M,"ERR",0))</f>
        <v>Китай</v>
      </c>
      <c r="N291" s="81" t="str">
        <f ca="1">UPPER(_xlfn.XLOOKUP($A291,Строчный!$A:$A,Строчный!O:O,"ERR",0))</f>
        <v/>
      </c>
      <c r="O291" s="107" t="str">
        <f ca="1">PROPER(_xlfn.XLOOKUP($A291,Строчный!$A:$A,Строчный!P:P,"ERR",0))</f>
        <v/>
      </c>
      <c r="P291" s="90">
        <f ca="1">VALUE(_xlfn.XLOOKUP($A291,Строчный!$A:$A,Строчный!N:N,"ERR",0))</f>
        <v>2094.3000000000002</v>
      </c>
      <c r="Q291" s="89" t="str">
        <f ca="1">_xlfn.XLOOKUP($G291,Фабрика!A:A,Фабрика!B:B,"ERR",0)</f>
        <v>Bollman Headwear Europe Ltd; 2 Merchants drive, Caelisle, Cumbria CA3 0JW, United Kingdom</v>
      </c>
      <c r="R291" s="80" t="str">
        <f ca="1">_xlfn.XLOOKUP(RIGHT(Z291,2),Размеры!D:D,Размеры!A:A,"ERR",0)</f>
        <v>57</v>
      </c>
      <c r="S291" s="80">
        <f ca="1">VALUE(_xlfn.XLOOKUP($Z291,Строчный!$R:$R,Строчный!T:T,"ERR",0))</f>
        <v>5</v>
      </c>
      <c r="T291" s="14" t="s">
        <v>265</v>
      </c>
      <c r="U291" s="101" t="str">
        <f t="shared" ca="1" si="28"/>
        <v>Шляпа BAILEY арт. 81695 MANNESROE (белый)</v>
      </c>
      <c r="V291" s="100" t="str">
        <f t="shared" ca="1" si="29"/>
        <v>Шляпа BAILEY арт. 81695 MANNESROE (белый) {ivory/adobe multi}</v>
      </c>
      <c r="W291" s="18" t="str">
        <f t="shared" ca="1" si="30"/>
        <v>белый</v>
      </c>
      <c r="X291" s="18" t="str">
        <f t="shared" ca="1" si="31"/>
        <v>белый</v>
      </c>
      <c r="Y291" s="117" t="str">
        <f ca="1">_xlfn.LET(_xlpm.FormColors,_xlfn.XLOOKUP(A291,Строчный!A:A,Строчный!Q:Q,"",0),IF(_xlpm.FormColors=0,IFERROR(MID(I291,FIND("-",I291)+1,LEN(I291)),IFERROR(MID(I291,1,FIND("/",I291)-2),I291)),_xlpm.FormColors))</f>
        <v>белый</v>
      </c>
      <c r="Z291" s="73" t="str">
        <f ca="1"/>
        <v>21-150-17-57</v>
      </c>
      <c r="AA291" s="75" t="str">
        <f ca="1">VLOOKUP(C291,Группа!A:B,2,FALSE)</f>
        <v>Шляпа</v>
      </c>
      <c r="AB291" s="97" t="str">
        <f ca="1">IFERROR(VLOOKUP(R291,Размеры!A:C,3,FALSE),"")</f>
        <v>57 M</v>
      </c>
      <c r="AC291" s="97" t="str">
        <f ca="1">VLOOKUP(I291,ЦветПолный!A:B,2,FALSE)</f>
        <v>17</v>
      </c>
      <c r="AD291" s="97" t="str">
        <f ca="1">IFERROR(VLOOKUP(R291,Размеры!A:D,4,FALSE),"")</f>
        <v>57</v>
      </c>
      <c r="AE291" s="97">
        <f ca="1">IF(LEFT(IFERROR(VLOOKUP(LOOKUP(2,1/SEARCH(B291,Товары!A:A),Товары!A:A),Товары!A:B,2,0),""),6)=MID(Z291,1,6),1,0)</f>
        <v>1</v>
      </c>
      <c r="AG291" s="97">
        <f ca="1">SUMIF(Группа!A:A,C291,Группа!C:C)</f>
        <v>1</v>
      </c>
      <c r="AH291" s="97">
        <f ca="1">SUMIF(Группа!B:B,AA291,Группа!C:C)</f>
        <v>1</v>
      </c>
      <c r="AI291" s="97">
        <f ca="1">SUMIF(Формы!A:A,D291,Формы!B:B)</f>
        <v>1</v>
      </c>
      <c r="AJ291" s="97">
        <f ca="1">SUMIF(Материал!A:A,K291,Материал!B:B)</f>
        <v>0</v>
      </c>
      <c r="AK291" s="97">
        <f ca="1">SUMIF(Размеры!A:A,R291,Размеры!E:E)</f>
        <v>1</v>
      </c>
      <c r="AL291" s="97">
        <f ca="1">SUMIF(Сезон!A:A,F291,Сезон!B:B)</f>
        <v>1</v>
      </c>
      <c r="AM291" s="97">
        <f ca="1">SUMIF(Состав!A:A,J291,Состав!B:B)</f>
        <v>1</v>
      </c>
      <c r="AN291" s="97">
        <f ca="1">VLOOKUP(I291,ЦветПолный!A:C,3,0)</f>
        <v>1</v>
      </c>
      <c r="AO291" s="97">
        <f ca="1">SUMIF(Цвет!A:A,Y291,Цвет!B:B)</f>
        <v>1</v>
      </c>
      <c r="AP291" s="97">
        <f ca="1">_xlfn.XLOOKUP(L291,Пол!A:A,Пол!B:B,0,0)</f>
        <v>1</v>
      </c>
      <c r="AQ291" s="97">
        <f ca="1">SUMIF(Марка!A:A,G291,Марка!B:B)</f>
        <v>1</v>
      </c>
      <c r="AR291" s="97">
        <f ca="1">SUMIF(Страна!A:A,M291,Страна!B:B)</f>
        <v>1</v>
      </c>
      <c r="AS291" s="64" t="e">
        <f ca="1">IF(VLOOKUP(V291,Товары!A:B,2,FALSE)=A291,"Есть в 1С","ERR")</f>
        <v>#N/A</v>
      </c>
      <c r="AT291" s="65" t="e">
        <f ca="1">IF(VLOOKUP(A291,Товары!B:B,1,FALSE)=A291,"Есть в 1С","ERR")</f>
        <v>#N/A</v>
      </c>
      <c r="AU291" s="96" t="e">
        <f ca="1">VLOOKUP(V291,Товары!A:B,2,FALSE)</f>
        <v>#N/A</v>
      </c>
      <c r="AV291" s="94" t="e">
        <f ca="1">VLOOKUP(V291,Товары!A:B,1,FALSE)</f>
        <v>#N/A</v>
      </c>
    </row>
    <row r="292" spans="1:48" x14ac:dyDescent="0.25">
      <c r="A292" s="110" t="str">
        <f t="shared" ca="1" si="32"/>
        <v>21-150-17</v>
      </c>
      <c r="B292" s="107" t="str">
        <f ca="1">_xlfn.LET(_xlpm.CAPS,0,_xlpm.Style,_xlfn.XLOOKUP($A292,Строчный!$A:$A,Строчный!B:B,"ERR",0),IF(_xlpm.CAPS=0,_xlpm.Style,LOWER(_xlpm.Style)))</f>
        <v>81695 MANNESROE</v>
      </c>
      <c r="C292" s="81" t="str">
        <f ca="1">PROPER(_xlfn.XLOOKUP($A292,Строчный!$A:$A,Строчный!C:C,"ERR",0))</f>
        <v>Шляпы</v>
      </c>
      <c r="D292" s="81" t="str">
        <f ca="1">_xlfn.LET(_xlpm.DATA,(_xlfn.XLOOKUP($A292,Строчный!$A:$A,Строчный!D:D,"ERR",0)),UPPER(MID(_xlpm.DATA,1,1))&amp;LOWER(MID(_xlpm.DATA,2,LEN(_xlpm.DATA)-1)))</f>
        <v>Шляпа федора</v>
      </c>
      <c r="E292" s="81" t="str">
        <f ca="1">PROPER(_xlfn.XLOOKUP($A292,Строчный!$A:$A,Строчный!E:E,"ERR",0))</f>
        <v>The Hollywood</v>
      </c>
      <c r="F292" s="81" t="str">
        <f ca="1">LOWER(_xlfn.XLOOKUP($A292,Строчный!$A:$A,Строчный!F:F,"ERR",0))</f>
        <v>всесезон</v>
      </c>
      <c r="G292" s="81" t="str">
        <f ca="1">UPPER(_xlfn.XLOOKUP($A292,Строчный!$A:$A,Строчный!G:G,"ERR",0))</f>
        <v>BAILEY</v>
      </c>
      <c r="H292" s="81" t="str">
        <f ca="1">LOWER(_xlfn.XLOOKUP($A292,Строчный!$A:$A,Строчный!H:H,"ERR",0))</f>
        <v>ivory/adobe multi</v>
      </c>
      <c r="I292" s="81" t="str">
        <f ca="1">LOWER(_xlfn.XLOOKUP($A292,Строчный!$A:$A,Строчный!I:I,"ERR",0))</f>
        <v>белый</v>
      </c>
      <c r="J292" s="81" t="str">
        <f ca="1">SUBSTITUTE(LOWER(_xlfn.XLOOKUP($A292,Строчный!$A:$A,Строчный!J:J,"ERR",0)),"подклад","Подклад")</f>
        <v>100% полипропилен</v>
      </c>
      <c r="K292" s="81" t="str">
        <f ca="1">LOWER(_xlfn.XLOOKUP($A292,Строчный!$A:$A,Строчный!K:K,"ERR",0))</f>
        <v/>
      </c>
      <c r="L292" s="81" t="str">
        <f ca="1">PROPER(_xlfn.XLOOKUP($A292,Строчный!$A:$A,Строчный!L:L,"ERR",0))</f>
        <v>Унисекс</v>
      </c>
      <c r="M292" s="113" t="str">
        <f ca="1">PROPER(_xlfn.XLOOKUP($A292,Строчный!$A:$A,Строчный!M:M,"ERR",0))</f>
        <v>Китай</v>
      </c>
      <c r="N292" s="81" t="str">
        <f ca="1">UPPER(_xlfn.XLOOKUP($A292,Строчный!$A:$A,Строчный!O:O,"ERR",0))</f>
        <v/>
      </c>
      <c r="O292" s="107" t="str">
        <f ca="1">PROPER(_xlfn.XLOOKUP($A292,Строчный!$A:$A,Строчный!P:P,"ERR",0))</f>
        <v/>
      </c>
      <c r="P292" s="90">
        <f ca="1">VALUE(_xlfn.XLOOKUP($A292,Строчный!$A:$A,Строчный!N:N,"ERR",0))</f>
        <v>2094.3000000000002</v>
      </c>
      <c r="Q292" s="89" t="str">
        <f ca="1">_xlfn.XLOOKUP($G292,Фабрика!A:A,Фабрика!B:B,"ERR",0)</f>
        <v>Bollman Headwear Europe Ltd; 2 Merchants drive, Caelisle, Cumbria CA3 0JW, United Kingdom</v>
      </c>
      <c r="R292" s="80" t="str">
        <f ca="1">_xlfn.XLOOKUP(RIGHT(Z292,2),Размеры!D:D,Размеры!A:A,"ERR",0)</f>
        <v>55</v>
      </c>
      <c r="S292" s="80">
        <f ca="1">VALUE(_xlfn.XLOOKUP($Z292,Строчный!$R:$R,Строчный!T:T,"ERR",0))</f>
        <v>2</v>
      </c>
      <c r="T292" s="14" t="s">
        <v>265</v>
      </c>
      <c r="U292" s="101" t="str">
        <f t="shared" ca="1" si="28"/>
        <v>Шляпа BAILEY арт. 81695 MANNESROE (белый)</v>
      </c>
      <c r="V292" s="100" t="str">
        <f t="shared" ca="1" si="29"/>
        <v>Шляпа BAILEY арт. 81695 MANNESROE (белый) {ivory/adobe multi}</v>
      </c>
      <c r="W292" s="18" t="str">
        <f t="shared" ca="1" si="30"/>
        <v>белый</v>
      </c>
      <c r="X292" s="18" t="str">
        <f t="shared" ca="1" si="31"/>
        <v>белый</v>
      </c>
      <c r="Y292" s="117" t="str">
        <f ca="1">_xlfn.LET(_xlpm.FormColors,_xlfn.XLOOKUP(A292,Строчный!A:A,Строчный!Q:Q,"",0),IF(_xlpm.FormColors=0,IFERROR(MID(I292,FIND("-",I292)+1,LEN(I292)),IFERROR(MID(I292,1,FIND("/",I292)-2),I292)),_xlpm.FormColors))</f>
        <v>белый</v>
      </c>
      <c r="Z292" s="73" t="str">
        <f ca="1"/>
        <v>21-150-17-55</v>
      </c>
      <c r="AA292" s="75" t="str">
        <f ca="1">VLOOKUP(C292,Группа!A:B,2,FALSE)</f>
        <v>Шляпа</v>
      </c>
      <c r="AB292" s="97" t="str">
        <f ca="1">IFERROR(VLOOKUP(R292,Размеры!A:C,3,FALSE),"")</f>
        <v>55 S</v>
      </c>
      <c r="AC292" s="97" t="str">
        <f ca="1">VLOOKUP(I292,ЦветПолный!A:B,2,FALSE)</f>
        <v>17</v>
      </c>
      <c r="AD292" s="97" t="str">
        <f ca="1">IFERROR(VLOOKUP(R292,Размеры!A:D,4,FALSE),"")</f>
        <v>55</v>
      </c>
      <c r="AE292" s="97">
        <f ca="1">IF(LEFT(IFERROR(VLOOKUP(LOOKUP(2,1/SEARCH(B292,Товары!A:A),Товары!A:A),Товары!A:B,2,0),""),6)=MID(Z292,1,6),1,0)</f>
        <v>1</v>
      </c>
      <c r="AG292" s="97">
        <f ca="1">SUMIF(Группа!A:A,C292,Группа!C:C)</f>
        <v>1</v>
      </c>
      <c r="AH292" s="97">
        <f ca="1">SUMIF(Группа!B:B,AA292,Группа!C:C)</f>
        <v>1</v>
      </c>
      <c r="AI292" s="97">
        <f ca="1">SUMIF(Формы!A:A,D292,Формы!B:B)</f>
        <v>1</v>
      </c>
      <c r="AJ292" s="97">
        <f ca="1">SUMIF(Материал!A:A,K292,Материал!B:B)</f>
        <v>0</v>
      </c>
      <c r="AK292" s="97">
        <f ca="1">SUMIF(Размеры!A:A,R292,Размеры!E:E)</f>
        <v>1</v>
      </c>
      <c r="AL292" s="97">
        <f ca="1">SUMIF(Сезон!A:A,F292,Сезон!B:B)</f>
        <v>1</v>
      </c>
      <c r="AM292" s="97">
        <f ca="1">SUMIF(Состав!A:A,J292,Состав!B:B)</f>
        <v>1</v>
      </c>
      <c r="AN292" s="97">
        <f ca="1">VLOOKUP(I292,ЦветПолный!A:C,3,0)</f>
        <v>1</v>
      </c>
      <c r="AO292" s="97">
        <f ca="1">SUMIF(Цвет!A:A,Y292,Цвет!B:B)</f>
        <v>1</v>
      </c>
      <c r="AP292" s="97">
        <f ca="1">_xlfn.XLOOKUP(L292,Пол!A:A,Пол!B:B,0,0)</f>
        <v>1</v>
      </c>
      <c r="AQ292" s="97">
        <f ca="1">SUMIF(Марка!A:A,G292,Марка!B:B)</f>
        <v>1</v>
      </c>
      <c r="AR292" s="97">
        <f ca="1">SUMIF(Страна!A:A,M292,Страна!B:B)</f>
        <v>1</v>
      </c>
      <c r="AS292" s="64" t="e">
        <f ca="1">IF(VLOOKUP(V292,Товары!A:B,2,FALSE)=A292,"Есть в 1С","ERR")</f>
        <v>#N/A</v>
      </c>
      <c r="AT292" s="65" t="e">
        <f ca="1">IF(VLOOKUP(A292,Товары!B:B,1,FALSE)=A292,"Есть в 1С","ERR")</f>
        <v>#N/A</v>
      </c>
      <c r="AU292" s="96" t="e">
        <f ca="1">VLOOKUP(V292,Товары!A:B,2,FALSE)</f>
        <v>#N/A</v>
      </c>
      <c r="AV292" s="94" t="e">
        <f ca="1">VLOOKUP(V292,Товары!A:B,1,FALSE)</f>
        <v>#N/A</v>
      </c>
    </row>
    <row r="293" spans="1:48" x14ac:dyDescent="0.25">
      <c r="A293" s="110" t="str">
        <f t="shared" ca="1" si="32"/>
        <v>21-145-02</v>
      </c>
      <c r="B293" s="107" t="str">
        <f ca="1">_xlfn.LET(_xlpm.CAPS,0,_xlpm.Style,_xlfn.XLOOKUP($A293,Строчный!$A:$A,Строчный!B:B,"ERR",0),IF(_xlpm.CAPS=0,_xlpm.Style,LOWER(_xlpm.Style)))</f>
        <v>81652 ELLIOTT</v>
      </c>
      <c r="C293" s="81" t="str">
        <f ca="1">PROPER(_xlfn.XLOOKUP($A293,Строчный!$A:$A,Строчный!C:C,"ERR",0))</f>
        <v>Шляпы</v>
      </c>
      <c r="D293" s="81" t="str">
        <f ca="1">_xlfn.LET(_xlpm.DATA,(_xlfn.XLOOKUP($A293,Строчный!$A:$A,Строчный!D:D,"ERR",0)),UPPER(MID(_xlpm.DATA,1,1))&amp;LOWER(MID(_xlpm.DATA,2,LEN(_xlpm.DATA)-1)))</f>
        <v>Шляпа федора</v>
      </c>
      <c r="E293" s="81" t="str">
        <f ca="1">PROPER(_xlfn.XLOOKUP($A293,Строчный!$A:$A,Строчный!E:E,"ERR",0))</f>
        <v>The Hollywood</v>
      </c>
      <c r="F293" s="81" t="str">
        <f ca="1">LOWER(_xlfn.XLOOKUP($A293,Строчный!$A:$A,Строчный!F:F,"ERR",0))</f>
        <v>летний</v>
      </c>
      <c r="G293" s="81" t="str">
        <f ca="1">UPPER(_xlfn.XLOOKUP($A293,Строчный!$A:$A,Строчный!G:G,"ERR",0))</f>
        <v>BAILEY</v>
      </c>
      <c r="H293" s="81" t="str">
        <f ca="1">LOWER(_xlfn.XLOOKUP($A293,Строчный!$A:$A,Строчный!H:H,"ERR",0))</f>
        <v>natural</v>
      </c>
      <c r="I293" s="81" t="str">
        <f ca="1">LOWER(_xlfn.XLOOKUP($A293,Строчный!$A:$A,Строчный!I:I,"ERR",0))</f>
        <v>бежевый</v>
      </c>
      <c r="J293" s="81" t="str">
        <f ca="1">SUBSTITUTE(LOWER(_xlfn.XLOOKUP($A293,Строчный!$A:$A,Строчный!J:J,"ERR",0)),"подклад","Подклад")</f>
        <v>50% бумага - 50% полипропилен</v>
      </c>
      <c r="K293" s="81" t="str">
        <f ca="1">LOWER(_xlfn.XLOOKUP($A293,Строчный!$A:$A,Строчный!K:K,"ERR",0))</f>
        <v>бумажные</v>
      </c>
      <c r="L293" s="81" t="str">
        <f ca="1">PROPER(_xlfn.XLOOKUP($A293,Строчный!$A:$A,Строчный!L:L,"ERR",0))</f>
        <v>Унисекс</v>
      </c>
      <c r="M293" s="113" t="str">
        <f ca="1">PROPER(_xlfn.XLOOKUP($A293,Строчный!$A:$A,Строчный!M:M,"ERR",0))</f>
        <v>Китай</v>
      </c>
      <c r="N293" s="81" t="str">
        <f ca="1">UPPER(_xlfn.XLOOKUP($A293,Строчный!$A:$A,Строчный!O:O,"ERR",0))</f>
        <v/>
      </c>
      <c r="O293" s="107" t="str">
        <f ca="1">PROPER(_xlfn.XLOOKUP($A293,Строчный!$A:$A,Строчный!P:P,"ERR",0))</f>
        <v/>
      </c>
      <c r="P293" s="90">
        <f ca="1">VALUE(_xlfn.XLOOKUP($A293,Строчный!$A:$A,Строчный!N:N,"ERR",0))</f>
        <v>2018.25</v>
      </c>
      <c r="Q293" s="89" t="str">
        <f ca="1">_xlfn.XLOOKUP($G293,Фабрика!A:A,Фабрика!B:B,"ERR",0)</f>
        <v>Bollman Headwear Europe Ltd; 2 Merchants drive, Caelisle, Cumbria CA3 0JW, United Kingdom</v>
      </c>
      <c r="R293" s="80" t="str">
        <f ca="1">_xlfn.XLOOKUP(RIGHT(Z293,2),Размеры!D:D,Размеры!A:A,"ERR",0)</f>
        <v>61</v>
      </c>
      <c r="S293" s="80">
        <f ca="1">VALUE(_xlfn.XLOOKUP($Z293,Строчный!$R:$R,Строчный!T:T,"ERR",0))</f>
        <v>4</v>
      </c>
      <c r="T293" s="14" t="s">
        <v>265</v>
      </c>
      <c r="U293" s="101" t="str">
        <f t="shared" ca="1" si="28"/>
        <v>Шляпа BAILEY арт. 81652 ELLIOTT (бежевый)</v>
      </c>
      <c r="V293" s="100" t="str">
        <f t="shared" ca="1" si="29"/>
        <v>Шляпа BAILEY арт. 81652 ELLIOTT (бежевый) {natural}</v>
      </c>
      <c r="W293" s="18" t="str">
        <f t="shared" ca="1" si="30"/>
        <v>бежевый</v>
      </c>
      <c r="X293" s="18" t="str">
        <f t="shared" ca="1" si="31"/>
        <v>бежевый</v>
      </c>
      <c r="Y293" s="117" t="str">
        <f ca="1">_xlfn.LET(_xlpm.FormColors,_xlfn.XLOOKUP(A293,Строчный!A:A,Строчный!Q:Q,"",0),IF(_xlpm.FormColors=0,IFERROR(MID(I293,FIND("-",I293)+1,LEN(I293)),IFERROR(MID(I293,1,FIND("/",I293)-2),I293)),_xlpm.FormColors))</f>
        <v>бежевый</v>
      </c>
      <c r="Z293" s="73" t="str">
        <f ca="1"/>
        <v>21-145-02-61</v>
      </c>
      <c r="AA293" s="75" t="str">
        <f ca="1">VLOOKUP(C293,Группа!A:B,2,FALSE)</f>
        <v>Шляпа</v>
      </c>
      <c r="AB293" s="97" t="str">
        <f ca="1">IFERROR(VLOOKUP(R293,Размеры!A:C,3,FALSE),"")</f>
        <v>61 XL</v>
      </c>
      <c r="AC293" s="97" t="str">
        <f ca="1">VLOOKUP(I293,ЦветПолный!A:B,2,FALSE)</f>
        <v>02</v>
      </c>
      <c r="AD293" s="97" t="str">
        <f ca="1">IFERROR(VLOOKUP(R293,Размеры!A:D,4,FALSE),"")</f>
        <v>61</v>
      </c>
      <c r="AE293" s="97">
        <f ca="1">IF(LEFT(IFERROR(VLOOKUP(LOOKUP(2,1/SEARCH(B293,Товары!A:A),Товары!A:A),Товары!A:B,2,0),""),6)=MID(Z293,1,6),1,0)</f>
        <v>1</v>
      </c>
      <c r="AG293" s="97">
        <f ca="1">SUMIF(Группа!A:A,C293,Группа!C:C)</f>
        <v>1</v>
      </c>
      <c r="AH293" s="97">
        <f ca="1">SUMIF(Группа!B:B,AA293,Группа!C:C)</f>
        <v>1</v>
      </c>
      <c r="AI293" s="97">
        <f ca="1">SUMIF(Формы!A:A,D293,Формы!B:B)</f>
        <v>1</v>
      </c>
      <c r="AJ293" s="97">
        <f ca="1">SUMIF(Материал!A:A,K293,Материал!B:B)</f>
        <v>1</v>
      </c>
      <c r="AK293" s="97">
        <f ca="1">SUMIF(Размеры!A:A,R293,Размеры!E:E)</f>
        <v>1</v>
      </c>
      <c r="AL293" s="97">
        <f ca="1">SUMIF(Сезон!A:A,F293,Сезон!B:B)</f>
        <v>1</v>
      </c>
      <c r="AM293" s="97">
        <f ca="1">SUMIF(Состав!A:A,J293,Состав!B:B)</f>
        <v>1</v>
      </c>
      <c r="AN293" s="97">
        <f ca="1">VLOOKUP(I293,ЦветПолный!A:C,3,0)</f>
        <v>1</v>
      </c>
      <c r="AO293" s="97">
        <f ca="1">SUMIF(Цвет!A:A,Y293,Цвет!B:B)</f>
        <v>1</v>
      </c>
      <c r="AP293" s="97">
        <f ca="1">_xlfn.XLOOKUP(L293,Пол!A:A,Пол!B:B,0,0)</f>
        <v>1</v>
      </c>
      <c r="AQ293" s="97">
        <f ca="1">SUMIF(Марка!A:A,G293,Марка!B:B)</f>
        <v>1</v>
      </c>
      <c r="AR293" s="97">
        <f ca="1">SUMIF(Страна!A:A,M293,Страна!B:B)</f>
        <v>1</v>
      </c>
      <c r="AS293" s="64" t="str">
        <f ca="1">IF(VLOOKUP(V293,Товары!A:B,2,FALSE)=A293,"Есть в 1С","ERR")</f>
        <v>Есть в 1С</v>
      </c>
      <c r="AT293" s="65" t="str">
        <f ca="1">IF(VLOOKUP(A293,Товары!B:B,1,FALSE)=A293,"Есть в 1С","ERR")</f>
        <v>Есть в 1С</v>
      </c>
      <c r="AU293" s="96" t="str">
        <f ca="1">VLOOKUP(V293,Товары!A:B,2,FALSE)</f>
        <v>21-145-02</v>
      </c>
      <c r="AV293" s="94" t="str">
        <f ca="1">VLOOKUP(V293,Товары!A:B,1,FALSE)</f>
        <v>Шляпа BAILEY арт. 81652 ELLIOTT (бежевый) {natural}</v>
      </c>
    </row>
    <row r="294" spans="1:48" x14ac:dyDescent="0.25">
      <c r="A294" s="110" t="str">
        <f t="shared" ca="1" si="32"/>
        <v>21-145-02</v>
      </c>
      <c r="B294" s="107" t="str">
        <f ca="1">_xlfn.LET(_xlpm.CAPS,0,_xlpm.Style,_xlfn.XLOOKUP($A294,Строчный!$A:$A,Строчный!B:B,"ERR",0),IF(_xlpm.CAPS=0,_xlpm.Style,LOWER(_xlpm.Style)))</f>
        <v>81652 ELLIOTT</v>
      </c>
      <c r="C294" s="81" t="str">
        <f ca="1">PROPER(_xlfn.XLOOKUP($A294,Строчный!$A:$A,Строчный!C:C,"ERR",0))</f>
        <v>Шляпы</v>
      </c>
      <c r="D294" s="81" t="str">
        <f ca="1">_xlfn.LET(_xlpm.DATA,(_xlfn.XLOOKUP($A294,Строчный!$A:$A,Строчный!D:D,"ERR",0)),UPPER(MID(_xlpm.DATA,1,1))&amp;LOWER(MID(_xlpm.DATA,2,LEN(_xlpm.DATA)-1)))</f>
        <v>Шляпа федора</v>
      </c>
      <c r="E294" s="81" t="str">
        <f ca="1">PROPER(_xlfn.XLOOKUP($A294,Строчный!$A:$A,Строчный!E:E,"ERR",0))</f>
        <v>The Hollywood</v>
      </c>
      <c r="F294" s="81" t="str">
        <f ca="1">LOWER(_xlfn.XLOOKUP($A294,Строчный!$A:$A,Строчный!F:F,"ERR",0))</f>
        <v>летний</v>
      </c>
      <c r="G294" s="81" t="str">
        <f ca="1">UPPER(_xlfn.XLOOKUP($A294,Строчный!$A:$A,Строчный!G:G,"ERR",0))</f>
        <v>BAILEY</v>
      </c>
      <c r="H294" s="81" t="str">
        <f ca="1">LOWER(_xlfn.XLOOKUP($A294,Строчный!$A:$A,Строчный!H:H,"ERR",0))</f>
        <v>natural</v>
      </c>
      <c r="I294" s="81" t="str">
        <f ca="1">LOWER(_xlfn.XLOOKUP($A294,Строчный!$A:$A,Строчный!I:I,"ERR",0))</f>
        <v>бежевый</v>
      </c>
      <c r="J294" s="81" t="str">
        <f ca="1">SUBSTITUTE(LOWER(_xlfn.XLOOKUP($A294,Строчный!$A:$A,Строчный!J:J,"ERR",0)),"подклад","Подклад")</f>
        <v>50% бумага - 50% полипропилен</v>
      </c>
      <c r="K294" s="81" t="str">
        <f ca="1">LOWER(_xlfn.XLOOKUP($A294,Строчный!$A:$A,Строчный!K:K,"ERR",0))</f>
        <v>бумажные</v>
      </c>
      <c r="L294" s="81" t="str">
        <f ca="1">PROPER(_xlfn.XLOOKUP($A294,Строчный!$A:$A,Строчный!L:L,"ERR",0))</f>
        <v>Унисекс</v>
      </c>
      <c r="M294" s="113" t="str">
        <f ca="1">PROPER(_xlfn.XLOOKUP($A294,Строчный!$A:$A,Строчный!M:M,"ERR",0))</f>
        <v>Китай</v>
      </c>
      <c r="N294" s="81" t="str">
        <f ca="1">UPPER(_xlfn.XLOOKUP($A294,Строчный!$A:$A,Строчный!O:O,"ERR",0))</f>
        <v/>
      </c>
      <c r="O294" s="107" t="str">
        <f ca="1">PROPER(_xlfn.XLOOKUP($A294,Строчный!$A:$A,Строчный!P:P,"ERR",0))</f>
        <v/>
      </c>
      <c r="P294" s="90">
        <f ca="1">VALUE(_xlfn.XLOOKUP($A294,Строчный!$A:$A,Строчный!N:N,"ERR",0))</f>
        <v>2018.25</v>
      </c>
      <c r="Q294" s="89" t="str">
        <f ca="1">_xlfn.XLOOKUP($G294,Фабрика!A:A,Фабрика!B:B,"ERR",0)</f>
        <v>Bollman Headwear Europe Ltd; 2 Merchants drive, Caelisle, Cumbria CA3 0JW, United Kingdom</v>
      </c>
      <c r="R294" s="80" t="str">
        <f ca="1">_xlfn.XLOOKUP(RIGHT(Z294,2),Размеры!D:D,Размеры!A:A,"ERR",0)</f>
        <v>59</v>
      </c>
      <c r="S294" s="80">
        <f ca="1">VALUE(_xlfn.XLOOKUP($Z294,Строчный!$R:$R,Строчный!T:T,"ERR",0))</f>
        <v>2</v>
      </c>
      <c r="T294" s="14" t="s">
        <v>265</v>
      </c>
      <c r="U294" s="101" t="str">
        <f t="shared" ca="1" si="28"/>
        <v>Шляпа BAILEY арт. 81652 ELLIOTT (бежевый)</v>
      </c>
      <c r="V294" s="100" t="str">
        <f t="shared" ca="1" si="29"/>
        <v>Шляпа BAILEY арт. 81652 ELLIOTT (бежевый) {natural}</v>
      </c>
      <c r="W294" s="18" t="str">
        <f t="shared" ca="1" si="30"/>
        <v>бежевый</v>
      </c>
      <c r="X294" s="18" t="str">
        <f t="shared" ca="1" si="31"/>
        <v>бежевый</v>
      </c>
      <c r="Y294" s="117" t="str">
        <f ca="1">_xlfn.LET(_xlpm.FormColors,_xlfn.XLOOKUP(A294,Строчный!A:A,Строчный!Q:Q,"",0),IF(_xlpm.FormColors=0,IFERROR(MID(I294,FIND("-",I294)+1,LEN(I294)),IFERROR(MID(I294,1,FIND("/",I294)-2),I294)),_xlpm.FormColors))</f>
        <v>бежевый</v>
      </c>
      <c r="Z294" s="73" t="str">
        <f ca="1"/>
        <v>21-145-02-59</v>
      </c>
      <c r="AA294" s="75" t="str">
        <f ca="1">VLOOKUP(C294,Группа!A:B,2,FALSE)</f>
        <v>Шляпа</v>
      </c>
      <c r="AB294" s="97" t="str">
        <f ca="1">IFERROR(VLOOKUP(R294,Размеры!A:C,3,FALSE),"")</f>
        <v>59 L</v>
      </c>
      <c r="AC294" s="97" t="str">
        <f ca="1">VLOOKUP(I294,ЦветПолный!A:B,2,FALSE)</f>
        <v>02</v>
      </c>
      <c r="AD294" s="97" t="str">
        <f ca="1">IFERROR(VLOOKUP(R294,Размеры!A:D,4,FALSE),"")</f>
        <v>59</v>
      </c>
      <c r="AE294" s="97">
        <f ca="1">IF(LEFT(IFERROR(VLOOKUP(LOOKUP(2,1/SEARCH(B294,Товары!A:A),Товары!A:A),Товары!A:B,2,0),""),6)=MID(Z294,1,6),1,0)</f>
        <v>1</v>
      </c>
      <c r="AG294" s="97">
        <f ca="1">SUMIF(Группа!A:A,C294,Группа!C:C)</f>
        <v>1</v>
      </c>
      <c r="AH294" s="97">
        <f ca="1">SUMIF(Группа!B:B,AA294,Группа!C:C)</f>
        <v>1</v>
      </c>
      <c r="AI294" s="97">
        <f ca="1">SUMIF(Формы!A:A,D294,Формы!B:B)</f>
        <v>1</v>
      </c>
      <c r="AJ294" s="97">
        <f ca="1">SUMIF(Материал!A:A,K294,Материал!B:B)</f>
        <v>1</v>
      </c>
      <c r="AK294" s="97">
        <f ca="1">SUMIF(Размеры!A:A,R294,Размеры!E:E)</f>
        <v>1</v>
      </c>
      <c r="AL294" s="97">
        <f ca="1">SUMIF(Сезон!A:A,F294,Сезон!B:B)</f>
        <v>1</v>
      </c>
      <c r="AM294" s="97">
        <f ca="1">SUMIF(Состав!A:A,J294,Состав!B:B)</f>
        <v>1</v>
      </c>
      <c r="AN294" s="97">
        <f ca="1">VLOOKUP(I294,ЦветПолный!A:C,3,0)</f>
        <v>1</v>
      </c>
      <c r="AO294" s="97">
        <f ca="1">SUMIF(Цвет!A:A,Y294,Цвет!B:B)</f>
        <v>1</v>
      </c>
      <c r="AP294" s="97">
        <f ca="1">_xlfn.XLOOKUP(L294,Пол!A:A,Пол!B:B,0,0)</f>
        <v>1</v>
      </c>
      <c r="AQ294" s="97">
        <f ca="1">SUMIF(Марка!A:A,G294,Марка!B:B)</f>
        <v>1</v>
      </c>
      <c r="AR294" s="97">
        <f ca="1">SUMIF(Страна!A:A,M294,Страна!B:B)</f>
        <v>1</v>
      </c>
      <c r="AS294" s="64" t="str">
        <f ca="1">IF(VLOOKUP(V294,Товары!A:B,2,FALSE)=A294,"Есть в 1С","ERR")</f>
        <v>Есть в 1С</v>
      </c>
      <c r="AT294" s="65" t="str">
        <f ca="1">IF(VLOOKUP(A294,Товары!B:B,1,FALSE)=A294,"Есть в 1С","ERR")</f>
        <v>Есть в 1С</v>
      </c>
      <c r="AU294" s="96" t="str">
        <f ca="1">VLOOKUP(V294,Товары!A:B,2,FALSE)</f>
        <v>21-145-02</v>
      </c>
      <c r="AV294" s="94" t="str">
        <f ca="1">VLOOKUP(V294,Товары!A:B,1,FALSE)</f>
        <v>Шляпа BAILEY арт. 81652 ELLIOTT (бежевый) {natural}</v>
      </c>
    </row>
    <row r="295" spans="1:48" x14ac:dyDescent="0.25">
      <c r="A295" s="110" t="str">
        <f t="shared" ca="1" si="32"/>
        <v>21-145-02</v>
      </c>
      <c r="B295" s="107" t="str">
        <f ca="1">_xlfn.LET(_xlpm.CAPS,0,_xlpm.Style,_xlfn.XLOOKUP($A295,Строчный!$A:$A,Строчный!B:B,"ERR",0),IF(_xlpm.CAPS=0,_xlpm.Style,LOWER(_xlpm.Style)))</f>
        <v>81652 ELLIOTT</v>
      </c>
      <c r="C295" s="81" t="str">
        <f ca="1">PROPER(_xlfn.XLOOKUP($A295,Строчный!$A:$A,Строчный!C:C,"ERR",0))</f>
        <v>Шляпы</v>
      </c>
      <c r="D295" s="81" t="str">
        <f ca="1">_xlfn.LET(_xlpm.DATA,(_xlfn.XLOOKUP($A295,Строчный!$A:$A,Строчный!D:D,"ERR",0)),UPPER(MID(_xlpm.DATA,1,1))&amp;LOWER(MID(_xlpm.DATA,2,LEN(_xlpm.DATA)-1)))</f>
        <v>Шляпа федора</v>
      </c>
      <c r="E295" s="81" t="str">
        <f ca="1">PROPER(_xlfn.XLOOKUP($A295,Строчный!$A:$A,Строчный!E:E,"ERR",0))</f>
        <v>The Hollywood</v>
      </c>
      <c r="F295" s="81" t="str">
        <f ca="1">LOWER(_xlfn.XLOOKUP($A295,Строчный!$A:$A,Строчный!F:F,"ERR",0))</f>
        <v>летний</v>
      </c>
      <c r="G295" s="81" t="str">
        <f ca="1">UPPER(_xlfn.XLOOKUP($A295,Строчный!$A:$A,Строчный!G:G,"ERR",0))</f>
        <v>BAILEY</v>
      </c>
      <c r="H295" s="81" t="str">
        <f ca="1">LOWER(_xlfn.XLOOKUP($A295,Строчный!$A:$A,Строчный!H:H,"ERR",0))</f>
        <v>natural</v>
      </c>
      <c r="I295" s="81" t="str">
        <f ca="1">LOWER(_xlfn.XLOOKUP($A295,Строчный!$A:$A,Строчный!I:I,"ERR",0))</f>
        <v>бежевый</v>
      </c>
      <c r="J295" s="81" t="str">
        <f ca="1">SUBSTITUTE(LOWER(_xlfn.XLOOKUP($A295,Строчный!$A:$A,Строчный!J:J,"ERR",0)),"подклад","Подклад")</f>
        <v>50% бумага - 50% полипропилен</v>
      </c>
      <c r="K295" s="81" t="str">
        <f ca="1">LOWER(_xlfn.XLOOKUP($A295,Строчный!$A:$A,Строчный!K:K,"ERR",0))</f>
        <v>бумажные</v>
      </c>
      <c r="L295" s="81" t="str">
        <f ca="1">PROPER(_xlfn.XLOOKUP($A295,Строчный!$A:$A,Строчный!L:L,"ERR",0))</f>
        <v>Унисекс</v>
      </c>
      <c r="M295" s="113" t="str">
        <f ca="1">PROPER(_xlfn.XLOOKUP($A295,Строчный!$A:$A,Строчный!M:M,"ERR",0))</f>
        <v>Китай</v>
      </c>
      <c r="N295" s="81" t="str">
        <f ca="1">UPPER(_xlfn.XLOOKUP($A295,Строчный!$A:$A,Строчный!O:O,"ERR",0))</f>
        <v/>
      </c>
      <c r="O295" s="107" t="str">
        <f ca="1">PROPER(_xlfn.XLOOKUP($A295,Строчный!$A:$A,Строчный!P:P,"ERR",0))</f>
        <v/>
      </c>
      <c r="P295" s="90">
        <f ca="1">VALUE(_xlfn.XLOOKUP($A295,Строчный!$A:$A,Строчный!N:N,"ERR",0))</f>
        <v>2018.25</v>
      </c>
      <c r="Q295" s="89" t="str">
        <f ca="1">_xlfn.XLOOKUP($G295,Фабрика!A:A,Фабрика!B:B,"ERR",0)</f>
        <v>Bollman Headwear Europe Ltd; 2 Merchants drive, Caelisle, Cumbria CA3 0JW, United Kingdom</v>
      </c>
      <c r="R295" s="80" t="str">
        <f ca="1">_xlfn.XLOOKUP(RIGHT(Z295,2),Размеры!D:D,Размеры!A:A,"ERR",0)</f>
        <v>57</v>
      </c>
      <c r="S295" s="80">
        <f ca="1">VALUE(_xlfn.XLOOKUP($Z295,Строчный!$R:$R,Строчный!T:T,"ERR",0))</f>
        <v>3</v>
      </c>
      <c r="T295" s="14" t="s">
        <v>265</v>
      </c>
      <c r="U295" s="101" t="str">
        <f t="shared" ca="1" si="28"/>
        <v>Шляпа BAILEY арт. 81652 ELLIOTT (бежевый)</v>
      </c>
      <c r="V295" s="100" t="str">
        <f t="shared" ca="1" si="29"/>
        <v>Шляпа BAILEY арт. 81652 ELLIOTT (бежевый) {natural}</v>
      </c>
      <c r="W295" s="18" t="str">
        <f t="shared" ca="1" si="30"/>
        <v>бежевый</v>
      </c>
      <c r="X295" s="18" t="str">
        <f t="shared" ca="1" si="31"/>
        <v>бежевый</v>
      </c>
      <c r="Y295" s="117" t="str">
        <f ca="1">_xlfn.LET(_xlpm.FormColors,_xlfn.XLOOKUP(A295,Строчный!A:A,Строчный!Q:Q,"",0),IF(_xlpm.FormColors=0,IFERROR(MID(I295,FIND("-",I295)+1,LEN(I295)),IFERROR(MID(I295,1,FIND("/",I295)-2),I295)),_xlpm.FormColors))</f>
        <v>бежевый</v>
      </c>
      <c r="Z295" s="73" t="str">
        <f ca="1"/>
        <v>21-145-02-57</v>
      </c>
      <c r="AA295" s="75" t="str">
        <f ca="1">VLOOKUP(C295,Группа!A:B,2,FALSE)</f>
        <v>Шляпа</v>
      </c>
      <c r="AB295" s="97" t="str">
        <f ca="1">IFERROR(VLOOKUP(R295,Размеры!A:C,3,FALSE),"")</f>
        <v>57 M</v>
      </c>
      <c r="AC295" s="97" t="str">
        <f ca="1">VLOOKUP(I295,ЦветПолный!A:B,2,FALSE)</f>
        <v>02</v>
      </c>
      <c r="AD295" s="97" t="str">
        <f ca="1">IFERROR(VLOOKUP(R295,Размеры!A:D,4,FALSE),"")</f>
        <v>57</v>
      </c>
      <c r="AE295" s="97">
        <f ca="1">IF(LEFT(IFERROR(VLOOKUP(LOOKUP(2,1/SEARCH(B295,Товары!A:A),Товары!A:A),Товары!A:B,2,0),""),6)=MID(Z295,1,6),1,0)</f>
        <v>1</v>
      </c>
      <c r="AG295" s="97">
        <f ca="1">SUMIF(Группа!A:A,C295,Группа!C:C)</f>
        <v>1</v>
      </c>
      <c r="AH295" s="97">
        <f ca="1">SUMIF(Группа!B:B,AA295,Группа!C:C)</f>
        <v>1</v>
      </c>
      <c r="AI295" s="97">
        <f ca="1">SUMIF(Формы!A:A,D295,Формы!B:B)</f>
        <v>1</v>
      </c>
      <c r="AJ295" s="97">
        <f ca="1">SUMIF(Материал!A:A,K295,Материал!B:B)</f>
        <v>1</v>
      </c>
      <c r="AK295" s="97">
        <f ca="1">SUMIF(Размеры!A:A,R295,Размеры!E:E)</f>
        <v>1</v>
      </c>
      <c r="AL295" s="97">
        <f ca="1">SUMIF(Сезон!A:A,F295,Сезон!B:B)</f>
        <v>1</v>
      </c>
      <c r="AM295" s="97">
        <f ca="1">SUMIF(Состав!A:A,J295,Состав!B:B)</f>
        <v>1</v>
      </c>
      <c r="AN295" s="97">
        <f ca="1">VLOOKUP(I295,ЦветПолный!A:C,3,0)</f>
        <v>1</v>
      </c>
      <c r="AO295" s="97">
        <f ca="1">SUMIF(Цвет!A:A,Y295,Цвет!B:B)</f>
        <v>1</v>
      </c>
      <c r="AP295" s="97">
        <f ca="1">_xlfn.XLOOKUP(L295,Пол!A:A,Пол!B:B,0,0)</f>
        <v>1</v>
      </c>
      <c r="AQ295" s="97">
        <f ca="1">SUMIF(Марка!A:A,G295,Марка!B:B)</f>
        <v>1</v>
      </c>
      <c r="AR295" s="97">
        <f ca="1">SUMIF(Страна!A:A,M295,Страна!B:B)</f>
        <v>1</v>
      </c>
      <c r="AS295" s="64" t="str">
        <f ca="1">IF(VLOOKUP(V295,Товары!A:B,2,FALSE)=A295,"Есть в 1С","ERR")</f>
        <v>Есть в 1С</v>
      </c>
      <c r="AT295" s="65" t="str">
        <f ca="1">IF(VLOOKUP(A295,Товары!B:B,1,FALSE)=A295,"Есть в 1С","ERR")</f>
        <v>Есть в 1С</v>
      </c>
      <c r="AU295" s="96" t="str">
        <f ca="1">VLOOKUP(V295,Товары!A:B,2,FALSE)</f>
        <v>21-145-02</v>
      </c>
      <c r="AV295" s="94" t="str">
        <f ca="1">VLOOKUP(V295,Товары!A:B,1,FALSE)</f>
        <v>Шляпа BAILEY арт. 81652 ELLIOTT (бежевый) {natural}</v>
      </c>
    </row>
    <row r="296" spans="1:48" x14ac:dyDescent="0.25">
      <c r="A296" s="110" t="str">
        <f t="shared" ca="1" si="32"/>
        <v>21-145-02</v>
      </c>
      <c r="B296" s="107" t="str">
        <f ca="1">_xlfn.LET(_xlpm.CAPS,0,_xlpm.Style,_xlfn.XLOOKUP($A296,Строчный!$A:$A,Строчный!B:B,"ERR",0),IF(_xlpm.CAPS=0,_xlpm.Style,LOWER(_xlpm.Style)))</f>
        <v>81652 ELLIOTT</v>
      </c>
      <c r="C296" s="81" t="str">
        <f ca="1">PROPER(_xlfn.XLOOKUP($A296,Строчный!$A:$A,Строчный!C:C,"ERR",0))</f>
        <v>Шляпы</v>
      </c>
      <c r="D296" s="81" t="str">
        <f ca="1">_xlfn.LET(_xlpm.DATA,(_xlfn.XLOOKUP($A296,Строчный!$A:$A,Строчный!D:D,"ERR",0)),UPPER(MID(_xlpm.DATA,1,1))&amp;LOWER(MID(_xlpm.DATA,2,LEN(_xlpm.DATA)-1)))</f>
        <v>Шляпа федора</v>
      </c>
      <c r="E296" s="81" t="str">
        <f ca="1">PROPER(_xlfn.XLOOKUP($A296,Строчный!$A:$A,Строчный!E:E,"ERR",0))</f>
        <v>The Hollywood</v>
      </c>
      <c r="F296" s="81" t="str">
        <f ca="1">LOWER(_xlfn.XLOOKUP($A296,Строчный!$A:$A,Строчный!F:F,"ERR",0))</f>
        <v>летний</v>
      </c>
      <c r="G296" s="81" t="str">
        <f ca="1">UPPER(_xlfn.XLOOKUP($A296,Строчный!$A:$A,Строчный!G:G,"ERR",0))</f>
        <v>BAILEY</v>
      </c>
      <c r="H296" s="81" t="str">
        <f ca="1">LOWER(_xlfn.XLOOKUP($A296,Строчный!$A:$A,Строчный!H:H,"ERR",0))</f>
        <v>natural</v>
      </c>
      <c r="I296" s="81" t="str">
        <f ca="1">LOWER(_xlfn.XLOOKUP($A296,Строчный!$A:$A,Строчный!I:I,"ERR",0))</f>
        <v>бежевый</v>
      </c>
      <c r="J296" s="81" t="str">
        <f ca="1">SUBSTITUTE(LOWER(_xlfn.XLOOKUP($A296,Строчный!$A:$A,Строчный!J:J,"ERR",0)),"подклад","Подклад")</f>
        <v>50% бумага - 50% полипропилен</v>
      </c>
      <c r="K296" s="81" t="str">
        <f ca="1">LOWER(_xlfn.XLOOKUP($A296,Строчный!$A:$A,Строчный!K:K,"ERR",0))</f>
        <v>бумажные</v>
      </c>
      <c r="L296" s="81" t="str">
        <f ca="1">PROPER(_xlfn.XLOOKUP($A296,Строчный!$A:$A,Строчный!L:L,"ERR",0))</f>
        <v>Унисекс</v>
      </c>
      <c r="M296" s="113" t="str">
        <f ca="1">PROPER(_xlfn.XLOOKUP($A296,Строчный!$A:$A,Строчный!M:M,"ERR",0))</f>
        <v>Китай</v>
      </c>
      <c r="N296" s="81" t="str">
        <f ca="1">UPPER(_xlfn.XLOOKUP($A296,Строчный!$A:$A,Строчный!O:O,"ERR",0))</f>
        <v/>
      </c>
      <c r="O296" s="107" t="str">
        <f ca="1">PROPER(_xlfn.XLOOKUP($A296,Строчный!$A:$A,Строчный!P:P,"ERR",0))</f>
        <v/>
      </c>
      <c r="P296" s="90">
        <f ca="1">VALUE(_xlfn.XLOOKUP($A296,Строчный!$A:$A,Строчный!N:N,"ERR",0))</f>
        <v>2018.25</v>
      </c>
      <c r="Q296" s="89" t="str">
        <f ca="1">_xlfn.XLOOKUP($G296,Фабрика!A:A,Фабрика!B:B,"ERR",0)</f>
        <v>Bollman Headwear Europe Ltd; 2 Merchants drive, Caelisle, Cumbria CA3 0JW, United Kingdom</v>
      </c>
      <c r="R296" s="80" t="str">
        <f ca="1">_xlfn.XLOOKUP(RIGHT(Z296,2),Размеры!D:D,Размеры!A:A,"ERR",0)</f>
        <v>55</v>
      </c>
      <c r="S296" s="80">
        <f ca="1">VALUE(_xlfn.XLOOKUP($Z296,Строчный!$R:$R,Строчный!T:T,"ERR",0))</f>
        <v>1</v>
      </c>
      <c r="T296" s="14" t="s">
        <v>265</v>
      </c>
      <c r="U296" s="101" t="str">
        <f t="shared" ca="1" si="28"/>
        <v>Шляпа BAILEY арт. 81652 ELLIOTT (бежевый)</v>
      </c>
      <c r="V296" s="100" t="str">
        <f t="shared" ca="1" si="29"/>
        <v>Шляпа BAILEY арт. 81652 ELLIOTT (бежевый) {natural}</v>
      </c>
      <c r="W296" s="18" t="str">
        <f t="shared" ca="1" si="30"/>
        <v>бежевый</v>
      </c>
      <c r="X296" s="18" t="str">
        <f t="shared" ca="1" si="31"/>
        <v>бежевый</v>
      </c>
      <c r="Y296" s="117" t="str">
        <f ca="1">_xlfn.LET(_xlpm.FormColors,_xlfn.XLOOKUP(A296,Строчный!A:A,Строчный!Q:Q,"",0),IF(_xlpm.FormColors=0,IFERROR(MID(I296,FIND("-",I296)+1,LEN(I296)),IFERROR(MID(I296,1,FIND("/",I296)-2),I296)),_xlpm.FormColors))</f>
        <v>бежевый</v>
      </c>
      <c r="Z296" s="73" t="str">
        <f ca="1"/>
        <v>21-145-02-55</v>
      </c>
      <c r="AA296" s="75" t="str">
        <f ca="1">VLOOKUP(C296,Группа!A:B,2,FALSE)</f>
        <v>Шляпа</v>
      </c>
      <c r="AB296" s="97" t="str">
        <f ca="1">IFERROR(VLOOKUP(R296,Размеры!A:C,3,FALSE),"")</f>
        <v>55 S</v>
      </c>
      <c r="AC296" s="97" t="str">
        <f ca="1">VLOOKUP(I296,ЦветПолный!A:B,2,FALSE)</f>
        <v>02</v>
      </c>
      <c r="AD296" s="97" t="str">
        <f ca="1">IFERROR(VLOOKUP(R296,Размеры!A:D,4,FALSE),"")</f>
        <v>55</v>
      </c>
      <c r="AE296" s="97">
        <f ca="1">IF(LEFT(IFERROR(VLOOKUP(LOOKUP(2,1/SEARCH(B296,Товары!A:A),Товары!A:A),Товары!A:B,2,0),""),6)=MID(Z296,1,6),1,0)</f>
        <v>1</v>
      </c>
      <c r="AG296" s="97">
        <f ca="1">SUMIF(Группа!A:A,C296,Группа!C:C)</f>
        <v>1</v>
      </c>
      <c r="AH296" s="97">
        <f ca="1">SUMIF(Группа!B:B,AA296,Группа!C:C)</f>
        <v>1</v>
      </c>
      <c r="AI296" s="97">
        <f ca="1">SUMIF(Формы!A:A,D296,Формы!B:B)</f>
        <v>1</v>
      </c>
      <c r="AJ296" s="97">
        <f ca="1">SUMIF(Материал!A:A,K296,Материал!B:B)</f>
        <v>1</v>
      </c>
      <c r="AK296" s="97">
        <f ca="1">SUMIF(Размеры!A:A,R296,Размеры!E:E)</f>
        <v>1</v>
      </c>
      <c r="AL296" s="97">
        <f ca="1">SUMIF(Сезон!A:A,F296,Сезон!B:B)</f>
        <v>1</v>
      </c>
      <c r="AM296" s="97">
        <f ca="1">SUMIF(Состав!A:A,J296,Состав!B:B)</f>
        <v>1</v>
      </c>
      <c r="AN296" s="97">
        <f ca="1">VLOOKUP(I296,ЦветПолный!A:C,3,0)</f>
        <v>1</v>
      </c>
      <c r="AO296" s="97">
        <f ca="1">SUMIF(Цвет!A:A,Y296,Цвет!B:B)</f>
        <v>1</v>
      </c>
      <c r="AP296" s="97">
        <f ca="1">_xlfn.XLOOKUP(L296,Пол!A:A,Пол!B:B,0,0)</f>
        <v>1</v>
      </c>
      <c r="AQ296" s="97">
        <f ca="1">SUMIF(Марка!A:A,G296,Марка!B:B)</f>
        <v>1</v>
      </c>
      <c r="AR296" s="97">
        <f ca="1">SUMIF(Страна!A:A,M296,Страна!B:B)</f>
        <v>1</v>
      </c>
      <c r="AS296" s="64" t="str">
        <f ca="1">IF(VLOOKUP(V296,Товары!A:B,2,FALSE)=A296,"Есть в 1С","ERR")</f>
        <v>Есть в 1С</v>
      </c>
      <c r="AT296" s="65" t="str">
        <f ca="1">IF(VLOOKUP(A296,Товары!B:B,1,FALSE)=A296,"Есть в 1С","ERR")</f>
        <v>Есть в 1С</v>
      </c>
      <c r="AU296" s="96" t="str">
        <f ca="1">VLOOKUP(V296,Товары!A:B,2,FALSE)</f>
        <v>21-145-02</v>
      </c>
      <c r="AV296" s="94" t="str">
        <f ca="1">VLOOKUP(V296,Товары!A:B,1,FALSE)</f>
        <v>Шляпа BAILEY арт. 81652 ELLIOTT (бежевый) {natural}</v>
      </c>
    </row>
    <row r="297" spans="1:48" x14ac:dyDescent="0.25">
      <c r="A297" s="110" t="str">
        <f t="shared" ca="1" si="32"/>
        <v>21-133-03</v>
      </c>
      <c r="B297" s="107" t="str">
        <f ca="1">_xlfn.LET(_xlpm.CAPS,0,_xlpm.Style,_xlfn.XLOOKUP($A297,Строчный!$A:$A,Строчный!B:B,"ERR",0),IF(_xlpm.CAPS=0,_xlpm.Style,LOWER(_xlpm.Style)))</f>
        <v>22719 CUTLER</v>
      </c>
      <c r="C297" s="81" t="str">
        <f ca="1">PROPER(_xlfn.XLOOKUP($A297,Строчный!$A:$A,Строчный!C:C,"ERR",0))</f>
        <v>Шляпы</v>
      </c>
      <c r="D297" s="81" t="str">
        <f ca="1">_xlfn.LET(_xlpm.DATA,(_xlfn.XLOOKUP($A297,Строчный!$A:$A,Строчный!D:D,"ERR",0)),UPPER(MID(_xlpm.DATA,1,1))&amp;LOWER(MID(_xlpm.DATA,2,LEN(_xlpm.DATA)-1)))</f>
        <v>Шляпа федора</v>
      </c>
      <c r="E297" s="81" t="str">
        <f ca="1">PROPER(_xlfn.XLOOKUP($A297,Строчный!$A:$A,Строчный!E:E,"ERR",0))</f>
        <v>The Hollywood</v>
      </c>
      <c r="F297" s="81" t="str">
        <f ca="1">LOWER(_xlfn.XLOOKUP($A297,Строчный!$A:$A,Строчный!F:F,"ERR",0))</f>
        <v>летний</v>
      </c>
      <c r="G297" s="81" t="str">
        <f ca="1">UPPER(_xlfn.XLOOKUP($A297,Строчный!$A:$A,Строчный!G:G,"ERR",0))</f>
        <v>BAILEY</v>
      </c>
      <c r="H297" s="81" t="str">
        <f ca="1">LOWER(_xlfn.XLOOKUP($A297,Строчный!$A:$A,Строчный!H:H,"ERR",0))</f>
        <v>boa</v>
      </c>
      <c r="I297" s="81" t="str">
        <f ca="1">LOWER(_xlfn.XLOOKUP($A297,Строчный!$A:$A,Строчный!I:I,"ERR",0))</f>
        <v>оливковый</v>
      </c>
      <c r="J297" s="81" t="str">
        <f ca="1">SUBSTITUTE(LOWER(_xlfn.XLOOKUP($A297,Строчный!$A:$A,Строчный!J:J,"ERR",0)),"подклад","Подклад")</f>
        <v>100% солома токилла</v>
      </c>
      <c r="K297" s="81" t="str">
        <f ca="1">LOWER(_xlfn.XLOOKUP($A297,Строчный!$A:$A,Строчный!K:K,"ERR",0))</f>
        <v>соломенные</v>
      </c>
      <c r="L297" s="81" t="str">
        <f ca="1">PROPER(_xlfn.XLOOKUP($A297,Строчный!$A:$A,Строчный!L:L,"ERR",0))</f>
        <v>Унисекс</v>
      </c>
      <c r="M297" s="113" t="str">
        <f ca="1">PROPER(_xlfn.XLOOKUP($A297,Строчный!$A:$A,Строчный!M:M,"ERR",0))</f>
        <v>Соединенные Штаты</v>
      </c>
      <c r="N297" s="81" t="str">
        <f ca="1">UPPER(_xlfn.XLOOKUP($A297,Строчный!$A:$A,Строчный!O:O,"ERR",0))</f>
        <v/>
      </c>
      <c r="O297" s="107" t="str">
        <f ca="1">PROPER(_xlfn.XLOOKUP($A297,Строчный!$A:$A,Строчный!P:P,"ERR",0))</f>
        <v/>
      </c>
      <c r="P297" s="90">
        <f ca="1">VALUE(_xlfn.XLOOKUP($A297,Строчный!$A:$A,Строчный!N:N,"ERR",0))</f>
        <v>6066.45</v>
      </c>
      <c r="Q297" s="89" t="str">
        <f ca="1">_xlfn.XLOOKUP($G297,Фабрика!A:A,Фабрика!B:B,"ERR",0)</f>
        <v>Bollman Headwear Europe Ltd; 2 Merchants drive, Caelisle, Cumbria CA3 0JW, United Kingdom</v>
      </c>
      <c r="R297" s="80" t="str">
        <f ca="1">_xlfn.XLOOKUP(RIGHT(Z297,2),Размеры!D:D,Размеры!A:A,"ERR",0)</f>
        <v>61</v>
      </c>
      <c r="S297" s="80">
        <f ca="1">VALUE(_xlfn.XLOOKUP($Z297,Строчный!$R:$R,Строчный!T:T,"ERR",0))</f>
        <v>1</v>
      </c>
      <c r="T297" s="14" t="s">
        <v>265</v>
      </c>
      <c r="U297" s="101" t="str">
        <f t="shared" ca="1" si="28"/>
        <v>Шляпа BAILEY арт. 22719 CUTLER (оливковый)</v>
      </c>
      <c r="V297" s="100" t="str">
        <f t="shared" ca="1" si="29"/>
        <v>Шляпа BAILEY арт. 22719 CUTLER (оливковый) {boa}</v>
      </c>
      <c r="W297" s="18" t="str">
        <f t="shared" ca="1" si="30"/>
        <v>оливковый</v>
      </c>
      <c r="X297" s="18" t="str">
        <f t="shared" ca="1" si="31"/>
        <v>оливковый</v>
      </c>
      <c r="Y297" s="117" t="str">
        <f ca="1">_xlfn.LET(_xlpm.FormColors,_xlfn.XLOOKUP(A297,Строчный!A:A,Строчный!Q:Q,"",0),IF(_xlpm.FormColors=0,IFERROR(MID(I297,FIND("-",I297)+1,LEN(I297)),IFERROR(MID(I297,1,FIND("/",I297)-2),I297)),_xlpm.FormColors))</f>
        <v>оливковый</v>
      </c>
      <c r="Z297" s="73" t="str">
        <f ca="1"/>
        <v>21-133-03-61</v>
      </c>
      <c r="AA297" s="75" t="str">
        <f ca="1">VLOOKUP(C297,Группа!A:B,2,FALSE)</f>
        <v>Шляпа</v>
      </c>
      <c r="AB297" s="97" t="str">
        <f ca="1">IFERROR(VLOOKUP(R297,Размеры!A:C,3,FALSE),"")</f>
        <v>61 XL</v>
      </c>
      <c r="AC297" s="97" t="str">
        <f ca="1">VLOOKUP(I297,ЦветПолный!A:B,2,FALSE)</f>
        <v>03</v>
      </c>
      <c r="AD297" s="97" t="str">
        <f ca="1">IFERROR(VLOOKUP(R297,Размеры!A:D,4,FALSE),"")</f>
        <v>61</v>
      </c>
      <c r="AE297" s="97">
        <f ca="1">IF(LEFT(IFERROR(VLOOKUP(LOOKUP(2,1/SEARCH(B297,Товары!A:A),Товары!A:A),Товары!A:B,2,0),""),6)=MID(Z297,1,6),1,0)</f>
        <v>1</v>
      </c>
      <c r="AG297" s="97">
        <f ca="1">SUMIF(Группа!A:A,C297,Группа!C:C)</f>
        <v>1</v>
      </c>
      <c r="AH297" s="97">
        <f ca="1">SUMIF(Группа!B:B,AA297,Группа!C:C)</f>
        <v>1</v>
      </c>
      <c r="AI297" s="97">
        <f ca="1">SUMIF(Формы!A:A,D297,Формы!B:B)</f>
        <v>1</v>
      </c>
      <c r="AJ297" s="97">
        <f ca="1">SUMIF(Материал!A:A,K297,Материал!B:B)</f>
        <v>1</v>
      </c>
      <c r="AK297" s="97">
        <f ca="1">SUMIF(Размеры!A:A,R297,Размеры!E:E)</f>
        <v>1</v>
      </c>
      <c r="AL297" s="97">
        <f ca="1">SUMIF(Сезон!A:A,F297,Сезон!B:B)</f>
        <v>1</v>
      </c>
      <c r="AM297" s="97">
        <f ca="1">SUMIF(Состав!A:A,J297,Состав!B:B)</f>
        <v>1</v>
      </c>
      <c r="AN297" s="97">
        <f ca="1">VLOOKUP(I297,ЦветПолный!A:C,3,0)</f>
        <v>1</v>
      </c>
      <c r="AO297" s="97">
        <f ca="1">SUMIF(Цвет!A:A,Y297,Цвет!B:B)</f>
        <v>1</v>
      </c>
      <c r="AP297" s="97">
        <f ca="1">_xlfn.XLOOKUP(L297,Пол!A:A,Пол!B:B,0,0)</f>
        <v>1</v>
      </c>
      <c r="AQ297" s="97">
        <f ca="1">SUMIF(Марка!A:A,G297,Марка!B:B)</f>
        <v>1</v>
      </c>
      <c r="AR297" s="97">
        <f ca="1">SUMIF(Страна!A:A,M297,Страна!B:B)</f>
        <v>1</v>
      </c>
      <c r="AS297" s="64" t="str">
        <f ca="1">IF(VLOOKUP(V297,Товары!A:B,2,FALSE)=A297,"Есть в 1С","ERR")</f>
        <v>Есть в 1С</v>
      </c>
      <c r="AT297" s="65" t="str">
        <f ca="1">IF(VLOOKUP(A297,Товары!B:B,1,FALSE)=A297,"Есть в 1С","ERR")</f>
        <v>Есть в 1С</v>
      </c>
      <c r="AU297" s="96" t="str">
        <f ca="1">VLOOKUP(V297,Товары!A:B,2,FALSE)</f>
        <v>21-133-03</v>
      </c>
      <c r="AV297" s="94" t="str">
        <f ca="1">VLOOKUP(V297,Товары!A:B,1,FALSE)</f>
        <v>Шляпа BAILEY арт. 22719 CUTLER (оливковый) {boa}</v>
      </c>
    </row>
    <row r="298" spans="1:48" x14ac:dyDescent="0.25">
      <c r="A298" s="110" t="str">
        <f t="shared" ca="1" si="32"/>
        <v>21-133-03</v>
      </c>
      <c r="B298" s="107" t="str">
        <f ca="1">_xlfn.LET(_xlpm.CAPS,0,_xlpm.Style,_xlfn.XLOOKUP($A298,Строчный!$A:$A,Строчный!B:B,"ERR",0),IF(_xlpm.CAPS=0,_xlpm.Style,LOWER(_xlpm.Style)))</f>
        <v>22719 CUTLER</v>
      </c>
      <c r="C298" s="81" t="str">
        <f ca="1">PROPER(_xlfn.XLOOKUP($A298,Строчный!$A:$A,Строчный!C:C,"ERR",0))</f>
        <v>Шляпы</v>
      </c>
      <c r="D298" s="81" t="str">
        <f ca="1">_xlfn.LET(_xlpm.DATA,(_xlfn.XLOOKUP($A298,Строчный!$A:$A,Строчный!D:D,"ERR",0)),UPPER(MID(_xlpm.DATA,1,1))&amp;LOWER(MID(_xlpm.DATA,2,LEN(_xlpm.DATA)-1)))</f>
        <v>Шляпа федора</v>
      </c>
      <c r="E298" s="81" t="str">
        <f ca="1">PROPER(_xlfn.XLOOKUP($A298,Строчный!$A:$A,Строчный!E:E,"ERR",0))</f>
        <v>The Hollywood</v>
      </c>
      <c r="F298" s="81" t="str">
        <f ca="1">LOWER(_xlfn.XLOOKUP($A298,Строчный!$A:$A,Строчный!F:F,"ERR",0))</f>
        <v>летний</v>
      </c>
      <c r="G298" s="81" t="str">
        <f ca="1">UPPER(_xlfn.XLOOKUP($A298,Строчный!$A:$A,Строчный!G:G,"ERR",0))</f>
        <v>BAILEY</v>
      </c>
      <c r="H298" s="81" t="str">
        <f ca="1">LOWER(_xlfn.XLOOKUP($A298,Строчный!$A:$A,Строчный!H:H,"ERR",0))</f>
        <v>boa</v>
      </c>
      <c r="I298" s="81" t="str">
        <f ca="1">LOWER(_xlfn.XLOOKUP($A298,Строчный!$A:$A,Строчный!I:I,"ERR",0))</f>
        <v>оливковый</v>
      </c>
      <c r="J298" s="81" t="str">
        <f ca="1">SUBSTITUTE(LOWER(_xlfn.XLOOKUP($A298,Строчный!$A:$A,Строчный!J:J,"ERR",0)),"подклад","Подклад")</f>
        <v>100% солома токилла</v>
      </c>
      <c r="K298" s="81" t="str">
        <f ca="1">LOWER(_xlfn.XLOOKUP($A298,Строчный!$A:$A,Строчный!K:K,"ERR",0))</f>
        <v>соломенные</v>
      </c>
      <c r="L298" s="81" t="str">
        <f ca="1">PROPER(_xlfn.XLOOKUP($A298,Строчный!$A:$A,Строчный!L:L,"ERR",0))</f>
        <v>Унисекс</v>
      </c>
      <c r="M298" s="113" t="str">
        <f ca="1">PROPER(_xlfn.XLOOKUP($A298,Строчный!$A:$A,Строчный!M:M,"ERR",0))</f>
        <v>Соединенные Штаты</v>
      </c>
      <c r="N298" s="81" t="str">
        <f ca="1">UPPER(_xlfn.XLOOKUP($A298,Строчный!$A:$A,Строчный!O:O,"ERR",0))</f>
        <v/>
      </c>
      <c r="O298" s="107" t="str">
        <f ca="1">PROPER(_xlfn.XLOOKUP($A298,Строчный!$A:$A,Строчный!P:P,"ERR",0))</f>
        <v/>
      </c>
      <c r="P298" s="90">
        <f ca="1">VALUE(_xlfn.XLOOKUP($A298,Строчный!$A:$A,Строчный!N:N,"ERR",0))</f>
        <v>6066.45</v>
      </c>
      <c r="Q298" s="89" t="str">
        <f ca="1">_xlfn.XLOOKUP($G298,Фабрика!A:A,Фабрика!B:B,"ERR",0)</f>
        <v>Bollman Headwear Europe Ltd; 2 Merchants drive, Caelisle, Cumbria CA3 0JW, United Kingdom</v>
      </c>
      <c r="R298" s="80" t="str">
        <f ca="1">_xlfn.XLOOKUP(RIGHT(Z298,2),Размеры!D:D,Размеры!A:A,"ERR",0)</f>
        <v>59</v>
      </c>
      <c r="S298" s="80">
        <f ca="1">VALUE(_xlfn.XLOOKUP($Z298,Строчный!$R:$R,Строчный!T:T,"ERR",0))</f>
        <v>2</v>
      </c>
      <c r="T298" s="14" t="s">
        <v>265</v>
      </c>
      <c r="U298" s="101" t="str">
        <f t="shared" ca="1" si="28"/>
        <v>Шляпа BAILEY арт. 22719 CUTLER (оливковый)</v>
      </c>
      <c r="V298" s="100" t="str">
        <f t="shared" ca="1" si="29"/>
        <v>Шляпа BAILEY арт. 22719 CUTLER (оливковый) {boa}</v>
      </c>
      <c r="W298" s="18" t="str">
        <f t="shared" ca="1" si="30"/>
        <v>оливковый</v>
      </c>
      <c r="X298" s="18" t="str">
        <f t="shared" ca="1" si="31"/>
        <v>оливковый</v>
      </c>
      <c r="Y298" s="117" t="str">
        <f ca="1">_xlfn.LET(_xlpm.FormColors,_xlfn.XLOOKUP(A298,Строчный!A:A,Строчный!Q:Q,"",0),IF(_xlpm.FormColors=0,IFERROR(MID(I298,FIND("-",I298)+1,LEN(I298)),IFERROR(MID(I298,1,FIND("/",I298)-2),I298)),_xlpm.FormColors))</f>
        <v>оливковый</v>
      </c>
      <c r="Z298" s="73" t="str">
        <f ca="1"/>
        <v>21-133-03-59</v>
      </c>
      <c r="AA298" s="75" t="str">
        <f ca="1">VLOOKUP(C298,Группа!A:B,2,FALSE)</f>
        <v>Шляпа</v>
      </c>
      <c r="AB298" s="97" t="str">
        <f ca="1">IFERROR(VLOOKUP(R298,Размеры!A:C,3,FALSE),"")</f>
        <v>59 L</v>
      </c>
      <c r="AC298" s="97" t="str">
        <f ca="1">VLOOKUP(I298,ЦветПолный!A:B,2,FALSE)</f>
        <v>03</v>
      </c>
      <c r="AD298" s="97" t="str">
        <f ca="1">IFERROR(VLOOKUP(R298,Размеры!A:D,4,FALSE),"")</f>
        <v>59</v>
      </c>
      <c r="AE298" s="97">
        <f ca="1">IF(LEFT(IFERROR(VLOOKUP(LOOKUP(2,1/SEARCH(B298,Товары!A:A),Товары!A:A),Товары!A:B,2,0),""),6)=MID(Z298,1,6),1,0)</f>
        <v>1</v>
      </c>
      <c r="AG298" s="97">
        <f ca="1">SUMIF(Группа!A:A,C298,Группа!C:C)</f>
        <v>1</v>
      </c>
      <c r="AH298" s="97">
        <f ca="1">SUMIF(Группа!B:B,AA298,Группа!C:C)</f>
        <v>1</v>
      </c>
      <c r="AI298" s="97">
        <f ca="1">SUMIF(Формы!A:A,D298,Формы!B:B)</f>
        <v>1</v>
      </c>
      <c r="AJ298" s="97">
        <f ca="1">SUMIF(Материал!A:A,K298,Материал!B:B)</f>
        <v>1</v>
      </c>
      <c r="AK298" s="97">
        <f ca="1">SUMIF(Размеры!A:A,R298,Размеры!E:E)</f>
        <v>1</v>
      </c>
      <c r="AL298" s="97">
        <f ca="1">SUMIF(Сезон!A:A,F298,Сезон!B:B)</f>
        <v>1</v>
      </c>
      <c r="AM298" s="97">
        <f ca="1">SUMIF(Состав!A:A,J298,Состав!B:B)</f>
        <v>1</v>
      </c>
      <c r="AN298" s="97">
        <f ca="1">VLOOKUP(I298,ЦветПолный!A:C,3,0)</f>
        <v>1</v>
      </c>
      <c r="AO298" s="97">
        <f ca="1">SUMIF(Цвет!A:A,Y298,Цвет!B:B)</f>
        <v>1</v>
      </c>
      <c r="AP298" s="97">
        <f ca="1">_xlfn.XLOOKUP(L298,Пол!A:A,Пол!B:B,0,0)</f>
        <v>1</v>
      </c>
      <c r="AQ298" s="97">
        <f ca="1">SUMIF(Марка!A:A,G298,Марка!B:B)</f>
        <v>1</v>
      </c>
      <c r="AR298" s="97">
        <f ca="1">SUMIF(Страна!A:A,M298,Страна!B:B)</f>
        <v>1</v>
      </c>
      <c r="AS298" s="64" t="str">
        <f ca="1">IF(VLOOKUP(V298,Товары!A:B,2,FALSE)=A298,"Есть в 1С","ERR")</f>
        <v>Есть в 1С</v>
      </c>
      <c r="AT298" s="65" t="str">
        <f ca="1">IF(VLOOKUP(A298,Товары!B:B,1,FALSE)=A298,"Есть в 1С","ERR")</f>
        <v>Есть в 1С</v>
      </c>
      <c r="AU298" s="96" t="str">
        <f ca="1">VLOOKUP(V298,Товары!A:B,2,FALSE)</f>
        <v>21-133-03</v>
      </c>
      <c r="AV298" s="94" t="str">
        <f ca="1">VLOOKUP(V298,Товары!A:B,1,FALSE)</f>
        <v>Шляпа BAILEY арт. 22719 CUTLER (оливковый) {boa}</v>
      </c>
    </row>
    <row r="299" spans="1:48" x14ac:dyDescent="0.25">
      <c r="A299" s="110" t="str">
        <f t="shared" ca="1" si="32"/>
        <v>21-133-03</v>
      </c>
      <c r="B299" s="107" t="str">
        <f ca="1">_xlfn.LET(_xlpm.CAPS,0,_xlpm.Style,_xlfn.XLOOKUP($A299,Строчный!$A:$A,Строчный!B:B,"ERR",0),IF(_xlpm.CAPS=0,_xlpm.Style,LOWER(_xlpm.Style)))</f>
        <v>22719 CUTLER</v>
      </c>
      <c r="C299" s="81" t="str">
        <f ca="1">PROPER(_xlfn.XLOOKUP($A299,Строчный!$A:$A,Строчный!C:C,"ERR",0))</f>
        <v>Шляпы</v>
      </c>
      <c r="D299" s="81" t="str">
        <f ca="1">_xlfn.LET(_xlpm.DATA,(_xlfn.XLOOKUP($A299,Строчный!$A:$A,Строчный!D:D,"ERR",0)),UPPER(MID(_xlpm.DATA,1,1))&amp;LOWER(MID(_xlpm.DATA,2,LEN(_xlpm.DATA)-1)))</f>
        <v>Шляпа федора</v>
      </c>
      <c r="E299" s="81" t="str">
        <f ca="1">PROPER(_xlfn.XLOOKUP($A299,Строчный!$A:$A,Строчный!E:E,"ERR",0))</f>
        <v>The Hollywood</v>
      </c>
      <c r="F299" s="81" t="str">
        <f ca="1">LOWER(_xlfn.XLOOKUP($A299,Строчный!$A:$A,Строчный!F:F,"ERR",0))</f>
        <v>летний</v>
      </c>
      <c r="G299" s="81" t="str">
        <f ca="1">UPPER(_xlfn.XLOOKUP($A299,Строчный!$A:$A,Строчный!G:G,"ERR",0))</f>
        <v>BAILEY</v>
      </c>
      <c r="H299" s="81" t="str">
        <f ca="1">LOWER(_xlfn.XLOOKUP($A299,Строчный!$A:$A,Строчный!H:H,"ERR",0))</f>
        <v>boa</v>
      </c>
      <c r="I299" s="81" t="str">
        <f ca="1">LOWER(_xlfn.XLOOKUP($A299,Строчный!$A:$A,Строчный!I:I,"ERR",0))</f>
        <v>оливковый</v>
      </c>
      <c r="J299" s="81" t="str">
        <f ca="1">SUBSTITUTE(LOWER(_xlfn.XLOOKUP($A299,Строчный!$A:$A,Строчный!J:J,"ERR",0)),"подклад","Подклад")</f>
        <v>100% солома токилла</v>
      </c>
      <c r="K299" s="81" t="str">
        <f ca="1">LOWER(_xlfn.XLOOKUP($A299,Строчный!$A:$A,Строчный!K:K,"ERR",0))</f>
        <v>соломенные</v>
      </c>
      <c r="L299" s="81" t="str">
        <f ca="1">PROPER(_xlfn.XLOOKUP($A299,Строчный!$A:$A,Строчный!L:L,"ERR",0))</f>
        <v>Унисекс</v>
      </c>
      <c r="M299" s="113" t="str">
        <f ca="1">PROPER(_xlfn.XLOOKUP($A299,Строчный!$A:$A,Строчный!M:M,"ERR",0))</f>
        <v>Соединенные Штаты</v>
      </c>
      <c r="N299" s="81" t="str">
        <f ca="1">UPPER(_xlfn.XLOOKUP($A299,Строчный!$A:$A,Строчный!O:O,"ERR",0))</f>
        <v/>
      </c>
      <c r="O299" s="107" t="str">
        <f ca="1">PROPER(_xlfn.XLOOKUP($A299,Строчный!$A:$A,Строчный!P:P,"ERR",0))</f>
        <v/>
      </c>
      <c r="P299" s="90">
        <f ca="1">VALUE(_xlfn.XLOOKUP($A299,Строчный!$A:$A,Строчный!N:N,"ERR",0))</f>
        <v>6066.45</v>
      </c>
      <c r="Q299" s="89" t="str">
        <f ca="1">_xlfn.XLOOKUP($G299,Фабрика!A:A,Фабрика!B:B,"ERR",0)</f>
        <v>Bollman Headwear Europe Ltd; 2 Merchants drive, Caelisle, Cumbria CA3 0JW, United Kingdom</v>
      </c>
      <c r="R299" s="80" t="str">
        <f ca="1">_xlfn.XLOOKUP(RIGHT(Z299,2),Размеры!D:D,Размеры!A:A,"ERR",0)</f>
        <v>57</v>
      </c>
      <c r="S299" s="80">
        <f ca="1">VALUE(_xlfn.XLOOKUP($Z299,Строчный!$R:$R,Строчный!T:T,"ERR",0))</f>
        <v>1</v>
      </c>
      <c r="T299" s="14" t="s">
        <v>265</v>
      </c>
      <c r="U299" s="101" t="str">
        <f t="shared" ca="1" si="28"/>
        <v>Шляпа BAILEY арт. 22719 CUTLER (оливковый)</v>
      </c>
      <c r="V299" s="100" t="str">
        <f t="shared" ca="1" si="29"/>
        <v>Шляпа BAILEY арт. 22719 CUTLER (оливковый) {boa}</v>
      </c>
      <c r="W299" s="18" t="str">
        <f t="shared" ca="1" si="30"/>
        <v>оливковый</v>
      </c>
      <c r="X299" s="18" t="str">
        <f t="shared" ca="1" si="31"/>
        <v>оливковый</v>
      </c>
      <c r="Y299" s="117" t="str">
        <f ca="1">_xlfn.LET(_xlpm.FormColors,_xlfn.XLOOKUP(A299,Строчный!A:A,Строчный!Q:Q,"",0),IF(_xlpm.FormColors=0,IFERROR(MID(I299,FIND("-",I299)+1,LEN(I299)),IFERROR(MID(I299,1,FIND("/",I299)-2),I299)),_xlpm.FormColors))</f>
        <v>оливковый</v>
      </c>
      <c r="Z299" s="73" t="str">
        <f ca="1"/>
        <v>21-133-03-57</v>
      </c>
      <c r="AA299" s="75" t="str">
        <f ca="1">VLOOKUP(C299,Группа!A:B,2,FALSE)</f>
        <v>Шляпа</v>
      </c>
      <c r="AB299" s="97" t="str">
        <f ca="1">IFERROR(VLOOKUP(R299,Размеры!A:C,3,FALSE),"")</f>
        <v>57 M</v>
      </c>
      <c r="AC299" s="97" t="str">
        <f ca="1">VLOOKUP(I299,ЦветПолный!A:B,2,FALSE)</f>
        <v>03</v>
      </c>
      <c r="AD299" s="97" t="str">
        <f ca="1">IFERROR(VLOOKUP(R299,Размеры!A:D,4,FALSE),"")</f>
        <v>57</v>
      </c>
      <c r="AE299" s="97">
        <f ca="1">IF(LEFT(IFERROR(VLOOKUP(LOOKUP(2,1/SEARCH(B299,Товары!A:A),Товары!A:A),Товары!A:B,2,0),""),6)=MID(Z299,1,6),1,0)</f>
        <v>1</v>
      </c>
      <c r="AG299" s="97">
        <f ca="1">SUMIF(Группа!A:A,C299,Группа!C:C)</f>
        <v>1</v>
      </c>
      <c r="AH299" s="97">
        <f ca="1">SUMIF(Группа!B:B,AA299,Группа!C:C)</f>
        <v>1</v>
      </c>
      <c r="AI299" s="97">
        <f ca="1">SUMIF(Формы!A:A,D299,Формы!B:B)</f>
        <v>1</v>
      </c>
      <c r="AJ299" s="97">
        <f ca="1">SUMIF(Материал!A:A,K299,Материал!B:B)</f>
        <v>1</v>
      </c>
      <c r="AK299" s="97">
        <f ca="1">SUMIF(Размеры!A:A,R299,Размеры!E:E)</f>
        <v>1</v>
      </c>
      <c r="AL299" s="97">
        <f ca="1">SUMIF(Сезон!A:A,F299,Сезон!B:B)</f>
        <v>1</v>
      </c>
      <c r="AM299" s="97">
        <f ca="1">SUMIF(Состав!A:A,J299,Состав!B:B)</f>
        <v>1</v>
      </c>
      <c r="AN299" s="97">
        <f ca="1">VLOOKUP(I299,ЦветПолный!A:C,3,0)</f>
        <v>1</v>
      </c>
      <c r="AO299" s="97">
        <f ca="1">SUMIF(Цвет!A:A,Y299,Цвет!B:B)</f>
        <v>1</v>
      </c>
      <c r="AP299" s="97">
        <f ca="1">_xlfn.XLOOKUP(L299,Пол!A:A,Пол!B:B,0,0)</f>
        <v>1</v>
      </c>
      <c r="AQ299" s="97">
        <f ca="1">SUMIF(Марка!A:A,G299,Марка!B:B)</f>
        <v>1</v>
      </c>
      <c r="AR299" s="97">
        <f ca="1">SUMIF(Страна!A:A,M299,Страна!B:B)</f>
        <v>1</v>
      </c>
      <c r="AS299" s="64" t="str">
        <f ca="1">IF(VLOOKUP(V299,Товары!A:B,2,FALSE)=A299,"Есть в 1С","ERR")</f>
        <v>Есть в 1С</v>
      </c>
      <c r="AT299" s="65" t="str">
        <f ca="1">IF(VLOOKUP(A299,Товары!B:B,1,FALSE)=A299,"Есть в 1С","ERR")</f>
        <v>Есть в 1С</v>
      </c>
      <c r="AU299" s="96" t="str">
        <f ca="1">VLOOKUP(V299,Товары!A:B,2,FALSE)</f>
        <v>21-133-03</v>
      </c>
      <c r="AV299" s="94" t="str">
        <f ca="1">VLOOKUP(V299,Товары!A:B,1,FALSE)</f>
        <v>Шляпа BAILEY арт. 22719 CUTLER (оливковый) {boa}</v>
      </c>
    </row>
    <row r="300" spans="1:48" x14ac:dyDescent="0.25">
      <c r="A300" s="110" t="str">
        <f t="shared" ca="1" si="32"/>
        <v>21-091-73</v>
      </c>
      <c r="B300" s="107" t="str">
        <f ca="1">_xlfn.LET(_xlpm.CAPS,0,_xlpm.Style,_xlfn.XLOOKUP($A300,Строчный!$A:$A,Строчный!B:B,"ERR",0),IF(_xlpm.CAPS=0,_xlpm.Style,LOWER(_xlpm.Style)))</f>
        <v>81690 MANNES</v>
      </c>
      <c r="C300" s="81" t="str">
        <f ca="1">PROPER(_xlfn.XLOOKUP($A300,Строчный!$A:$A,Строчный!C:C,"ERR",0))</f>
        <v>Шляпы</v>
      </c>
      <c r="D300" s="81" t="str">
        <f ca="1">_xlfn.LET(_xlpm.DATA,(_xlfn.XLOOKUP($A300,Строчный!$A:$A,Строчный!D:D,"ERR",0)),UPPER(MID(_xlpm.DATA,1,1))&amp;LOWER(MID(_xlpm.DATA,2,LEN(_xlpm.DATA)-1)))</f>
        <v>Шляпа хомбург</v>
      </c>
      <c r="E300" s="81" t="str">
        <f ca="1">PROPER(_xlfn.XLOOKUP($A300,Строчный!$A:$A,Строчный!E:E,"ERR",0))</f>
        <v>The Hollywood</v>
      </c>
      <c r="F300" s="81" t="str">
        <f ca="1">LOWER(_xlfn.XLOOKUP($A300,Строчный!$A:$A,Строчный!F:F,"ERR",0))</f>
        <v>летний</v>
      </c>
      <c r="G300" s="81" t="str">
        <f ca="1">UPPER(_xlfn.XLOOKUP($A300,Строчный!$A:$A,Строчный!G:G,"ERR",0))</f>
        <v>BAILEY</v>
      </c>
      <c r="H300" s="81" t="str">
        <f ca="1">LOWER(_xlfn.XLOOKUP($A300,Строчный!$A:$A,Строчный!H:H,"ERR",0))</f>
        <v>overcast</v>
      </c>
      <c r="I300" s="81" t="str">
        <f ca="1">LOWER(_xlfn.XLOOKUP($A300,Строчный!$A:$A,Строчный!I:I,"ERR",0))</f>
        <v>бежевый / коричневый</v>
      </c>
      <c r="J300" s="81" t="str">
        <f ca="1">SUBSTITUTE(LOWER(_xlfn.XLOOKUP($A300,Строчный!$A:$A,Строчный!J:J,"ERR",0)),"подклад","Подклад")</f>
        <v>100% полипропилен</v>
      </c>
      <c r="K300" s="81" t="str">
        <f ca="1">LOWER(_xlfn.XLOOKUP($A300,Строчный!$A:$A,Строчный!K:K,"ERR",0))</f>
        <v/>
      </c>
      <c r="L300" s="81" t="str">
        <f ca="1">PROPER(_xlfn.XLOOKUP($A300,Строчный!$A:$A,Строчный!L:L,"ERR",0))</f>
        <v>Унисекс</v>
      </c>
      <c r="M300" s="113" t="str">
        <f ca="1">PROPER(_xlfn.XLOOKUP($A300,Строчный!$A:$A,Строчный!M:M,"ERR",0))</f>
        <v>Китай</v>
      </c>
      <c r="N300" s="81" t="str">
        <f ca="1">UPPER(_xlfn.XLOOKUP($A300,Строчный!$A:$A,Строчный!O:O,"ERR",0))</f>
        <v/>
      </c>
      <c r="O300" s="107" t="str">
        <f ca="1">PROPER(_xlfn.XLOOKUP($A300,Строчный!$A:$A,Строчный!P:P,"ERR",0))</f>
        <v/>
      </c>
      <c r="P300" s="90">
        <f ca="1">VALUE(_xlfn.XLOOKUP($A300,Строчный!$A:$A,Строчный!N:N,"ERR",0))</f>
        <v>2094.3000000000002</v>
      </c>
      <c r="Q300" s="89" t="str">
        <f ca="1">_xlfn.XLOOKUP($G300,Фабрика!A:A,Фабрика!B:B,"ERR",0)</f>
        <v>Bollman Headwear Europe Ltd; 2 Merchants drive, Caelisle, Cumbria CA3 0JW, United Kingdom</v>
      </c>
      <c r="R300" s="80" t="str">
        <f ca="1">_xlfn.XLOOKUP(RIGHT(Z300,2),Размеры!D:D,Размеры!A:A,"ERR",0)</f>
        <v>63</v>
      </c>
      <c r="S300" s="80">
        <f ca="1">VALUE(_xlfn.XLOOKUP($Z300,Строчный!$R:$R,Строчный!T:T,"ERR",0))</f>
        <v>4</v>
      </c>
      <c r="T300" s="14" t="s">
        <v>265</v>
      </c>
      <c r="U300" s="101" t="str">
        <f t="shared" ca="1" si="28"/>
        <v>Шляпа BAILEY арт. 81690 MANNES (бежевый / коричневый)</v>
      </c>
      <c r="V300" s="100" t="str">
        <f t="shared" ca="1" si="29"/>
        <v>Шляпа BAILEY арт. 81690 MANNES (бежевый / коричневый) {overcast}</v>
      </c>
      <c r="W300" s="18" t="str">
        <f t="shared" ca="1" si="30"/>
        <v>бежевый</v>
      </c>
      <c r="X300" s="18" t="str">
        <f t="shared" ca="1" si="31"/>
        <v>коричневый</v>
      </c>
      <c r="Y300" s="117" t="str">
        <f ca="1">_xlfn.LET(_xlpm.FormColors,_xlfn.XLOOKUP(A300,Строчный!A:A,Строчный!Q:Q,"",0),IF(_xlpm.FormColors=0,IFERROR(MID(I300,FIND("-",I300)+1,LEN(I300)),IFERROR(MID(I300,1,FIND("/",I300)-2),I300)),_xlpm.FormColors))</f>
        <v>бежевый</v>
      </c>
      <c r="Z300" s="73" t="str">
        <f ca="1"/>
        <v>21-091-73-63</v>
      </c>
      <c r="AA300" s="75" t="str">
        <f ca="1">VLOOKUP(C300,Группа!A:B,2,FALSE)</f>
        <v>Шляпа</v>
      </c>
      <c r="AB300" s="97" t="str">
        <f ca="1">IFERROR(VLOOKUP(R300,Размеры!A:C,3,FALSE),"")</f>
        <v>63 XXL</v>
      </c>
      <c r="AC300" s="97" t="str">
        <f ca="1">VLOOKUP(I300,ЦветПолный!A:B,2,FALSE)</f>
        <v>73</v>
      </c>
      <c r="AD300" s="97" t="str">
        <f ca="1">IFERROR(VLOOKUP(R300,Размеры!A:D,4,FALSE),"")</f>
        <v>63</v>
      </c>
      <c r="AE300" s="97">
        <f ca="1">IF(LEFT(IFERROR(VLOOKUP(LOOKUP(2,1/SEARCH(B300,Товары!A:A),Товары!A:A),Товары!A:B,2,0),""),6)=MID(Z300,1,6),1,0)</f>
        <v>1</v>
      </c>
      <c r="AG300" s="97">
        <f ca="1">SUMIF(Группа!A:A,C300,Группа!C:C)</f>
        <v>1</v>
      </c>
      <c r="AH300" s="97">
        <f ca="1">SUMIF(Группа!B:B,AA300,Группа!C:C)</f>
        <v>1</v>
      </c>
      <c r="AI300" s="97">
        <f ca="1">SUMIF(Формы!A:A,D300,Формы!B:B)</f>
        <v>1</v>
      </c>
      <c r="AJ300" s="97">
        <f ca="1">SUMIF(Материал!A:A,K300,Материал!B:B)</f>
        <v>0</v>
      </c>
      <c r="AK300" s="97">
        <f ca="1">SUMIF(Размеры!A:A,R300,Размеры!E:E)</f>
        <v>1</v>
      </c>
      <c r="AL300" s="97">
        <f ca="1">SUMIF(Сезон!A:A,F300,Сезон!B:B)</f>
        <v>1</v>
      </c>
      <c r="AM300" s="97">
        <f ca="1">SUMIF(Состав!A:A,J300,Состав!B:B)</f>
        <v>1</v>
      </c>
      <c r="AN300" s="97">
        <f ca="1">VLOOKUP(I300,ЦветПолный!A:C,3,0)</f>
        <v>1</v>
      </c>
      <c r="AO300" s="97">
        <f ca="1">SUMIF(Цвет!A:A,Y300,Цвет!B:B)</f>
        <v>1</v>
      </c>
      <c r="AP300" s="97">
        <f ca="1">_xlfn.XLOOKUP(L300,Пол!A:A,Пол!B:B,0,0)</f>
        <v>1</v>
      </c>
      <c r="AQ300" s="97">
        <f ca="1">SUMIF(Марка!A:A,G300,Марка!B:B)</f>
        <v>1</v>
      </c>
      <c r="AR300" s="97">
        <f ca="1">SUMIF(Страна!A:A,M300,Страна!B:B)</f>
        <v>1</v>
      </c>
      <c r="AS300" s="64" t="str">
        <f ca="1">IF(VLOOKUP(V300,Товары!A:B,2,FALSE)=A300,"Есть в 1С","ERR")</f>
        <v>Есть в 1С</v>
      </c>
      <c r="AT300" s="65" t="str">
        <f ca="1">IF(VLOOKUP(A300,Товары!B:B,1,FALSE)=A300,"Есть в 1С","ERR")</f>
        <v>Есть в 1С</v>
      </c>
      <c r="AU300" s="96" t="str">
        <f ca="1">VLOOKUP(V300,Товары!A:B,2,FALSE)</f>
        <v>21-091-73</v>
      </c>
      <c r="AV300" s="94" t="str">
        <f ca="1">VLOOKUP(V300,Товары!A:B,1,FALSE)</f>
        <v>Шляпа BAILEY арт. 81690 MANNES (бежевый / коричневый) {overcast}</v>
      </c>
    </row>
    <row r="301" spans="1:48" x14ac:dyDescent="0.25">
      <c r="A301" s="110" t="str">
        <f t="shared" ca="1" si="32"/>
        <v>21-091-73</v>
      </c>
      <c r="B301" s="107" t="str">
        <f ca="1">_xlfn.LET(_xlpm.CAPS,0,_xlpm.Style,_xlfn.XLOOKUP($A301,Строчный!$A:$A,Строчный!B:B,"ERR",0),IF(_xlpm.CAPS=0,_xlpm.Style,LOWER(_xlpm.Style)))</f>
        <v>81690 MANNES</v>
      </c>
      <c r="C301" s="81" t="str">
        <f ca="1">PROPER(_xlfn.XLOOKUP($A301,Строчный!$A:$A,Строчный!C:C,"ERR",0))</f>
        <v>Шляпы</v>
      </c>
      <c r="D301" s="81" t="str">
        <f ca="1">_xlfn.LET(_xlpm.DATA,(_xlfn.XLOOKUP($A301,Строчный!$A:$A,Строчный!D:D,"ERR",0)),UPPER(MID(_xlpm.DATA,1,1))&amp;LOWER(MID(_xlpm.DATA,2,LEN(_xlpm.DATA)-1)))</f>
        <v>Шляпа хомбург</v>
      </c>
      <c r="E301" s="81" t="str">
        <f ca="1">PROPER(_xlfn.XLOOKUP($A301,Строчный!$A:$A,Строчный!E:E,"ERR",0))</f>
        <v>The Hollywood</v>
      </c>
      <c r="F301" s="81" t="str">
        <f ca="1">LOWER(_xlfn.XLOOKUP($A301,Строчный!$A:$A,Строчный!F:F,"ERR",0))</f>
        <v>летний</v>
      </c>
      <c r="G301" s="81" t="str">
        <f ca="1">UPPER(_xlfn.XLOOKUP($A301,Строчный!$A:$A,Строчный!G:G,"ERR",0))</f>
        <v>BAILEY</v>
      </c>
      <c r="H301" s="81" t="str">
        <f ca="1">LOWER(_xlfn.XLOOKUP($A301,Строчный!$A:$A,Строчный!H:H,"ERR",0))</f>
        <v>overcast</v>
      </c>
      <c r="I301" s="81" t="str">
        <f ca="1">LOWER(_xlfn.XLOOKUP($A301,Строчный!$A:$A,Строчный!I:I,"ERR",0))</f>
        <v>бежевый / коричневый</v>
      </c>
      <c r="J301" s="81" t="str">
        <f ca="1">SUBSTITUTE(LOWER(_xlfn.XLOOKUP($A301,Строчный!$A:$A,Строчный!J:J,"ERR",0)),"подклад","Подклад")</f>
        <v>100% полипропилен</v>
      </c>
      <c r="K301" s="81" t="str">
        <f ca="1">LOWER(_xlfn.XLOOKUP($A301,Строчный!$A:$A,Строчный!K:K,"ERR",0))</f>
        <v/>
      </c>
      <c r="L301" s="81" t="str">
        <f ca="1">PROPER(_xlfn.XLOOKUP($A301,Строчный!$A:$A,Строчный!L:L,"ERR",0))</f>
        <v>Унисекс</v>
      </c>
      <c r="M301" s="113" t="str">
        <f ca="1">PROPER(_xlfn.XLOOKUP($A301,Строчный!$A:$A,Строчный!M:M,"ERR",0))</f>
        <v>Китай</v>
      </c>
      <c r="N301" s="81" t="str">
        <f ca="1">UPPER(_xlfn.XLOOKUP($A301,Строчный!$A:$A,Строчный!O:O,"ERR",0))</f>
        <v/>
      </c>
      <c r="O301" s="107" t="str">
        <f ca="1">PROPER(_xlfn.XLOOKUP($A301,Строчный!$A:$A,Строчный!P:P,"ERR",0))</f>
        <v/>
      </c>
      <c r="P301" s="90">
        <f ca="1">VALUE(_xlfn.XLOOKUP($A301,Строчный!$A:$A,Строчный!N:N,"ERR",0))</f>
        <v>2094.3000000000002</v>
      </c>
      <c r="Q301" s="89" t="str">
        <f ca="1">_xlfn.XLOOKUP($G301,Фабрика!A:A,Фабрика!B:B,"ERR",0)</f>
        <v>Bollman Headwear Europe Ltd; 2 Merchants drive, Caelisle, Cumbria CA3 0JW, United Kingdom</v>
      </c>
      <c r="R301" s="80" t="str">
        <f ca="1">_xlfn.XLOOKUP(RIGHT(Z301,2),Размеры!D:D,Размеры!A:A,"ERR",0)</f>
        <v>61</v>
      </c>
      <c r="S301" s="80">
        <f ca="1">VALUE(_xlfn.XLOOKUP($Z301,Строчный!$R:$R,Строчный!T:T,"ERR",0))</f>
        <v>9</v>
      </c>
      <c r="T301" s="14" t="s">
        <v>265</v>
      </c>
      <c r="U301" s="101" t="str">
        <f t="shared" ca="1" si="28"/>
        <v>Шляпа BAILEY арт. 81690 MANNES (бежевый / коричневый)</v>
      </c>
      <c r="V301" s="100" t="str">
        <f t="shared" ca="1" si="29"/>
        <v>Шляпа BAILEY арт. 81690 MANNES (бежевый / коричневый) {overcast}</v>
      </c>
      <c r="W301" s="18" t="str">
        <f t="shared" ca="1" si="30"/>
        <v>бежевый</v>
      </c>
      <c r="X301" s="18" t="str">
        <f t="shared" ca="1" si="31"/>
        <v>коричневый</v>
      </c>
      <c r="Y301" s="117" t="str">
        <f ca="1">_xlfn.LET(_xlpm.FormColors,_xlfn.XLOOKUP(A301,Строчный!A:A,Строчный!Q:Q,"",0),IF(_xlpm.FormColors=0,IFERROR(MID(I301,FIND("-",I301)+1,LEN(I301)),IFERROR(MID(I301,1,FIND("/",I301)-2),I301)),_xlpm.FormColors))</f>
        <v>бежевый</v>
      </c>
      <c r="Z301" s="73" t="str">
        <f ca="1"/>
        <v>21-091-73-61</v>
      </c>
      <c r="AA301" s="75" t="str">
        <f ca="1">VLOOKUP(C301,Группа!A:B,2,FALSE)</f>
        <v>Шляпа</v>
      </c>
      <c r="AB301" s="97" t="str">
        <f ca="1">IFERROR(VLOOKUP(R301,Размеры!A:C,3,FALSE),"")</f>
        <v>61 XL</v>
      </c>
      <c r="AC301" s="97" t="str">
        <f ca="1">VLOOKUP(I301,ЦветПолный!A:B,2,FALSE)</f>
        <v>73</v>
      </c>
      <c r="AD301" s="97" t="str">
        <f ca="1">IFERROR(VLOOKUP(R301,Размеры!A:D,4,FALSE),"")</f>
        <v>61</v>
      </c>
      <c r="AE301" s="97">
        <f ca="1">IF(LEFT(IFERROR(VLOOKUP(LOOKUP(2,1/SEARCH(B301,Товары!A:A),Товары!A:A),Товары!A:B,2,0),""),6)=MID(Z301,1,6),1,0)</f>
        <v>1</v>
      </c>
      <c r="AG301" s="97">
        <f ca="1">SUMIF(Группа!A:A,C301,Группа!C:C)</f>
        <v>1</v>
      </c>
      <c r="AH301" s="97">
        <f ca="1">SUMIF(Группа!B:B,AA301,Группа!C:C)</f>
        <v>1</v>
      </c>
      <c r="AI301" s="97">
        <f ca="1">SUMIF(Формы!A:A,D301,Формы!B:B)</f>
        <v>1</v>
      </c>
      <c r="AJ301" s="97">
        <f ca="1">SUMIF(Материал!A:A,K301,Материал!B:B)</f>
        <v>0</v>
      </c>
      <c r="AK301" s="97">
        <f ca="1">SUMIF(Размеры!A:A,R301,Размеры!E:E)</f>
        <v>1</v>
      </c>
      <c r="AL301" s="97">
        <f ca="1">SUMIF(Сезон!A:A,F301,Сезон!B:B)</f>
        <v>1</v>
      </c>
      <c r="AM301" s="97">
        <f ca="1">SUMIF(Состав!A:A,J301,Состав!B:B)</f>
        <v>1</v>
      </c>
      <c r="AN301" s="97">
        <f ca="1">VLOOKUP(I301,ЦветПолный!A:C,3,0)</f>
        <v>1</v>
      </c>
      <c r="AO301" s="97">
        <f ca="1">SUMIF(Цвет!A:A,Y301,Цвет!B:B)</f>
        <v>1</v>
      </c>
      <c r="AP301" s="97">
        <f ca="1">_xlfn.XLOOKUP(L301,Пол!A:A,Пол!B:B,0,0)</f>
        <v>1</v>
      </c>
      <c r="AQ301" s="97">
        <f ca="1">SUMIF(Марка!A:A,G301,Марка!B:B)</f>
        <v>1</v>
      </c>
      <c r="AR301" s="97">
        <f ca="1">SUMIF(Страна!A:A,M301,Страна!B:B)</f>
        <v>1</v>
      </c>
      <c r="AS301" s="64" t="str">
        <f ca="1">IF(VLOOKUP(V301,Товары!A:B,2,FALSE)=A301,"Есть в 1С","ERR")</f>
        <v>Есть в 1С</v>
      </c>
      <c r="AT301" s="65" t="str">
        <f ca="1">IF(VLOOKUP(A301,Товары!B:B,1,FALSE)=A301,"Есть в 1С","ERR")</f>
        <v>Есть в 1С</v>
      </c>
      <c r="AU301" s="96" t="str">
        <f ca="1">VLOOKUP(V301,Товары!A:B,2,FALSE)</f>
        <v>21-091-73</v>
      </c>
      <c r="AV301" s="94" t="str">
        <f ca="1">VLOOKUP(V301,Товары!A:B,1,FALSE)</f>
        <v>Шляпа BAILEY арт. 81690 MANNES (бежевый / коричневый) {overcast}</v>
      </c>
    </row>
    <row r="302" spans="1:48" x14ac:dyDescent="0.25">
      <c r="A302" s="110" t="str">
        <f t="shared" ca="1" si="32"/>
        <v>21-091-73</v>
      </c>
      <c r="B302" s="107" t="str">
        <f ca="1">_xlfn.LET(_xlpm.CAPS,0,_xlpm.Style,_xlfn.XLOOKUP($A302,Строчный!$A:$A,Строчный!B:B,"ERR",0),IF(_xlpm.CAPS=0,_xlpm.Style,LOWER(_xlpm.Style)))</f>
        <v>81690 MANNES</v>
      </c>
      <c r="C302" s="81" t="str">
        <f ca="1">PROPER(_xlfn.XLOOKUP($A302,Строчный!$A:$A,Строчный!C:C,"ERR",0))</f>
        <v>Шляпы</v>
      </c>
      <c r="D302" s="81" t="str">
        <f ca="1">_xlfn.LET(_xlpm.DATA,(_xlfn.XLOOKUP($A302,Строчный!$A:$A,Строчный!D:D,"ERR",0)),UPPER(MID(_xlpm.DATA,1,1))&amp;LOWER(MID(_xlpm.DATA,2,LEN(_xlpm.DATA)-1)))</f>
        <v>Шляпа хомбург</v>
      </c>
      <c r="E302" s="81" t="str">
        <f ca="1">PROPER(_xlfn.XLOOKUP($A302,Строчный!$A:$A,Строчный!E:E,"ERR",0))</f>
        <v>The Hollywood</v>
      </c>
      <c r="F302" s="81" t="str">
        <f ca="1">LOWER(_xlfn.XLOOKUP($A302,Строчный!$A:$A,Строчный!F:F,"ERR",0))</f>
        <v>летний</v>
      </c>
      <c r="G302" s="81" t="str">
        <f ca="1">UPPER(_xlfn.XLOOKUP($A302,Строчный!$A:$A,Строчный!G:G,"ERR",0))</f>
        <v>BAILEY</v>
      </c>
      <c r="H302" s="81" t="str">
        <f ca="1">LOWER(_xlfn.XLOOKUP($A302,Строчный!$A:$A,Строчный!H:H,"ERR",0))</f>
        <v>overcast</v>
      </c>
      <c r="I302" s="81" t="str">
        <f ca="1">LOWER(_xlfn.XLOOKUP($A302,Строчный!$A:$A,Строчный!I:I,"ERR",0))</f>
        <v>бежевый / коричневый</v>
      </c>
      <c r="J302" s="81" t="str">
        <f ca="1">SUBSTITUTE(LOWER(_xlfn.XLOOKUP($A302,Строчный!$A:$A,Строчный!J:J,"ERR",0)),"подклад","Подклад")</f>
        <v>100% полипропилен</v>
      </c>
      <c r="K302" s="81" t="str">
        <f ca="1">LOWER(_xlfn.XLOOKUP($A302,Строчный!$A:$A,Строчный!K:K,"ERR",0))</f>
        <v/>
      </c>
      <c r="L302" s="81" t="str">
        <f ca="1">PROPER(_xlfn.XLOOKUP($A302,Строчный!$A:$A,Строчный!L:L,"ERR",0))</f>
        <v>Унисекс</v>
      </c>
      <c r="M302" s="113" t="str">
        <f ca="1">PROPER(_xlfn.XLOOKUP($A302,Строчный!$A:$A,Строчный!M:M,"ERR",0))</f>
        <v>Китай</v>
      </c>
      <c r="N302" s="81" t="str">
        <f ca="1">UPPER(_xlfn.XLOOKUP($A302,Строчный!$A:$A,Строчный!O:O,"ERR",0))</f>
        <v/>
      </c>
      <c r="O302" s="107" t="str">
        <f ca="1">PROPER(_xlfn.XLOOKUP($A302,Строчный!$A:$A,Строчный!P:P,"ERR",0))</f>
        <v/>
      </c>
      <c r="P302" s="90">
        <f ca="1">VALUE(_xlfn.XLOOKUP($A302,Строчный!$A:$A,Строчный!N:N,"ERR",0))</f>
        <v>2094.3000000000002</v>
      </c>
      <c r="Q302" s="89" t="str">
        <f ca="1">_xlfn.XLOOKUP($G302,Фабрика!A:A,Фабрика!B:B,"ERR",0)</f>
        <v>Bollman Headwear Europe Ltd; 2 Merchants drive, Caelisle, Cumbria CA3 0JW, United Kingdom</v>
      </c>
      <c r="R302" s="80" t="str">
        <f ca="1">_xlfn.XLOOKUP(RIGHT(Z302,2),Размеры!D:D,Размеры!A:A,"ERR",0)</f>
        <v>59</v>
      </c>
      <c r="S302" s="80">
        <f ca="1">VALUE(_xlfn.XLOOKUP($Z302,Строчный!$R:$R,Строчный!T:T,"ERR",0))</f>
        <v>11</v>
      </c>
      <c r="T302" s="14" t="s">
        <v>265</v>
      </c>
      <c r="U302" s="101" t="str">
        <f t="shared" ca="1" si="28"/>
        <v>Шляпа BAILEY арт. 81690 MANNES (бежевый / коричневый)</v>
      </c>
      <c r="V302" s="100" t="str">
        <f t="shared" ca="1" si="29"/>
        <v>Шляпа BAILEY арт. 81690 MANNES (бежевый / коричневый) {overcast}</v>
      </c>
      <c r="W302" s="18" t="str">
        <f t="shared" ca="1" si="30"/>
        <v>бежевый</v>
      </c>
      <c r="X302" s="18" t="str">
        <f t="shared" ca="1" si="31"/>
        <v>коричневый</v>
      </c>
      <c r="Y302" s="117" t="str">
        <f ca="1">_xlfn.LET(_xlpm.FormColors,_xlfn.XLOOKUP(A302,Строчный!A:A,Строчный!Q:Q,"",0),IF(_xlpm.FormColors=0,IFERROR(MID(I302,FIND("-",I302)+1,LEN(I302)),IFERROR(MID(I302,1,FIND("/",I302)-2),I302)),_xlpm.FormColors))</f>
        <v>бежевый</v>
      </c>
      <c r="Z302" s="73" t="str">
        <f ca="1"/>
        <v>21-091-73-59</v>
      </c>
      <c r="AA302" s="75" t="str">
        <f ca="1">VLOOKUP(C302,Группа!A:B,2,FALSE)</f>
        <v>Шляпа</v>
      </c>
      <c r="AB302" s="97" t="str">
        <f ca="1">IFERROR(VLOOKUP(R302,Размеры!A:C,3,FALSE),"")</f>
        <v>59 L</v>
      </c>
      <c r="AC302" s="97" t="str">
        <f ca="1">VLOOKUP(I302,ЦветПолный!A:B,2,FALSE)</f>
        <v>73</v>
      </c>
      <c r="AD302" s="97" t="str">
        <f ca="1">IFERROR(VLOOKUP(R302,Размеры!A:D,4,FALSE),"")</f>
        <v>59</v>
      </c>
      <c r="AE302" s="97">
        <f ca="1">IF(LEFT(IFERROR(VLOOKUP(LOOKUP(2,1/SEARCH(B302,Товары!A:A),Товары!A:A),Товары!A:B,2,0),""),6)=MID(Z302,1,6),1,0)</f>
        <v>1</v>
      </c>
      <c r="AG302" s="97">
        <f ca="1">SUMIF(Группа!A:A,C302,Группа!C:C)</f>
        <v>1</v>
      </c>
      <c r="AH302" s="97">
        <f ca="1">SUMIF(Группа!B:B,AA302,Группа!C:C)</f>
        <v>1</v>
      </c>
      <c r="AI302" s="97">
        <f ca="1">SUMIF(Формы!A:A,D302,Формы!B:B)</f>
        <v>1</v>
      </c>
      <c r="AJ302" s="97">
        <f ca="1">SUMIF(Материал!A:A,K302,Материал!B:B)</f>
        <v>0</v>
      </c>
      <c r="AK302" s="97">
        <f ca="1">SUMIF(Размеры!A:A,R302,Размеры!E:E)</f>
        <v>1</v>
      </c>
      <c r="AL302" s="97">
        <f ca="1">SUMIF(Сезон!A:A,F302,Сезон!B:B)</f>
        <v>1</v>
      </c>
      <c r="AM302" s="97">
        <f ca="1">SUMIF(Состав!A:A,J302,Состав!B:B)</f>
        <v>1</v>
      </c>
      <c r="AN302" s="97">
        <f ca="1">VLOOKUP(I302,ЦветПолный!A:C,3,0)</f>
        <v>1</v>
      </c>
      <c r="AO302" s="97">
        <f ca="1">SUMIF(Цвет!A:A,Y302,Цвет!B:B)</f>
        <v>1</v>
      </c>
      <c r="AP302" s="97">
        <f ca="1">_xlfn.XLOOKUP(L302,Пол!A:A,Пол!B:B,0,0)</f>
        <v>1</v>
      </c>
      <c r="AQ302" s="97">
        <f ca="1">SUMIF(Марка!A:A,G302,Марка!B:B)</f>
        <v>1</v>
      </c>
      <c r="AR302" s="97">
        <f ca="1">SUMIF(Страна!A:A,M302,Страна!B:B)</f>
        <v>1</v>
      </c>
      <c r="AS302" s="64" t="str">
        <f ca="1">IF(VLOOKUP(V302,Товары!A:B,2,FALSE)=A302,"Есть в 1С","ERR")</f>
        <v>Есть в 1С</v>
      </c>
      <c r="AT302" s="65" t="str">
        <f ca="1">IF(VLOOKUP(A302,Товары!B:B,1,FALSE)=A302,"Есть в 1С","ERR")</f>
        <v>Есть в 1С</v>
      </c>
      <c r="AU302" s="96" t="str">
        <f ca="1">VLOOKUP(V302,Товары!A:B,2,FALSE)</f>
        <v>21-091-73</v>
      </c>
      <c r="AV302" s="94" t="str">
        <f ca="1">VLOOKUP(V302,Товары!A:B,1,FALSE)</f>
        <v>Шляпа BAILEY арт. 81690 MANNES (бежевый / коричневый) {overcast}</v>
      </c>
    </row>
    <row r="303" spans="1:48" x14ac:dyDescent="0.25">
      <c r="A303" s="110" t="str">
        <f t="shared" ca="1" si="32"/>
        <v>21-091-73</v>
      </c>
      <c r="B303" s="107" t="str">
        <f ca="1">_xlfn.LET(_xlpm.CAPS,0,_xlpm.Style,_xlfn.XLOOKUP($A303,Строчный!$A:$A,Строчный!B:B,"ERR",0),IF(_xlpm.CAPS=0,_xlpm.Style,LOWER(_xlpm.Style)))</f>
        <v>81690 MANNES</v>
      </c>
      <c r="C303" s="81" t="str">
        <f ca="1">PROPER(_xlfn.XLOOKUP($A303,Строчный!$A:$A,Строчный!C:C,"ERR",0))</f>
        <v>Шляпы</v>
      </c>
      <c r="D303" s="81" t="str">
        <f ca="1">_xlfn.LET(_xlpm.DATA,(_xlfn.XLOOKUP($A303,Строчный!$A:$A,Строчный!D:D,"ERR",0)),UPPER(MID(_xlpm.DATA,1,1))&amp;LOWER(MID(_xlpm.DATA,2,LEN(_xlpm.DATA)-1)))</f>
        <v>Шляпа хомбург</v>
      </c>
      <c r="E303" s="81" t="str">
        <f ca="1">PROPER(_xlfn.XLOOKUP($A303,Строчный!$A:$A,Строчный!E:E,"ERR",0))</f>
        <v>The Hollywood</v>
      </c>
      <c r="F303" s="81" t="str">
        <f ca="1">LOWER(_xlfn.XLOOKUP($A303,Строчный!$A:$A,Строчный!F:F,"ERR",0))</f>
        <v>летний</v>
      </c>
      <c r="G303" s="81" t="str">
        <f ca="1">UPPER(_xlfn.XLOOKUP($A303,Строчный!$A:$A,Строчный!G:G,"ERR",0))</f>
        <v>BAILEY</v>
      </c>
      <c r="H303" s="81" t="str">
        <f ca="1">LOWER(_xlfn.XLOOKUP($A303,Строчный!$A:$A,Строчный!H:H,"ERR",0))</f>
        <v>overcast</v>
      </c>
      <c r="I303" s="81" t="str">
        <f ca="1">LOWER(_xlfn.XLOOKUP($A303,Строчный!$A:$A,Строчный!I:I,"ERR",0))</f>
        <v>бежевый / коричневый</v>
      </c>
      <c r="J303" s="81" t="str">
        <f ca="1">SUBSTITUTE(LOWER(_xlfn.XLOOKUP($A303,Строчный!$A:$A,Строчный!J:J,"ERR",0)),"подклад","Подклад")</f>
        <v>100% полипропилен</v>
      </c>
      <c r="K303" s="81" t="str">
        <f ca="1">LOWER(_xlfn.XLOOKUP($A303,Строчный!$A:$A,Строчный!K:K,"ERR",0))</f>
        <v/>
      </c>
      <c r="L303" s="81" t="str">
        <f ca="1">PROPER(_xlfn.XLOOKUP($A303,Строчный!$A:$A,Строчный!L:L,"ERR",0))</f>
        <v>Унисекс</v>
      </c>
      <c r="M303" s="113" t="str">
        <f ca="1">PROPER(_xlfn.XLOOKUP($A303,Строчный!$A:$A,Строчный!M:M,"ERR",0))</f>
        <v>Китай</v>
      </c>
      <c r="N303" s="81" t="str">
        <f ca="1">UPPER(_xlfn.XLOOKUP($A303,Строчный!$A:$A,Строчный!O:O,"ERR",0))</f>
        <v/>
      </c>
      <c r="O303" s="107" t="str">
        <f ca="1">PROPER(_xlfn.XLOOKUP($A303,Строчный!$A:$A,Строчный!P:P,"ERR",0))</f>
        <v/>
      </c>
      <c r="P303" s="90">
        <f ca="1">VALUE(_xlfn.XLOOKUP($A303,Строчный!$A:$A,Строчный!N:N,"ERR",0))</f>
        <v>2094.3000000000002</v>
      </c>
      <c r="Q303" s="89" t="str">
        <f ca="1">_xlfn.XLOOKUP($G303,Фабрика!A:A,Фабрика!B:B,"ERR",0)</f>
        <v>Bollman Headwear Europe Ltd; 2 Merchants drive, Caelisle, Cumbria CA3 0JW, United Kingdom</v>
      </c>
      <c r="R303" s="80" t="str">
        <f ca="1">_xlfn.XLOOKUP(RIGHT(Z303,2),Размеры!D:D,Размеры!A:A,"ERR",0)</f>
        <v>57</v>
      </c>
      <c r="S303" s="80">
        <f ca="1">VALUE(_xlfn.XLOOKUP($Z303,Строчный!$R:$R,Строчный!T:T,"ERR",0))</f>
        <v>10</v>
      </c>
      <c r="T303" s="14" t="s">
        <v>265</v>
      </c>
      <c r="U303" s="101" t="str">
        <f t="shared" ca="1" si="28"/>
        <v>Шляпа BAILEY арт. 81690 MANNES (бежевый / коричневый)</v>
      </c>
      <c r="V303" s="100" t="str">
        <f t="shared" ca="1" si="29"/>
        <v>Шляпа BAILEY арт. 81690 MANNES (бежевый / коричневый) {overcast}</v>
      </c>
      <c r="W303" s="18" t="str">
        <f t="shared" ca="1" si="30"/>
        <v>бежевый</v>
      </c>
      <c r="X303" s="18" t="str">
        <f t="shared" ca="1" si="31"/>
        <v>коричневый</v>
      </c>
      <c r="Y303" s="117" t="str">
        <f ca="1">_xlfn.LET(_xlpm.FormColors,_xlfn.XLOOKUP(A303,Строчный!A:A,Строчный!Q:Q,"",0),IF(_xlpm.FormColors=0,IFERROR(MID(I303,FIND("-",I303)+1,LEN(I303)),IFERROR(MID(I303,1,FIND("/",I303)-2),I303)),_xlpm.FormColors))</f>
        <v>бежевый</v>
      </c>
      <c r="Z303" s="73" t="str">
        <f ca="1"/>
        <v>21-091-73-57</v>
      </c>
      <c r="AA303" s="75" t="str">
        <f ca="1">VLOOKUP(C303,Группа!A:B,2,FALSE)</f>
        <v>Шляпа</v>
      </c>
      <c r="AB303" s="97" t="str">
        <f ca="1">IFERROR(VLOOKUP(R303,Размеры!A:C,3,FALSE),"")</f>
        <v>57 M</v>
      </c>
      <c r="AC303" s="97" t="str">
        <f ca="1">VLOOKUP(I303,ЦветПолный!A:B,2,FALSE)</f>
        <v>73</v>
      </c>
      <c r="AD303" s="97" t="str">
        <f ca="1">IFERROR(VLOOKUP(R303,Размеры!A:D,4,FALSE),"")</f>
        <v>57</v>
      </c>
      <c r="AE303" s="97">
        <f ca="1">IF(LEFT(IFERROR(VLOOKUP(LOOKUP(2,1/SEARCH(B303,Товары!A:A),Товары!A:A),Товары!A:B,2,0),""),6)=MID(Z303,1,6),1,0)</f>
        <v>1</v>
      </c>
      <c r="AG303" s="97">
        <f ca="1">SUMIF(Группа!A:A,C303,Группа!C:C)</f>
        <v>1</v>
      </c>
      <c r="AH303" s="97">
        <f ca="1">SUMIF(Группа!B:B,AA303,Группа!C:C)</f>
        <v>1</v>
      </c>
      <c r="AI303" s="97">
        <f ca="1">SUMIF(Формы!A:A,D303,Формы!B:B)</f>
        <v>1</v>
      </c>
      <c r="AJ303" s="97">
        <f ca="1">SUMIF(Материал!A:A,K303,Материал!B:B)</f>
        <v>0</v>
      </c>
      <c r="AK303" s="97">
        <f ca="1">SUMIF(Размеры!A:A,R303,Размеры!E:E)</f>
        <v>1</v>
      </c>
      <c r="AL303" s="97">
        <f ca="1">SUMIF(Сезон!A:A,F303,Сезон!B:B)</f>
        <v>1</v>
      </c>
      <c r="AM303" s="97">
        <f ca="1">SUMIF(Состав!A:A,J303,Состав!B:B)</f>
        <v>1</v>
      </c>
      <c r="AN303" s="97">
        <f ca="1">VLOOKUP(I303,ЦветПолный!A:C,3,0)</f>
        <v>1</v>
      </c>
      <c r="AO303" s="97">
        <f ca="1">SUMIF(Цвет!A:A,Y303,Цвет!B:B)</f>
        <v>1</v>
      </c>
      <c r="AP303" s="97">
        <f ca="1">_xlfn.XLOOKUP(L303,Пол!A:A,Пол!B:B,0,0)</f>
        <v>1</v>
      </c>
      <c r="AQ303" s="97">
        <f ca="1">SUMIF(Марка!A:A,G303,Марка!B:B)</f>
        <v>1</v>
      </c>
      <c r="AR303" s="97">
        <f ca="1">SUMIF(Страна!A:A,M303,Страна!B:B)</f>
        <v>1</v>
      </c>
      <c r="AS303" s="64" t="str">
        <f ca="1">IF(VLOOKUP(V303,Товары!A:B,2,FALSE)=A303,"Есть в 1С","ERR")</f>
        <v>Есть в 1С</v>
      </c>
      <c r="AT303" s="65" t="str">
        <f ca="1">IF(VLOOKUP(A303,Товары!B:B,1,FALSE)=A303,"Есть в 1С","ERR")</f>
        <v>Есть в 1С</v>
      </c>
      <c r="AU303" s="96" t="str">
        <f ca="1">VLOOKUP(V303,Товары!A:B,2,FALSE)</f>
        <v>21-091-73</v>
      </c>
      <c r="AV303" s="94" t="str">
        <f ca="1">VLOOKUP(V303,Товары!A:B,1,FALSE)</f>
        <v>Шляпа BAILEY арт. 81690 MANNES (бежевый / коричневый) {overcast}</v>
      </c>
    </row>
    <row r="304" spans="1:48" x14ac:dyDescent="0.25">
      <c r="A304" s="110" t="str">
        <f t="shared" ca="1" si="32"/>
        <v>21-091-73</v>
      </c>
      <c r="B304" s="107" t="str">
        <f ca="1">_xlfn.LET(_xlpm.CAPS,0,_xlpm.Style,_xlfn.XLOOKUP($A304,Строчный!$A:$A,Строчный!B:B,"ERR",0),IF(_xlpm.CAPS=0,_xlpm.Style,LOWER(_xlpm.Style)))</f>
        <v>81690 MANNES</v>
      </c>
      <c r="C304" s="81" t="str">
        <f ca="1">PROPER(_xlfn.XLOOKUP($A304,Строчный!$A:$A,Строчный!C:C,"ERR",0))</f>
        <v>Шляпы</v>
      </c>
      <c r="D304" s="81" t="str">
        <f ca="1">_xlfn.LET(_xlpm.DATA,(_xlfn.XLOOKUP($A304,Строчный!$A:$A,Строчный!D:D,"ERR",0)),UPPER(MID(_xlpm.DATA,1,1))&amp;LOWER(MID(_xlpm.DATA,2,LEN(_xlpm.DATA)-1)))</f>
        <v>Шляпа хомбург</v>
      </c>
      <c r="E304" s="81" t="str">
        <f ca="1">PROPER(_xlfn.XLOOKUP($A304,Строчный!$A:$A,Строчный!E:E,"ERR",0))</f>
        <v>The Hollywood</v>
      </c>
      <c r="F304" s="81" t="str">
        <f ca="1">LOWER(_xlfn.XLOOKUP($A304,Строчный!$A:$A,Строчный!F:F,"ERR",0))</f>
        <v>летний</v>
      </c>
      <c r="G304" s="81" t="str">
        <f ca="1">UPPER(_xlfn.XLOOKUP($A304,Строчный!$A:$A,Строчный!G:G,"ERR",0))</f>
        <v>BAILEY</v>
      </c>
      <c r="H304" s="81" t="str">
        <f ca="1">LOWER(_xlfn.XLOOKUP($A304,Строчный!$A:$A,Строчный!H:H,"ERR",0))</f>
        <v>overcast</v>
      </c>
      <c r="I304" s="81" t="str">
        <f ca="1">LOWER(_xlfn.XLOOKUP($A304,Строчный!$A:$A,Строчный!I:I,"ERR",0))</f>
        <v>бежевый / коричневый</v>
      </c>
      <c r="J304" s="81" t="str">
        <f ca="1">SUBSTITUTE(LOWER(_xlfn.XLOOKUP($A304,Строчный!$A:$A,Строчный!J:J,"ERR",0)),"подклад","Подклад")</f>
        <v>100% полипропилен</v>
      </c>
      <c r="K304" s="81" t="str">
        <f ca="1">LOWER(_xlfn.XLOOKUP($A304,Строчный!$A:$A,Строчный!K:K,"ERR",0))</f>
        <v/>
      </c>
      <c r="L304" s="81" t="str">
        <f ca="1">PROPER(_xlfn.XLOOKUP($A304,Строчный!$A:$A,Строчный!L:L,"ERR",0))</f>
        <v>Унисекс</v>
      </c>
      <c r="M304" s="113" t="str">
        <f ca="1">PROPER(_xlfn.XLOOKUP($A304,Строчный!$A:$A,Строчный!M:M,"ERR",0))</f>
        <v>Китай</v>
      </c>
      <c r="N304" s="81" t="str">
        <f ca="1">UPPER(_xlfn.XLOOKUP($A304,Строчный!$A:$A,Строчный!O:O,"ERR",0))</f>
        <v/>
      </c>
      <c r="O304" s="107" t="str">
        <f ca="1">PROPER(_xlfn.XLOOKUP($A304,Строчный!$A:$A,Строчный!P:P,"ERR",0))</f>
        <v/>
      </c>
      <c r="P304" s="90">
        <f ca="1">VALUE(_xlfn.XLOOKUP($A304,Строчный!$A:$A,Строчный!N:N,"ERR",0))</f>
        <v>2094.3000000000002</v>
      </c>
      <c r="Q304" s="89" t="str">
        <f ca="1">_xlfn.XLOOKUP($G304,Фабрика!A:A,Фабрика!B:B,"ERR",0)</f>
        <v>Bollman Headwear Europe Ltd; 2 Merchants drive, Caelisle, Cumbria CA3 0JW, United Kingdom</v>
      </c>
      <c r="R304" s="80" t="str">
        <f ca="1">_xlfn.XLOOKUP(RIGHT(Z304,2),Размеры!D:D,Размеры!A:A,"ERR",0)</f>
        <v>55</v>
      </c>
      <c r="S304" s="80">
        <f ca="1">VALUE(_xlfn.XLOOKUP($Z304,Строчный!$R:$R,Строчный!T:T,"ERR",0))</f>
        <v>3</v>
      </c>
      <c r="T304" s="14" t="s">
        <v>265</v>
      </c>
      <c r="U304" s="101" t="str">
        <f t="shared" ca="1" si="28"/>
        <v>Шляпа BAILEY арт. 81690 MANNES (бежевый / коричневый)</v>
      </c>
      <c r="V304" s="100" t="str">
        <f t="shared" ca="1" si="29"/>
        <v>Шляпа BAILEY арт. 81690 MANNES (бежевый / коричневый) {overcast}</v>
      </c>
      <c r="W304" s="18" t="str">
        <f t="shared" ca="1" si="30"/>
        <v>бежевый</v>
      </c>
      <c r="X304" s="18" t="str">
        <f t="shared" ca="1" si="31"/>
        <v>коричневый</v>
      </c>
      <c r="Y304" s="117" t="str">
        <f ca="1">_xlfn.LET(_xlpm.FormColors,_xlfn.XLOOKUP(A304,Строчный!A:A,Строчный!Q:Q,"",0),IF(_xlpm.FormColors=0,IFERROR(MID(I304,FIND("-",I304)+1,LEN(I304)),IFERROR(MID(I304,1,FIND("/",I304)-2),I304)),_xlpm.FormColors))</f>
        <v>бежевый</v>
      </c>
      <c r="Z304" s="73" t="str">
        <f ca="1"/>
        <v>21-091-73-55</v>
      </c>
      <c r="AA304" s="75" t="str">
        <f ca="1">VLOOKUP(C304,Группа!A:B,2,FALSE)</f>
        <v>Шляпа</v>
      </c>
      <c r="AB304" s="97" t="str">
        <f ca="1">IFERROR(VLOOKUP(R304,Размеры!A:C,3,FALSE),"")</f>
        <v>55 S</v>
      </c>
      <c r="AC304" s="97" t="str">
        <f ca="1">VLOOKUP(I304,ЦветПолный!A:B,2,FALSE)</f>
        <v>73</v>
      </c>
      <c r="AD304" s="97" t="str">
        <f ca="1">IFERROR(VLOOKUP(R304,Размеры!A:D,4,FALSE),"")</f>
        <v>55</v>
      </c>
      <c r="AE304" s="97">
        <f ca="1">IF(LEFT(IFERROR(VLOOKUP(LOOKUP(2,1/SEARCH(B304,Товары!A:A),Товары!A:A),Товары!A:B,2,0),""),6)=MID(Z304,1,6),1,0)</f>
        <v>1</v>
      </c>
      <c r="AG304" s="97">
        <f ca="1">SUMIF(Группа!A:A,C304,Группа!C:C)</f>
        <v>1</v>
      </c>
      <c r="AH304" s="97">
        <f ca="1">SUMIF(Группа!B:B,AA304,Группа!C:C)</f>
        <v>1</v>
      </c>
      <c r="AI304" s="97">
        <f ca="1">SUMIF(Формы!A:A,D304,Формы!B:B)</f>
        <v>1</v>
      </c>
      <c r="AJ304" s="97">
        <f ca="1">SUMIF(Материал!A:A,K304,Материал!B:B)</f>
        <v>0</v>
      </c>
      <c r="AK304" s="97">
        <f ca="1">SUMIF(Размеры!A:A,R304,Размеры!E:E)</f>
        <v>1</v>
      </c>
      <c r="AL304" s="97">
        <f ca="1">SUMIF(Сезон!A:A,F304,Сезон!B:B)</f>
        <v>1</v>
      </c>
      <c r="AM304" s="97">
        <f ca="1">SUMIF(Состав!A:A,J304,Состав!B:B)</f>
        <v>1</v>
      </c>
      <c r="AN304" s="97">
        <f ca="1">VLOOKUP(I304,ЦветПолный!A:C,3,0)</f>
        <v>1</v>
      </c>
      <c r="AO304" s="97">
        <f ca="1">SUMIF(Цвет!A:A,Y304,Цвет!B:B)</f>
        <v>1</v>
      </c>
      <c r="AP304" s="97">
        <f ca="1">_xlfn.XLOOKUP(L304,Пол!A:A,Пол!B:B,0,0)</f>
        <v>1</v>
      </c>
      <c r="AQ304" s="97">
        <f ca="1">SUMIF(Марка!A:A,G304,Марка!B:B)</f>
        <v>1</v>
      </c>
      <c r="AR304" s="97">
        <f ca="1">SUMIF(Страна!A:A,M304,Страна!B:B)</f>
        <v>1</v>
      </c>
      <c r="AS304" s="64" t="str">
        <f ca="1">IF(VLOOKUP(V304,Товары!A:B,2,FALSE)=A304,"Есть в 1С","ERR")</f>
        <v>Есть в 1С</v>
      </c>
      <c r="AT304" s="65" t="str">
        <f ca="1">IF(VLOOKUP(A304,Товары!B:B,1,FALSE)=A304,"Есть в 1С","ERR")</f>
        <v>Есть в 1С</v>
      </c>
      <c r="AU304" s="96" t="str">
        <f ca="1">VLOOKUP(V304,Товары!A:B,2,FALSE)</f>
        <v>21-091-73</v>
      </c>
      <c r="AV304" s="94" t="str">
        <f ca="1">VLOOKUP(V304,Товары!A:B,1,FALSE)</f>
        <v>Шляпа BAILEY арт. 81690 MANNES (бежевый / коричневый) {overcast}</v>
      </c>
    </row>
    <row r="305" spans="1:48" x14ac:dyDescent="0.25">
      <c r="A305" s="110" t="str">
        <f t="shared" ca="1" si="32"/>
        <v>21-091-60</v>
      </c>
      <c r="B305" s="107" t="str">
        <f ca="1">_xlfn.LET(_xlpm.CAPS,0,_xlpm.Style,_xlfn.XLOOKUP($A305,Строчный!$A:$A,Строчный!B:B,"ERR",0),IF(_xlpm.CAPS=0,_xlpm.Style,LOWER(_xlpm.Style)))</f>
        <v>81690 MANNES</v>
      </c>
      <c r="C305" s="81" t="str">
        <f ca="1">PROPER(_xlfn.XLOOKUP($A305,Строчный!$A:$A,Строчный!C:C,"ERR",0))</f>
        <v>Шляпы</v>
      </c>
      <c r="D305" s="81" t="str">
        <f ca="1">_xlfn.LET(_xlpm.DATA,(_xlfn.XLOOKUP($A305,Строчный!$A:$A,Строчный!D:D,"ERR",0)),UPPER(MID(_xlpm.DATA,1,1))&amp;LOWER(MID(_xlpm.DATA,2,LEN(_xlpm.DATA)-1)))</f>
        <v>Шляпа хомбург</v>
      </c>
      <c r="E305" s="81" t="str">
        <f ca="1">PROPER(_xlfn.XLOOKUP($A305,Строчный!$A:$A,Строчный!E:E,"ERR",0))</f>
        <v>The Hollywood</v>
      </c>
      <c r="F305" s="81" t="str">
        <f ca="1">LOWER(_xlfn.XLOOKUP($A305,Строчный!$A:$A,Строчный!F:F,"ERR",0))</f>
        <v>всесезон</v>
      </c>
      <c r="G305" s="81" t="str">
        <f ca="1">UPPER(_xlfn.XLOOKUP($A305,Строчный!$A:$A,Строчный!G:G,"ERR",0))</f>
        <v>BAILEY</v>
      </c>
      <c r="H305" s="81" t="str">
        <f ca="1">LOWER(_xlfn.XLOOKUP($A305,Строчный!$A:$A,Строчный!H:H,"ERR",0))</f>
        <v>azul</v>
      </c>
      <c r="I305" s="81" t="str">
        <f ca="1">LOWER(_xlfn.XLOOKUP($A305,Строчный!$A:$A,Строчный!I:I,"ERR",0))</f>
        <v>голубой</v>
      </c>
      <c r="J305" s="81" t="str">
        <f ca="1">SUBSTITUTE(LOWER(_xlfn.XLOOKUP($A305,Строчный!$A:$A,Строчный!J:J,"ERR",0)),"подклад","Подклад")</f>
        <v>100% полипропилен</v>
      </c>
      <c r="K305" s="81" t="str">
        <f ca="1">LOWER(_xlfn.XLOOKUP($A305,Строчный!$A:$A,Строчный!K:K,"ERR",0))</f>
        <v/>
      </c>
      <c r="L305" s="81" t="str">
        <f ca="1">PROPER(_xlfn.XLOOKUP($A305,Строчный!$A:$A,Строчный!L:L,"ERR",0))</f>
        <v>Унисекс</v>
      </c>
      <c r="M305" s="113" t="str">
        <f ca="1">PROPER(_xlfn.XLOOKUP($A305,Строчный!$A:$A,Строчный!M:M,"ERR",0))</f>
        <v>Китай</v>
      </c>
      <c r="N305" s="81" t="str">
        <f ca="1">UPPER(_xlfn.XLOOKUP($A305,Строчный!$A:$A,Строчный!O:O,"ERR",0))</f>
        <v/>
      </c>
      <c r="O305" s="107" t="str">
        <f ca="1">PROPER(_xlfn.XLOOKUP($A305,Строчный!$A:$A,Строчный!P:P,"ERR",0))</f>
        <v/>
      </c>
      <c r="P305" s="90">
        <f ca="1">VALUE(_xlfn.XLOOKUP($A305,Строчный!$A:$A,Строчный!N:N,"ERR",0))</f>
        <v>2094.3000000000002</v>
      </c>
      <c r="Q305" s="89" t="str">
        <f ca="1">_xlfn.XLOOKUP($G305,Фабрика!A:A,Фабрика!B:B,"ERR",0)</f>
        <v>Bollman Headwear Europe Ltd; 2 Merchants drive, Caelisle, Cumbria CA3 0JW, United Kingdom</v>
      </c>
      <c r="R305" s="80" t="str">
        <f ca="1">_xlfn.XLOOKUP(RIGHT(Z305,2),Размеры!D:D,Размеры!A:A,"ERR",0)</f>
        <v>63</v>
      </c>
      <c r="S305" s="80">
        <f ca="1">VALUE(_xlfn.XLOOKUP($Z305,Строчный!$R:$R,Строчный!T:T,"ERR",0))</f>
        <v>1</v>
      </c>
      <c r="T305" s="14" t="s">
        <v>265</v>
      </c>
      <c r="U305" s="101" t="str">
        <f t="shared" ca="1" si="28"/>
        <v>Шляпа BAILEY арт. 81690 MANNES (голубой)</v>
      </c>
      <c r="V305" s="100" t="str">
        <f t="shared" ca="1" si="29"/>
        <v>Шляпа BAILEY арт. 81690 MANNES (голубой) {azul}</v>
      </c>
      <c r="W305" s="18" t="str">
        <f t="shared" ca="1" si="30"/>
        <v>голубой</v>
      </c>
      <c r="X305" s="18" t="str">
        <f t="shared" ca="1" si="31"/>
        <v>голубой</v>
      </c>
      <c r="Y305" s="117" t="str">
        <f ca="1">_xlfn.LET(_xlpm.FormColors,_xlfn.XLOOKUP(A305,Строчный!A:A,Строчный!Q:Q,"",0),IF(_xlpm.FormColors=0,IFERROR(MID(I305,FIND("-",I305)+1,LEN(I305)),IFERROR(MID(I305,1,FIND("/",I305)-2),I305)),_xlpm.FormColors))</f>
        <v>голубой</v>
      </c>
      <c r="Z305" s="73" t="str">
        <f ca="1"/>
        <v>21-091-60-63</v>
      </c>
      <c r="AA305" s="75" t="str">
        <f ca="1">VLOOKUP(C305,Группа!A:B,2,FALSE)</f>
        <v>Шляпа</v>
      </c>
      <c r="AB305" s="97" t="str">
        <f ca="1">IFERROR(VLOOKUP(R305,Размеры!A:C,3,FALSE),"")</f>
        <v>63 XXL</v>
      </c>
      <c r="AC305" s="97" t="str">
        <f ca="1">VLOOKUP(I305,ЦветПолный!A:B,2,FALSE)</f>
        <v>19</v>
      </c>
      <c r="AD305" s="97" t="str">
        <f ca="1">IFERROR(VLOOKUP(R305,Размеры!A:D,4,FALSE),"")</f>
        <v>63</v>
      </c>
      <c r="AE305" s="97">
        <f ca="1">IF(LEFT(IFERROR(VLOOKUP(LOOKUP(2,1/SEARCH(B305,Товары!A:A),Товары!A:A),Товары!A:B,2,0),""),6)=MID(Z305,1,6),1,0)</f>
        <v>1</v>
      </c>
      <c r="AG305" s="97">
        <f ca="1">SUMIF(Группа!A:A,C305,Группа!C:C)</f>
        <v>1</v>
      </c>
      <c r="AH305" s="97">
        <f ca="1">SUMIF(Группа!B:B,AA305,Группа!C:C)</f>
        <v>1</v>
      </c>
      <c r="AI305" s="97">
        <f ca="1">SUMIF(Формы!A:A,D305,Формы!B:B)</f>
        <v>1</v>
      </c>
      <c r="AJ305" s="97">
        <f ca="1">SUMIF(Материал!A:A,K305,Материал!B:B)</f>
        <v>0</v>
      </c>
      <c r="AK305" s="97">
        <f ca="1">SUMIF(Размеры!A:A,R305,Размеры!E:E)</f>
        <v>1</v>
      </c>
      <c r="AL305" s="97">
        <f ca="1">SUMIF(Сезон!A:A,F305,Сезон!B:B)</f>
        <v>1</v>
      </c>
      <c r="AM305" s="97">
        <f ca="1">SUMIF(Состав!A:A,J305,Состав!B:B)</f>
        <v>1</v>
      </c>
      <c r="AN305" s="97">
        <f ca="1">VLOOKUP(I305,ЦветПолный!A:C,3,0)</f>
        <v>1</v>
      </c>
      <c r="AO305" s="97">
        <f ca="1">SUMIF(Цвет!A:A,Y305,Цвет!B:B)</f>
        <v>1</v>
      </c>
      <c r="AP305" s="97">
        <f ca="1">_xlfn.XLOOKUP(L305,Пол!A:A,Пол!B:B,0,0)</f>
        <v>1</v>
      </c>
      <c r="AQ305" s="97">
        <f ca="1">SUMIF(Марка!A:A,G305,Марка!B:B)</f>
        <v>1</v>
      </c>
      <c r="AR305" s="97">
        <f ca="1">SUMIF(Страна!A:A,M305,Страна!B:B)</f>
        <v>1</v>
      </c>
      <c r="AS305" s="64" t="str">
        <f ca="1">IF(VLOOKUP(V305,Товары!A:B,2,FALSE)=A305,"Есть в 1С","ERR")</f>
        <v>Есть в 1С</v>
      </c>
      <c r="AT305" s="65" t="str">
        <f ca="1">IF(VLOOKUP(A305,Товары!B:B,1,FALSE)=A305,"Есть в 1С","ERR")</f>
        <v>Есть в 1С</v>
      </c>
      <c r="AU305" s="96" t="str">
        <f ca="1">VLOOKUP(V305,Товары!A:B,2,FALSE)</f>
        <v>21-091-60</v>
      </c>
      <c r="AV305" s="94" t="str">
        <f ca="1">VLOOKUP(V305,Товары!A:B,1,FALSE)</f>
        <v>Шляпа BAILEY арт. 81690 MANNES (голубой) {azul}</v>
      </c>
    </row>
    <row r="306" spans="1:48" x14ac:dyDescent="0.25">
      <c r="A306" s="110" t="str">
        <f t="shared" ca="1" si="32"/>
        <v>21-091-60</v>
      </c>
      <c r="B306" s="107" t="str">
        <f ca="1">_xlfn.LET(_xlpm.CAPS,0,_xlpm.Style,_xlfn.XLOOKUP($A306,Строчный!$A:$A,Строчный!B:B,"ERR",0),IF(_xlpm.CAPS=0,_xlpm.Style,LOWER(_xlpm.Style)))</f>
        <v>81690 MANNES</v>
      </c>
      <c r="C306" s="81" t="str">
        <f ca="1">PROPER(_xlfn.XLOOKUP($A306,Строчный!$A:$A,Строчный!C:C,"ERR",0))</f>
        <v>Шляпы</v>
      </c>
      <c r="D306" s="81" t="str">
        <f ca="1">_xlfn.LET(_xlpm.DATA,(_xlfn.XLOOKUP($A306,Строчный!$A:$A,Строчный!D:D,"ERR",0)),UPPER(MID(_xlpm.DATA,1,1))&amp;LOWER(MID(_xlpm.DATA,2,LEN(_xlpm.DATA)-1)))</f>
        <v>Шляпа хомбург</v>
      </c>
      <c r="E306" s="81" t="str">
        <f ca="1">PROPER(_xlfn.XLOOKUP($A306,Строчный!$A:$A,Строчный!E:E,"ERR",0))</f>
        <v>The Hollywood</v>
      </c>
      <c r="F306" s="81" t="str">
        <f ca="1">LOWER(_xlfn.XLOOKUP($A306,Строчный!$A:$A,Строчный!F:F,"ERR",0))</f>
        <v>всесезон</v>
      </c>
      <c r="G306" s="81" t="str">
        <f ca="1">UPPER(_xlfn.XLOOKUP($A306,Строчный!$A:$A,Строчный!G:G,"ERR",0))</f>
        <v>BAILEY</v>
      </c>
      <c r="H306" s="81" t="str">
        <f ca="1">LOWER(_xlfn.XLOOKUP($A306,Строчный!$A:$A,Строчный!H:H,"ERR",0))</f>
        <v>azul</v>
      </c>
      <c r="I306" s="81" t="str">
        <f ca="1">LOWER(_xlfn.XLOOKUP($A306,Строчный!$A:$A,Строчный!I:I,"ERR",0))</f>
        <v>голубой</v>
      </c>
      <c r="J306" s="81" t="str">
        <f ca="1">SUBSTITUTE(LOWER(_xlfn.XLOOKUP($A306,Строчный!$A:$A,Строчный!J:J,"ERR",0)),"подклад","Подклад")</f>
        <v>100% полипропилен</v>
      </c>
      <c r="K306" s="81" t="str">
        <f ca="1">LOWER(_xlfn.XLOOKUP($A306,Строчный!$A:$A,Строчный!K:K,"ERR",0))</f>
        <v/>
      </c>
      <c r="L306" s="81" t="str">
        <f ca="1">PROPER(_xlfn.XLOOKUP($A306,Строчный!$A:$A,Строчный!L:L,"ERR",0))</f>
        <v>Унисекс</v>
      </c>
      <c r="M306" s="113" t="str">
        <f ca="1">PROPER(_xlfn.XLOOKUP($A306,Строчный!$A:$A,Строчный!M:M,"ERR",0))</f>
        <v>Китай</v>
      </c>
      <c r="N306" s="81" t="str">
        <f ca="1">UPPER(_xlfn.XLOOKUP($A306,Строчный!$A:$A,Строчный!O:O,"ERR",0))</f>
        <v/>
      </c>
      <c r="O306" s="107" t="str">
        <f ca="1">PROPER(_xlfn.XLOOKUP($A306,Строчный!$A:$A,Строчный!P:P,"ERR",0))</f>
        <v/>
      </c>
      <c r="P306" s="90">
        <f ca="1">VALUE(_xlfn.XLOOKUP($A306,Строчный!$A:$A,Строчный!N:N,"ERR",0))</f>
        <v>2094.3000000000002</v>
      </c>
      <c r="Q306" s="89" t="str">
        <f ca="1">_xlfn.XLOOKUP($G306,Фабрика!A:A,Фабрика!B:B,"ERR",0)</f>
        <v>Bollman Headwear Europe Ltd; 2 Merchants drive, Caelisle, Cumbria CA3 0JW, United Kingdom</v>
      </c>
      <c r="R306" s="80" t="str">
        <f ca="1">_xlfn.XLOOKUP(RIGHT(Z306,2),Размеры!D:D,Размеры!A:A,"ERR",0)</f>
        <v>61</v>
      </c>
      <c r="S306" s="80">
        <f ca="1">VALUE(_xlfn.XLOOKUP($Z306,Строчный!$R:$R,Строчный!T:T,"ERR",0))</f>
        <v>5</v>
      </c>
      <c r="T306" s="14" t="s">
        <v>265</v>
      </c>
      <c r="U306" s="101" t="str">
        <f t="shared" ca="1" si="28"/>
        <v>Шляпа BAILEY арт. 81690 MANNES (голубой)</v>
      </c>
      <c r="V306" s="100" t="str">
        <f t="shared" ca="1" si="29"/>
        <v>Шляпа BAILEY арт. 81690 MANNES (голубой) {azul}</v>
      </c>
      <c r="W306" s="18" t="str">
        <f t="shared" ca="1" si="30"/>
        <v>голубой</v>
      </c>
      <c r="X306" s="18" t="str">
        <f t="shared" ca="1" si="31"/>
        <v>голубой</v>
      </c>
      <c r="Y306" s="117" t="str">
        <f ca="1">_xlfn.LET(_xlpm.FormColors,_xlfn.XLOOKUP(A306,Строчный!A:A,Строчный!Q:Q,"",0),IF(_xlpm.FormColors=0,IFERROR(MID(I306,FIND("-",I306)+1,LEN(I306)),IFERROR(MID(I306,1,FIND("/",I306)-2),I306)),_xlpm.FormColors))</f>
        <v>голубой</v>
      </c>
      <c r="Z306" s="73" t="str">
        <f ca="1"/>
        <v>21-091-60-61</v>
      </c>
      <c r="AA306" s="75" t="str">
        <f ca="1">VLOOKUP(C306,Группа!A:B,2,FALSE)</f>
        <v>Шляпа</v>
      </c>
      <c r="AB306" s="97" t="str">
        <f ca="1">IFERROR(VLOOKUP(R306,Размеры!A:C,3,FALSE),"")</f>
        <v>61 XL</v>
      </c>
      <c r="AC306" s="97" t="str">
        <f ca="1">VLOOKUP(I306,ЦветПолный!A:B,2,FALSE)</f>
        <v>19</v>
      </c>
      <c r="AD306" s="97" t="str">
        <f ca="1">IFERROR(VLOOKUP(R306,Размеры!A:D,4,FALSE),"")</f>
        <v>61</v>
      </c>
      <c r="AE306" s="97">
        <f ca="1">IF(LEFT(IFERROR(VLOOKUP(LOOKUP(2,1/SEARCH(B306,Товары!A:A),Товары!A:A),Товары!A:B,2,0),""),6)=MID(Z306,1,6),1,0)</f>
        <v>1</v>
      </c>
      <c r="AG306" s="97">
        <f ca="1">SUMIF(Группа!A:A,C306,Группа!C:C)</f>
        <v>1</v>
      </c>
      <c r="AH306" s="97">
        <f ca="1">SUMIF(Группа!B:B,AA306,Группа!C:C)</f>
        <v>1</v>
      </c>
      <c r="AI306" s="97">
        <f ca="1">SUMIF(Формы!A:A,D306,Формы!B:B)</f>
        <v>1</v>
      </c>
      <c r="AJ306" s="97">
        <f ca="1">SUMIF(Материал!A:A,K306,Материал!B:B)</f>
        <v>0</v>
      </c>
      <c r="AK306" s="97">
        <f ca="1">SUMIF(Размеры!A:A,R306,Размеры!E:E)</f>
        <v>1</v>
      </c>
      <c r="AL306" s="97">
        <f ca="1">SUMIF(Сезон!A:A,F306,Сезон!B:B)</f>
        <v>1</v>
      </c>
      <c r="AM306" s="97">
        <f ca="1">SUMIF(Состав!A:A,J306,Состав!B:B)</f>
        <v>1</v>
      </c>
      <c r="AN306" s="97">
        <f ca="1">VLOOKUP(I306,ЦветПолный!A:C,3,0)</f>
        <v>1</v>
      </c>
      <c r="AO306" s="97">
        <f ca="1">SUMIF(Цвет!A:A,Y306,Цвет!B:B)</f>
        <v>1</v>
      </c>
      <c r="AP306" s="97">
        <f ca="1">_xlfn.XLOOKUP(L306,Пол!A:A,Пол!B:B,0,0)</f>
        <v>1</v>
      </c>
      <c r="AQ306" s="97">
        <f ca="1">SUMIF(Марка!A:A,G306,Марка!B:B)</f>
        <v>1</v>
      </c>
      <c r="AR306" s="97">
        <f ca="1">SUMIF(Страна!A:A,M306,Страна!B:B)</f>
        <v>1</v>
      </c>
      <c r="AS306" s="64" t="str">
        <f ca="1">IF(VLOOKUP(V306,Товары!A:B,2,FALSE)=A306,"Есть в 1С","ERR")</f>
        <v>Есть в 1С</v>
      </c>
      <c r="AT306" s="65" t="str">
        <f ca="1">IF(VLOOKUP(A306,Товары!B:B,1,FALSE)=A306,"Есть в 1С","ERR")</f>
        <v>Есть в 1С</v>
      </c>
      <c r="AU306" s="96" t="str">
        <f ca="1">VLOOKUP(V306,Товары!A:B,2,FALSE)</f>
        <v>21-091-60</v>
      </c>
      <c r="AV306" s="94" t="str">
        <f ca="1">VLOOKUP(V306,Товары!A:B,1,FALSE)</f>
        <v>Шляпа BAILEY арт. 81690 MANNES (голубой) {azul}</v>
      </c>
    </row>
    <row r="307" spans="1:48" x14ac:dyDescent="0.25">
      <c r="A307" s="110" t="str">
        <f t="shared" ca="1" si="32"/>
        <v>21-091-60</v>
      </c>
      <c r="B307" s="107" t="str">
        <f ca="1">_xlfn.LET(_xlpm.CAPS,0,_xlpm.Style,_xlfn.XLOOKUP($A307,Строчный!$A:$A,Строчный!B:B,"ERR",0),IF(_xlpm.CAPS=0,_xlpm.Style,LOWER(_xlpm.Style)))</f>
        <v>81690 MANNES</v>
      </c>
      <c r="C307" s="81" t="str">
        <f ca="1">PROPER(_xlfn.XLOOKUP($A307,Строчный!$A:$A,Строчный!C:C,"ERR",0))</f>
        <v>Шляпы</v>
      </c>
      <c r="D307" s="81" t="str">
        <f ca="1">_xlfn.LET(_xlpm.DATA,(_xlfn.XLOOKUP($A307,Строчный!$A:$A,Строчный!D:D,"ERR",0)),UPPER(MID(_xlpm.DATA,1,1))&amp;LOWER(MID(_xlpm.DATA,2,LEN(_xlpm.DATA)-1)))</f>
        <v>Шляпа хомбург</v>
      </c>
      <c r="E307" s="81" t="str">
        <f ca="1">PROPER(_xlfn.XLOOKUP($A307,Строчный!$A:$A,Строчный!E:E,"ERR",0))</f>
        <v>The Hollywood</v>
      </c>
      <c r="F307" s="81" t="str">
        <f ca="1">LOWER(_xlfn.XLOOKUP($A307,Строчный!$A:$A,Строчный!F:F,"ERR",0))</f>
        <v>всесезон</v>
      </c>
      <c r="G307" s="81" t="str">
        <f ca="1">UPPER(_xlfn.XLOOKUP($A307,Строчный!$A:$A,Строчный!G:G,"ERR",0))</f>
        <v>BAILEY</v>
      </c>
      <c r="H307" s="81" t="str">
        <f ca="1">LOWER(_xlfn.XLOOKUP($A307,Строчный!$A:$A,Строчный!H:H,"ERR",0))</f>
        <v>azul</v>
      </c>
      <c r="I307" s="81" t="str">
        <f ca="1">LOWER(_xlfn.XLOOKUP($A307,Строчный!$A:$A,Строчный!I:I,"ERR",0))</f>
        <v>голубой</v>
      </c>
      <c r="J307" s="81" t="str">
        <f ca="1">SUBSTITUTE(LOWER(_xlfn.XLOOKUP($A307,Строчный!$A:$A,Строчный!J:J,"ERR",0)),"подклад","Подклад")</f>
        <v>100% полипропилен</v>
      </c>
      <c r="K307" s="81" t="str">
        <f ca="1">LOWER(_xlfn.XLOOKUP($A307,Строчный!$A:$A,Строчный!K:K,"ERR",0))</f>
        <v/>
      </c>
      <c r="L307" s="81" t="str">
        <f ca="1">PROPER(_xlfn.XLOOKUP($A307,Строчный!$A:$A,Строчный!L:L,"ERR",0))</f>
        <v>Унисекс</v>
      </c>
      <c r="M307" s="113" t="str">
        <f ca="1">PROPER(_xlfn.XLOOKUP($A307,Строчный!$A:$A,Строчный!M:M,"ERR",0))</f>
        <v>Китай</v>
      </c>
      <c r="N307" s="81" t="str">
        <f ca="1">UPPER(_xlfn.XLOOKUP($A307,Строчный!$A:$A,Строчный!O:O,"ERR",0))</f>
        <v/>
      </c>
      <c r="O307" s="107" t="str">
        <f ca="1">PROPER(_xlfn.XLOOKUP($A307,Строчный!$A:$A,Строчный!P:P,"ERR",0))</f>
        <v/>
      </c>
      <c r="P307" s="90">
        <f ca="1">VALUE(_xlfn.XLOOKUP($A307,Строчный!$A:$A,Строчный!N:N,"ERR",0))</f>
        <v>2094.3000000000002</v>
      </c>
      <c r="Q307" s="89" t="str">
        <f ca="1">_xlfn.XLOOKUP($G307,Фабрика!A:A,Фабрика!B:B,"ERR",0)</f>
        <v>Bollman Headwear Europe Ltd; 2 Merchants drive, Caelisle, Cumbria CA3 0JW, United Kingdom</v>
      </c>
      <c r="R307" s="80" t="str">
        <f ca="1">_xlfn.XLOOKUP(RIGHT(Z307,2),Размеры!D:D,Размеры!A:A,"ERR",0)</f>
        <v>59</v>
      </c>
      <c r="S307" s="80">
        <f ca="1">VALUE(_xlfn.XLOOKUP($Z307,Строчный!$R:$R,Строчный!T:T,"ERR",0))</f>
        <v>9</v>
      </c>
      <c r="T307" s="14" t="s">
        <v>265</v>
      </c>
      <c r="U307" s="101" t="str">
        <f t="shared" ca="1" si="28"/>
        <v>Шляпа BAILEY арт. 81690 MANNES (голубой)</v>
      </c>
      <c r="V307" s="100" t="str">
        <f t="shared" ca="1" si="29"/>
        <v>Шляпа BAILEY арт. 81690 MANNES (голубой) {azul}</v>
      </c>
      <c r="W307" s="18" t="str">
        <f t="shared" ca="1" si="30"/>
        <v>голубой</v>
      </c>
      <c r="X307" s="18" t="str">
        <f t="shared" ca="1" si="31"/>
        <v>голубой</v>
      </c>
      <c r="Y307" s="117" t="str">
        <f ca="1">_xlfn.LET(_xlpm.FormColors,_xlfn.XLOOKUP(A307,Строчный!A:A,Строчный!Q:Q,"",0),IF(_xlpm.FormColors=0,IFERROR(MID(I307,FIND("-",I307)+1,LEN(I307)),IFERROR(MID(I307,1,FIND("/",I307)-2),I307)),_xlpm.FormColors))</f>
        <v>голубой</v>
      </c>
      <c r="Z307" s="73" t="str">
        <f ca="1"/>
        <v>21-091-60-59</v>
      </c>
      <c r="AA307" s="75" t="str">
        <f ca="1">VLOOKUP(C307,Группа!A:B,2,FALSE)</f>
        <v>Шляпа</v>
      </c>
      <c r="AB307" s="97" t="str">
        <f ca="1">IFERROR(VLOOKUP(R307,Размеры!A:C,3,FALSE),"")</f>
        <v>59 L</v>
      </c>
      <c r="AC307" s="97" t="str">
        <f ca="1">VLOOKUP(I307,ЦветПолный!A:B,2,FALSE)</f>
        <v>19</v>
      </c>
      <c r="AD307" s="97" t="str">
        <f ca="1">IFERROR(VLOOKUP(R307,Размеры!A:D,4,FALSE),"")</f>
        <v>59</v>
      </c>
      <c r="AE307" s="97">
        <f ca="1">IF(LEFT(IFERROR(VLOOKUP(LOOKUP(2,1/SEARCH(B307,Товары!A:A),Товары!A:A),Товары!A:B,2,0),""),6)=MID(Z307,1,6),1,0)</f>
        <v>1</v>
      </c>
      <c r="AG307" s="97">
        <f ca="1">SUMIF(Группа!A:A,C307,Группа!C:C)</f>
        <v>1</v>
      </c>
      <c r="AH307" s="97">
        <f ca="1">SUMIF(Группа!B:B,AA307,Группа!C:C)</f>
        <v>1</v>
      </c>
      <c r="AI307" s="97">
        <f ca="1">SUMIF(Формы!A:A,D307,Формы!B:B)</f>
        <v>1</v>
      </c>
      <c r="AJ307" s="97">
        <f ca="1">SUMIF(Материал!A:A,K307,Материал!B:B)</f>
        <v>0</v>
      </c>
      <c r="AK307" s="97">
        <f ca="1">SUMIF(Размеры!A:A,R307,Размеры!E:E)</f>
        <v>1</v>
      </c>
      <c r="AL307" s="97">
        <f ca="1">SUMIF(Сезон!A:A,F307,Сезон!B:B)</f>
        <v>1</v>
      </c>
      <c r="AM307" s="97">
        <f ca="1">SUMIF(Состав!A:A,J307,Состав!B:B)</f>
        <v>1</v>
      </c>
      <c r="AN307" s="97">
        <f ca="1">VLOOKUP(I307,ЦветПолный!A:C,3,0)</f>
        <v>1</v>
      </c>
      <c r="AO307" s="97">
        <f ca="1">SUMIF(Цвет!A:A,Y307,Цвет!B:B)</f>
        <v>1</v>
      </c>
      <c r="AP307" s="97">
        <f ca="1">_xlfn.XLOOKUP(L307,Пол!A:A,Пол!B:B,0,0)</f>
        <v>1</v>
      </c>
      <c r="AQ307" s="97">
        <f ca="1">SUMIF(Марка!A:A,G307,Марка!B:B)</f>
        <v>1</v>
      </c>
      <c r="AR307" s="97">
        <f ca="1">SUMIF(Страна!A:A,M307,Страна!B:B)</f>
        <v>1</v>
      </c>
      <c r="AS307" s="64" t="str">
        <f ca="1">IF(VLOOKUP(V307,Товары!A:B,2,FALSE)=A307,"Есть в 1С","ERR")</f>
        <v>Есть в 1С</v>
      </c>
      <c r="AT307" s="65" t="str">
        <f ca="1">IF(VLOOKUP(A307,Товары!B:B,1,FALSE)=A307,"Есть в 1С","ERR")</f>
        <v>Есть в 1С</v>
      </c>
      <c r="AU307" s="96" t="str">
        <f ca="1">VLOOKUP(V307,Товары!A:B,2,FALSE)</f>
        <v>21-091-60</v>
      </c>
      <c r="AV307" s="94" t="str">
        <f ca="1">VLOOKUP(V307,Товары!A:B,1,FALSE)</f>
        <v>Шляпа BAILEY арт. 81690 MANNES (голубой) {azul}</v>
      </c>
    </row>
    <row r="308" spans="1:48" x14ac:dyDescent="0.25">
      <c r="A308" s="110" t="str">
        <f t="shared" ca="1" si="32"/>
        <v>21-091-60</v>
      </c>
      <c r="B308" s="107" t="str">
        <f ca="1">_xlfn.LET(_xlpm.CAPS,0,_xlpm.Style,_xlfn.XLOOKUP($A308,Строчный!$A:$A,Строчный!B:B,"ERR",0),IF(_xlpm.CAPS=0,_xlpm.Style,LOWER(_xlpm.Style)))</f>
        <v>81690 MANNES</v>
      </c>
      <c r="C308" s="81" t="str">
        <f ca="1">PROPER(_xlfn.XLOOKUP($A308,Строчный!$A:$A,Строчный!C:C,"ERR",0))</f>
        <v>Шляпы</v>
      </c>
      <c r="D308" s="81" t="str">
        <f ca="1">_xlfn.LET(_xlpm.DATA,(_xlfn.XLOOKUP($A308,Строчный!$A:$A,Строчный!D:D,"ERR",0)),UPPER(MID(_xlpm.DATA,1,1))&amp;LOWER(MID(_xlpm.DATA,2,LEN(_xlpm.DATA)-1)))</f>
        <v>Шляпа хомбург</v>
      </c>
      <c r="E308" s="81" t="str">
        <f ca="1">PROPER(_xlfn.XLOOKUP($A308,Строчный!$A:$A,Строчный!E:E,"ERR",0))</f>
        <v>The Hollywood</v>
      </c>
      <c r="F308" s="81" t="str">
        <f ca="1">LOWER(_xlfn.XLOOKUP($A308,Строчный!$A:$A,Строчный!F:F,"ERR",0))</f>
        <v>всесезон</v>
      </c>
      <c r="G308" s="81" t="str">
        <f ca="1">UPPER(_xlfn.XLOOKUP($A308,Строчный!$A:$A,Строчный!G:G,"ERR",0))</f>
        <v>BAILEY</v>
      </c>
      <c r="H308" s="81" t="str">
        <f ca="1">LOWER(_xlfn.XLOOKUP($A308,Строчный!$A:$A,Строчный!H:H,"ERR",0))</f>
        <v>azul</v>
      </c>
      <c r="I308" s="81" t="str">
        <f ca="1">LOWER(_xlfn.XLOOKUP($A308,Строчный!$A:$A,Строчный!I:I,"ERR",0))</f>
        <v>голубой</v>
      </c>
      <c r="J308" s="81" t="str">
        <f ca="1">SUBSTITUTE(LOWER(_xlfn.XLOOKUP($A308,Строчный!$A:$A,Строчный!J:J,"ERR",0)),"подклад","Подклад")</f>
        <v>100% полипропилен</v>
      </c>
      <c r="K308" s="81" t="str">
        <f ca="1">LOWER(_xlfn.XLOOKUP($A308,Строчный!$A:$A,Строчный!K:K,"ERR",0))</f>
        <v/>
      </c>
      <c r="L308" s="81" t="str">
        <f ca="1">PROPER(_xlfn.XLOOKUP($A308,Строчный!$A:$A,Строчный!L:L,"ERR",0))</f>
        <v>Унисекс</v>
      </c>
      <c r="M308" s="113" t="str">
        <f ca="1">PROPER(_xlfn.XLOOKUP($A308,Строчный!$A:$A,Строчный!M:M,"ERR",0))</f>
        <v>Китай</v>
      </c>
      <c r="N308" s="81" t="str">
        <f ca="1">UPPER(_xlfn.XLOOKUP($A308,Строчный!$A:$A,Строчный!O:O,"ERR",0))</f>
        <v/>
      </c>
      <c r="O308" s="107" t="str">
        <f ca="1">PROPER(_xlfn.XLOOKUP($A308,Строчный!$A:$A,Строчный!P:P,"ERR",0))</f>
        <v/>
      </c>
      <c r="P308" s="90">
        <f ca="1">VALUE(_xlfn.XLOOKUP($A308,Строчный!$A:$A,Строчный!N:N,"ERR",0))</f>
        <v>2094.3000000000002</v>
      </c>
      <c r="Q308" s="89" t="str">
        <f ca="1">_xlfn.XLOOKUP($G308,Фабрика!A:A,Фабрика!B:B,"ERR",0)</f>
        <v>Bollman Headwear Europe Ltd; 2 Merchants drive, Caelisle, Cumbria CA3 0JW, United Kingdom</v>
      </c>
      <c r="R308" s="80" t="str">
        <f ca="1">_xlfn.XLOOKUP(RIGHT(Z308,2),Размеры!D:D,Размеры!A:A,"ERR",0)</f>
        <v>57</v>
      </c>
      <c r="S308" s="80">
        <f ca="1">VALUE(_xlfn.XLOOKUP($Z308,Строчный!$R:$R,Строчный!T:T,"ERR",0))</f>
        <v>7</v>
      </c>
      <c r="T308" s="14" t="s">
        <v>265</v>
      </c>
      <c r="U308" s="101" t="str">
        <f t="shared" ca="1" si="28"/>
        <v>Шляпа BAILEY арт. 81690 MANNES (голубой)</v>
      </c>
      <c r="V308" s="100" t="str">
        <f t="shared" ca="1" si="29"/>
        <v>Шляпа BAILEY арт. 81690 MANNES (голубой) {azul}</v>
      </c>
      <c r="W308" s="18" t="str">
        <f t="shared" ca="1" si="30"/>
        <v>голубой</v>
      </c>
      <c r="X308" s="18" t="str">
        <f t="shared" ca="1" si="31"/>
        <v>голубой</v>
      </c>
      <c r="Y308" s="117" t="str">
        <f ca="1">_xlfn.LET(_xlpm.FormColors,_xlfn.XLOOKUP(A308,Строчный!A:A,Строчный!Q:Q,"",0),IF(_xlpm.FormColors=0,IFERROR(MID(I308,FIND("-",I308)+1,LEN(I308)),IFERROR(MID(I308,1,FIND("/",I308)-2),I308)),_xlpm.FormColors))</f>
        <v>голубой</v>
      </c>
      <c r="Z308" s="73" t="str">
        <f ca="1"/>
        <v>21-091-60-57</v>
      </c>
      <c r="AA308" s="75" t="str">
        <f ca="1">VLOOKUP(C308,Группа!A:B,2,FALSE)</f>
        <v>Шляпа</v>
      </c>
      <c r="AB308" s="97" t="str">
        <f ca="1">IFERROR(VLOOKUP(R308,Размеры!A:C,3,FALSE),"")</f>
        <v>57 M</v>
      </c>
      <c r="AC308" s="97" t="str">
        <f ca="1">VLOOKUP(I308,ЦветПолный!A:B,2,FALSE)</f>
        <v>19</v>
      </c>
      <c r="AD308" s="97" t="str">
        <f ca="1">IFERROR(VLOOKUP(R308,Размеры!A:D,4,FALSE),"")</f>
        <v>57</v>
      </c>
      <c r="AE308" s="97">
        <f ca="1">IF(LEFT(IFERROR(VLOOKUP(LOOKUP(2,1/SEARCH(B308,Товары!A:A),Товары!A:A),Товары!A:B,2,0),""),6)=MID(Z308,1,6),1,0)</f>
        <v>1</v>
      </c>
      <c r="AG308" s="97">
        <f ca="1">SUMIF(Группа!A:A,C308,Группа!C:C)</f>
        <v>1</v>
      </c>
      <c r="AH308" s="97">
        <f ca="1">SUMIF(Группа!B:B,AA308,Группа!C:C)</f>
        <v>1</v>
      </c>
      <c r="AI308" s="97">
        <f ca="1">SUMIF(Формы!A:A,D308,Формы!B:B)</f>
        <v>1</v>
      </c>
      <c r="AJ308" s="97">
        <f ca="1">SUMIF(Материал!A:A,K308,Материал!B:B)</f>
        <v>0</v>
      </c>
      <c r="AK308" s="97">
        <f ca="1">SUMIF(Размеры!A:A,R308,Размеры!E:E)</f>
        <v>1</v>
      </c>
      <c r="AL308" s="97">
        <f ca="1">SUMIF(Сезон!A:A,F308,Сезон!B:B)</f>
        <v>1</v>
      </c>
      <c r="AM308" s="97">
        <f ca="1">SUMIF(Состав!A:A,J308,Состав!B:B)</f>
        <v>1</v>
      </c>
      <c r="AN308" s="97">
        <f ca="1">VLOOKUP(I308,ЦветПолный!A:C,3,0)</f>
        <v>1</v>
      </c>
      <c r="AO308" s="97">
        <f ca="1">SUMIF(Цвет!A:A,Y308,Цвет!B:B)</f>
        <v>1</v>
      </c>
      <c r="AP308" s="97">
        <f ca="1">_xlfn.XLOOKUP(L308,Пол!A:A,Пол!B:B,0,0)</f>
        <v>1</v>
      </c>
      <c r="AQ308" s="97">
        <f ca="1">SUMIF(Марка!A:A,G308,Марка!B:B)</f>
        <v>1</v>
      </c>
      <c r="AR308" s="97">
        <f ca="1">SUMIF(Страна!A:A,M308,Страна!B:B)</f>
        <v>1</v>
      </c>
      <c r="AS308" s="64" t="str">
        <f ca="1">IF(VLOOKUP(V308,Товары!A:B,2,FALSE)=A308,"Есть в 1С","ERR")</f>
        <v>Есть в 1С</v>
      </c>
      <c r="AT308" s="65" t="str">
        <f ca="1">IF(VLOOKUP(A308,Товары!B:B,1,FALSE)=A308,"Есть в 1С","ERR")</f>
        <v>Есть в 1С</v>
      </c>
      <c r="AU308" s="96" t="str">
        <f ca="1">VLOOKUP(V308,Товары!A:B,2,FALSE)</f>
        <v>21-091-60</v>
      </c>
      <c r="AV308" s="94" t="str">
        <f ca="1">VLOOKUP(V308,Товары!A:B,1,FALSE)</f>
        <v>Шляпа BAILEY арт. 81690 MANNES (голубой) {azul}</v>
      </c>
    </row>
    <row r="309" spans="1:48" x14ac:dyDescent="0.25">
      <c r="A309" s="110" t="str">
        <f t="shared" ca="1" si="32"/>
        <v>21-091-60</v>
      </c>
      <c r="B309" s="107" t="str">
        <f ca="1">_xlfn.LET(_xlpm.CAPS,0,_xlpm.Style,_xlfn.XLOOKUP($A309,Строчный!$A:$A,Строчный!B:B,"ERR",0),IF(_xlpm.CAPS=0,_xlpm.Style,LOWER(_xlpm.Style)))</f>
        <v>81690 MANNES</v>
      </c>
      <c r="C309" s="81" t="str">
        <f ca="1">PROPER(_xlfn.XLOOKUP($A309,Строчный!$A:$A,Строчный!C:C,"ERR",0))</f>
        <v>Шляпы</v>
      </c>
      <c r="D309" s="81" t="str">
        <f ca="1">_xlfn.LET(_xlpm.DATA,(_xlfn.XLOOKUP($A309,Строчный!$A:$A,Строчный!D:D,"ERR",0)),UPPER(MID(_xlpm.DATA,1,1))&amp;LOWER(MID(_xlpm.DATA,2,LEN(_xlpm.DATA)-1)))</f>
        <v>Шляпа хомбург</v>
      </c>
      <c r="E309" s="81" t="str">
        <f ca="1">PROPER(_xlfn.XLOOKUP($A309,Строчный!$A:$A,Строчный!E:E,"ERR",0))</f>
        <v>The Hollywood</v>
      </c>
      <c r="F309" s="81" t="str">
        <f ca="1">LOWER(_xlfn.XLOOKUP($A309,Строчный!$A:$A,Строчный!F:F,"ERR",0))</f>
        <v>всесезон</v>
      </c>
      <c r="G309" s="81" t="str">
        <f ca="1">UPPER(_xlfn.XLOOKUP($A309,Строчный!$A:$A,Строчный!G:G,"ERR",0))</f>
        <v>BAILEY</v>
      </c>
      <c r="H309" s="81" t="str">
        <f ca="1">LOWER(_xlfn.XLOOKUP($A309,Строчный!$A:$A,Строчный!H:H,"ERR",0))</f>
        <v>azul</v>
      </c>
      <c r="I309" s="81" t="str">
        <f ca="1">LOWER(_xlfn.XLOOKUP($A309,Строчный!$A:$A,Строчный!I:I,"ERR",0))</f>
        <v>голубой</v>
      </c>
      <c r="J309" s="81" t="str">
        <f ca="1">SUBSTITUTE(LOWER(_xlfn.XLOOKUP($A309,Строчный!$A:$A,Строчный!J:J,"ERR",0)),"подклад","Подклад")</f>
        <v>100% полипропилен</v>
      </c>
      <c r="K309" s="81" t="str">
        <f ca="1">LOWER(_xlfn.XLOOKUP($A309,Строчный!$A:$A,Строчный!K:K,"ERR",0))</f>
        <v/>
      </c>
      <c r="L309" s="81" t="str">
        <f ca="1">PROPER(_xlfn.XLOOKUP($A309,Строчный!$A:$A,Строчный!L:L,"ERR",0))</f>
        <v>Унисекс</v>
      </c>
      <c r="M309" s="113" t="str">
        <f ca="1">PROPER(_xlfn.XLOOKUP($A309,Строчный!$A:$A,Строчный!M:M,"ERR",0))</f>
        <v>Китай</v>
      </c>
      <c r="N309" s="81" t="str">
        <f ca="1">UPPER(_xlfn.XLOOKUP($A309,Строчный!$A:$A,Строчный!O:O,"ERR",0))</f>
        <v/>
      </c>
      <c r="O309" s="107" t="str">
        <f ca="1">PROPER(_xlfn.XLOOKUP($A309,Строчный!$A:$A,Строчный!P:P,"ERR",0))</f>
        <v/>
      </c>
      <c r="P309" s="90">
        <f ca="1">VALUE(_xlfn.XLOOKUP($A309,Строчный!$A:$A,Строчный!N:N,"ERR",0))</f>
        <v>2094.3000000000002</v>
      </c>
      <c r="Q309" s="89" t="str">
        <f ca="1">_xlfn.XLOOKUP($G309,Фабрика!A:A,Фабрика!B:B,"ERR",0)</f>
        <v>Bollman Headwear Europe Ltd; 2 Merchants drive, Caelisle, Cumbria CA3 0JW, United Kingdom</v>
      </c>
      <c r="R309" s="80" t="str">
        <f ca="1">_xlfn.XLOOKUP(RIGHT(Z309,2),Размеры!D:D,Размеры!A:A,"ERR",0)</f>
        <v>55</v>
      </c>
      <c r="S309" s="80">
        <f ca="1">VALUE(_xlfn.XLOOKUP($Z309,Строчный!$R:$R,Строчный!T:T,"ERR",0))</f>
        <v>2</v>
      </c>
      <c r="T309" s="14" t="s">
        <v>265</v>
      </c>
      <c r="U309" s="101" t="str">
        <f t="shared" ca="1" si="28"/>
        <v>Шляпа BAILEY арт. 81690 MANNES (голубой)</v>
      </c>
      <c r="V309" s="100" t="str">
        <f t="shared" ca="1" si="29"/>
        <v>Шляпа BAILEY арт. 81690 MANNES (голубой) {azul}</v>
      </c>
      <c r="W309" s="18" t="str">
        <f t="shared" ca="1" si="30"/>
        <v>голубой</v>
      </c>
      <c r="X309" s="18" t="str">
        <f t="shared" ca="1" si="31"/>
        <v>голубой</v>
      </c>
      <c r="Y309" s="117" t="str">
        <f ca="1">_xlfn.LET(_xlpm.FormColors,_xlfn.XLOOKUP(A309,Строчный!A:A,Строчный!Q:Q,"",0),IF(_xlpm.FormColors=0,IFERROR(MID(I309,FIND("-",I309)+1,LEN(I309)),IFERROR(MID(I309,1,FIND("/",I309)-2),I309)),_xlpm.FormColors))</f>
        <v>голубой</v>
      </c>
      <c r="Z309" s="73" t="str">
        <f ca="1"/>
        <v>21-091-60-55</v>
      </c>
      <c r="AA309" s="75" t="str">
        <f ca="1">VLOOKUP(C309,Группа!A:B,2,FALSE)</f>
        <v>Шляпа</v>
      </c>
      <c r="AB309" s="97" t="str">
        <f ca="1">IFERROR(VLOOKUP(R309,Размеры!A:C,3,FALSE),"")</f>
        <v>55 S</v>
      </c>
      <c r="AC309" s="97" t="str">
        <f ca="1">VLOOKUP(I309,ЦветПолный!A:B,2,FALSE)</f>
        <v>19</v>
      </c>
      <c r="AD309" s="97" t="str">
        <f ca="1">IFERROR(VLOOKUP(R309,Размеры!A:D,4,FALSE),"")</f>
        <v>55</v>
      </c>
      <c r="AE309" s="97">
        <f ca="1">IF(LEFT(IFERROR(VLOOKUP(LOOKUP(2,1/SEARCH(B309,Товары!A:A),Товары!A:A),Товары!A:B,2,0),""),6)=MID(Z309,1,6),1,0)</f>
        <v>1</v>
      </c>
      <c r="AG309" s="97">
        <f ca="1">SUMIF(Группа!A:A,C309,Группа!C:C)</f>
        <v>1</v>
      </c>
      <c r="AH309" s="97">
        <f ca="1">SUMIF(Группа!B:B,AA309,Группа!C:C)</f>
        <v>1</v>
      </c>
      <c r="AI309" s="97">
        <f ca="1">SUMIF(Формы!A:A,D309,Формы!B:B)</f>
        <v>1</v>
      </c>
      <c r="AJ309" s="97">
        <f ca="1">SUMIF(Материал!A:A,K309,Материал!B:B)</f>
        <v>0</v>
      </c>
      <c r="AK309" s="97">
        <f ca="1">SUMIF(Размеры!A:A,R309,Размеры!E:E)</f>
        <v>1</v>
      </c>
      <c r="AL309" s="97">
        <f ca="1">SUMIF(Сезон!A:A,F309,Сезон!B:B)</f>
        <v>1</v>
      </c>
      <c r="AM309" s="97">
        <f ca="1">SUMIF(Состав!A:A,J309,Состав!B:B)</f>
        <v>1</v>
      </c>
      <c r="AN309" s="97">
        <f ca="1">VLOOKUP(I309,ЦветПолный!A:C,3,0)</f>
        <v>1</v>
      </c>
      <c r="AO309" s="97">
        <f ca="1">SUMIF(Цвет!A:A,Y309,Цвет!B:B)</f>
        <v>1</v>
      </c>
      <c r="AP309" s="97">
        <f ca="1">_xlfn.XLOOKUP(L309,Пол!A:A,Пол!B:B,0,0)</f>
        <v>1</v>
      </c>
      <c r="AQ309" s="97">
        <f ca="1">SUMIF(Марка!A:A,G309,Марка!B:B)</f>
        <v>1</v>
      </c>
      <c r="AR309" s="97">
        <f ca="1">SUMIF(Страна!A:A,M309,Страна!B:B)</f>
        <v>1</v>
      </c>
      <c r="AS309" s="64" t="str">
        <f ca="1">IF(VLOOKUP(V309,Товары!A:B,2,FALSE)=A309,"Есть в 1С","ERR")</f>
        <v>Есть в 1С</v>
      </c>
      <c r="AT309" s="65" t="str">
        <f ca="1">IF(VLOOKUP(A309,Товары!B:B,1,FALSE)=A309,"Есть в 1С","ERR")</f>
        <v>Есть в 1С</v>
      </c>
      <c r="AU309" s="96" t="str">
        <f ca="1">VLOOKUP(V309,Товары!A:B,2,FALSE)</f>
        <v>21-091-60</v>
      </c>
      <c r="AV309" s="94" t="str">
        <f ca="1">VLOOKUP(V309,Товары!A:B,1,FALSE)</f>
        <v>Шляпа BAILEY арт. 81690 MANNES (голубой) {azul}</v>
      </c>
    </row>
    <row r="310" spans="1:48" x14ac:dyDescent="0.25">
      <c r="A310" s="110" t="str">
        <f t="shared" ca="1" si="32"/>
        <v>21-091-14</v>
      </c>
      <c r="B310" s="107" t="str">
        <f ca="1">_xlfn.LET(_xlpm.CAPS,0,_xlpm.Style,_xlfn.XLOOKUP($A310,Строчный!$A:$A,Строчный!B:B,"ERR",0),IF(_xlpm.CAPS=0,_xlpm.Style,LOWER(_xlpm.Style)))</f>
        <v>81690 MANNES</v>
      </c>
      <c r="C310" s="81" t="str">
        <f ca="1">PROPER(_xlfn.XLOOKUP($A310,Строчный!$A:$A,Строчный!C:C,"ERR",0))</f>
        <v>Шляпы</v>
      </c>
      <c r="D310" s="81" t="str">
        <f ca="1">_xlfn.LET(_xlpm.DATA,(_xlfn.XLOOKUP($A310,Строчный!$A:$A,Строчный!D:D,"ERR",0)),UPPER(MID(_xlpm.DATA,1,1))&amp;LOWER(MID(_xlpm.DATA,2,LEN(_xlpm.DATA)-1)))</f>
        <v>Шляпа хомбург</v>
      </c>
      <c r="E310" s="81" t="str">
        <f ca="1">PROPER(_xlfn.XLOOKUP($A310,Строчный!$A:$A,Строчный!E:E,"ERR",0))</f>
        <v>The Hollywood</v>
      </c>
      <c r="F310" s="81" t="str">
        <f ca="1">LOWER(_xlfn.XLOOKUP($A310,Строчный!$A:$A,Строчный!F:F,"ERR",0))</f>
        <v>летний</v>
      </c>
      <c r="G310" s="81" t="str">
        <f ca="1">UPPER(_xlfn.XLOOKUP($A310,Строчный!$A:$A,Строчный!G:G,"ERR",0))</f>
        <v>BAILEY</v>
      </c>
      <c r="H310" s="81" t="str">
        <f ca="1">LOWER(_xlfn.XLOOKUP($A310,Строчный!$A:$A,Строчный!H:H,"ERR",0))</f>
        <v>honey</v>
      </c>
      <c r="I310" s="81" t="str">
        <f ca="1">LOWER(_xlfn.XLOOKUP($A310,Строчный!$A:$A,Строчный!I:I,"ERR",0))</f>
        <v>коричневый</v>
      </c>
      <c r="J310" s="81" t="str">
        <f ca="1">SUBSTITUTE(LOWER(_xlfn.XLOOKUP($A310,Строчный!$A:$A,Строчный!J:J,"ERR",0)),"подклад","Подклад")</f>
        <v>100% полипропилен</v>
      </c>
      <c r="K310" s="81" t="str">
        <f ca="1">LOWER(_xlfn.XLOOKUP($A310,Строчный!$A:$A,Строчный!K:K,"ERR",0))</f>
        <v/>
      </c>
      <c r="L310" s="81" t="str">
        <f ca="1">PROPER(_xlfn.XLOOKUP($A310,Строчный!$A:$A,Строчный!L:L,"ERR",0))</f>
        <v>Унисекс</v>
      </c>
      <c r="M310" s="113" t="str">
        <f ca="1">PROPER(_xlfn.XLOOKUP($A310,Строчный!$A:$A,Строчный!M:M,"ERR",0))</f>
        <v>Китай</v>
      </c>
      <c r="N310" s="81" t="str">
        <f ca="1">UPPER(_xlfn.XLOOKUP($A310,Строчный!$A:$A,Строчный!O:O,"ERR",0))</f>
        <v/>
      </c>
      <c r="O310" s="107" t="str">
        <f ca="1">PROPER(_xlfn.XLOOKUP($A310,Строчный!$A:$A,Строчный!P:P,"ERR",0))</f>
        <v/>
      </c>
      <c r="P310" s="90">
        <f ca="1">VALUE(_xlfn.XLOOKUP($A310,Строчный!$A:$A,Строчный!N:N,"ERR",0))</f>
        <v>2094.3000000000002</v>
      </c>
      <c r="Q310" s="89" t="str">
        <f ca="1">_xlfn.XLOOKUP($G310,Фабрика!A:A,Фабрика!B:B,"ERR",0)</f>
        <v>Bollman Headwear Europe Ltd; 2 Merchants drive, Caelisle, Cumbria CA3 0JW, United Kingdom</v>
      </c>
      <c r="R310" s="80" t="str">
        <f ca="1">_xlfn.XLOOKUP(RIGHT(Z310,2),Размеры!D:D,Размеры!A:A,"ERR",0)</f>
        <v>63</v>
      </c>
      <c r="S310" s="80">
        <f ca="1">VALUE(_xlfn.XLOOKUP($Z310,Строчный!$R:$R,Строчный!T:T,"ERR",0))</f>
        <v>3</v>
      </c>
      <c r="T310" s="14" t="s">
        <v>265</v>
      </c>
      <c r="U310" s="101" t="str">
        <f t="shared" ref="U310:U373" ca="1" si="33">CONCATENATE(AA310," ",G310," арт. ",B310," (",I310,")")</f>
        <v>Шляпа BAILEY арт. 81690 MANNES (коричневый)</v>
      </c>
      <c r="V310" s="100" t="str">
        <f t="shared" ref="V310:V373" ca="1" si="34">CONCATENATE(AA310," ",G310," арт. ",B310," (",I310,") {",H310,"}")</f>
        <v>Шляпа BAILEY арт. 81690 MANNES (коричневый) {honey}</v>
      </c>
      <c r="W310" s="18" t="str">
        <f t="shared" ref="W310:W373" ca="1" si="35">IFERROR(MID(I310,FIND("-",I310)+1,LEN(I310)),IFERROR(MID(I310,1,FIND("/",I310)-2),I310))</f>
        <v>коричневый</v>
      </c>
      <c r="X310" s="18" t="str">
        <f t="shared" ref="X310:X373" ca="1" si="36">IFERROR(MID(I310,FIND("-",I310)+1,LEN(I310)),IFERROR(MID(I310,FIND("/",I310)+2,LEN(I310)),I310))</f>
        <v>коричневый</v>
      </c>
      <c r="Y310" s="117" t="str">
        <f ca="1">_xlfn.LET(_xlpm.FormColors,_xlfn.XLOOKUP(A310,Строчный!A:A,Строчный!Q:Q,"",0),IF(_xlpm.FormColors=0,IFERROR(MID(I310,FIND("-",I310)+1,LEN(I310)),IFERROR(MID(I310,1,FIND("/",I310)-2),I310)),_xlpm.FormColors))</f>
        <v>коричневый</v>
      </c>
      <c r="Z310" s="73" t="str">
        <f ca="1"/>
        <v>21-091-14-63</v>
      </c>
      <c r="AA310" s="75" t="str">
        <f ca="1">VLOOKUP(C310,Группа!A:B,2,FALSE)</f>
        <v>Шляпа</v>
      </c>
      <c r="AB310" s="97" t="str">
        <f ca="1">IFERROR(VLOOKUP(R310,Размеры!A:C,3,FALSE),"")</f>
        <v>63 XXL</v>
      </c>
      <c r="AC310" s="97" t="str">
        <f ca="1">VLOOKUP(I310,ЦветПолный!A:B,2,FALSE)</f>
        <v>14</v>
      </c>
      <c r="AD310" s="97" t="str">
        <f ca="1">IFERROR(VLOOKUP(R310,Размеры!A:D,4,FALSE),"")</f>
        <v>63</v>
      </c>
      <c r="AE310" s="97">
        <f ca="1">IF(LEFT(IFERROR(VLOOKUP(LOOKUP(2,1/SEARCH(B310,Товары!A:A),Товары!A:A),Товары!A:B,2,0),""),6)=MID(Z310,1,6),1,0)</f>
        <v>1</v>
      </c>
      <c r="AG310" s="97">
        <f ca="1">SUMIF(Группа!A:A,C310,Группа!C:C)</f>
        <v>1</v>
      </c>
      <c r="AH310" s="97">
        <f ca="1">SUMIF(Группа!B:B,AA310,Группа!C:C)</f>
        <v>1</v>
      </c>
      <c r="AI310" s="97">
        <f ca="1">SUMIF(Формы!A:A,D310,Формы!B:B)</f>
        <v>1</v>
      </c>
      <c r="AJ310" s="97">
        <f ca="1">SUMIF(Материал!A:A,K310,Материал!B:B)</f>
        <v>0</v>
      </c>
      <c r="AK310" s="97">
        <f ca="1">SUMIF(Размеры!A:A,R310,Размеры!E:E)</f>
        <v>1</v>
      </c>
      <c r="AL310" s="97">
        <f ca="1">SUMIF(Сезон!A:A,F310,Сезон!B:B)</f>
        <v>1</v>
      </c>
      <c r="AM310" s="97">
        <f ca="1">SUMIF(Состав!A:A,J310,Состав!B:B)</f>
        <v>1</v>
      </c>
      <c r="AN310" s="97">
        <f ca="1">VLOOKUP(I310,ЦветПолный!A:C,3,0)</f>
        <v>1</v>
      </c>
      <c r="AO310" s="97">
        <f ca="1">SUMIF(Цвет!A:A,Y310,Цвет!B:B)</f>
        <v>1</v>
      </c>
      <c r="AP310" s="97">
        <f ca="1">_xlfn.XLOOKUP(L310,Пол!A:A,Пол!B:B,0,0)</f>
        <v>1</v>
      </c>
      <c r="AQ310" s="97">
        <f ca="1">SUMIF(Марка!A:A,G310,Марка!B:B)</f>
        <v>1</v>
      </c>
      <c r="AR310" s="97">
        <f ca="1">SUMIF(Страна!A:A,M310,Страна!B:B)</f>
        <v>1</v>
      </c>
      <c r="AS310" s="64" t="e">
        <f ca="1">IF(VLOOKUP(V310,Товары!A:B,2,FALSE)=A310,"Есть в 1С","ERR")</f>
        <v>#N/A</v>
      </c>
      <c r="AT310" s="65" t="str">
        <f ca="1">IF(VLOOKUP(A310,Товары!B:B,1,FALSE)=A310,"Есть в 1С","ERR")</f>
        <v>Есть в 1С</v>
      </c>
      <c r="AU310" s="96" t="e">
        <f ca="1">VLOOKUP(V310,Товары!A:B,2,FALSE)</f>
        <v>#N/A</v>
      </c>
      <c r="AV310" s="94" t="e">
        <f ca="1">VLOOKUP(V310,Товары!A:B,1,FALSE)</f>
        <v>#N/A</v>
      </c>
    </row>
    <row r="311" spans="1:48" x14ac:dyDescent="0.25">
      <c r="A311" s="110" t="str">
        <f t="shared" ca="1" si="32"/>
        <v>21-091-14</v>
      </c>
      <c r="B311" s="107" t="str">
        <f ca="1">_xlfn.LET(_xlpm.CAPS,0,_xlpm.Style,_xlfn.XLOOKUP($A311,Строчный!$A:$A,Строчный!B:B,"ERR",0),IF(_xlpm.CAPS=0,_xlpm.Style,LOWER(_xlpm.Style)))</f>
        <v>81690 MANNES</v>
      </c>
      <c r="C311" s="81" t="str">
        <f ca="1">PROPER(_xlfn.XLOOKUP($A311,Строчный!$A:$A,Строчный!C:C,"ERR",0))</f>
        <v>Шляпы</v>
      </c>
      <c r="D311" s="81" t="str">
        <f ca="1">_xlfn.LET(_xlpm.DATA,(_xlfn.XLOOKUP($A311,Строчный!$A:$A,Строчный!D:D,"ERR",0)),UPPER(MID(_xlpm.DATA,1,1))&amp;LOWER(MID(_xlpm.DATA,2,LEN(_xlpm.DATA)-1)))</f>
        <v>Шляпа хомбург</v>
      </c>
      <c r="E311" s="81" t="str">
        <f ca="1">PROPER(_xlfn.XLOOKUP($A311,Строчный!$A:$A,Строчный!E:E,"ERR",0))</f>
        <v>The Hollywood</v>
      </c>
      <c r="F311" s="81" t="str">
        <f ca="1">LOWER(_xlfn.XLOOKUP($A311,Строчный!$A:$A,Строчный!F:F,"ERR",0))</f>
        <v>летний</v>
      </c>
      <c r="G311" s="81" t="str">
        <f ca="1">UPPER(_xlfn.XLOOKUP($A311,Строчный!$A:$A,Строчный!G:G,"ERR",0))</f>
        <v>BAILEY</v>
      </c>
      <c r="H311" s="81" t="str">
        <f ca="1">LOWER(_xlfn.XLOOKUP($A311,Строчный!$A:$A,Строчный!H:H,"ERR",0))</f>
        <v>honey</v>
      </c>
      <c r="I311" s="81" t="str">
        <f ca="1">LOWER(_xlfn.XLOOKUP($A311,Строчный!$A:$A,Строчный!I:I,"ERR",0))</f>
        <v>коричневый</v>
      </c>
      <c r="J311" s="81" t="str">
        <f ca="1">SUBSTITUTE(LOWER(_xlfn.XLOOKUP($A311,Строчный!$A:$A,Строчный!J:J,"ERR",0)),"подклад","Подклад")</f>
        <v>100% полипропилен</v>
      </c>
      <c r="K311" s="81" t="str">
        <f ca="1">LOWER(_xlfn.XLOOKUP($A311,Строчный!$A:$A,Строчный!K:K,"ERR",0))</f>
        <v/>
      </c>
      <c r="L311" s="81" t="str">
        <f ca="1">PROPER(_xlfn.XLOOKUP($A311,Строчный!$A:$A,Строчный!L:L,"ERR",0))</f>
        <v>Унисекс</v>
      </c>
      <c r="M311" s="113" t="str">
        <f ca="1">PROPER(_xlfn.XLOOKUP($A311,Строчный!$A:$A,Строчный!M:M,"ERR",0))</f>
        <v>Китай</v>
      </c>
      <c r="N311" s="81" t="str">
        <f ca="1">UPPER(_xlfn.XLOOKUP($A311,Строчный!$A:$A,Строчный!O:O,"ERR",0))</f>
        <v/>
      </c>
      <c r="O311" s="107" t="str">
        <f ca="1">PROPER(_xlfn.XLOOKUP($A311,Строчный!$A:$A,Строчный!P:P,"ERR",0))</f>
        <v/>
      </c>
      <c r="P311" s="90">
        <f ca="1">VALUE(_xlfn.XLOOKUP($A311,Строчный!$A:$A,Строчный!N:N,"ERR",0))</f>
        <v>2094.3000000000002</v>
      </c>
      <c r="Q311" s="89" t="str">
        <f ca="1">_xlfn.XLOOKUP($G311,Фабрика!A:A,Фабрика!B:B,"ERR",0)</f>
        <v>Bollman Headwear Europe Ltd; 2 Merchants drive, Caelisle, Cumbria CA3 0JW, United Kingdom</v>
      </c>
      <c r="R311" s="80" t="str">
        <f ca="1">_xlfn.XLOOKUP(RIGHT(Z311,2),Размеры!D:D,Размеры!A:A,"ERR",0)</f>
        <v>61</v>
      </c>
      <c r="S311" s="80">
        <f ca="1">VALUE(_xlfn.XLOOKUP($Z311,Строчный!$R:$R,Строчный!T:T,"ERR",0))</f>
        <v>8</v>
      </c>
      <c r="T311" s="14" t="s">
        <v>265</v>
      </c>
      <c r="U311" s="101" t="str">
        <f t="shared" ca="1" si="33"/>
        <v>Шляпа BAILEY арт. 81690 MANNES (коричневый)</v>
      </c>
      <c r="V311" s="100" t="str">
        <f t="shared" ca="1" si="34"/>
        <v>Шляпа BAILEY арт. 81690 MANNES (коричневый) {honey}</v>
      </c>
      <c r="W311" s="18" t="str">
        <f t="shared" ca="1" si="35"/>
        <v>коричневый</v>
      </c>
      <c r="X311" s="18" t="str">
        <f t="shared" ca="1" si="36"/>
        <v>коричневый</v>
      </c>
      <c r="Y311" s="117" t="str">
        <f ca="1">_xlfn.LET(_xlpm.FormColors,_xlfn.XLOOKUP(A311,Строчный!A:A,Строчный!Q:Q,"",0),IF(_xlpm.FormColors=0,IFERROR(MID(I311,FIND("-",I311)+1,LEN(I311)),IFERROR(MID(I311,1,FIND("/",I311)-2),I311)),_xlpm.FormColors))</f>
        <v>коричневый</v>
      </c>
      <c r="Z311" s="73" t="str">
        <f ca="1"/>
        <v>21-091-14-61</v>
      </c>
      <c r="AA311" s="75" t="str">
        <f ca="1">VLOOKUP(C311,Группа!A:B,2,FALSE)</f>
        <v>Шляпа</v>
      </c>
      <c r="AB311" s="97" t="str">
        <f ca="1">IFERROR(VLOOKUP(R311,Размеры!A:C,3,FALSE),"")</f>
        <v>61 XL</v>
      </c>
      <c r="AC311" s="97" t="str">
        <f ca="1">VLOOKUP(I311,ЦветПолный!A:B,2,FALSE)</f>
        <v>14</v>
      </c>
      <c r="AD311" s="97" t="str">
        <f ca="1">IFERROR(VLOOKUP(R311,Размеры!A:D,4,FALSE),"")</f>
        <v>61</v>
      </c>
      <c r="AE311" s="97">
        <f ca="1">IF(LEFT(IFERROR(VLOOKUP(LOOKUP(2,1/SEARCH(B311,Товары!A:A),Товары!A:A),Товары!A:B,2,0),""),6)=MID(Z311,1,6),1,0)</f>
        <v>1</v>
      </c>
      <c r="AG311" s="97">
        <f ca="1">SUMIF(Группа!A:A,C311,Группа!C:C)</f>
        <v>1</v>
      </c>
      <c r="AH311" s="97">
        <f ca="1">SUMIF(Группа!B:B,AA311,Группа!C:C)</f>
        <v>1</v>
      </c>
      <c r="AI311" s="97">
        <f ca="1">SUMIF(Формы!A:A,D311,Формы!B:B)</f>
        <v>1</v>
      </c>
      <c r="AJ311" s="97">
        <f ca="1">SUMIF(Материал!A:A,K311,Материал!B:B)</f>
        <v>0</v>
      </c>
      <c r="AK311" s="97">
        <f ca="1">SUMIF(Размеры!A:A,R311,Размеры!E:E)</f>
        <v>1</v>
      </c>
      <c r="AL311" s="97">
        <f ca="1">SUMIF(Сезон!A:A,F311,Сезон!B:B)</f>
        <v>1</v>
      </c>
      <c r="AM311" s="97">
        <f ca="1">SUMIF(Состав!A:A,J311,Состав!B:B)</f>
        <v>1</v>
      </c>
      <c r="AN311" s="97">
        <f ca="1">VLOOKUP(I311,ЦветПолный!A:C,3,0)</f>
        <v>1</v>
      </c>
      <c r="AO311" s="97">
        <f ca="1">SUMIF(Цвет!A:A,Y311,Цвет!B:B)</f>
        <v>1</v>
      </c>
      <c r="AP311" s="97">
        <f ca="1">_xlfn.XLOOKUP(L311,Пол!A:A,Пол!B:B,0,0)</f>
        <v>1</v>
      </c>
      <c r="AQ311" s="97">
        <f ca="1">SUMIF(Марка!A:A,G311,Марка!B:B)</f>
        <v>1</v>
      </c>
      <c r="AR311" s="97">
        <f ca="1">SUMIF(Страна!A:A,M311,Страна!B:B)</f>
        <v>1</v>
      </c>
      <c r="AS311" s="64" t="e">
        <f ca="1">IF(VLOOKUP(V311,Товары!A:B,2,FALSE)=A311,"Есть в 1С","ERR")</f>
        <v>#N/A</v>
      </c>
      <c r="AT311" s="65" t="str">
        <f ca="1">IF(VLOOKUP(A311,Товары!B:B,1,FALSE)=A311,"Есть в 1С","ERR")</f>
        <v>Есть в 1С</v>
      </c>
      <c r="AU311" s="96" t="e">
        <f ca="1">VLOOKUP(V311,Товары!A:B,2,FALSE)</f>
        <v>#N/A</v>
      </c>
      <c r="AV311" s="94" t="e">
        <f ca="1">VLOOKUP(V311,Товары!A:B,1,FALSE)</f>
        <v>#N/A</v>
      </c>
    </row>
    <row r="312" spans="1:48" x14ac:dyDescent="0.25">
      <c r="A312" s="110" t="str">
        <f t="shared" ca="1" si="32"/>
        <v>21-091-14</v>
      </c>
      <c r="B312" s="107" t="str">
        <f ca="1">_xlfn.LET(_xlpm.CAPS,0,_xlpm.Style,_xlfn.XLOOKUP($A312,Строчный!$A:$A,Строчный!B:B,"ERR",0),IF(_xlpm.CAPS=0,_xlpm.Style,LOWER(_xlpm.Style)))</f>
        <v>81690 MANNES</v>
      </c>
      <c r="C312" s="81" t="str">
        <f ca="1">PROPER(_xlfn.XLOOKUP($A312,Строчный!$A:$A,Строчный!C:C,"ERR",0))</f>
        <v>Шляпы</v>
      </c>
      <c r="D312" s="81" t="str">
        <f ca="1">_xlfn.LET(_xlpm.DATA,(_xlfn.XLOOKUP($A312,Строчный!$A:$A,Строчный!D:D,"ERR",0)),UPPER(MID(_xlpm.DATA,1,1))&amp;LOWER(MID(_xlpm.DATA,2,LEN(_xlpm.DATA)-1)))</f>
        <v>Шляпа хомбург</v>
      </c>
      <c r="E312" s="81" t="str">
        <f ca="1">PROPER(_xlfn.XLOOKUP($A312,Строчный!$A:$A,Строчный!E:E,"ERR",0))</f>
        <v>The Hollywood</v>
      </c>
      <c r="F312" s="81" t="str">
        <f ca="1">LOWER(_xlfn.XLOOKUP($A312,Строчный!$A:$A,Строчный!F:F,"ERR",0))</f>
        <v>летний</v>
      </c>
      <c r="G312" s="81" t="str">
        <f ca="1">UPPER(_xlfn.XLOOKUP($A312,Строчный!$A:$A,Строчный!G:G,"ERR",0))</f>
        <v>BAILEY</v>
      </c>
      <c r="H312" s="81" t="str">
        <f ca="1">LOWER(_xlfn.XLOOKUP($A312,Строчный!$A:$A,Строчный!H:H,"ERR",0))</f>
        <v>honey</v>
      </c>
      <c r="I312" s="81" t="str">
        <f ca="1">LOWER(_xlfn.XLOOKUP($A312,Строчный!$A:$A,Строчный!I:I,"ERR",0))</f>
        <v>коричневый</v>
      </c>
      <c r="J312" s="81" t="str">
        <f ca="1">SUBSTITUTE(LOWER(_xlfn.XLOOKUP($A312,Строчный!$A:$A,Строчный!J:J,"ERR",0)),"подклад","Подклад")</f>
        <v>100% полипропилен</v>
      </c>
      <c r="K312" s="81" t="str">
        <f ca="1">LOWER(_xlfn.XLOOKUP($A312,Строчный!$A:$A,Строчный!K:K,"ERR",0))</f>
        <v/>
      </c>
      <c r="L312" s="81" t="str">
        <f ca="1">PROPER(_xlfn.XLOOKUP($A312,Строчный!$A:$A,Строчный!L:L,"ERR",0))</f>
        <v>Унисекс</v>
      </c>
      <c r="M312" s="113" t="str">
        <f ca="1">PROPER(_xlfn.XLOOKUP($A312,Строчный!$A:$A,Строчный!M:M,"ERR",0))</f>
        <v>Китай</v>
      </c>
      <c r="N312" s="81" t="str">
        <f ca="1">UPPER(_xlfn.XLOOKUP($A312,Строчный!$A:$A,Строчный!O:O,"ERR",0))</f>
        <v/>
      </c>
      <c r="O312" s="107" t="str">
        <f ca="1">PROPER(_xlfn.XLOOKUP($A312,Строчный!$A:$A,Строчный!P:P,"ERR",0))</f>
        <v/>
      </c>
      <c r="P312" s="90">
        <f ca="1">VALUE(_xlfn.XLOOKUP($A312,Строчный!$A:$A,Строчный!N:N,"ERR",0))</f>
        <v>2094.3000000000002</v>
      </c>
      <c r="Q312" s="89" t="str">
        <f ca="1">_xlfn.XLOOKUP($G312,Фабрика!A:A,Фабрика!B:B,"ERR",0)</f>
        <v>Bollman Headwear Europe Ltd; 2 Merchants drive, Caelisle, Cumbria CA3 0JW, United Kingdom</v>
      </c>
      <c r="R312" s="80" t="str">
        <f ca="1">_xlfn.XLOOKUP(RIGHT(Z312,2),Размеры!D:D,Размеры!A:A,"ERR",0)</f>
        <v>59</v>
      </c>
      <c r="S312" s="80">
        <f ca="1">VALUE(_xlfn.XLOOKUP($Z312,Строчный!$R:$R,Строчный!T:T,"ERR",0))</f>
        <v>11</v>
      </c>
      <c r="T312" s="14" t="s">
        <v>265</v>
      </c>
      <c r="U312" s="101" t="str">
        <f t="shared" ca="1" si="33"/>
        <v>Шляпа BAILEY арт. 81690 MANNES (коричневый)</v>
      </c>
      <c r="V312" s="100" t="str">
        <f t="shared" ca="1" si="34"/>
        <v>Шляпа BAILEY арт. 81690 MANNES (коричневый) {honey}</v>
      </c>
      <c r="W312" s="18" t="str">
        <f t="shared" ca="1" si="35"/>
        <v>коричневый</v>
      </c>
      <c r="X312" s="18" t="str">
        <f t="shared" ca="1" si="36"/>
        <v>коричневый</v>
      </c>
      <c r="Y312" s="117" t="str">
        <f ca="1">_xlfn.LET(_xlpm.FormColors,_xlfn.XLOOKUP(A312,Строчный!A:A,Строчный!Q:Q,"",0),IF(_xlpm.FormColors=0,IFERROR(MID(I312,FIND("-",I312)+1,LEN(I312)),IFERROR(MID(I312,1,FIND("/",I312)-2),I312)),_xlpm.FormColors))</f>
        <v>коричневый</v>
      </c>
      <c r="Z312" s="73" t="str">
        <f ca="1"/>
        <v>21-091-14-59</v>
      </c>
      <c r="AA312" s="75" t="str">
        <f ca="1">VLOOKUP(C312,Группа!A:B,2,FALSE)</f>
        <v>Шляпа</v>
      </c>
      <c r="AB312" s="97" t="str">
        <f ca="1">IFERROR(VLOOKUP(R312,Размеры!A:C,3,FALSE),"")</f>
        <v>59 L</v>
      </c>
      <c r="AC312" s="97" t="str">
        <f ca="1">VLOOKUP(I312,ЦветПолный!A:B,2,FALSE)</f>
        <v>14</v>
      </c>
      <c r="AD312" s="97" t="str">
        <f ca="1">IFERROR(VLOOKUP(R312,Размеры!A:D,4,FALSE),"")</f>
        <v>59</v>
      </c>
      <c r="AE312" s="97">
        <f ca="1">IF(LEFT(IFERROR(VLOOKUP(LOOKUP(2,1/SEARCH(B312,Товары!A:A),Товары!A:A),Товары!A:B,2,0),""),6)=MID(Z312,1,6),1,0)</f>
        <v>1</v>
      </c>
      <c r="AG312" s="97">
        <f ca="1">SUMIF(Группа!A:A,C312,Группа!C:C)</f>
        <v>1</v>
      </c>
      <c r="AH312" s="97">
        <f ca="1">SUMIF(Группа!B:B,AA312,Группа!C:C)</f>
        <v>1</v>
      </c>
      <c r="AI312" s="97">
        <f ca="1">SUMIF(Формы!A:A,D312,Формы!B:B)</f>
        <v>1</v>
      </c>
      <c r="AJ312" s="97">
        <f ca="1">SUMIF(Материал!A:A,K312,Материал!B:B)</f>
        <v>0</v>
      </c>
      <c r="AK312" s="97">
        <f ca="1">SUMIF(Размеры!A:A,R312,Размеры!E:E)</f>
        <v>1</v>
      </c>
      <c r="AL312" s="97">
        <f ca="1">SUMIF(Сезон!A:A,F312,Сезон!B:B)</f>
        <v>1</v>
      </c>
      <c r="AM312" s="97">
        <f ca="1">SUMIF(Состав!A:A,J312,Состав!B:B)</f>
        <v>1</v>
      </c>
      <c r="AN312" s="97">
        <f ca="1">VLOOKUP(I312,ЦветПолный!A:C,3,0)</f>
        <v>1</v>
      </c>
      <c r="AO312" s="97">
        <f ca="1">SUMIF(Цвет!A:A,Y312,Цвет!B:B)</f>
        <v>1</v>
      </c>
      <c r="AP312" s="97">
        <f ca="1">_xlfn.XLOOKUP(L312,Пол!A:A,Пол!B:B,0,0)</f>
        <v>1</v>
      </c>
      <c r="AQ312" s="97">
        <f ca="1">SUMIF(Марка!A:A,G312,Марка!B:B)</f>
        <v>1</v>
      </c>
      <c r="AR312" s="97">
        <f ca="1">SUMIF(Страна!A:A,M312,Страна!B:B)</f>
        <v>1</v>
      </c>
      <c r="AS312" s="64" t="e">
        <f ca="1">IF(VLOOKUP(V312,Товары!A:B,2,FALSE)=A312,"Есть в 1С","ERR")</f>
        <v>#N/A</v>
      </c>
      <c r="AT312" s="65" t="str">
        <f ca="1">IF(VLOOKUP(A312,Товары!B:B,1,FALSE)=A312,"Есть в 1С","ERR")</f>
        <v>Есть в 1С</v>
      </c>
      <c r="AU312" s="96" t="e">
        <f ca="1">VLOOKUP(V312,Товары!A:B,2,FALSE)</f>
        <v>#N/A</v>
      </c>
      <c r="AV312" s="94" t="e">
        <f ca="1">VLOOKUP(V312,Товары!A:B,1,FALSE)</f>
        <v>#N/A</v>
      </c>
    </row>
    <row r="313" spans="1:48" x14ac:dyDescent="0.25">
      <c r="A313" s="110" t="str">
        <f t="shared" ca="1" si="32"/>
        <v>21-091-14</v>
      </c>
      <c r="B313" s="107" t="str">
        <f ca="1">_xlfn.LET(_xlpm.CAPS,0,_xlpm.Style,_xlfn.XLOOKUP($A313,Строчный!$A:$A,Строчный!B:B,"ERR",0),IF(_xlpm.CAPS=0,_xlpm.Style,LOWER(_xlpm.Style)))</f>
        <v>81690 MANNES</v>
      </c>
      <c r="C313" s="81" t="str">
        <f ca="1">PROPER(_xlfn.XLOOKUP($A313,Строчный!$A:$A,Строчный!C:C,"ERR",0))</f>
        <v>Шляпы</v>
      </c>
      <c r="D313" s="81" t="str">
        <f ca="1">_xlfn.LET(_xlpm.DATA,(_xlfn.XLOOKUP($A313,Строчный!$A:$A,Строчный!D:D,"ERR",0)),UPPER(MID(_xlpm.DATA,1,1))&amp;LOWER(MID(_xlpm.DATA,2,LEN(_xlpm.DATA)-1)))</f>
        <v>Шляпа хомбург</v>
      </c>
      <c r="E313" s="81" t="str">
        <f ca="1">PROPER(_xlfn.XLOOKUP($A313,Строчный!$A:$A,Строчный!E:E,"ERR",0))</f>
        <v>The Hollywood</v>
      </c>
      <c r="F313" s="81" t="str">
        <f ca="1">LOWER(_xlfn.XLOOKUP($A313,Строчный!$A:$A,Строчный!F:F,"ERR",0))</f>
        <v>летний</v>
      </c>
      <c r="G313" s="81" t="str">
        <f ca="1">UPPER(_xlfn.XLOOKUP($A313,Строчный!$A:$A,Строчный!G:G,"ERR",0))</f>
        <v>BAILEY</v>
      </c>
      <c r="H313" s="81" t="str">
        <f ca="1">LOWER(_xlfn.XLOOKUP($A313,Строчный!$A:$A,Строчный!H:H,"ERR",0))</f>
        <v>honey</v>
      </c>
      <c r="I313" s="81" t="str">
        <f ca="1">LOWER(_xlfn.XLOOKUP($A313,Строчный!$A:$A,Строчный!I:I,"ERR",0))</f>
        <v>коричневый</v>
      </c>
      <c r="J313" s="81" t="str">
        <f ca="1">SUBSTITUTE(LOWER(_xlfn.XLOOKUP($A313,Строчный!$A:$A,Строчный!J:J,"ERR",0)),"подклад","Подклад")</f>
        <v>100% полипропилен</v>
      </c>
      <c r="K313" s="81" t="str">
        <f ca="1">LOWER(_xlfn.XLOOKUP($A313,Строчный!$A:$A,Строчный!K:K,"ERR",0))</f>
        <v/>
      </c>
      <c r="L313" s="81" t="str">
        <f ca="1">PROPER(_xlfn.XLOOKUP($A313,Строчный!$A:$A,Строчный!L:L,"ERR",0))</f>
        <v>Унисекс</v>
      </c>
      <c r="M313" s="113" t="str">
        <f ca="1">PROPER(_xlfn.XLOOKUP($A313,Строчный!$A:$A,Строчный!M:M,"ERR",0))</f>
        <v>Китай</v>
      </c>
      <c r="N313" s="81" t="str">
        <f ca="1">UPPER(_xlfn.XLOOKUP($A313,Строчный!$A:$A,Строчный!O:O,"ERR",0))</f>
        <v/>
      </c>
      <c r="O313" s="107" t="str">
        <f ca="1">PROPER(_xlfn.XLOOKUP($A313,Строчный!$A:$A,Строчный!P:P,"ERR",0))</f>
        <v/>
      </c>
      <c r="P313" s="90">
        <f ca="1">VALUE(_xlfn.XLOOKUP($A313,Строчный!$A:$A,Строчный!N:N,"ERR",0))</f>
        <v>2094.3000000000002</v>
      </c>
      <c r="Q313" s="89" t="str">
        <f ca="1">_xlfn.XLOOKUP($G313,Фабрика!A:A,Фабрика!B:B,"ERR",0)</f>
        <v>Bollman Headwear Europe Ltd; 2 Merchants drive, Caelisle, Cumbria CA3 0JW, United Kingdom</v>
      </c>
      <c r="R313" s="80" t="str">
        <f ca="1">_xlfn.XLOOKUP(RIGHT(Z313,2),Размеры!D:D,Размеры!A:A,"ERR",0)</f>
        <v>57</v>
      </c>
      <c r="S313" s="80">
        <f ca="1">VALUE(_xlfn.XLOOKUP($Z313,Строчный!$R:$R,Строчный!T:T,"ERR",0))</f>
        <v>9</v>
      </c>
      <c r="T313" s="14" t="s">
        <v>265</v>
      </c>
      <c r="U313" s="101" t="str">
        <f t="shared" ca="1" si="33"/>
        <v>Шляпа BAILEY арт. 81690 MANNES (коричневый)</v>
      </c>
      <c r="V313" s="100" t="str">
        <f t="shared" ca="1" si="34"/>
        <v>Шляпа BAILEY арт. 81690 MANNES (коричневый) {honey}</v>
      </c>
      <c r="W313" s="18" t="str">
        <f t="shared" ca="1" si="35"/>
        <v>коричневый</v>
      </c>
      <c r="X313" s="18" t="str">
        <f t="shared" ca="1" si="36"/>
        <v>коричневый</v>
      </c>
      <c r="Y313" s="117" t="str">
        <f ca="1">_xlfn.LET(_xlpm.FormColors,_xlfn.XLOOKUP(A313,Строчный!A:A,Строчный!Q:Q,"",0),IF(_xlpm.FormColors=0,IFERROR(MID(I313,FIND("-",I313)+1,LEN(I313)),IFERROR(MID(I313,1,FIND("/",I313)-2),I313)),_xlpm.FormColors))</f>
        <v>коричневый</v>
      </c>
      <c r="Z313" s="73" t="str">
        <f ca="1"/>
        <v>21-091-14-57</v>
      </c>
      <c r="AA313" s="75" t="str">
        <f ca="1">VLOOKUP(C313,Группа!A:B,2,FALSE)</f>
        <v>Шляпа</v>
      </c>
      <c r="AB313" s="97" t="str">
        <f ca="1">IFERROR(VLOOKUP(R313,Размеры!A:C,3,FALSE),"")</f>
        <v>57 M</v>
      </c>
      <c r="AC313" s="97" t="str">
        <f ca="1">VLOOKUP(I313,ЦветПолный!A:B,2,FALSE)</f>
        <v>14</v>
      </c>
      <c r="AD313" s="97" t="str">
        <f ca="1">IFERROR(VLOOKUP(R313,Размеры!A:D,4,FALSE),"")</f>
        <v>57</v>
      </c>
      <c r="AE313" s="97">
        <f ca="1">IF(LEFT(IFERROR(VLOOKUP(LOOKUP(2,1/SEARCH(B313,Товары!A:A),Товары!A:A),Товары!A:B,2,0),""),6)=MID(Z313,1,6),1,0)</f>
        <v>1</v>
      </c>
      <c r="AG313" s="97">
        <f ca="1">SUMIF(Группа!A:A,C313,Группа!C:C)</f>
        <v>1</v>
      </c>
      <c r="AH313" s="97">
        <f ca="1">SUMIF(Группа!B:B,AA313,Группа!C:C)</f>
        <v>1</v>
      </c>
      <c r="AI313" s="97">
        <f ca="1">SUMIF(Формы!A:A,D313,Формы!B:B)</f>
        <v>1</v>
      </c>
      <c r="AJ313" s="97">
        <f ca="1">SUMIF(Материал!A:A,K313,Материал!B:B)</f>
        <v>0</v>
      </c>
      <c r="AK313" s="97">
        <f ca="1">SUMIF(Размеры!A:A,R313,Размеры!E:E)</f>
        <v>1</v>
      </c>
      <c r="AL313" s="97">
        <f ca="1">SUMIF(Сезон!A:A,F313,Сезон!B:B)</f>
        <v>1</v>
      </c>
      <c r="AM313" s="97">
        <f ca="1">SUMIF(Состав!A:A,J313,Состав!B:B)</f>
        <v>1</v>
      </c>
      <c r="AN313" s="97">
        <f ca="1">VLOOKUP(I313,ЦветПолный!A:C,3,0)</f>
        <v>1</v>
      </c>
      <c r="AO313" s="97">
        <f ca="1">SUMIF(Цвет!A:A,Y313,Цвет!B:B)</f>
        <v>1</v>
      </c>
      <c r="AP313" s="97">
        <f ca="1">_xlfn.XLOOKUP(L313,Пол!A:A,Пол!B:B,0,0)</f>
        <v>1</v>
      </c>
      <c r="AQ313" s="97">
        <f ca="1">SUMIF(Марка!A:A,G313,Марка!B:B)</f>
        <v>1</v>
      </c>
      <c r="AR313" s="97">
        <f ca="1">SUMIF(Страна!A:A,M313,Страна!B:B)</f>
        <v>1</v>
      </c>
      <c r="AS313" s="64" t="e">
        <f ca="1">IF(VLOOKUP(V313,Товары!A:B,2,FALSE)=A313,"Есть в 1С","ERR")</f>
        <v>#N/A</v>
      </c>
      <c r="AT313" s="65" t="str">
        <f ca="1">IF(VLOOKUP(A313,Товары!B:B,1,FALSE)=A313,"Есть в 1С","ERR")</f>
        <v>Есть в 1С</v>
      </c>
      <c r="AU313" s="96" t="e">
        <f ca="1">VLOOKUP(V313,Товары!A:B,2,FALSE)</f>
        <v>#N/A</v>
      </c>
      <c r="AV313" s="94" t="e">
        <f ca="1">VLOOKUP(V313,Товары!A:B,1,FALSE)</f>
        <v>#N/A</v>
      </c>
    </row>
    <row r="314" spans="1:48" x14ac:dyDescent="0.25">
      <c r="A314" s="110" t="str">
        <f t="shared" ca="1" si="32"/>
        <v>21-091-14</v>
      </c>
      <c r="B314" s="107" t="str">
        <f ca="1">_xlfn.LET(_xlpm.CAPS,0,_xlpm.Style,_xlfn.XLOOKUP($A314,Строчный!$A:$A,Строчный!B:B,"ERR",0),IF(_xlpm.CAPS=0,_xlpm.Style,LOWER(_xlpm.Style)))</f>
        <v>81690 MANNES</v>
      </c>
      <c r="C314" s="81" t="str">
        <f ca="1">PROPER(_xlfn.XLOOKUP($A314,Строчный!$A:$A,Строчный!C:C,"ERR",0))</f>
        <v>Шляпы</v>
      </c>
      <c r="D314" s="81" t="str">
        <f ca="1">_xlfn.LET(_xlpm.DATA,(_xlfn.XLOOKUP($A314,Строчный!$A:$A,Строчный!D:D,"ERR",0)),UPPER(MID(_xlpm.DATA,1,1))&amp;LOWER(MID(_xlpm.DATA,2,LEN(_xlpm.DATA)-1)))</f>
        <v>Шляпа хомбург</v>
      </c>
      <c r="E314" s="81" t="str">
        <f ca="1">PROPER(_xlfn.XLOOKUP($A314,Строчный!$A:$A,Строчный!E:E,"ERR",0))</f>
        <v>The Hollywood</v>
      </c>
      <c r="F314" s="81" t="str">
        <f ca="1">LOWER(_xlfn.XLOOKUP($A314,Строчный!$A:$A,Строчный!F:F,"ERR",0))</f>
        <v>летний</v>
      </c>
      <c r="G314" s="81" t="str">
        <f ca="1">UPPER(_xlfn.XLOOKUP($A314,Строчный!$A:$A,Строчный!G:G,"ERR",0))</f>
        <v>BAILEY</v>
      </c>
      <c r="H314" s="81" t="str">
        <f ca="1">LOWER(_xlfn.XLOOKUP($A314,Строчный!$A:$A,Строчный!H:H,"ERR",0))</f>
        <v>honey</v>
      </c>
      <c r="I314" s="81" t="str">
        <f ca="1">LOWER(_xlfn.XLOOKUP($A314,Строчный!$A:$A,Строчный!I:I,"ERR",0))</f>
        <v>коричневый</v>
      </c>
      <c r="J314" s="81" t="str">
        <f ca="1">SUBSTITUTE(LOWER(_xlfn.XLOOKUP($A314,Строчный!$A:$A,Строчный!J:J,"ERR",0)),"подклад","Подклад")</f>
        <v>100% полипропилен</v>
      </c>
      <c r="K314" s="81" t="str">
        <f ca="1">LOWER(_xlfn.XLOOKUP($A314,Строчный!$A:$A,Строчный!K:K,"ERR",0))</f>
        <v/>
      </c>
      <c r="L314" s="81" t="str">
        <f ca="1">PROPER(_xlfn.XLOOKUP($A314,Строчный!$A:$A,Строчный!L:L,"ERR",0))</f>
        <v>Унисекс</v>
      </c>
      <c r="M314" s="113" t="str">
        <f ca="1">PROPER(_xlfn.XLOOKUP($A314,Строчный!$A:$A,Строчный!M:M,"ERR",0))</f>
        <v>Китай</v>
      </c>
      <c r="N314" s="81" t="str">
        <f ca="1">UPPER(_xlfn.XLOOKUP($A314,Строчный!$A:$A,Строчный!O:O,"ERR",0))</f>
        <v/>
      </c>
      <c r="O314" s="107" t="str">
        <f ca="1">PROPER(_xlfn.XLOOKUP($A314,Строчный!$A:$A,Строчный!P:P,"ERR",0))</f>
        <v/>
      </c>
      <c r="P314" s="90">
        <f ca="1">VALUE(_xlfn.XLOOKUP($A314,Строчный!$A:$A,Строчный!N:N,"ERR",0))</f>
        <v>2094.3000000000002</v>
      </c>
      <c r="Q314" s="89" t="str">
        <f ca="1">_xlfn.XLOOKUP($G314,Фабрика!A:A,Фабрика!B:B,"ERR",0)</f>
        <v>Bollman Headwear Europe Ltd; 2 Merchants drive, Caelisle, Cumbria CA3 0JW, United Kingdom</v>
      </c>
      <c r="R314" s="80" t="str">
        <f ca="1">_xlfn.XLOOKUP(RIGHT(Z314,2),Размеры!D:D,Размеры!A:A,"ERR",0)</f>
        <v>55</v>
      </c>
      <c r="S314" s="80">
        <f ca="1">VALUE(_xlfn.XLOOKUP($Z314,Строчный!$R:$R,Строчный!T:T,"ERR",0))</f>
        <v>3</v>
      </c>
      <c r="T314" s="14" t="s">
        <v>265</v>
      </c>
      <c r="U314" s="101" t="str">
        <f t="shared" ca="1" si="33"/>
        <v>Шляпа BAILEY арт. 81690 MANNES (коричневый)</v>
      </c>
      <c r="V314" s="100" t="str">
        <f t="shared" ca="1" si="34"/>
        <v>Шляпа BAILEY арт. 81690 MANNES (коричневый) {honey}</v>
      </c>
      <c r="W314" s="18" t="str">
        <f t="shared" ca="1" si="35"/>
        <v>коричневый</v>
      </c>
      <c r="X314" s="18" t="str">
        <f t="shared" ca="1" si="36"/>
        <v>коричневый</v>
      </c>
      <c r="Y314" s="117" t="str">
        <f ca="1">_xlfn.LET(_xlpm.FormColors,_xlfn.XLOOKUP(A314,Строчный!A:A,Строчный!Q:Q,"",0),IF(_xlpm.FormColors=0,IFERROR(MID(I314,FIND("-",I314)+1,LEN(I314)),IFERROR(MID(I314,1,FIND("/",I314)-2),I314)),_xlpm.FormColors))</f>
        <v>коричневый</v>
      </c>
      <c r="Z314" s="73" t="str">
        <f ca="1"/>
        <v>21-091-14-55</v>
      </c>
      <c r="AA314" s="75" t="str">
        <f ca="1">VLOOKUP(C314,Группа!A:B,2,FALSE)</f>
        <v>Шляпа</v>
      </c>
      <c r="AB314" s="97" t="str">
        <f ca="1">IFERROR(VLOOKUP(R314,Размеры!A:C,3,FALSE),"")</f>
        <v>55 S</v>
      </c>
      <c r="AC314" s="97" t="str">
        <f ca="1">VLOOKUP(I314,ЦветПолный!A:B,2,FALSE)</f>
        <v>14</v>
      </c>
      <c r="AD314" s="97" t="str">
        <f ca="1">IFERROR(VLOOKUP(R314,Размеры!A:D,4,FALSE),"")</f>
        <v>55</v>
      </c>
      <c r="AE314" s="97">
        <f ca="1">IF(LEFT(IFERROR(VLOOKUP(LOOKUP(2,1/SEARCH(B314,Товары!A:A),Товары!A:A),Товары!A:B,2,0),""),6)=MID(Z314,1,6),1,0)</f>
        <v>1</v>
      </c>
      <c r="AG314" s="97">
        <f ca="1">SUMIF(Группа!A:A,C314,Группа!C:C)</f>
        <v>1</v>
      </c>
      <c r="AH314" s="97">
        <f ca="1">SUMIF(Группа!B:B,AA314,Группа!C:C)</f>
        <v>1</v>
      </c>
      <c r="AI314" s="97">
        <f ca="1">SUMIF(Формы!A:A,D314,Формы!B:B)</f>
        <v>1</v>
      </c>
      <c r="AJ314" s="97">
        <f ca="1">SUMIF(Материал!A:A,K314,Материал!B:B)</f>
        <v>0</v>
      </c>
      <c r="AK314" s="97">
        <f ca="1">SUMIF(Размеры!A:A,R314,Размеры!E:E)</f>
        <v>1</v>
      </c>
      <c r="AL314" s="97">
        <f ca="1">SUMIF(Сезон!A:A,F314,Сезон!B:B)</f>
        <v>1</v>
      </c>
      <c r="AM314" s="97">
        <f ca="1">SUMIF(Состав!A:A,J314,Состав!B:B)</f>
        <v>1</v>
      </c>
      <c r="AN314" s="97">
        <f ca="1">VLOOKUP(I314,ЦветПолный!A:C,3,0)</f>
        <v>1</v>
      </c>
      <c r="AO314" s="97">
        <f ca="1">SUMIF(Цвет!A:A,Y314,Цвет!B:B)</f>
        <v>1</v>
      </c>
      <c r="AP314" s="97">
        <f ca="1">_xlfn.XLOOKUP(L314,Пол!A:A,Пол!B:B,0,0)</f>
        <v>1</v>
      </c>
      <c r="AQ314" s="97">
        <f ca="1">SUMIF(Марка!A:A,G314,Марка!B:B)</f>
        <v>1</v>
      </c>
      <c r="AR314" s="97">
        <f ca="1">SUMIF(Страна!A:A,M314,Страна!B:B)</f>
        <v>1</v>
      </c>
      <c r="AS314" s="64" t="e">
        <f ca="1">IF(VLOOKUP(V314,Товары!A:B,2,FALSE)=A314,"Есть в 1С","ERR")</f>
        <v>#N/A</v>
      </c>
      <c r="AT314" s="65" t="str">
        <f ca="1">IF(VLOOKUP(A314,Товары!B:B,1,FALSE)=A314,"Есть в 1С","ERR")</f>
        <v>Есть в 1С</v>
      </c>
      <c r="AU314" s="96" t="e">
        <f ca="1">VLOOKUP(V314,Товары!A:B,2,FALSE)</f>
        <v>#N/A</v>
      </c>
      <c r="AV314" s="94" t="e">
        <f ca="1">VLOOKUP(V314,Товары!A:B,1,FALSE)</f>
        <v>#N/A</v>
      </c>
    </row>
    <row r="315" spans="1:48" x14ac:dyDescent="0.25">
      <c r="A315" s="110" t="str">
        <f t="shared" ca="1" si="32"/>
        <v>21-091-08</v>
      </c>
      <c r="B315" s="107" t="str">
        <f ca="1">_xlfn.LET(_xlpm.CAPS,0,_xlpm.Style,_xlfn.XLOOKUP($A315,Строчный!$A:$A,Строчный!B:B,"ERR",0),IF(_xlpm.CAPS=0,_xlpm.Style,LOWER(_xlpm.Style)))</f>
        <v>81690 MANNES</v>
      </c>
      <c r="C315" s="81" t="str">
        <f ca="1">PROPER(_xlfn.XLOOKUP($A315,Строчный!$A:$A,Строчный!C:C,"ERR",0))</f>
        <v>Шляпы</v>
      </c>
      <c r="D315" s="81" t="str">
        <f ca="1">_xlfn.LET(_xlpm.DATA,(_xlfn.XLOOKUP($A315,Строчный!$A:$A,Строчный!D:D,"ERR",0)),UPPER(MID(_xlpm.DATA,1,1))&amp;LOWER(MID(_xlpm.DATA,2,LEN(_xlpm.DATA)-1)))</f>
        <v>Шляпа хомбург</v>
      </c>
      <c r="E315" s="81" t="str">
        <f ca="1">PROPER(_xlfn.XLOOKUP($A315,Строчный!$A:$A,Строчный!E:E,"ERR",0))</f>
        <v>The Hollywood</v>
      </c>
      <c r="F315" s="81" t="str">
        <f ca="1">LOWER(_xlfn.XLOOKUP($A315,Строчный!$A:$A,Строчный!F:F,"ERR",0))</f>
        <v>летний</v>
      </c>
      <c r="G315" s="81" t="str">
        <f ca="1">UPPER(_xlfn.XLOOKUP($A315,Строчный!$A:$A,Строчный!G:G,"ERR",0))</f>
        <v>BAILEY</v>
      </c>
      <c r="H315" s="81" t="str">
        <f ca="1">LOWER(_xlfn.XLOOKUP($A315,Строчный!$A:$A,Строчный!H:H,"ERR",0))</f>
        <v>brown multi</v>
      </c>
      <c r="I315" s="81" t="str">
        <f ca="1">LOWER(_xlfn.XLOOKUP($A315,Строчный!$A:$A,Строчный!I:I,"ERR",0))</f>
        <v>серый</v>
      </c>
      <c r="J315" s="81" t="str">
        <f ca="1">SUBSTITUTE(LOWER(_xlfn.XLOOKUP($A315,Строчный!$A:$A,Строчный!J:J,"ERR",0)),"подклад","Подклад")</f>
        <v>100% полипропилен</v>
      </c>
      <c r="K315" s="81" t="str">
        <f ca="1">LOWER(_xlfn.XLOOKUP($A315,Строчный!$A:$A,Строчный!K:K,"ERR",0))</f>
        <v/>
      </c>
      <c r="L315" s="81" t="str">
        <f ca="1">PROPER(_xlfn.XLOOKUP($A315,Строчный!$A:$A,Строчный!L:L,"ERR",0))</f>
        <v>Унисекс</v>
      </c>
      <c r="M315" s="113" t="str">
        <f ca="1">PROPER(_xlfn.XLOOKUP($A315,Строчный!$A:$A,Строчный!M:M,"ERR",0))</f>
        <v>Китай</v>
      </c>
      <c r="N315" s="81" t="str">
        <f ca="1">UPPER(_xlfn.XLOOKUP($A315,Строчный!$A:$A,Строчный!O:O,"ERR",0))</f>
        <v/>
      </c>
      <c r="O315" s="107" t="str">
        <f ca="1">PROPER(_xlfn.XLOOKUP($A315,Строчный!$A:$A,Строчный!P:P,"ERR",0))</f>
        <v/>
      </c>
      <c r="P315" s="90">
        <f ca="1">VALUE(_xlfn.XLOOKUP($A315,Строчный!$A:$A,Строчный!N:N,"ERR",0))</f>
        <v>2094.3000000000002</v>
      </c>
      <c r="Q315" s="89" t="str">
        <f ca="1">_xlfn.XLOOKUP($G315,Фабрика!A:A,Фабрика!B:B,"ERR",0)</f>
        <v>Bollman Headwear Europe Ltd; 2 Merchants drive, Caelisle, Cumbria CA3 0JW, United Kingdom</v>
      </c>
      <c r="R315" s="80" t="str">
        <f ca="1">_xlfn.XLOOKUP(RIGHT(Z315,2),Размеры!D:D,Размеры!A:A,"ERR",0)</f>
        <v>63</v>
      </c>
      <c r="S315" s="80">
        <f ca="1">VALUE(_xlfn.XLOOKUP($Z315,Строчный!$R:$R,Строчный!T:T,"ERR",0))</f>
        <v>3</v>
      </c>
      <c r="T315" s="14" t="s">
        <v>265</v>
      </c>
      <c r="U315" s="101" t="str">
        <f t="shared" ca="1" si="33"/>
        <v>Шляпа BAILEY арт. 81690 MANNES (серый)</v>
      </c>
      <c r="V315" s="100" t="str">
        <f t="shared" ca="1" si="34"/>
        <v>Шляпа BAILEY арт. 81690 MANNES (серый) {brown multi}</v>
      </c>
      <c r="W315" s="18" t="str">
        <f t="shared" ca="1" si="35"/>
        <v>серый</v>
      </c>
      <c r="X315" s="18" t="str">
        <f t="shared" ca="1" si="36"/>
        <v>серый</v>
      </c>
      <c r="Y315" s="117" t="str">
        <f ca="1">_xlfn.LET(_xlpm.FormColors,_xlfn.XLOOKUP(A315,Строчный!A:A,Строчный!Q:Q,"",0),IF(_xlpm.FormColors=0,IFERROR(MID(I315,FIND("-",I315)+1,LEN(I315)),IFERROR(MID(I315,1,FIND("/",I315)-2),I315)),_xlpm.FormColors))</f>
        <v>серый</v>
      </c>
      <c r="Z315" s="73" t="str">
        <f ca="1"/>
        <v>21-091-08-63</v>
      </c>
      <c r="AA315" s="75" t="str">
        <f ca="1">VLOOKUP(C315,Группа!A:B,2,FALSE)</f>
        <v>Шляпа</v>
      </c>
      <c r="AB315" s="97" t="str">
        <f ca="1">IFERROR(VLOOKUP(R315,Размеры!A:C,3,FALSE),"")</f>
        <v>63 XXL</v>
      </c>
      <c r="AC315" s="97" t="str">
        <f ca="1">VLOOKUP(I315,ЦветПолный!A:B,2,FALSE)</f>
        <v>08</v>
      </c>
      <c r="AD315" s="97" t="str">
        <f ca="1">IFERROR(VLOOKUP(R315,Размеры!A:D,4,FALSE),"")</f>
        <v>63</v>
      </c>
      <c r="AE315" s="97">
        <f ca="1">IF(LEFT(IFERROR(VLOOKUP(LOOKUP(2,1/SEARCH(B315,Товары!A:A),Товары!A:A),Товары!A:B,2,0),""),6)=MID(Z315,1,6),1,0)</f>
        <v>1</v>
      </c>
      <c r="AG315" s="97">
        <f ca="1">SUMIF(Группа!A:A,C315,Группа!C:C)</f>
        <v>1</v>
      </c>
      <c r="AH315" s="97">
        <f ca="1">SUMIF(Группа!B:B,AA315,Группа!C:C)</f>
        <v>1</v>
      </c>
      <c r="AI315" s="97">
        <f ca="1">SUMIF(Формы!A:A,D315,Формы!B:B)</f>
        <v>1</v>
      </c>
      <c r="AJ315" s="97">
        <f ca="1">SUMIF(Материал!A:A,K315,Материал!B:B)</f>
        <v>0</v>
      </c>
      <c r="AK315" s="97">
        <f ca="1">SUMIF(Размеры!A:A,R315,Размеры!E:E)</f>
        <v>1</v>
      </c>
      <c r="AL315" s="97">
        <f ca="1">SUMIF(Сезон!A:A,F315,Сезон!B:B)</f>
        <v>1</v>
      </c>
      <c r="AM315" s="97">
        <f ca="1">SUMIF(Состав!A:A,J315,Состав!B:B)</f>
        <v>1</v>
      </c>
      <c r="AN315" s="97">
        <f ca="1">VLOOKUP(I315,ЦветПолный!A:C,3,0)</f>
        <v>1</v>
      </c>
      <c r="AO315" s="97">
        <f ca="1">SUMIF(Цвет!A:A,Y315,Цвет!B:B)</f>
        <v>1</v>
      </c>
      <c r="AP315" s="97">
        <f ca="1">_xlfn.XLOOKUP(L315,Пол!A:A,Пол!B:B,0,0)</f>
        <v>1</v>
      </c>
      <c r="AQ315" s="97">
        <f ca="1">SUMIF(Марка!A:A,G315,Марка!B:B)</f>
        <v>1</v>
      </c>
      <c r="AR315" s="97">
        <f ca="1">SUMIF(Страна!A:A,M315,Страна!B:B)</f>
        <v>1</v>
      </c>
      <c r="AS315" s="64" t="e">
        <f ca="1">IF(VLOOKUP(V315,Товары!A:B,2,FALSE)=A315,"Есть в 1С","ERR")</f>
        <v>#N/A</v>
      </c>
      <c r="AT315" s="65" t="e">
        <f ca="1">IF(VLOOKUP(A315,Товары!B:B,1,FALSE)=A315,"Есть в 1С","ERR")</f>
        <v>#N/A</v>
      </c>
      <c r="AU315" s="96" t="e">
        <f ca="1">VLOOKUP(V315,Товары!A:B,2,FALSE)</f>
        <v>#N/A</v>
      </c>
      <c r="AV315" s="94" t="e">
        <f ca="1">VLOOKUP(V315,Товары!A:B,1,FALSE)</f>
        <v>#N/A</v>
      </c>
    </row>
    <row r="316" spans="1:48" x14ac:dyDescent="0.25">
      <c r="A316" s="110" t="str">
        <f t="shared" ca="1" si="32"/>
        <v>21-091-08</v>
      </c>
      <c r="B316" s="107" t="str">
        <f ca="1">_xlfn.LET(_xlpm.CAPS,0,_xlpm.Style,_xlfn.XLOOKUP($A316,Строчный!$A:$A,Строчный!B:B,"ERR",0),IF(_xlpm.CAPS=0,_xlpm.Style,LOWER(_xlpm.Style)))</f>
        <v>81690 MANNES</v>
      </c>
      <c r="C316" s="81" t="str">
        <f ca="1">PROPER(_xlfn.XLOOKUP($A316,Строчный!$A:$A,Строчный!C:C,"ERR",0))</f>
        <v>Шляпы</v>
      </c>
      <c r="D316" s="81" t="str">
        <f ca="1">_xlfn.LET(_xlpm.DATA,(_xlfn.XLOOKUP($A316,Строчный!$A:$A,Строчный!D:D,"ERR",0)),UPPER(MID(_xlpm.DATA,1,1))&amp;LOWER(MID(_xlpm.DATA,2,LEN(_xlpm.DATA)-1)))</f>
        <v>Шляпа хомбург</v>
      </c>
      <c r="E316" s="81" t="str">
        <f ca="1">PROPER(_xlfn.XLOOKUP($A316,Строчный!$A:$A,Строчный!E:E,"ERR",0))</f>
        <v>The Hollywood</v>
      </c>
      <c r="F316" s="81" t="str">
        <f ca="1">LOWER(_xlfn.XLOOKUP($A316,Строчный!$A:$A,Строчный!F:F,"ERR",0))</f>
        <v>летний</v>
      </c>
      <c r="G316" s="81" t="str">
        <f ca="1">UPPER(_xlfn.XLOOKUP($A316,Строчный!$A:$A,Строчный!G:G,"ERR",0))</f>
        <v>BAILEY</v>
      </c>
      <c r="H316" s="81" t="str">
        <f ca="1">LOWER(_xlfn.XLOOKUP($A316,Строчный!$A:$A,Строчный!H:H,"ERR",0))</f>
        <v>brown multi</v>
      </c>
      <c r="I316" s="81" t="str">
        <f ca="1">LOWER(_xlfn.XLOOKUP($A316,Строчный!$A:$A,Строчный!I:I,"ERR",0))</f>
        <v>серый</v>
      </c>
      <c r="J316" s="81" t="str">
        <f ca="1">SUBSTITUTE(LOWER(_xlfn.XLOOKUP($A316,Строчный!$A:$A,Строчный!J:J,"ERR",0)),"подклад","Подклад")</f>
        <v>100% полипропилен</v>
      </c>
      <c r="K316" s="81" t="str">
        <f ca="1">LOWER(_xlfn.XLOOKUP($A316,Строчный!$A:$A,Строчный!K:K,"ERR",0))</f>
        <v/>
      </c>
      <c r="L316" s="81" t="str">
        <f ca="1">PROPER(_xlfn.XLOOKUP($A316,Строчный!$A:$A,Строчный!L:L,"ERR",0))</f>
        <v>Унисекс</v>
      </c>
      <c r="M316" s="113" t="str">
        <f ca="1">PROPER(_xlfn.XLOOKUP($A316,Строчный!$A:$A,Строчный!M:M,"ERR",0))</f>
        <v>Китай</v>
      </c>
      <c r="N316" s="81" t="str">
        <f ca="1">UPPER(_xlfn.XLOOKUP($A316,Строчный!$A:$A,Строчный!O:O,"ERR",0))</f>
        <v/>
      </c>
      <c r="O316" s="107" t="str">
        <f ca="1">PROPER(_xlfn.XLOOKUP($A316,Строчный!$A:$A,Строчный!P:P,"ERR",0))</f>
        <v/>
      </c>
      <c r="P316" s="90">
        <f ca="1">VALUE(_xlfn.XLOOKUP($A316,Строчный!$A:$A,Строчный!N:N,"ERR",0))</f>
        <v>2094.3000000000002</v>
      </c>
      <c r="Q316" s="89" t="str">
        <f ca="1">_xlfn.XLOOKUP($G316,Фабрика!A:A,Фабрика!B:B,"ERR",0)</f>
        <v>Bollman Headwear Europe Ltd; 2 Merchants drive, Caelisle, Cumbria CA3 0JW, United Kingdom</v>
      </c>
      <c r="R316" s="80" t="str">
        <f ca="1">_xlfn.XLOOKUP(RIGHT(Z316,2),Размеры!D:D,Размеры!A:A,"ERR",0)</f>
        <v>61</v>
      </c>
      <c r="S316" s="80">
        <f ca="1">VALUE(_xlfn.XLOOKUP($Z316,Строчный!$R:$R,Строчный!T:T,"ERR",0))</f>
        <v>8</v>
      </c>
      <c r="T316" s="14" t="s">
        <v>265</v>
      </c>
      <c r="U316" s="101" t="str">
        <f t="shared" ca="1" si="33"/>
        <v>Шляпа BAILEY арт. 81690 MANNES (серый)</v>
      </c>
      <c r="V316" s="100" t="str">
        <f t="shared" ca="1" si="34"/>
        <v>Шляпа BAILEY арт. 81690 MANNES (серый) {brown multi}</v>
      </c>
      <c r="W316" s="18" t="str">
        <f t="shared" ca="1" si="35"/>
        <v>серый</v>
      </c>
      <c r="X316" s="18" t="str">
        <f t="shared" ca="1" si="36"/>
        <v>серый</v>
      </c>
      <c r="Y316" s="117" t="str">
        <f ca="1">_xlfn.LET(_xlpm.FormColors,_xlfn.XLOOKUP(A316,Строчный!A:A,Строчный!Q:Q,"",0),IF(_xlpm.FormColors=0,IFERROR(MID(I316,FIND("-",I316)+1,LEN(I316)),IFERROR(MID(I316,1,FIND("/",I316)-2),I316)),_xlpm.FormColors))</f>
        <v>серый</v>
      </c>
      <c r="Z316" s="73" t="str">
        <f ca="1"/>
        <v>21-091-08-61</v>
      </c>
      <c r="AA316" s="75" t="str">
        <f ca="1">VLOOKUP(C316,Группа!A:B,2,FALSE)</f>
        <v>Шляпа</v>
      </c>
      <c r="AB316" s="97" t="str">
        <f ca="1">IFERROR(VLOOKUP(R316,Размеры!A:C,3,FALSE),"")</f>
        <v>61 XL</v>
      </c>
      <c r="AC316" s="97" t="str">
        <f ca="1">VLOOKUP(I316,ЦветПолный!A:B,2,FALSE)</f>
        <v>08</v>
      </c>
      <c r="AD316" s="97" t="str">
        <f ca="1">IFERROR(VLOOKUP(R316,Размеры!A:D,4,FALSE),"")</f>
        <v>61</v>
      </c>
      <c r="AE316" s="97">
        <f ca="1">IF(LEFT(IFERROR(VLOOKUP(LOOKUP(2,1/SEARCH(B316,Товары!A:A),Товары!A:A),Товары!A:B,2,0),""),6)=MID(Z316,1,6),1,0)</f>
        <v>1</v>
      </c>
      <c r="AG316" s="97">
        <f ca="1">SUMIF(Группа!A:A,C316,Группа!C:C)</f>
        <v>1</v>
      </c>
      <c r="AH316" s="97">
        <f ca="1">SUMIF(Группа!B:B,AA316,Группа!C:C)</f>
        <v>1</v>
      </c>
      <c r="AI316" s="97">
        <f ca="1">SUMIF(Формы!A:A,D316,Формы!B:B)</f>
        <v>1</v>
      </c>
      <c r="AJ316" s="97">
        <f ca="1">SUMIF(Материал!A:A,K316,Материал!B:B)</f>
        <v>0</v>
      </c>
      <c r="AK316" s="97">
        <f ca="1">SUMIF(Размеры!A:A,R316,Размеры!E:E)</f>
        <v>1</v>
      </c>
      <c r="AL316" s="97">
        <f ca="1">SUMIF(Сезон!A:A,F316,Сезон!B:B)</f>
        <v>1</v>
      </c>
      <c r="AM316" s="97">
        <f ca="1">SUMIF(Состав!A:A,J316,Состав!B:B)</f>
        <v>1</v>
      </c>
      <c r="AN316" s="97">
        <f ca="1">VLOOKUP(I316,ЦветПолный!A:C,3,0)</f>
        <v>1</v>
      </c>
      <c r="AO316" s="97">
        <f ca="1">SUMIF(Цвет!A:A,Y316,Цвет!B:B)</f>
        <v>1</v>
      </c>
      <c r="AP316" s="97">
        <f ca="1">_xlfn.XLOOKUP(L316,Пол!A:A,Пол!B:B,0,0)</f>
        <v>1</v>
      </c>
      <c r="AQ316" s="97">
        <f ca="1">SUMIF(Марка!A:A,G316,Марка!B:B)</f>
        <v>1</v>
      </c>
      <c r="AR316" s="97">
        <f ca="1">SUMIF(Страна!A:A,M316,Страна!B:B)</f>
        <v>1</v>
      </c>
      <c r="AS316" s="64" t="e">
        <f ca="1">IF(VLOOKUP(V316,Товары!A:B,2,FALSE)=A316,"Есть в 1С","ERR")</f>
        <v>#N/A</v>
      </c>
      <c r="AT316" s="65" t="e">
        <f ca="1">IF(VLOOKUP(A316,Товары!B:B,1,FALSE)=A316,"Есть в 1С","ERR")</f>
        <v>#N/A</v>
      </c>
      <c r="AU316" s="96" t="e">
        <f ca="1">VLOOKUP(V316,Товары!A:B,2,FALSE)</f>
        <v>#N/A</v>
      </c>
      <c r="AV316" s="94" t="e">
        <f ca="1">VLOOKUP(V316,Товары!A:B,1,FALSE)</f>
        <v>#N/A</v>
      </c>
    </row>
    <row r="317" spans="1:48" x14ac:dyDescent="0.25">
      <c r="A317" s="110" t="str">
        <f t="shared" ca="1" si="32"/>
        <v>21-091-08</v>
      </c>
      <c r="B317" s="107" t="str">
        <f ca="1">_xlfn.LET(_xlpm.CAPS,0,_xlpm.Style,_xlfn.XLOOKUP($A317,Строчный!$A:$A,Строчный!B:B,"ERR",0),IF(_xlpm.CAPS=0,_xlpm.Style,LOWER(_xlpm.Style)))</f>
        <v>81690 MANNES</v>
      </c>
      <c r="C317" s="81" t="str">
        <f ca="1">PROPER(_xlfn.XLOOKUP($A317,Строчный!$A:$A,Строчный!C:C,"ERR",0))</f>
        <v>Шляпы</v>
      </c>
      <c r="D317" s="81" t="str">
        <f ca="1">_xlfn.LET(_xlpm.DATA,(_xlfn.XLOOKUP($A317,Строчный!$A:$A,Строчный!D:D,"ERR",0)),UPPER(MID(_xlpm.DATA,1,1))&amp;LOWER(MID(_xlpm.DATA,2,LEN(_xlpm.DATA)-1)))</f>
        <v>Шляпа хомбург</v>
      </c>
      <c r="E317" s="81" t="str">
        <f ca="1">PROPER(_xlfn.XLOOKUP($A317,Строчный!$A:$A,Строчный!E:E,"ERR",0))</f>
        <v>The Hollywood</v>
      </c>
      <c r="F317" s="81" t="str">
        <f ca="1">LOWER(_xlfn.XLOOKUP($A317,Строчный!$A:$A,Строчный!F:F,"ERR",0))</f>
        <v>летний</v>
      </c>
      <c r="G317" s="81" t="str">
        <f ca="1">UPPER(_xlfn.XLOOKUP($A317,Строчный!$A:$A,Строчный!G:G,"ERR",0))</f>
        <v>BAILEY</v>
      </c>
      <c r="H317" s="81" t="str">
        <f ca="1">LOWER(_xlfn.XLOOKUP($A317,Строчный!$A:$A,Строчный!H:H,"ERR",0))</f>
        <v>brown multi</v>
      </c>
      <c r="I317" s="81" t="str">
        <f ca="1">LOWER(_xlfn.XLOOKUP($A317,Строчный!$A:$A,Строчный!I:I,"ERR",0))</f>
        <v>серый</v>
      </c>
      <c r="J317" s="81" t="str">
        <f ca="1">SUBSTITUTE(LOWER(_xlfn.XLOOKUP($A317,Строчный!$A:$A,Строчный!J:J,"ERR",0)),"подклад","Подклад")</f>
        <v>100% полипропилен</v>
      </c>
      <c r="K317" s="81" t="str">
        <f ca="1">LOWER(_xlfn.XLOOKUP($A317,Строчный!$A:$A,Строчный!K:K,"ERR",0))</f>
        <v/>
      </c>
      <c r="L317" s="81" t="str">
        <f ca="1">PROPER(_xlfn.XLOOKUP($A317,Строчный!$A:$A,Строчный!L:L,"ERR",0))</f>
        <v>Унисекс</v>
      </c>
      <c r="M317" s="113" t="str">
        <f ca="1">PROPER(_xlfn.XLOOKUP($A317,Строчный!$A:$A,Строчный!M:M,"ERR",0))</f>
        <v>Китай</v>
      </c>
      <c r="N317" s="81" t="str">
        <f ca="1">UPPER(_xlfn.XLOOKUP($A317,Строчный!$A:$A,Строчный!O:O,"ERR",0))</f>
        <v/>
      </c>
      <c r="O317" s="107" t="str">
        <f ca="1">PROPER(_xlfn.XLOOKUP($A317,Строчный!$A:$A,Строчный!P:P,"ERR",0))</f>
        <v/>
      </c>
      <c r="P317" s="90">
        <f ca="1">VALUE(_xlfn.XLOOKUP($A317,Строчный!$A:$A,Строчный!N:N,"ERR",0))</f>
        <v>2094.3000000000002</v>
      </c>
      <c r="Q317" s="89" t="str">
        <f ca="1">_xlfn.XLOOKUP($G317,Фабрика!A:A,Фабрика!B:B,"ERR",0)</f>
        <v>Bollman Headwear Europe Ltd; 2 Merchants drive, Caelisle, Cumbria CA3 0JW, United Kingdom</v>
      </c>
      <c r="R317" s="80" t="str">
        <f ca="1">_xlfn.XLOOKUP(RIGHT(Z317,2),Размеры!D:D,Размеры!A:A,"ERR",0)</f>
        <v>59</v>
      </c>
      <c r="S317" s="80">
        <f ca="1">VALUE(_xlfn.XLOOKUP($Z317,Строчный!$R:$R,Строчный!T:T,"ERR",0))</f>
        <v>11</v>
      </c>
      <c r="T317" s="14" t="s">
        <v>265</v>
      </c>
      <c r="U317" s="101" t="str">
        <f t="shared" ca="1" si="33"/>
        <v>Шляпа BAILEY арт. 81690 MANNES (серый)</v>
      </c>
      <c r="V317" s="100" t="str">
        <f t="shared" ca="1" si="34"/>
        <v>Шляпа BAILEY арт. 81690 MANNES (серый) {brown multi}</v>
      </c>
      <c r="W317" s="18" t="str">
        <f t="shared" ca="1" si="35"/>
        <v>серый</v>
      </c>
      <c r="X317" s="18" t="str">
        <f t="shared" ca="1" si="36"/>
        <v>серый</v>
      </c>
      <c r="Y317" s="117" t="str">
        <f ca="1">_xlfn.LET(_xlpm.FormColors,_xlfn.XLOOKUP(A317,Строчный!A:A,Строчный!Q:Q,"",0),IF(_xlpm.FormColors=0,IFERROR(MID(I317,FIND("-",I317)+1,LEN(I317)),IFERROR(MID(I317,1,FIND("/",I317)-2),I317)),_xlpm.FormColors))</f>
        <v>серый</v>
      </c>
      <c r="Z317" s="73" t="str">
        <f ca="1"/>
        <v>21-091-08-59</v>
      </c>
      <c r="AA317" s="75" t="str">
        <f ca="1">VLOOKUP(C317,Группа!A:B,2,FALSE)</f>
        <v>Шляпа</v>
      </c>
      <c r="AB317" s="97" t="str">
        <f ca="1">IFERROR(VLOOKUP(R317,Размеры!A:C,3,FALSE),"")</f>
        <v>59 L</v>
      </c>
      <c r="AC317" s="97" t="str">
        <f ca="1">VLOOKUP(I317,ЦветПолный!A:B,2,FALSE)</f>
        <v>08</v>
      </c>
      <c r="AD317" s="97" t="str">
        <f ca="1">IFERROR(VLOOKUP(R317,Размеры!A:D,4,FALSE),"")</f>
        <v>59</v>
      </c>
      <c r="AE317" s="97">
        <f ca="1">IF(LEFT(IFERROR(VLOOKUP(LOOKUP(2,1/SEARCH(B317,Товары!A:A),Товары!A:A),Товары!A:B,2,0),""),6)=MID(Z317,1,6),1,0)</f>
        <v>1</v>
      </c>
      <c r="AG317" s="97">
        <f ca="1">SUMIF(Группа!A:A,C317,Группа!C:C)</f>
        <v>1</v>
      </c>
      <c r="AH317" s="97">
        <f ca="1">SUMIF(Группа!B:B,AA317,Группа!C:C)</f>
        <v>1</v>
      </c>
      <c r="AI317" s="97">
        <f ca="1">SUMIF(Формы!A:A,D317,Формы!B:B)</f>
        <v>1</v>
      </c>
      <c r="AJ317" s="97">
        <f ca="1">SUMIF(Материал!A:A,K317,Материал!B:B)</f>
        <v>0</v>
      </c>
      <c r="AK317" s="97">
        <f ca="1">SUMIF(Размеры!A:A,R317,Размеры!E:E)</f>
        <v>1</v>
      </c>
      <c r="AL317" s="97">
        <f ca="1">SUMIF(Сезон!A:A,F317,Сезон!B:B)</f>
        <v>1</v>
      </c>
      <c r="AM317" s="97">
        <f ca="1">SUMIF(Состав!A:A,J317,Состав!B:B)</f>
        <v>1</v>
      </c>
      <c r="AN317" s="97">
        <f ca="1">VLOOKUP(I317,ЦветПолный!A:C,3,0)</f>
        <v>1</v>
      </c>
      <c r="AO317" s="97">
        <f ca="1">SUMIF(Цвет!A:A,Y317,Цвет!B:B)</f>
        <v>1</v>
      </c>
      <c r="AP317" s="97">
        <f ca="1">_xlfn.XLOOKUP(L317,Пол!A:A,Пол!B:B,0,0)</f>
        <v>1</v>
      </c>
      <c r="AQ317" s="97">
        <f ca="1">SUMIF(Марка!A:A,G317,Марка!B:B)</f>
        <v>1</v>
      </c>
      <c r="AR317" s="97">
        <f ca="1">SUMIF(Страна!A:A,M317,Страна!B:B)</f>
        <v>1</v>
      </c>
      <c r="AS317" s="64" t="e">
        <f ca="1">IF(VLOOKUP(V317,Товары!A:B,2,FALSE)=A317,"Есть в 1С","ERR")</f>
        <v>#N/A</v>
      </c>
      <c r="AT317" s="65" t="e">
        <f ca="1">IF(VLOOKUP(A317,Товары!B:B,1,FALSE)=A317,"Есть в 1С","ERR")</f>
        <v>#N/A</v>
      </c>
      <c r="AU317" s="96" t="e">
        <f ca="1">VLOOKUP(V317,Товары!A:B,2,FALSE)</f>
        <v>#N/A</v>
      </c>
      <c r="AV317" s="94" t="e">
        <f ca="1">VLOOKUP(V317,Товары!A:B,1,FALSE)</f>
        <v>#N/A</v>
      </c>
    </row>
    <row r="318" spans="1:48" x14ac:dyDescent="0.25">
      <c r="A318" s="110" t="str">
        <f t="shared" ca="1" si="32"/>
        <v>21-091-08</v>
      </c>
      <c r="B318" s="107" t="str">
        <f ca="1">_xlfn.LET(_xlpm.CAPS,0,_xlpm.Style,_xlfn.XLOOKUP($A318,Строчный!$A:$A,Строчный!B:B,"ERR",0),IF(_xlpm.CAPS=0,_xlpm.Style,LOWER(_xlpm.Style)))</f>
        <v>81690 MANNES</v>
      </c>
      <c r="C318" s="81" t="str">
        <f ca="1">PROPER(_xlfn.XLOOKUP($A318,Строчный!$A:$A,Строчный!C:C,"ERR",0))</f>
        <v>Шляпы</v>
      </c>
      <c r="D318" s="81" t="str">
        <f ca="1">_xlfn.LET(_xlpm.DATA,(_xlfn.XLOOKUP($A318,Строчный!$A:$A,Строчный!D:D,"ERR",0)),UPPER(MID(_xlpm.DATA,1,1))&amp;LOWER(MID(_xlpm.DATA,2,LEN(_xlpm.DATA)-1)))</f>
        <v>Шляпа хомбург</v>
      </c>
      <c r="E318" s="81" t="str">
        <f ca="1">PROPER(_xlfn.XLOOKUP($A318,Строчный!$A:$A,Строчный!E:E,"ERR",0))</f>
        <v>The Hollywood</v>
      </c>
      <c r="F318" s="81" t="str">
        <f ca="1">LOWER(_xlfn.XLOOKUP($A318,Строчный!$A:$A,Строчный!F:F,"ERR",0))</f>
        <v>летний</v>
      </c>
      <c r="G318" s="81" t="str">
        <f ca="1">UPPER(_xlfn.XLOOKUP($A318,Строчный!$A:$A,Строчный!G:G,"ERR",0))</f>
        <v>BAILEY</v>
      </c>
      <c r="H318" s="81" t="str">
        <f ca="1">LOWER(_xlfn.XLOOKUP($A318,Строчный!$A:$A,Строчный!H:H,"ERR",0))</f>
        <v>brown multi</v>
      </c>
      <c r="I318" s="81" t="str">
        <f ca="1">LOWER(_xlfn.XLOOKUP($A318,Строчный!$A:$A,Строчный!I:I,"ERR",0))</f>
        <v>серый</v>
      </c>
      <c r="J318" s="81" t="str">
        <f ca="1">SUBSTITUTE(LOWER(_xlfn.XLOOKUP($A318,Строчный!$A:$A,Строчный!J:J,"ERR",0)),"подклад","Подклад")</f>
        <v>100% полипропилен</v>
      </c>
      <c r="K318" s="81" t="str">
        <f ca="1">LOWER(_xlfn.XLOOKUP($A318,Строчный!$A:$A,Строчный!K:K,"ERR",0))</f>
        <v/>
      </c>
      <c r="L318" s="81" t="str">
        <f ca="1">PROPER(_xlfn.XLOOKUP($A318,Строчный!$A:$A,Строчный!L:L,"ERR",0))</f>
        <v>Унисекс</v>
      </c>
      <c r="M318" s="113" t="str">
        <f ca="1">PROPER(_xlfn.XLOOKUP($A318,Строчный!$A:$A,Строчный!M:M,"ERR",0))</f>
        <v>Китай</v>
      </c>
      <c r="N318" s="81" t="str">
        <f ca="1">UPPER(_xlfn.XLOOKUP($A318,Строчный!$A:$A,Строчный!O:O,"ERR",0))</f>
        <v/>
      </c>
      <c r="O318" s="107" t="str">
        <f ca="1">PROPER(_xlfn.XLOOKUP($A318,Строчный!$A:$A,Строчный!P:P,"ERR",0))</f>
        <v/>
      </c>
      <c r="P318" s="90">
        <f ca="1">VALUE(_xlfn.XLOOKUP($A318,Строчный!$A:$A,Строчный!N:N,"ERR",0))</f>
        <v>2094.3000000000002</v>
      </c>
      <c r="Q318" s="89" t="str">
        <f ca="1">_xlfn.XLOOKUP($G318,Фабрика!A:A,Фабрика!B:B,"ERR",0)</f>
        <v>Bollman Headwear Europe Ltd; 2 Merchants drive, Caelisle, Cumbria CA3 0JW, United Kingdom</v>
      </c>
      <c r="R318" s="80" t="str">
        <f ca="1">_xlfn.XLOOKUP(RIGHT(Z318,2),Размеры!D:D,Размеры!A:A,"ERR",0)</f>
        <v>57</v>
      </c>
      <c r="S318" s="80">
        <f ca="1">VALUE(_xlfn.XLOOKUP($Z318,Строчный!$R:$R,Строчный!T:T,"ERR",0))</f>
        <v>9</v>
      </c>
      <c r="T318" s="14" t="s">
        <v>265</v>
      </c>
      <c r="U318" s="101" t="str">
        <f t="shared" ca="1" si="33"/>
        <v>Шляпа BAILEY арт. 81690 MANNES (серый)</v>
      </c>
      <c r="V318" s="100" t="str">
        <f t="shared" ca="1" si="34"/>
        <v>Шляпа BAILEY арт. 81690 MANNES (серый) {brown multi}</v>
      </c>
      <c r="W318" s="18" t="str">
        <f t="shared" ca="1" si="35"/>
        <v>серый</v>
      </c>
      <c r="X318" s="18" t="str">
        <f t="shared" ca="1" si="36"/>
        <v>серый</v>
      </c>
      <c r="Y318" s="117" t="str">
        <f ca="1">_xlfn.LET(_xlpm.FormColors,_xlfn.XLOOKUP(A318,Строчный!A:A,Строчный!Q:Q,"",0),IF(_xlpm.FormColors=0,IFERROR(MID(I318,FIND("-",I318)+1,LEN(I318)),IFERROR(MID(I318,1,FIND("/",I318)-2),I318)),_xlpm.FormColors))</f>
        <v>серый</v>
      </c>
      <c r="Z318" s="73" t="str">
        <f ca="1"/>
        <v>21-091-08-57</v>
      </c>
      <c r="AA318" s="75" t="str">
        <f ca="1">VLOOKUP(C318,Группа!A:B,2,FALSE)</f>
        <v>Шляпа</v>
      </c>
      <c r="AB318" s="97" t="str">
        <f ca="1">IFERROR(VLOOKUP(R318,Размеры!A:C,3,FALSE),"")</f>
        <v>57 M</v>
      </c>
      <c r="AC318" s="97" t="str">
        <f ca="1">VLOOKUP(I318,ЦветПолный!A:B,2,FALSE)</f>
        <v>08</v>
      </c>
      <c r="AD318" s="97" t="str">
        <f ca="1">IFERROR(VLOOKUP(R318,Размеры!A:D,4,FALSE),"")</f>
        <v>57</v>
      </c>
      <c r="AE318" s="97">
        <f ca="1">IF(LEFT(IFERROR(VLOOKUP(LOOKUP(2,1/SEARCH(B318,Товары!A:A),Товары!A:A),Товары!A:B,2,0),""),6)=MID(Z318,1,6),1,0)</f>
        <v>1</v>
      </c>
      <c r="AG318" s="97">
        <f ca="1">SUMIF(Группа!A:A,C318,Группа!C:C)</f>
        <v>1</v>
      </c>
      <c r="AH318" s="97">
        <f ca="1">SUMIF(Группа!B:B,AA318,Группа!C:C)</f>
        <v>1</v>
      </c>
      <c r="AI318" s="97">
        <f ca="1">SUMIF(Формы!A:A,D318,Формы!B:B)</f>
        <v>1</v>
      </c>
      <c r="AJ318" s="97">
        <f ca="1">SUMIF(Материал!A:A,K318,Материал!B:B)</f>
        <v>0</v>
      </c>
      <c r="AK318" s="97">
        <f ca="1">SUMIF(Размеры!A:A,R318,Размеры!E:E)</f>
        <v>1</v>
      </c>
      <c r="AL318" s="97">
        <f ca="1">SUMIF(Сезон!A:A,F318,Сезон!B:B)</f>
        <v>1</v>
      </c>
      <c r="AM318" s="97">
        <f ca="1">SUMIF(Состав!A:A,J318,Состав!B:B)</f>
        <v>1</v>
      </c>
      <c r="AN318" s="97">
        <f ca="1">VLOOKUP(I318,ЦветПолный!A:C,3,0)</f>
        <v>1</v>
      </c>
      <c r="AO318" s="97">
        <f ca="1">SUMIF(Цвет!A:A,Y318,Цвет!B:B)</f>
        <v>1</v>
      </c>
      <c r="AP318" s="97">
        <f ca="1">_xlfn.XLOOKUP(L318,Пол!A:A,Пол!B:B,0,0)</f>
        <v>1</v>
      </c>
      <c r="AQ318" s="97">
        <f ca="1">SUMIF(Марка!A:A,G318,Марка!B:B)</f>
        <v>1</v>
      </c>
      <c r="AR318" s="97">
        <f ca="1">SUMIF(Страна!A:A,M318,Страна!B:B)</f>
        <v>1</v>
      </c>
      <c r="AS318" s="64" t="e">
        <f ca="1">IF(VLOOKUP(V318,Товары!A:B,2,FALSE)=A318,"Есть в 1С","ERR")</f>
        <v>#N/A</v>
      </c>
      <c r="AT318" s="65" t="e">
        <f ca="1">IF(VLOOKUP(A318,Товары!B:B,1,FALSE)=A318,"Есть в 1С","ERR")</f>
        <v>#N/A</v>
      </c>
      <c r="AU318" s="96" t="e">
        <f ca="1">VLOOKUP(V318,Товары!A:B,2,FALSE)</f>
        <v>#N/A</v>
      </c>
      <c r="AV318" s="94" t="e">
        <f ca="1">VLOOKUP(V318,Товары!A:B,1,FALSE)</f>
        <v>#N/A</v>
      </c>
    </row>
    <row r="319" spans="1:48" x14ac:dyDescent="0.25">
      <c r="A319" s="110" t="str">
        <f t="shared" ca="1" si="32"/>
        <v>21-091-08</v>
      </c>
      <c r="B319" s="107" t="str">
        <f ca="1">_xlfn.LET(_xlpm.CAPS,0,_xlpm.Style,_xlfn.XLOOKUP($A319,Строчный!$A:$A,Строчный!B:B,"ERR",0),IF(_xlpm.CAPS=0,_xlpm.Style,LOWER(_xlpm.Style)))</f>
        <v>81690 MANNES</v>
      </c>
      <c r="C319" s="81" t="str">
        <f ca="1">PROPER(_xlfn.XLOOKUP($A319,Строчный!$A:$A,Строчный!C:C,"ERR",0))</f>
        <v>Шляпы</v>
      </c>
      <c r="D319" s="81" t="str">
        <f ca="1">_xlfn.LET(_xlpm.DATA,(_xlfn.XLOOKUP($A319,Строчный!$A:$A,Строчный!D:D,"ERR",0)),UPPER(MID(_xlpm.DATA,1,1))&amp;LOWER(MID(_xlpm.DATA,2,LEN(_xlpm.DATA)-1)))</f>
        <v>Шляпа хомбург</v>
      </c>
      <c r="E319" s="81" t="str">
        <f ca="1">PROPER(_xlfn.XLOOKUP($A319,Строчный!$A:$A,Строчный!E:E,"ERR",0))</f>
        <v>The Hollywood</v>
      </c>
      <c r="F319" s="81" t="str">
        <f ca="1">LOWER(_xlfn.XLOOKUP($A319,Строчный!$A:$A,Строчный!F:F,"ERR",0))</f>
        <v>летний</v>
      </c>
      <c r="G319" s="81" t="str">
        <f ca="1">UPPER(_xlfn.XLOOKUP($A319,Строчный!$A:$A,Строчный!G:G,"ERR",0))</f>
        <v>BAILEY</v>
      </c>
      <c r="H319" s="81" t="str">
        <f ca="1">LOWER(_xlfn.XLOOKUP($A319,Строчный!$A:$A,Строчный!H:H,"ERR",0))</f>
        <v>brown multi</v>
      </c>
      <c r="I319" s="81" t="str">
        <f ca="1">LOWER(_xlfn.XLOOKUP($A319,Строчный!$A:$A,Строчный!I:I,"ERR",0))</f>
        <v>серый</v>
      </c>
      <c r="J319" s="81" t="str">
        <f ca="1">SUBSTITUTE(LOWER(_xlfn.XLOOKUP($A319,Строчный!$A:$A,Строчный!J:J,"ERR",0)),"подклад","Подклад")</f>
        <v>100% полипропилен</v>
      </c>
      <c r="K319" s="81" t="str">
        <f ca="1">LOWER(_xlfn.XLOOKUP($A319,Строчный!$A:$A,Строчный!K:K,"ERR",0))</f>
        <v/>
      </c>
      <c r="L319" s="81" t="str">
        <f ca="1">PROPER(_xlfn.XLOOKUP($A319,Строчный!$A:$A,Строчный!L:L,"ERR",0))</f>
        <v>Унисекс</v>
      </c>
      <c r="M319" s="113" t="str">
        <f ca="1">PROPER(_xlfn.XLOOKUP($A319,Строчный!$A:$A,Строчный!M:M,"ERR",0))</f>
        <v>Китай</v>
      </c>
      <c r="N319" s="81" t="str">
        <f ca="1">UPPER(_xlfn.XLOOKUP($A319,Строчный!$A:$A,Строчный!O:O,"ERR",0))</f>
        <v/>
      </c>
      <c r="O319" s="107" t="str">
        <f ca="1">PROPER(_xlfn.XLOOKUP($A319,Строчный!$A:$A,Строчный!P:P,"ERR",0))</f>
        <v/>
      </c>
      <c r="P319" s="90">
        <f ca="1">VALUE(_xlfn.XLOOKUP($A319,Строчный!$A:$A,Строчный!N:N,"ERR",0))</f>
        <v>2094.3000000000002</v>
      </c>
      <c r="Q319" s="89" t="str">
        <f ca="1">_xlfn.XLOOKUP($G319,Фабрика!A:A,Фабрика!B:B,"ERR",0)</f>
        <v>Bollman Headwear Europe Ltd; 2 Merchants drive, Caelisle, Cumbria CA3 0JW, United Kingdom</v>
      </c>
      <c r="R319" s="80" t="str">
        <f ca="1">_xlfn.XLOOKUP(RIGHT(Z319,2),Размеры!D:D,Размеры!A:A,"ERR",0)</f>
        <v>55</v>
      </c>
      <c r="S319" s="80">
        <f ca="1">VALUE(_xlfn.XLOOKUP($Z319,Строчный!$R:$R,Строчный!T:T,"ERR",0))</f>
        <v>3</v>
      </c>
      <c r="T319" s="14" t="s">
        <v>265</v>
      </c>
      <c r="U319" s="101" t="str">
        <f t="shared" ca="1" si="33"/>
        <v>Шляпа BAILEY арт. 81690 MANNES (серый)</v>
      </c>
      <c r="V319" s="100" t="str">
        <f t="shared" ca="1" si="34"/>
        <v>Шляпа BAILEY арт. 81690 MANNES (серый) {brown multi}</v>
      </c>
      <c r="W319" s="18" t="str">
        <f t="shared" ca="1" si="35"/>
        <v>серый</v>
      </c>
      <c r="X319" s="18" t="str">
        <f t="shared" ca="1" si="36"/>
        <v>серый</v>
      </c>
      <c r="Y319" s="117" t="str">
        <f ca="1">_xlfn.LET(_xlpm.FormColors,_xlfn.XLOOKUP(A319,Строчный!A:A,Строчный!Q:Q,"",0),IF(_xlpm.FormColors=0,IFERROR(MID(I319,FIND("-",I319)+1,LEN(I319)),IFERROR(MID(I319,1,FIND("/",I319)-2),I319)),_xlpm.FormColors))</f>
        <v>серый</v>
      </c>
      <c r="Z319" s="73" t="str">
        <f ca="1"/>
        <v>21-091-08-55</v>
      </c>
      <c r="AA319" s="75" t="str">
        <f ca="1">VLOOKUP(C319,Группа!A:B,2,FALSE)</f>
        <v>Шляпа</v>
      </c>
      <c r="AB319" s="97" t="str">
        <f ca="1">IFERROR(VLOOKUP(R319,Размеры!A:C,3,FALSE),"")</f>
        <v>55 S</v>
      </c>
      <c r="AC319" s="97" t="str">
        <f ca="1">VLOOKUP(I319,ЦветПолный!A:B,2,FALSE)</f>
        <v>08</v>
      </c>
      <c r="AD319" s="97" t="str">
        <f ca="1">IFERROR(VLOOKUP(R319,Размеры!A:D,4,FALSE),"")</f>
        <v>55</v>
      </c>
      <c r="AE319" s="97">
        <f ca="1">IF(LEFT(IFERROR(VLOOKUP(LOOKUP(2,1/SEARCH(B319,Товары!A:A),Товары!A:A),Товары!A:B,2,0),""),6)=MID(Z319,1,6),1,0)</f>
        <v>1</v>
      </c>
      <c r="AG319" s="97">
        <f ca="1">SUMIF(Группа!A:A,C319,Группа!C:C)</f>
        <v>1</v>
      </c>
      <c r="AH319" s="97">
        <f ca="1">SUMIF(Группа!B:B,AA319,Группа!C:C)</f>
        <v>1</v>
      </c>
      <c r="AI319" s="97">
        <f ca="1">SUMIF(Формы!A:A,D319,Формы!B:B)</f>
        <v>1</v>
      </c>
      <c r="AJ319" s="97">
        <f ca="1">SUMIF(Материал!A:A,K319,Материал!B:B)</f>
        <v>0</v>
      </c>
      <c r="AK319" s="97">
        <f ca="1">SUMIF(Размеры!A:A,R319,Размеры!E:E)</f>
        <v>1</v>
      </c>
      <c r="AL319" s="97">
        <f ca="1">SUMIF(Сезон!A:A,F319,Сезон!B:B)</f>
        <v>1</v>
      </c>
      <c r="AM319" s="97">
        <f ca="1">SUMIF(Состав!A:A,J319,Состав!B:B)</f>
        <v>1</v>
      </c>
      <c r="AN319" s="97">
        <f ca="1">VLOOKUP(I319,ЦветПолный!A:C,3,0)</f>
        <v>1</v>
      </c>
      <c r="AO319" s="97">
        <f ca="1">SUMIF(Цвет!A:A,Y319,Цвет!B:B)</f>
        <v>1</v>
      </c>
      <c r="AP319" s="97">
        <f ca="1">_xlfn.XLOOKUP(L319,Пол!A:A,Пол!B:B,0,0)</f>
        <v>1</v>
      </c>
      <c r="AQ319" s="97">
        <f ca="1">SUMIF(Марка!A:A,G319,Марка!B:B)</f>
        <v>1</v>
      </c>
      <c r="AR319" s="97">
        <f ca="1">SUMIF(Страна!A:A,M319,Страна!B:B)</f>
        <v>1</v>
      </c>
      <c r="AS319" s="64" t="e">
        <f ca="1">IF(VLOOKUP(V319,Товары!A:B,2,FALSE)=A319,"Есть в 1С","ERR")</f>
        <v>#N/A</v>
      </c>
      <c r="AT319" s="65" t="e">
        <f ca="1">IF(VLOOKUP(A319,Товары!B:B,1,FALSE)=A319,"Есть в 1С","ERR")</f>
        <v>#N/A</v>
      </c>
      <c r="AU319" s="96" t="e">
        <f ca="1">VLOOKUP(V319,Товары!A:B,2,FALSE)</f>
        <v>#N/A</v>
      </c>
      <c r="AV319" s="94" t="e">
        <f ca="1">VLOOKUP(V319,Товары!A:B,1,FALSE)</f>
        <v>#N/A</v>
      </c>
    </row>
    <row r="320" spans="1:48" x14ac:dyDescent="0.25">
      <c r="A320" s="110" t="str">
        <f t="shared" ca="1" si="32"/>
        <v>21-091-02</v>
      </c>
      <c r="B320" s="107" t="str">
        <f ca="1">_xlfn.LET(_xlpm.CAPS,0,_xlpm.Style,_xlfn.XLOOKUP($A320,Строчный!$A:$A,Строчный!B:B,"ERR",0),IF(_xlpm.CAPS=0,_xlpm.Style,LOWER(_xlpm.Style)))</f>
        <v>81690 MANNES</v>
      </c>
      <c r="C320" s="81" t="str">
        <f ca="1">PROPER(_xlfn.XLOOKUP($A320,Строчный!$A:$A,Строчный!C:C,"ERR",0))</f>
        <v>Шляпы</v>
      </c>
      <c r="D320" s="81" t="str">
        <f ca="1">_xlfn.LET(_xlpm.DATA,(_xlfn.XLOOKUP($A320,Строчный!$A:$A,Строчный!D:D,"ERR",0)),UPPER(MID(_xlpm.DATA,1,1))&amp;LOWER(MID(_xlpm.DATA,2,LEN(_xlpm.DATA)-1)))</f>
        <v>Шляпа хомбург</v>
      </c>
      <c r="E320" s="81" t="str">
        <f ca="1">PROPER(_xlfn.XLOOKUP($A320,Строчный!$A:$A,Строчный!E:E,"ERR",0))</f>
        <v>The Hollywood</v>
      </c>
      <c r="F320" s="81" t="str">
        <f ca="1">LOWER(_xlfn.XLOOKUP($A320,Строчный!$A:$A,Строчный!F:F,"ERR",0))</f>
        <v>летний</v>
      </c>
      <c r="G320" s="81" t="str">
        <f ca="1">UPPER(_xlfn.XLOOKUP($A320,Строчный!$A:$A,Строчный!G:G,"ERR",0))</f>
        <v>BAILEY</v>
      </c>
      <c r="H320" s="81" t="str">
        <f ca="1">LOWER(_xlfn.XLOOKUP($A320,Строчный!$A:$A,Строчный!H:H,"ERR",0))</f>
        <v>natural multi</v>
      </c>
      <c r="I320" s="81" t="str">
        <f ca="1">LOWER(_xlfn.XLOOKUP($A320,Строчный!$A:$A,Строчный!I:I,"ERR",0))</f>
        <v>песочный</v>
      </c>
      <c r="J320" s="81" t="str">
        <f ca="1">SUBSTITUTE(LOWER(_xlfn.XLOOKUP($A320,Строчный!$A:$A,Строчный!J:J,"ERR",0)),"подклад","Подклад")</f>
        <v>100% полипропилен</v>
      </c>
      <c r="K320" s="81" t="str">
        <f ca="1">LOWER(_xlfn.XLOOKUP($A320,Строчный!$A:$A,Строчный!K:K,"ERR",0))</f>
        <v/>
      </c>
      <c r="L320" s="81" t="str">
        <f ca="1">PROPER(_xlfn.XLOOKUP($A320,Строчный!$A:$A,Строчный!L:L,"ERR",0))</f>
        <v>Унисекс</v>
      </c>
      <c r="M320" s="113" t="str">
        <f ca="1">PROPER(_xlfn.XLOOKUP($A320,Строчный!$A:$A,Строчный!M:M,"ERR",0))</f>
        <v>Китай</v>
      </c>
      <c r="N320" s="81" t="str">
        <f ca="1">UPPER(_xlfn.XLOOKUP($A320,Строчный!$A:$A,Строчный!O:O,"ERR",0))</f>
        <v/>
      </c>
      <c r="O320" s="107" t="str">
        <f ca="1">PROPER(_xlfn.XLOOKUP($A320,Строчный!$A:$A,Строчный!P:P,"ERR",0))</f>
        <v/>
      </c>
      <c r="P320" s="90">
        <f ca="1">VALUE(_xlfn.XLOOKUP($A320,Строчный!$A:$A,Строчный!N:N,"ERR",0))</f>
        <v>2094.3000000000002</v>
      </c>
      <c r="Q320" s="89" t="str">
        <f ca="1">_xlfn.XLOOKUP($G320,Фабрика!A:A,Фабрика!B:B,"ERR",0)</f>
        <v>Bollman Headwear Europe Ltd; 2 Merchants drive, Caelisle, Cumbria CA3 0JW, United Kingdom</v>
      </c>
      <c r="R320" s="80" t="str">
        <f ca="1">_xlfn.XLOOKUP(RIGHT(Z320,2),Размеры!D:D,Размеры!A:A,"ERR",0)</f>
        <v>63</v>
      </c>
      <c r="S320" s="80">
        <f ca="1">VALUE(_xlfn.XLOOKUP($Z320,Строчный!$R:$R,Строчный!T:T,"ERR",0))</f>
        <v>3</v>
      </c>
      <c r="T320" s="14" t="s">
        <v>265</v>
      </c>
      <c r="U320" s="101" t="str">
        <f t="shared" ca="1" si="33"/>
        <v>Шляпа BAILEY арт. 81690 MANNES (песочный)</v>
      </c>
      <c r="V320" s="100" t="str">
        <f t="shared" ca="1" si="34"/>
        <v>Шляпа BAILEY арт. 81690 MANNES (песочный) {natural multi}</v>
      </c>
      <c r="W320" s="18" t="str">
        <f t="shared" ca="1" si="35"/>
        <v>песочный</v>
      </c>
      <c r="X320" s="18" t="str">
        <f t="shared" ca="1" si="36"/>
        <v>песочный</v>
      </c>
      <c r="Y320" s="117" t="str">
        <f ca="1">_xlfn.LET(_xlpm.FormColors,_xlfn.XLOOKUP(A320,Строчный!A:A,Строчный!Q:Q,"",0),IF(_xlpm.FormColors=0,IFERROR(MID(I320,FIND("-",I320)+1,LEN(I320)),IFERROR(MID(I320,1,FIND("/",I320)-2),I320)),_xlpm.FormColors))</f>
        <v>песочный</v>
      </c>
      <c r="Z320" s="73" t="str">
        <f ca="1"/>
        <v>21-091-02-63</v>
      </c>
      <c r="AA320" s="75" t="str">
        <f ca="1">VLOOKUP(C320,Группа!A:B,2,FALSE)</f>
        <v>Шляпа</v>
      </c>
      <c r="AB320" s="97" t="str">
        <f ca="1">IFERROR(VLOOKUP(R320,Размеры!A:C,3,FALSE),"")</f>
        <v>63 XXL</v>
      </c>
      <c r="AC320" s="97" t="str">
        <f ca="1">VLOOKUP(I320,ЦветПолный!A:B,2,FALSE)</f>
        <v>02</v>
      </c>
      <c r="AD320" s="97" t="str">
        <f ca="1">IFERROR(VLOOKUP(R320,Размеры!A:D,4,FALSE),"")</f>
        <v>63</v>
      </c>
      <c r="AE320" s="97">
        <f ca="1">IF(LEFT(IFERROR(VLOOKUP(LOOKUP(2,1/SEARCH(B320,Товары!A:A),Товары!A:A),Товары!A:B,2,0),""),6)=MID(Z320,1,6),1,0)</f>
        <v>1</v>
      </c>
      <c r="AG320" s="97">
        <f ca="1">SUMIF(Группа!A:A,C320,Группа!C:C)</f>
        <v>1</v>
      </c>
      <c r="AH320" s="97">
        <f ca="1">SUMIF(Группа!B:B,AA320,Группа!C:C)</f>
        <v>1</v>
      </c>
      <c r="AI320" s="97">
        <f ca="1">SUMIF(Формы!A:A,D320,Формы!B:B)</f>
        <v>1</v>
      </c>
      <c r="AJ320" s="97">
        <f ca="1">SUMIF(Материал!A:A,K320,Материал!B:B)</f>
        <v>0</v>
      </c>
      <c r="AK320" s="97">
        <f ca="1">SUMIF(Размеры!A:A,R320,Размеры!E:E)</f>
        <v>1</v>
      </c>
      <c r="AL320" s="97">
        <f ca="1">SUMIF(Сезон!A:A,F320,Сезон!B:B)</f>
        <v>1</v>
      </c>
      <c r="AM320" s="97">
        <f ca="1">SUMIF(Состав!A:A,J320,Состав!B:B)</f>
        <v>1</v>
      </c>
      <c r="AN320" s="97">
        <f ca="1">VLOOKUP(I320,ЦветПолный!A:C,3,0)</f>
        <v>1</v>
      </c>
      <c r="AO320" s="97">
        <f ca="1">SUMIF(Цвет!A:A,Y320,Цвет!B:B)</f>
        <v>1</v>
      </c>
      <c r="AP320" s="97">
        <f ca="1">_xlfn.XLOOKUP(L320,Пол!A:A,Пол!B:B,0,0)</f>
        <v>1</v>
      </c>
      <c r="AQ320" s="97">
        <f ca="1">SUMIF(Марка!A:A,G320,Марка!B:B)</f>
        <v>1</v>
      </c>
      <c r="AR320" s="97">
        <f ca="1">SUMIF(Страна!A:A,M320,Страна!B:B)</f>
        <v>1</v>
      </c>
      <c r="AS320" s="64" t="e">
        <f ca="1">IF(VLOOKUP(V320,Товары!A:B,2,FALSE)=A320,"Есть в 1С","ERR")</f>
        <v>#N/A</v>
      </c>
      <c r="AT320" s="65" t="e">
        <f ca="1">IF(VLOOKUP(A320,Товары!B:B,1,FALSE)=A320,"Есть в 1С","ERR")</f>
        <v>#N/A</v>
      </c>
      <c r="AU320" s="96" t="e">
        <f ca="1">VLOOKUP(V320,Товары!A:B,2,FALSE)</f>
        <v>#N/A</v>
      </c>
      <c r="AV320" s="94" t="e">
        <f ca="1">VLOOKUP(V320,Товары!A:B,1,FALSE)</f>
        <v>#N/A</v>
      </c>
    </row>
    <row r="321" spans="1:48" x14ac:dyDescent="0.25">
      <c r="A321" s="110" t="str">
        <f t="shared" ca="1" si="32"/>
        <v>21-091-02</v>
      </c>
      <c r="B321" s="107" t="str">
        <f ca="1">_xlfn.LET(_xlpm.CAPS,0,_xlpm.Style,_xlfn.XLOOKUP($A321,Строчный!$A:$A,Строчный!B:B,"ERR",0),IF(_xlpm.CAPS=0,_xlpm.Style,LOWER(_xlpm.Style)))</f>
        <v>81690 MANNES</v>
      </c>
      <c r="C321" s="81" t="str">
        <f ca="1">PROPER(_xlfn.XLOOKUP($A321,Строчный!$A:$A,Строчный!C:C,"ERR",0))</f>
        <v>Шляпы</v>
      </c>
      <c r="D321" s="81" t="str">
        <f ca="1">_xlfn.LET(_xlpm.DATA,(_xlfn.XLOOKUP($A321,Строчный!$A:$A,Строчный!D:D,"ERR",0)),UPPER(MID(_xlpm.DATA,1,1))&amp;LOWER(MID(_xlpm.DATA,2,LEN(_xlpm.DATA)-1)))</f>
        <v>Шляпа хомбург</v>
      </c>
      <c r="E321" s="81" t="str">
        <f ca="1">PROPER(_xlfn.XLOOKUP($A321,Строчный!$A:$A,Строчный!E:E,"ERR",0))</f>
        <v>The Hollywood</v>
      </c>
      <c r="F321" s="81" t="str">
        <f ca="1">LOWER(_xlfn.XLOOKUP($A321,Строчный!$A:$A,Строчный!F:F,"ERR",0))</f>
        <v>летний</v>
      </c>
      <c r="G321" s="81" t="str">
        <f ca="1">UPPER(_xlfn.XLOOKUP($A321,Строчный!$A:$A,Строчный!G:G,"ERR",0))</f>
        <v>BAILEY</v>
      </c>
      <c r="H321" s="81" t="str">
        <f ca="1">LOWER(_xlfn.XLOOKUP($A321,Строчный!$A:$A,Строчный!H:H,"ERR",0))</f>
        <v>natural multi</v>
      </c>
      <c r="I321" s="81" t="str">
        <f ca="1">LOWER(_xlfn.XLOOKUP($A321,Строчный!$A:$A,Строчный!I:I,"ERR",0))</f>
        <v>песочный</v>
      </c>
      <c r="J321" s="81" t="str">
        <f ca="1">SUBSTITUTE(LOWER(_xlfn.XLOOKUP($A321,Строчный!$A:$A,Строчный!J:J,"ERR",0)),"подклад","Подклад")</f>
        <v>100% полипропилен</v>
      </c>
      <c r="K321" s="81" t="str">
        <f ca="1">LOWER(_xlfn.XLOOKUP($A321,Строчный!$A:$A,Строчный!K:K,"ERR",0))</f>
        <v/>
      </c>
      <c r="L321" s="81" t="str">
        <f ca="1">PROPER(_xlfn.XLOOKUP($A321,Строчный!$A:$A,Строчный!L:L,"ERR",0))</f>
        <v>Унисекс</v>
      </c>
      <c r="M321" s="113" t="str">
        <f ca="1">PROPER(_xlfn.XLOOKUP($A321,Строчный!$A:$A,Строчный!M:M,"ERR",0))</f>
        <v>Китай</v>
      </c>
      <c r="N321" s="81" t="str">
        <f ca="1">UPPER(_xlfn.XLOOKUP($A321,Строчный!$A:$A,Строчный!O:O,"ERR",0))</f>
        <v/>
      </c>
      <c r="O321" s="107" t="str">
        <f ca="1">PROPER(_xlfn.XLOOKUP($A321,Строчный!$A:$A,Строчный!P:P,"ERR",0))</f>
        <v/>
      </c>
      <c r="P321" s="90">
        <f ca="1">VALUE(_xlfn.XLOOKUP($A321,Строчный!$A:$A,Строчный!N:N,"ERR",0))</f>
        <v>2094.3000000000002</v>
      </c>
      <c r="Q321" s="89" t="str">
        <f ca="1">_xlfn.XLOOKUP($G321,Фабрика!A:A,Фабрика!B:B,"ERR",0)</f>
        <v>Bollman Headwear Europe Ltd; 2 Merchants drive, Caelisle, Cumbria CA3 0JW, United Kingdom</v>
      </c>
      <c r="R321" s="80" t="str">
        <f ca="1">_xlfn.XLOOKUP(RIGHT(Z321,2),Размеры!D:D,Размеры!A:A,"ERR",0)</f>
        <v>61</v>
      </c>
      <c r="S321" s="80">
        <f ca="1">VALUE(_xlfn.XLOOKUP($Z321,Строчный!$R:$R,Строчный!T:T,"ERR",0))</f>
        <v>9</v>
      </c>
      <c r="T321" s="14" t="s">
        <v>265</v>
      </c>
      <c r="U321" s="101" t="str">
        <f t="shared" ca="1" si="33"/>
        <v>Шляпа BAILEY арт. 81690 MANNES (песочный)</v>
      </c>
      <c r="V321" s="100" t="str">
        <f t="shared" ca="1" si="34"/>
        <v>Шляпа BAILEY арт. 81690 MANNES (песочный) {natural multi}</v>
      </c>
      <c r="W321" s="18" t="str">
        <f t="shared" ca="1" si="35"/>
        <v>песочный</v>
      </c>
      <c r="X321" s="18" t="str">
        <f t="shared" ca="1" si="36"/>
        <v>песочный</v>
      </c>
      <c r="Y321" s="117" t="str">
        <f ca="1">_xlfn.LET(_xlpm.FormColors,_xlfn.XLOOKUP(A321,Строчный!A:A,Строчный!Q:Q,"",0),IF(_xlpm.FormColors=0,IFERROR(MID(I321,FIND("-",I321)+1,LEN(I321)),IFERROR(MID(I321,1,FIND("/",I321)-2),I321)),_xlpm.FormColors))</f>
        <v>песочный</v>
      </c>
      <c r="Z321" s="73" t="str">
        <f ca="1"/>
        <v>21-091-02-61</v>
      </c>
      <c r="AA321" s="75" t="str">
        <f ca="1">VLOOKUP(C321,Группа!A:B,2,FALSE)</f>
        <v>Шляпа</v>
      </c>
      <c r="AB321" s="97" t="str">
        <f ca="1">IFERROR(VLOOKUP(R321,Размеры!A:C,3,FALSE),"")</f>
        <v>61 XL</v>
      </c>
      <c r="AC321" s="97" t="str">
        <f ca="1">VLOOKUP(I321,ЦветПолный!A:B,2,FALSE)</f>
        <v>02</v>
      </c>
      <c r="AD321" s="97" t="str">
        <f ca="1">IFERROR(VLOOKUP(R321,Размеры!A:D,4,FALSE),"")</f>
        <v>61</v>
      </c>
      <c r="AE321" s="97">
        <f ca="1">IF(LEFT(IFERROR(VLOOKUP(LOOKUP(2,1/SEARCH(B321,Товары!A:A),Товары!A:A),Товары!A:B,2,0),""),6)=MID(Z321,1,6),1,0)</f>
        <v>1</v>
      </c>
      <c r="AG321" s="97">
        <f ca="1">SUMIF(Группа!A:A,C321,Группа!C:C)</f>
        <v>1</v>
      </c>
      <c r="AH321" s="97">
        <f ca="1">SUMIF(Группа!B:B,AA321,Группа!C:C)</f>
        <v>1</v>
      </c>
      <c r="AI321" s="97">
        <f ca="1">SUMIF(Формы!A:A,D321,Формы!B:B)</f>
        <v>1</v>
      </c>
      <c r="AJ321" s="97">
        <f ca="1">SUMIF(Материал!A:A,K321,Материал!B:B)</f>
        <v>0</v>
      </c>
      <c r="AK321" s="97">
        <f ca="1">SUMIF(Размеры!A:A,R321,Размеры!E:E)</f>
        <v>1</v>
      </c>
      <c r="AL321" s="97">
        <f ca="1">SUMIF(Сезон!A:A,F321,Сезон!B:B)</f>
        <v>1</v>
      </c>
      <c r="AM321" s="97">
        <f ca="1">SUMIF(Состав!A:A,J321,Состав!B:B)</f>
        <v>1</v>
      </c>
      <c r="AN321" s="97">
        <f ca="1">VLOOKUP(I321,ЦветПолный!A:C,3,0)</f>
        <v>1</v>
      </c>
      <c r="AO321" s="97">
        <f ca="1">SUMIF(Цвет!A:A,Y321,Цвет!B:B)</f>
        <v>1</v>
      </c>
      <c r="AP321" s="97">
        <f ca="1">_xlfn.XLOOKUP(L321,Пол!A:A,Пол!B:B,0,0)</f>
        <v>1</v>
      </c>
      <c r="AQ321" s="97">
        <f ca="1">SUMIF(Марка!A:A,G321,Марка!B:B)</f>
        <v>1</v>
      </c>
      <c r="AR321" s="97">
        <f ca="1">SUMIF(Страна!A:A,M321,Страна!B:B)</f>
        <v>1</v>
      </c>
      <c r="AS321" s="64" t="e">
        <f ca="1">IF(VLOOKUP(V321,Товары!A:B,2,FALSE)=A321,"Есть в 1С","ERR")</f>
        <v>#N/A</v>
      </c>
      <c r="AT321" s="65" t="e">
        <f ca="1">IF(VLOOKUP(A321,Товары!B:B,1,FALSE)=A321,"Есть в 1С","ERR")</f>
        <v>#N/A</v>
      </c>
      <c r="AU321" s="96" t="e">
        <f ca="1">VLOOKUP(V321,Товары!A:B,2,FALSE)</f>
        <v>#N/A</v>
      </c>
      <c r="AV321" s="94" t="e">
        <f ca="1">VLOOKUP(V321,Товары!A:B,1,FALSE)</f>
        <v>#N/A</v>
      </c>
    </row>
    <row r="322" spans="1:48" x14ac:dyDescent="0.25">
      <c r="A322" s="110" t="str">
        <f t="shared" ca="1" si="32"/>
        <v>21-091-02</v>
      </c>
      <c r="B322" s="107" t="str">
        <f ca="1">_xlfn.LET(_xlpm.CAPS,0,_xlpm.Style,_xlfn.XLOOKUP($A322,Строчный!$A:$A,Строчный!B:B,"ERR",0),IF(_xlpm.CAPS=0,_xlpm.Style,LOWER(_xlpm.Style)))</f>
        <v>81690 MANNES</v>
      </c>
      <c r="C322" s="81" t="str">
        <f ca="1">PROPER(_xlfn.XLOOKUP($A322,Строчный!$A:$A,Строчный!C:C,"ERR",0))</f>
        <v>Шляпы</v>
      </c>
      <c r="D322" s="81" t="str">
        <f ca="1">_xlfn.LET(_xlpm.DATA,(_xlfn.XLOOKUP($A322,Строчный!$A:$A,Строчный!D:D,"ERR",0)),UPPER(MID(_xlpm.DATA,1,1))&amp;LOWER(MID(_xlpm.DATA,2,LEN(_xlpm.DATA)-1)))</f>
        <v>Шляпа хомбург</v>
      </c>
      <c r="E322" s="81" t="str">
        <f ca="1">PROPER(_xlfn.XLOOKUP($A322,Строчный!$A:$A,Строчный!E:E,"ERR",0))</f>
        <v>The Hollywood</v>
      </c>
      <c r="F322" s="81" t="str">
        <f ca="1">LOWER(_xlfn.XLOOKUP($A322,Строчный!$A:$A,Строчный!F:F,"ERR",0))</f>
        <v>летний</v>
      </c>
      <c r="G322" s="81" t="str">
        <f ca="1">UPPER(_xlfn.XLOOKUP($A322,Строчный!$A:$A,Строчный!G:G,"ERR",0))</f>
        <v>BAILEY</v>
      </c>
      <c r="H322" s="81" t="str">
        <f ca="1">LOWER(_xlfn.XLOOKUP($A322,Строчный!$A:$A,Строчный!H:H,"ERR",0))</f>
        <v>natural multi</v>
      </c>
      <c r="I322" s="81" t="str">
        <f ca="1">LOWER(_xlfn.XLOOKUP($A322,Строчный!$A:$A,Строчный!I:I,"ERR",0))</f>
        <v>песочный</v>
      </c>
      <c r="J322" s="81" t="str">
        <f ca="1">SUBSTITUTE(LOWER(_xlfn.XLOOKUP($A322,Строчный!$A:$A,Строчный!J:J,"ERR",0)),"подклад","Подклад")</f>
        <v>100% полипропилен</v>
      </c>
      <c r="K322" s="81" t="str">
        <f ca="1">LOWER(_xlfn.XLOOKUP($A322,Строчный!$A:$A,Строчный!K:K,"ERR",0))</f>
        <v/>
      </c>
      <c r="L322" s="81" t="str">
        <f ca="1">PROPER(_xlfn.XLOOKUP($A322,Строчный!$A:$A,Строчный!L:L,"ERR",0))</f>
        <v>Унисекс</v>
      </c>
      <c r="M322" s="113" t="str">
        <f ca="1">PROPER(_xlfn.XLOOKUP($A322,Строчный!$A:$A,Строчный!M:M,"ERR",0))</f>
        <v>Китай</v>
      </c>
      <c r="N322" s="81" t="str">
        <f ca="1">UPPER(_xlfn.XLOOKUP($A322,Строчный!$A:$A,Строчный!O:O,"ERR",0))</f>
        <v/>
      </c>
      <c r="O322" s="107" t="str">
        <f ca="1">PROPER(_xlfn.XLOOKUP($A322,Строчный!$A:$A,Строчный!P:P,"ERR",0))</f>
        <v/>
      </c>
      <c r="P322" s="90">
        <f ca="1">VALUE(_xlfn.XLOOKUP($A322,Строчный!$A:$A,Строчный!N:N,"ERR",0))</f>
        <v>2094.3000000000002</v>
      </c>
      <c r="Q322" s="89" t="str">
        <f ca="1">_xlfn.XLOOKUP($G322,Фабрика!A:A,Фабрика!B:B,"ERR",0)</f>
        <v>Bollman Headwear Europe Ltd; 2 Merchants drive, Caelisle, Cumbria CA3 0JW, United Kingdom</v>
      </c>
      <c r="R322" s="80" t="str">
        <f ca="1">_xlfn.XLOOKUP(RIGHT(Z322,2),Размеры!D:D,Размеры!A:A,"ERR",0)</f>
        <v>59</v>
      </c>
      <c r="S322" s="80">
        <f ca="1">VALUE(_xlfn.XLOOKUP($Z322,Строчный!$R:$R,Строчный!T:T,"ERR",0))</f>
        <v>13</v>
      </c>
      <c r="T322" s="14" t="s">
        <v>265</v>
      </c>
      <c r="U322" s="101" t="str">
        <f t="shared" ca="1" si="33"/>
        <v>Шляпа BAILEY арт. 81690 MANNES (песочный)</v>
      </c>
      <c r="V322" s="100" t="str">
        <f t="shared" ca="1" si="34"/>
        <v>Шляпа BAILEY арт. 81690 MANNES (песочный) {natural multi}</v>
      </c>
      <c r="W322" s="18" t="str">
        <f t="shared" ca="1" si="35"/>
        <v>песочный</v>
      </c>
      <c r="X322" s="18" t="str">
        <f t="shared" ca="1" si="36"/>
        <v>песочный</v>
      </c>
      <c r="Y322" s="117" t="str">
        <f ca="1">_xlfn.LET(_xlpm.FormColors,_xlfn.XLOOKUP(A322,Строчный!A:A,Строчный!Q:Q,"",0),IF(_xlpm.FormColors=0,IFERROR(MID(I322,FIND("-",I322)+1,LEN(I322)),IFERROR(MID(I322,1,FIND("/",I322)-2),I322)),_xlpm.FormColors))</f>
        <v>песочный</v>
      </c>
      <c r="Z322" s="73" t="str">
        <f ca="1"/>
        <v>21-091-02-59</v>
      </c>
      <c r="AA322" s="75" t="str">
        <f ca="1">VLOOKUP(C322,Группа!A:B,2,FALSE)</f>
        <v>Шляпа</v>
      </c>
      <c r="AB322" s="97" t="str">
        <f ca="1">IFERROR(VLOOKUP(R322,Размеры!A:C,3,FALSE),"")</f>
        <v>59 L</v>
      </c>
      <c r="AC322" s="97" t="str">
        <f ca="1">VLOOKUP(I322,ЦветПолный!A:B,2,FALSE)</f>
        <v>02</v>
      </c>
      <c r="AD322" s="97" t="str">
        <f ca="1">IFERROR(VLOOKUP(R322,Размеры!A:D,4,FALSE),"")</f>
        <v>59</v>
      </c>
      <c r="AE322" s="97">
        <f ca="1">IF(LEFT(IFERROR(VLOOKUP(LOOKUP(2,1/SEARCH(B322,Товары!A:A),Товары!A:A),Товары!A:B,2,0),""),6)=MID(Z322,1,6),1,0)</f>
        <v>1</v>
      </c>
      <c r="AG322" s="97">
        <f ca="1">SUMIF(Группа!A:A,C322,Группа!C:C)</f>
        <v>1</v>
      </c>
      <c r="AH322" s="97">
        <f ca="1">SUMIF(Группа!B:B,AA322,Группа!C:C)</f>
        <v>1</v>
      </c>
      <c r="AI322" s="97">
        <f ca="1">SUMIF(Формы!A:A,D322,Формы!B:B)</f>
        <v>1</v>
      </c>
      <c r="AJ322" s="97">
        <f ca="1">SUMIF(Материал!A:A,K322,Материал!B:B)</f>
        <v>0</v>
      </c>
      <c r="AK322" s="97">
        <f ca="1">SUMIF(Размеры!A:A,R322,Размеры!E:E)</f>
        <v>1</v>
      </c>
      <c r="AL322" s="97">
        <f ca="1">SUMIF(Сезон!A:A,F322,Сезон!B:B)</f>
        <v>1</v>
      </c>
      <c r="AM322" s="97">
        <f ca="1">SUMIF(Состав!A:A,J322,Состав!B:B)</f>
        <v>1</v>
      </c>
      <c r="AN322" s="97">
        <f ca="1">VLOOKUP(I322,ЦветПолный!A:C,3,0)</f>
        <v>1</v>
      </c>
      <c r="AO322" s="97">
        <f ca="1">SUMIF(Цвет!A:A,Y322,Цвет!B:B)</f>
        <v>1</v>
      </c>
      <c r="AP322" s="97">
        <f ca="1">_xlfn.XLOOKUP(L322,Пол!A:A,Пол!B:B,0,0)</f>
        <v>1</v>
      </c>
      <c r="AQ322" s="97">
        <f ca="1">SUMIF(Марка!A:A,G322,Марка!B:B)</f>
        <v>1</v>
      </c>
      <c r="AR322" s="97">
        <f ca="1">SUMIF(Страна!A:A,M322,Страна!B:B)</f>
        <v>1</v>
      </c>
      <c r="AS322" s="64" t="e">
        <f ca="1">IF(VLOOKUP(V322,Товары!A:B,2,FALSE)=A322,"Есть в 1С","ERR")</f>
        <v>#N/A</v>
      </c>
      <c r="AT322" s="65" t="e">
        <f ca="1">IF(VLOOKUP(A322,Товары!B:B,1,FALSE)=A322,"Есть в 1С","ERR")</f>
        <v>#N/A</v>
      </c>
      <c r="AU322" s="96" t="e">
        <f ca="1">VLOOKUP(V322,Товары!A:B,2,FALSE)</f>
        <v>#N/A</v>
      </c>
      <c r="AV322" s="94" t="e">
        <f ca="1">VLOOKUP(V322,Товары!A:B,1,FALSE)</f>
        <v>#N/A</v>
      </c>
    </row>
    <row r="323" spans="1:48" x14ac:dyDescent="0.25">
      <c r="A323" s="110" t="str">
        <f t="shared" ref="A323:A386" ca="1" si="37">LEFT(Z323,9)</f>
        <v>21-091-02</v>
      </c>
      <c r="B323" s="107" t="str">
        <f ca="1">_xlfn.LET(_xlpm.CAPS,0,_xlpm.Style,_xlfn.XLOOKUP($A323,Строчный!$A:$A,Строчный!B:B,"ERR",0),IF(_xlpm.CAPS=0,_xlpm.Style,LOWER(_xlpm.Style)))</f>
        <v>81690 MANNES</v>
      </c>
      <c r="C323" s="81" t="str">
        <f ca="1">PROPER(_xlfn.XLOOKUP($A323,Строчный!$A:$A,Строчный!C:C,"ERR",0))</f>
        <v>Шляпы</v>
      </c>
      <c r="D323" s="81" t="str">
        <f ca="1">_xlfn.LET(_xlpm.DATA,(_xlfn.XLOOKUP($A323,Строчный!$A:$A,Строчный!D:D,"ERR",0)),UPPER(MID(_xlpm.DATA,1,1))&amp;LOWER(MID(_xlpm.DATA,2,LEN(_xlpm.DATA)-1)))</f>
        <v>Шляпа хомбург</v>
      </c>
      <c r="E323" s="81" t="str">
        <f ca="1">PROPER(_xlfn.XLOOKUP($A323,Строчный!$A:$A,Строчный!E:E,"ERR",0))</f>
        <v>The Hollywood</v>
      </c>
      <c r="F323" s="81" t="str">
        <f ca="1">LOWER(_xlfn.XLOOKUP($A323,Строчный!$A:$A,Строчный!F:F,"ERR",0))</f>
        <v>летний</v>
      </c>
      <c r="G323" s="81" t="str">
        <f ca="1">UPPER(_xlfn.XLOOKUP($A323,Строчный!$A:$A,Строчный!G:G,"ERR",0))</f>
        <v>BAILEY</v>
      </c>
      <c r="H323" s="81" t="str">
        <f ca="1">LOWER(_xlfn.XLOOKUP($A323,Строчный!$A:$A,Строчный!H:H,"ERR",0))</f>
        <v>natural multi</v>
      </c>
      <c r="I323" s="81" t="str">
        <f ca="1">LOWER(_xlfn.XLOOKUP($A323,Строчный!$A:$A,Строчный!I:I,"ERR",0))</f>
        <v>песочный</v>
      </c>
      <c r="J323" s="81" t="str">
        <f ca="1">SUBSTITUTE(LOWER(_xlfn.XLOOKUP($A323,Строчный!$A:$A,Строчный!J:J,"ERR",0)),"подклад","Подклад")</f>
        <v>100% полипропилен</v>
      </c>
      <c r="K323" s="81" t="str">
        <f ca="1">LOWER(_xlfn.XLOOKUP($A323,Строчный!$A:$A,Строчный!K:K,"ERR",0))</f>
        <v/>
      </c>
      <c r="L323" s="81" t="str">
        <f ca="1">PROPER(_xlfn.XLOOKUP($A323,Строчный!$A:$A,Строчный!L:L,"ERR",0))</f>
        <v>Унисекс</v>
      </c>
      <c r="M323" s="113" t="str">
        <f ca="1">PROPER(_xlfn.XLOOKUP($A323,Строчный!$A:$A,Строчный!M:M,"ERR",0))</f>
        <v>Китай</v>
      </c>
      <c r="N323" s="81" t="str">
        <f ca="1">UPPER(_xlfn.XLOOKUP($A323,Строчный!$A:$A,Строчный!O:O,"ERR",0))</f>
        <v/>
      </c>
      <c r="O323" s="107" t="str">
        <f ca="1">PROPER(_xlfn.XLOOKUP($A323,Строчный!$A:$A,Строчный!P:P,"ERR",0))</f>
        <v/>
      </c>
      <c r="P323" s="90">
        <f ca="1">VALUE(_xlfn.XLOOKUP($A323,Строчный!$A:$A,Строчный!N:N,"ERR",0))</f>
        <v>2094.3000000000002</v>
      </c>
      <c r="Q323" s="89" t="str">
        <f ca="1">_xlfn.XLOOKUP($G323,Фабрика!A:A,Фабрика!B:B,"ERR",0)</f>
        <v>Bollman Headwear Europe Ltd; 2 Merchants drive, Caelisle, Cumbria CA3 0JW, United Kingdom</v>
      </c>
      <c r="R323" s="80" t="str">
        <f ca="1">_xlfn.XLOOKUP(RIGHT(Z323,2),Размеры!D:D,Размеры!A:A,"ERR",0)</f>
        <v>57</v>
      </c>
      <c r="S323" s="80">
        <f ca="1">VALUE(_xlfn.XLOOKUP($Z323,Строчный!$R:$R,Строчный!T:T,"ERR",0))</f>
        <v>10</v>
      </c>
      <c r="T323" s="14" t="s">
        <v>265</v>
      </c>
      <c r="U323" s="101" t="str">
        <f t="shared" ca="1" si="33"/>
        <v>Шляпа BAILEY арт. 81690 MANNES (песочный)</v>
      </c>
      <c r="V323" s="100" t="str">
        <f t="shared" ca="1" si="34"/>
        <v>Шляпа BAILEY арт. 81690 MANNES (песочный) {natural multi}</v>
      </c>
      <c r="W323" s="18" t="str">
        <f t="shared" ca="1" si="35"/>
        <v>песочный</v>
      </c>
      <c r="X323" s="18" t="str">
        <f t="shared" ca="1" si="36"/>
        <v>песочный</v>
      </c>
      <c r="Y323" s="117" t="str">
        <f ca="1">_xlfn.LET(_xlpm.FormColors,_xlfn.XLOOKUP(A323,Строчный!A:A,Строчный!Q:Q,"",0),IF(_xlpm.FormColors=0,IFERROR(MID(I323,FIND("-",I323)+1,LEN(I323)),IFERROR(MID(I323,1,FIND("/",I323)-2),I323)),_xlpm.FormColors))</f>
        <v>песочный</v>
      </c>
      <c r="Z323" s="73" t="str">
        <f ca="1"/>
        <v>21-091-02-57</v>
      </c>
      <c r="AA323" s="75" t="str">
        <f ca="1">VLOOKUP(C323,Группа!A:B,2,FALSE)</f>
        <v>Шляпа</v>
      </c>
      <c r="AB323" s="97" t="str">
        <f ca="1">IFERROR(VLOOKUP(R323,Размеры!A:C,3,FALSE),"")</f>
        <v>57 M</v>
      </c>
      <c r="AC323" s="97" t="str">
        <f ca="1">VLOOKUP(I323,ЦветПолный!A:B,2,FALSE)</f>
        <v>02</v>
      </c>
      <c r="AD323" s="97" t="str">
        <f ca="1">IFERROR(VLOOKUP(R323,Размеры!A:D,4,FALSE),"")</f>
        <v>57</v>
      </c>
      <c r="AE323" s="97">
        <f ca="1">IF(LEFT(IFERROR(VLOOKUP(LOOKUP(2,1/SEARCH(B323,Товары!A:A),Товары!A:A),Товары!A:B,2,0),""),6)=MID(Z323,1,6),1,0)</f>
        <v>1</v>
      </c>
      <c r="AG323" s="97">
        <f ca="1">SUMIF(Группа!A:A,C323,Группа!C:C)</f>
        <v>1</v>
      </c>
      <c r="AH323" s="97">
        <f ca="1">SUMIF(Группа!B:B,AA323,Группа!C:C)</f>
        <v>1</v>
      </c>
      <c r="AI323" s="97">
        <f ca="1">SUMIF(Формы!A:A,D323,Формы!B:B)</f>
        <v>1</v>
      </c>
      <c r="AJ323" s="97">
        <f ca="1">SUMIF(Материал!A:A,K323,Материал!B:B)</f>
        <v>0</v>
      </c>
      <c r="AK323" s="97">
        <f ca="1">SUMIF(Размеры!A:A,R323,Размеры!E:E)</f>
        <v>1</v>
      </c>
      <c r="AL323" s="97">
        <f ca="1">SUMIF(Сезон!A:A,F323,Сезон!B:B)</f>
        <v>1</v>
      </c>
      <c r="AM323" s="97">
        <f ca="1">SUMIF(Состав!A:A,J323,Состав!B:B)</f>
        <v>1</v>
      </c>
      <c r="AN323" s="97">
        <f ca="1">VLOOKUP(I323,ЦветПолный!A:C,3,0)</f>
        <v>1</v>
      </c>
      <c r="AO323" s="97">
        <f ca="1">SUMIF(Цвет!A:A,Y323,Цвет!B:B)</f>
        <v>1</v>
      </c>
      <c r="AP323" s="97">
        <f ca="1">_xlfn.XLOOKUP(L323,Пол!A:A,Пол!B:B,0,0)</f>
        <v>1</v>
      </c>
      <c r="AQ323" s="97">
        <f ca="1">SUMIF(Марка!A:A,G323,Марка!B:B)</f>
        <v>1</v>
      </c>
      <c r="AR323" s="97">
        <f ca="1">SUMIF(Страна!A:A,M323,Страна!B:B)</f>
        <v>1</v>
      </c>
      <c r="AS323" s="64" t="e">
        <f ca="1">IF(VLOOKUP(V323,Товары!A:B,2,FALSE)=A323,"Есть в 1С","ERR")</f>
        <v>#N/A</v>
      </c>
      <c r="AT323" s="65" t="e">
        <f ca="1">IF(VLOOKUP(A323,Товары!B:B,1,FALSE)=A323,"Есть в 1С","ERR")</f>
        <v>#N/A</v>
      </c>
      <c r="AU323" s="96" t="e">
        <f ca="1">VLOOKUP(V323,Товары!A:B,2,FALSE)</f>
        <v>#N/A</v>
      </c>
      <c r="AV323" s="94" t="e">
        <f ca="1">VLOOKUP(V323,Товары!A:B,1,FALSE)</f>
        <v>#N/A</v>
      </c>
    </row>
    <row r="324" spans="1:48" x14ac:dyDescent="0.25">
      <c r="A324" s="110" t="str">
        <f t="shared" ca="1" si="37"/>
        <v>21-091-02</v>
      </c>
      <c r="B324" s="107" t="str">
        <f ca="1">_xlfn.LET(_xlpm.CAPS,0,_xlpm.Style,_xlfn.XLOOKUP($A324,Строчный!$A:$A,Строчный!B:B,"ERR",0),IF(_xlpm.CAPS=0,_xlpm.Style,LOWER(_xlpm.Style)))</f>
        <v>81690 MANNES</v>
      </c>
      <c r="C324" s="81" t="str">
        <f ca="1">PROPER(_xlfn.XLOOKUP($A324,Строчный!$A:$A,Строчный!C:C,"ERR",0))</f>
        <v>Шляпы</v>
      </c>
      <c r="D324" s="81" t="str">
        <f ca="1">_xlfn.LET(_xlpm.DATA,(_xlfn.XLOOKUP($A324,Строчный!$A:$A,Строчный!D:D,"ERR",0)),UPPER(MID(_xlpm.DATA,1,1))&amp;LOWER(MID(_xlpm.DATA,2,LEN(_xlpm.DATA)-1)))</f>
        <v>Шляпа хомбург</v>
      </c>
      <c r="E324" s="81" t="str">
        <f ca="1">PROPER(_xlfn.XLOOKUP($A324,Строчный!$A:$A,Строчный!E:E,"ERR",0))</f>
        <v>The Hollywood</v>
      </c>
      <c r="F324" s="81" t="str">
        <f ca="1">LOWER(_xlfn.XLOOKUP($A324,Строчный!$A:$A,Строчный!F:F,"ERR",0))</f>
        <v>летний</v>
      </c>
      <c r="G324" s="81" t="str">
        <f ca="1">UPPER(_xlfn.XLOOKUP($A324,Строчный!$A:$A,Строчный!G:G,"ERR",0))</f>
        <v>BAILEY</v>
      </c>
      <c r="H324" s="81" t="str">
        <f ca="1">LOWER(_xlfn.XLOOKUP($A324,Строчный!$A:$A,Строчный!H:H,"ERR",0))</f>
        <v>natural multi</v>
      </c>
      <c r="I324" s="81" t="str">
        <f ca="1">LOWER(_xlfn.XLOOKUP($A324,Строчный!$A:$A,Строчный!I:I,"ERR",0))</f>
        <v>песочный</v>
      </c>
      <c r="J324" s="81" t="str">
        <f ca="1">SUBSTITUTE(LOWER(_xlfn.XLOOKUP($A324,Строчный!$A:$A,Строчный!J:J,"ERR",0)),"подклад","Подклад")</f>
        <v>100% полипропилен</v>
      </c>
      <c r="K324" s="81" t="str">
        <f ca="1">LOWER(_xlfn.XLOOKUP($A324,Строчный!$A:$A,Строчный!K:K,"ERR",0))</f>
        <v/>
      </c>
      <c r="L324" s="81" t="str">
        <f ca="1">PROPER(_xlfn.XLOOKUP($A324,Строчный!$A:$A,Строчный!L:L,"ERR",0))</f>
        <v>Унисекс</v>
      </c>
      <c r="M324" s="113" t="str">
        <f ca="1">PROPER(_xlfn.XLOOKUP($A324,Строчный!$A:$A,Строчный!M:M,"ERR",0))</f>
        <v>Китай</v>
      </c>
      <c r="N324" s="81" t="str">
        <f ca="1">UPPER(_xlfn.XLOOKUP($A324,Строчный!$A:$A,Строчный!O:O,"ERR",0))</f>
        <v/>
      </c>
      <c r="O324" s="107" t="str">
        <f ca="1">PROPER(_xlfn.XLOOKUP($A324,Строчный!$A:$A,Строчный!P:P,"ERR",0))</f>
        <v/>
      </c>
      <c r="P324" s="90">
        <f ca="1">VALUE(_xlfn.XLOOKUP($A324,Строчный!$A:$A,Строчный!N:N,"ERR",0))</f>
        <v>2094.3000000000002</v>
      </c>
      <c r="Q324" s="89" t="str">
        <f ca="1">_xlfn.XLOOKUP($G324,Фабрика!A:A,Фабрика!B:B,"ERR",0)</f>
        <v>Bollman Headwear Europe Ltd; 2 Merchants drive, Caelisle, Cumbria CA3 0JW, United Kingdom</v>
      </c>
      <c r="R324" s="80" t="str">
        <f ca="1">_xlfn.XLOOKUP(RIGHT(Z324,2),Размеры!D:D,Размеры!A:A,"ERR",0)</f>
        <v>55</v>
      </c>
      <c r="S324" s="80">
        <f ca="1">VALUE(_xlfn.XLOOKUP($Z324,Строчный!$R:$R,Строчный!T:T,"ERR",0))</f>
        <v>3</v>
      </c>
      <c r="T324" s="14" t="s">
        <v>265</v>
      </c>
      <c r="U324" s="101" t="str">
        <f t="shared" ca="1" si="33"/>
        <v>Шляпа BAILEY арт. 81690 MANNES (песочный)</v>
      </c>
      <c r="V324" s="100" t="str">
        <f t="shared" ca="1" si="34"/>
        <v>Шляпа BAILEY арт. 81690 MANNES (песочный) {natural multi}</v>
      </c>
      <c r="W324" s="18" t="str">
        <f t="shared" ca="1" si="35"/>
        <v>песочный</v>
      </c>
      <c r="X324" s="18" t="str">
        <f t="shared" ca="1" si="36"/>
        <v>песочный</v>
      </c>
      <c r="Y324" s="117" t="str">
        <f ca="1">_xlfn.LET(_xlpm.FormColors,_xlfn.XLOOKUP(A324,Строчный!A:A,Строчный!Q:Q,"",0),IF(_xlpm.FormColors=0,IFERROR(MID(I324,FIND("-",I324)+1,LEN(I324)),IFERROR(MID(I324,1,FIND("/",I324)-2),I324)),_xlpm.FormColors))</f>
        <v>песочный</v>
      </c>
      <c r="Z324" s="73" t="str">
        <f ca="1"/>
        <v>21-091-02-55</v>
      </c>
      <c r="AA324" s="75" t="str">
        <f ca="1">VLOOKUP(C324,Группа!A:B,2,FALSE)</f>
        <v>Шляпа</v>
      </c>
      <c r="AB324" s="97" t="str">
        <f ca="1">IFERROR(VLOOKUP(R324,Размеры!A:C,3,FALSE),"")</f>
        <v>55 S</v>
      </c>
      <c r="AC324" s="97" t="str">
        <f ca="1">VLOOKUP(I324,ЦветПолный!A:B,2,FALSE)</f>
        <v>02</v>
      </c>
      <c r="AD324" s="97" t="str">
        <f ca="1">IFERROR(VLOOKUP(R324,Размеры!A:D,4,FALSE),"")</f>
        <v>55</v>
      </c>
      <c r="AE324" s="97">
        <f ca="1">IF(LEFT(IFERROR(VLOOKUP(LOOKUP(2,1/SEARCH(B324,Товары!A:A),Товары!A:A),Товары!A:B,2,0),""),6)=MID(Z324,1,6),1,0)</f>
        <v>1</v>
      </c>
      <c r="AG324" s="97">
        <f ca="1">SUMIF(Группа!A:A,C324,Группа!C:C)</f>
        <v>1</v>
      </c>
      <c r="AH324" s="97">
        <f ca="1">SUMIF(Группа!B:B,AA324,Группа!C:C)</f>
        <v>1</v>
      </c>
      <c r="AI324" s="97">
        <f ca="1">SUMIF(Формы!A:A,D324,Формы!B:B)</f>
        <v>1</v>
      </c>
      <c r="AJ324" s="97">
        <f ca="1">SUMIF(Материал!A:A,K324,Материал!B:B)</f>
        <v>0</v>
      </c>
      <c r="AK324" s="97">
        <f ca="1">SUMIF(Размеры!A:A,R324,Размеры!E:E)</f>
        <v>1</v>
      </c>
      <c r="AL324" s="97">
        <f ca="1">SUMIF(Сезон!A:A,F324,Сезон!B:B)</f>
        <v>1</v>
      </c>
      <c r="AM324" s="97">
        <f ca="1">SUMIF(Состав!A:A,J324,Состав!B:B)</f>
        <v>1</v>
      </c>
      <c r="AN324" s="97">
        <f ca="1">VLOOKUP(I324,ЦветПолный!A:C,3,0)</f>
        <v>1</v>
      </c>
      <c r="AO324" s="97">
        <f ca="1">SUMIF(Цвет!A:A,Y324,Цвет!B:B)</f>
        <v>1</v>
      </c>
      <c r="AP324" s="97">
        <f ca="1">_xlfn.XLOOKUP(L324,Пол!A:A,Пол!B:B,0,0)</f>
        <v>1</v>
      </c>
      <c r="AQ324" s="97">
        <f ca="1">SUMIF(Марка!A:A,G324,Марка!B:B)</f>
        <v>1</v>
      </c>
      <c r="AR324" s="97">
        <f ca="1">SUMIF(Страна!A:A,M324,Страна!B:B)</f>
        <v>1</v>
      </c>
      <c r="AS324" s="64" t="e">
        <f ca="1">IF(VLOOKUP(V324,Товары!A:B,2,FALSE)=A324,"Есть в 1С","ERR")</f>
        <v>#N/A</v>
      </c>
      <c r="AT324" s="65" t="e">
        <f ca="1">IF(VLOOKUP(A324,Товары!B:B,1,FALSE)=A324,"Есть в 1С","ERR")</f>
        <v>#N/A</v>
      </c>
      <c r="AU324" s="96" t="e">
        <f ca="1">VLOOKUP(V324,Товары!A:B,2,FALSE)</f>
        <v>#N/A</v>
      </c>
      <c r="AV324" s="94" t="e">
        <f ca="1">VLOOKUP(V324,Товары!A:B,1,FALSE)</f>
        <v>#N/A</v>
      </c>
    </row>
    <row r="325" spans="1:48" x14ac:dyDescent="0.25">
      <c r="A325" s="110" t="str">
        <f t="shared" ca="1" si="37"/>
        <v>21-091-01</v>
      </c>
      <c r="B325" s="107" t="str">
        <f ca="1">_xlfn.LET(_xlpm.CAPS,0,_xlpm.Style,_xlfn.XLOOKUP($A325,Строчный!$A:$A,Строчный!B:B,"ERR",0),IF(_xlpm.CAPS=0,_xlpm.Style,LOWER(_xlpm.Style)))</f>
        <v>81690 MANNES</v>
      </c>
      <c r="C325" s="81" t="str">
        <f ca="1">PROPER(_xlfn.XLOOKUP($A325,Строчный!$A:$A,Строчный!C:C,"ERR",0))</f>
        <v>Шляпы</v>
      </c>
      <c r="D325" s="81" t="str">
        <f ca="1">_xlfn.LET(_xlpm.DATA,(_xlfn.XLOOKUP($A325,Строчный!$A:$A,Строчный!D:D,"ERR",0)),UPPER(MID(_xlpm.DATA,1,1))&amp;LOWER(MID(_xlpm.DATA,2,LEN(_xlpm.DATA)-1)))</f>
        <v>Шляпа хомбург</v>
      </c>
      <c r="E325" s="81" t="str">
        <f ca="1">PROPER(_xlfn.XLOOKUP($A325,Строчный!$A:$A,Строчный!E:E,"ERR",0))</f>
        <v>The Hollywood</v>
      </c>
      <c r="F325" s="81" t="str">
        <f ca="1">LOWER(_xlfn.XLOOKUP($A325,Строчный!$A:$A,Строчный!F:F,"ERR",0))</f>
        <v>летний</v>
      </c>
      <c r="G325" s="81" t="str">
        <f ca="1">UPPER(_xlfn.XLOOKUP($A325,Строчный!$A:$A,Строчный!G:G,"ERR",0))</f>
        <v>BAILEY</v>
      </c>
      <c r="H325" s="81" t="str">
        <f ca="1">LOWER(_xlfn.XLOOKUP($A325,Строчный!$A:$A,Строчный!H:H,"ERR",0))</f>
        <v>light grey</v>
      </c>
      <c r="I325" s="81" t="str">
        <f ca="1">LOWER(_xlfn.XLOOKUP($A325,Строчный!$A:$A,Строчный!I:I,"ERR",0))</f>
        <v>светло-серый</v>
      </c>
      <c r="J325" s="81" t="str">
        <f ca="1">SUBSTITUTE(LOWER(_xlfn.XLOOKUP($A325,Строчный!$A:$A,Строчный!J:J,"ERR",0)),"подклад","Подклад")</f>
        <v>100% полипропилен</v>
      </c>
      <c r="K325" s="81" t="str">
        <f ca="1">LOWER(_xlfn.XLOOKUP($A325,Строчный!$A:$A,Строчный!K:K,"ERR",0))</f>
        <v/>
      </c>
      <c r="L325" s="81" t="str">
        <f ca="1">PROPER(_xlfn.XLOOKUP($A325,Строчный!$A:$A,Строчный!L:L,"ERR",0))</f>
        <v>Унисекс</v>
      </c>
      <c r="M325" s="113" t="str">
        <f ca="1">PROPER(_xlfn.XLOOKUP($A325,Строчный!$A:$A,Строчный!M:M,"ERR",0))</f>
        <v>Китай</v>
      </c>
      <c r="N325" s="81" t="str">
        <f ca="1">UPPER(_xlfn.XLOOKUP($A325,Строчный!$A:$A,Строчный!O:O,"ERR",0))</f>
        <v/>
      </c>
      <c r="O325" s="107" t="str">
        <f ca="1">PROPER(_xlfn.XLOOKUP($A325,Строчный!$A:$A,Строчный!P:P,"ERR",0))</f>
        <v/>
      </c>
      <c r="P325" s="90">
        <f ca="1">VALUE(_xlfn.XLOOKUP($A325,Строчный!$A:$A,Строчный!N:N,"ERR",0))</f>
        <v>2094.3000000000002</v>
      </c>
      <c r="Q325" s="89" t="str">
        <f ca="1">_xlfn.XLOOKUP($G325,Фабрика!A:A,Фабрика!B:B,"ERR",0)</f>
        <v>Bollman Headwear Europe Ltd; 2 Merchants drive, Caelisle, Cumbria CA3 0JW, United Kingdom</v>
      </c>
      <c r="R325" s="80" t="str">
        <f ca="1">_xlfn.XLOOKUP(RIGHT(Z325,2),Размеры!D:D,Размеры!A:A,"ERR",0)</f>
        <v>63</v>
      </c>
      <c r="S325" s="80">
        <f ca="1">VALUE(_xlfn.XLOOKUP($Z325,Строчный!$R:$R,Строчный!T:T,"ERR",0))</f>
        <v>3</v>
      </c>
      <c r="T325" s="14" t="s">
        <v>265</v>
      </c>
      <c r="U325" s="101" t="str">
        <f t="shared" ca="1" si="33"/>
        <v>Шляпа BAILEY арт. 81690 MANNES (светло-серый)</v>
      </c>
      <c r="V325" s="100" t="str">
        <f t="shared" ca="1" si="34"/>
        <v>Шляпа BAILEY арт. 81690 MANNES (светло-серый) {light grey}</v>
      </c>
      <c r="W325" s="18" t="str">
        <f t="shared" ca="1" si="35"/>
        <v>серый</v>
      </c>
      <c r="X325" s="18" t="str">
        <f t="shared" ca="1" si="36"/>
        <v>серый</v>
      </c>
      <c r="Y325" s="117" t="str">
        <f ca="1">_xlfn.LET(_xlpm.FormColors,_xlfn.XLOOKUP(A325,Строчный!A:A,Строчный!Q:Q,"",0),IF(_xlpm.FormColors=0,IFERROR(MID(I325,FIND("-",I325)+1,LEN(I325)),IFERROR(MID(I325,1,FIND("/",I325)-2),I325)),_xlpm.FormColors))</f>
        <v>серый</v>
      </c>
      <c r="Z325" s="73" t="str">
        <f ca="1"/>
        <v>21-091-01-63</v>
      </c>
      <c r="AA325" s="75" t="str">
        <f ca="1">VLOOKUP(C325,Группа!A:B,2,FALSE)</f>
        <v>Шляпа</v>
      </c>
      <c r="AB325" s="97" t="str">
        <f ca="1">IFERROR(VLOOKUP(R325,Размеры!A:C,3,FALSE),"")</f>
        <v>63 XXL</v>
      </c>
      <c r="AC325" s="97" t="str">
        <f ca="1">VLOOKUP(I325,ЦветПолный!A:B,2,FALSE)</f>
        <v>01</v>
      </c>
      <c r="AD325" s="97" t="str">
        <f ca="1">IFERROR(VLOOKUP(R325,Размеры!A:D,4,FALSE),"")</f>
        <v>63</v>
      </c>
      <c r="AE325" s="97">
        <f ca="1">IF(LEFT(IFERROR(VLOOKUP(LOOKUP(2,1/SEARCH(B325,Товары!A:A),Товары!A:A),Товары!A:B,2,0),""),6)=MID(Z325,1,6),1,0)</f>
        <v>1</v>
      </c>
      <c r="AG325" s="97">
        <f ca="1">SUMIF(Группа!A:A,C325,Группа!C:C)</f>
        <v>1</v>
      </c>
      <c r="AH325" s="97">
        <f ca="1">SUMIF(Группа!B:B,AA325,Группа!C:C)</f>
        <v>1</v>
      </c>
      <c r="AI325" s="97">
        <f ca="1">SUMIF(Формы!A:A,D325,Формы!B:B)</f>
        <v>1</v>
      </c>
      <c r="AJ325" s="97">
        <f ca="1">SUMIF(Материал!A:A,K325,Материал!B:B)</f>
        <v>0</v>
      </c>
      <c r="AK325" s="97">
        <f ca="1">SUMIF(Размеры!A:A,R325,Размеры!E:E)</f>
        <v>1</v>
      </c>
      <c r="AL325" s="97">
        <f ca="1">SUMIF(Сезон!A:A,F325,Сезон!B:B)</f>
        <v>1</v>
      </c>
      <c r="AM325" s="97">
        <f ca="1">SUMIF(Состав!A:A,J325,Состав!B:B)</f>
        <v>1</v>
      </c>
      <c r="AN325" s="97">
        <f ca="1">VLOOKUP(I325,ЦветПолный!A:C,3,0)</f>
        <v>1</v>
      </c>
      <c r="AO325" s="97">
        <f ca="1">SUMIF(Цвет!A:A,Y325,Цвет!B:B)</f>
        <v>1</v>
      </c>
      <c r="AP325" s="97">
        <f ca="1">_xlfn.XLOOKUP(L325,Пол!A:A,Пол!B:B,0,0)</f>
        <v>1</v>
      </c>
      <c r="AQ325" s="97">
        <f ca="1">SUMIF(Марка!A:A,G325,Марка!B:B)</f>
        <v>1</v>
      </c>
      <c r="AR325" s="97">
        <f ca="1">SUMIF(Страна!A:A,M325,Страна!B:B)</f>
        <v>1</v>
      </c>
      <c r="AS325" s="64" t="str">
        <f ca="1">IF(VLOOKUP(V325,Товары!A:B,2,FALSE)=A325,"Есть в 1С","ERR")</f>
        <v>Есть в 1С</v>
      </c>
      <c r="AT325" s="65" t="str">
        <f ca="1">IF(VLOOKUP(A325,Товары!B:B,1,FALSE)=A325,"Есть в 1С","ERR")</f>
        <v>Есть в 1С</v>
      </c>
      <c r="AU325" s="96" t="str">
        <f ca="1">VLOOKUP(V325,Товары!A:B,2,FALSE)</f>
        <v>21-091-01</v>
      </c>
      <c r="AV325" s="94" t="str">
        <f ca="1">VLOOKUP(V325,Товары!A:B,1,FALSE)</f>
        <v>Шляпа BAILEY арт. 81690 MANNES (светло-серый) {light grey}</v>
      </c>
    </row>
    <row r="326" spans="1:48" x14ac:dyDescent="0.25">
      <c r="A326" s="110" t="str">
        <f t="shared" ca="1" si="37"/>
        <v>21-091-01</v>
      </c>
      <c r="B326" s="107" t="str">
        <f ca="1">_xlfn.LET(_xlpm.CAPS,0,_xlpm.Style,_xlfn.XLOOKUP($A326,Строчный!$A:$A,Строчный!B:B,"ERR",0),IF(_xlpm.CAPS=0,_xlpm.Style,LOWER(_xlpm.Style)))</f>
        <v>81690 MANNES</v>
      </c>
      <c r="C326" s="81" t="str">
        <f ca="1">PROPER(_xlfn.XLOOKUP($A326,Строчный!$A:$A,Строчный!C:C,"ERR",0))</f>
        <v>Шляпы</v>
      </c>
      <c r="D326" s="81" t="str">
        <f ca="1">_xlfn.LET(_xlpm.DATA,(_xlfn.XLOOKUP($A326,Строчный!$A:$A,Строчный!D:D,"ERR",0)),UPPER(MID(_xlpm.DATA,1,1))&amp;LOWER(MID(_xlpm.DATA,2,LEN(_xlpm.DATA)-1)))</f>
        <v>Шляпа хомбург</v>
      </c>
      <c r="E326" s="81" t="str">
        <f ca="1">PROPER(_xlfn.XLOOKUP($A326,Строчный!$A:$A,Строчный!E:E,"ERR",0))</f>
        <v>The Hollywood</v>
      </c>
      <c r="F326" s="81" t="str">
        <f ca="1">LOWER(_xlfn.XLOOKUP($A326,Строчный!$A:$A,Строчный!F:F,"ERR",0))</f>
        <v>летний</v>
      </c>
      <c r="G326" s="81" t="str">
        <f ca="1">UPPER(_xlfn.XLOOKUP($A326,Строчный!$A:$A,Строчный!G:G,"ERR",0))</f>
        <v>BAILEY</v>
      </c>
      <c r="H326" s="81" t="str">
        <f ca="1">LOWER(_xlfn.XLOOKUP($A326,Строчный!$A:$A,Строчный!H:H,"ERR",0))</f>
        <v>light grey</v>
      </c>
      <c r="I326" s="81" t="str">
        <f ca="1">LOWER(_xlfn.XLOOKUP($A326,Строчный!$A:$A,Строчный!I:I,"ERR",0))</f>
        <v>светло-серый</v>
      </c>
      <c r="J326" s="81" t="str">
        <f ca="1">SUBSTITUTE(LOWER(_xlfn.XLOOKUP($A326,Строчный!$A:$A,Строчный!J:J,"ERR",0)),"подклад","Подклад")</f>
        <v>100% полипропилен</v>
      </c>
      <c r="K326" s="81" t="str">
        <f ca="1">LOWER(_xlfn.XLOOKUP($A326,Строчный!$A:$A,Строчный!K:K,"ERR",0))</f>
        <v/>
      </c>
      <c r="L326" s="81" t="str">
        <f ca="1">PROPER(_xlfn.XLOOKUP($A326,Строчный!$A:$A,Строчный!L:L,"ERR",0))</f>
        <v>Унисекс</v>
      </c>
      <c r="M326" s="113" t="str">
        <f ca="1">PROPER(_xlfn.XLOOKUP($A326,Строчный!$A:$A,Строчный!M:M,"ERR",0))</f>
        <v>Китай</v>
      </c>
      <c r="N326" s="81" t="str">
        <f ca="1">UPPER(_xlfn.XLOOKUP($A326,Строчный!$A:$A,Строчный!O:O,"ERR",0))</f>
        <v/>
      </c>
      <c r="O326" s="107" t="str">
        <f ca="1">PROPER(_xlfn.XLOOKUP($A326,Строчный!$A:$A,Строчный!P:P,"ERR",0))</f>
        <v/>
      </c>
      <c r="P326" s="90">
        <f ca="1">VALUE(_xlfn.XLOOKUP($A326,Строчный!$A:$A,Строчный!N:N,"ERR",0))</f>
        <v>2094.3000000000002</v>
      </c>
      <c r="Q326" s="89" t="str">
        <f ca="1">_xlfn.XLOOKUP($G326,Фабрика!A:A,Фабрика!B:B,"ERR",0)</f>
        <v>Bollman Headwear Europe Ltd; 2 Merchants drive, Caelisle, Cumbria CA3 0JW, United Kingdom</v>
      </c>
      <c r="R326" s="80" t="str">
        <f ca="1">_xlfn.XLOOKUP(RIGHT(Z326,2),Размеры!D:D,Размеры!A:A,"ERR",0)</f>
        <v>61</v>
      </c>
      <c r="S326" s="80">
        <f ca="1">VALUE(_xlfn.XLOOKUP($Z326,Строчный!$R:$R,Строчный!T:T,"ERR",0))</f>
        <v>8</v>
      </c>
      <c r="T326" s="14" t="s">
        <v>265</v>
      </c>
      <c r="U326" s="101" t="str">
        <f t="shared" ca="1" si="33"/>
        <v>Шляпа BAILEY арт. 81690 MANNES (светло-серый)</v>
      </c>
      <c r="V326" s="100" t="str">
        <f t="shared" ca="1" si="34"/>
        <v>Шляпа BAILEY арт. 81690 MANNES (светло-серый) {light grey}</v>
      </c>
      <c r="W326" s="18" t="str">
        <f t="shared" ca="1" si="35"/>
        <v>серый</v>
      </c>
      <c r="X326" s="18" t="str">
        <f t="shared" ca="1" si="36"/>
        <v>серый</v>
      </c>
      <c r="Y326" s="117" t="str">
        <f ca="1">_xlfn.LET(_xlpm.FormColors,_xlfn.XLOOKUP(A326,Строчный!A:A,Строчный!Q:Q,"",0),IF(_xlpm.FormColors=0,IFERROR(MID(I326,FIND("-",I326)+1,LEN(I326)),IFERROR(MID(I326,1,FIND("/",I326)-2),I326)),_xlpm.FormColors))</f>
        <v>серый</v>
      </c>
      <c r="Z326" s="73" t="str">
        <f ca="1"/>
        <v>21-091-01-61</v>
      </c>
      <c r="AA326" s="75" t="str">
        <f ca="1">VLOOKUP(C326,Группа!A:B,2,FALSE)</f>
        <v>Шляпа</v>
      </c>
      <c r="AB326" s="97" t="str">
        <f ca="1">IFERROR(VLOOKUP(R326,Размеры!A:C,3,FALSE),"")</f>
        <v>61 XL</v>
      </c>
      <c r="AC326" s="97" t="str">
        <f ca="1">VLOOKUP(I326,ЦветПолный!A:B,2,FALSE)</f>
        <v>01</v>
      </c>
      <c r="AD326" s="97" t="str">
        <f ca="1">IFERROR(VLOOKUP(R326,Размеры!A:D,4,FALSE),"")</f>
        <v>61</v>
      </c>
      <c r="AE326" s="97">
        <f ca="1">IF(LEFT(IFERROR(VLOOKUP(LOOKUP(2,1/SEARCH(B326,Товары!A:A),Товары!A:A),Товары!A:B,2,0),""),6)=MID(Z326,1,6),1,0)</f>
        <v>1</v>
      </c>
      <c r="AG326" s="97">
        <f ca="1">SUMIF(Группа!A:A,C326,Группа!C:C)</f>
        <v>1</v>
      </c>
      <c r="AH326" s="97">
        <f ca="1">SUMIF(Группа!B:B,AA326,Группа!C:C)</f>
        <v>1</v>
      </c>
      <c r="AI326" s="97">
        <f ca="1">SUMIF(Формы!A:A,D326,Формы!B:B)</f>
        <v>1</v>
      </c>
      <c r="AJ326" s="97">
        <f ca="1">SUMIF(Материал!A:A,K326,Материал!B:B)</f>
        <v>0</v>
      </c>
      <c r="AK326" s="97">
        <f ca="1">SUMIF(Размеры!A:A,R326,Размеры!E:E)</f>
        <v>1</v>
      </c>
      <c r="AL326" s="97">
        <f ca="1">SUMIF(Сезон!A:A,F326,Сезон!B:B)</f>
        <v>1</v>
      </c>
      <c r="AM326" s="97">
        <f ca="1">SUMIF(Состав!A:A,J326,Состав!B:B)</f>
        <v>1</v>
      </c>
      <c r="AN326" s="97">
        <f ca="1">VLOOKUP(I326,ЦветПолный!A:C,3,0)</f>
        <v>1</v>
      </c>
      <c r="AO326" s="97">
        <f ca="1">SUMIF(Цвет!A:A,Y326,Цвет!B:B)</f>
        <v>1</v>
      </c>
      <c r="AP326" s="97">
        <f ca="1">_xlfn.XLOOKUP(L326,Пол!A:A,Пол!B:B,0,0)</f>
        <v>1</v>
      </c>
      <c r="AQ326" s="97">
        <f ca="1">SUMIF(Марка!A:A,G326,Марка!B:B)</f>
        <v>1</v>
      </c>
      <c r="AR326" s="97">
        <f ca="1">SUMIF(Страна!A:A,M326,Страна!B:B)</f>
        <v>1</v>
      </c>
      <c r="AS326" s="64" t="str">
        <f ca="1">IF(VLOOKUP(V326,Товары!A:B,2,FALSE)=A326,"Есть в 1С","ERR")</f>
        <v>Есть в 1С</v>
      </c>
      <c r="AT326" s="65" t="str">
        <f ca="1">IF(VLOOKUP(A326,Товары!B:B,1,FALSE)=A326,"Есть в 1С","ERR")</f>
        <v>Есть в 1С</v>
      </c>
      <c r="AU326" s="96" t="str">
        <f ca="1">VLOOKUP(V326,Товары!A:B,2,FALSE)</f>
        <v>21-091-01</v>
      </c>
      <c r="AV326" s="94" t="str">
        <f ca="1">VLOOKUP(V326,Товары!A:B,1,FALSE)</f>
        <v>Шляпа BAILEY арт. 81690 MANNES (светло-серый) {light grey}</v>
      </c>
    </row>
    <row r="327" spans="1:48" x14ac:dyDescent="0.25">
      <c r="A327" s="110" t="str">
        <f t="shared" ca="1" si="37"/>
        <v>21-091-01</v>
      </c>
      <c r="B327" s="107" t="str">
        <f ca="1">_xlfn.LET(_xlpm.CAPS,0,_xlpm.Style,_xlfn.XLOOKUP($A327,Строчный!$A:$A,Строчный!B:B,"ERR",0),IF(_xlpm.CAPS=0,_xlpm.Style,LOWER(_xlpm.Style)))</f>
        <v>81690 MANNES</v>
      </c>
      <c r="C327" s="81" t="str">
        <f ca="1">PROPER(_xlfn.XLOOKUP($A327,Строчный!$A:$A,Строчный!C:C,"ERR",0))</f>
        <v>Шляпы</v>
      </c>
      <c r="D327" s="81" t="str">
        <f ca="1">_xlfn.LET(_xlpm.DATA,(_xlfn.XLOOKUP($A327,Строчный!$A:$A,Строчный!D:D,"ERR",0)),UPPER(MID(_xlpm.DATA,1,1))&amp;LOWER(MID(_xlpm.DATA,2,LEN(_xlpm.DATA)-1)))</f>
        <v>Шляпа хомбург</v>
      </c>
      <c r="E327" s="81" t="str">
        <f ca="1">PROPER(_xlfn.XLOOKUP($A327,Строчный!$A:$A,Строчный!E:E,"ERR",0))</f>
        <v>The Hollywood</v>
      </c>
      <c r="F327" s="81" t="str">
        <f ca="1">LOWER(_xlfn.XLOOKUP($A327,Строчный!$A:$A,Строчный!F:F,"ERR",0))</f>
        <v>летний</v>
      </c>
      <c r="G327" s="81" t="str">
        <f ca="1">UPPER(_xlfn.XLOOKUP($A327,Строчный!$A:$A,Строчный!G:G,"ERR",0))</f>
        <v>BAILEY</v>
      </c>
      <c r="H327" s="81" t="str">
        <f ca="1">LOWER(_xlfn.XLOOKUP($A327,Строчный!$A:$A,Строчный!H:H,"ERR",0))</f>
        <v>light grey</v>
      </c>
      <c r="I327" s="81" t="str">
        <f ca="1">LOWER(_xlfn.XLOOKUP($A327,Строчный!$A:$A,Строчный!I:I,"ERR",0))</f>
        <v>светло-серый</v>
      </c>
      <c r="J327" s="81" t="str">
        <f ca="1">SUBSTITUTE(LOWER(_xlfn.XLOOKUP($A327,Строчный!$A:$A,Строчный!J:J,"ERR",0)),"подклад","Подклад")</f>
        <v>100% полипропилен</v>
      </c>
      <c r="K327" s="81" t="str">
        <f ca="1">LOWER(_xlfn.XLOOKUP($A327,Строчный!$A:$A,Строчный!K:K,"ERR",0))</f>
        <v/>
      </c>
      <c r="L327" s="81" t="str">
        <f ca="1">PROPER(_xlfn.XLOOKUP($A327,Строчный!$A:$A,Строчный!L:L,"ERR",0))</f>
        <v>Унисекс</v>
      </c>
      <c r="M327" s="113" t="str">
        <f ca="1">PROPER(_xlfn.XLOOKUP($A327,Строчный!$A:$A,Строчный!M:M,"ERR",0))</f>
        <v>Китай</v>
      </c>
      <c r="N327" s="81" t="str">
        <f ca="1">UPPER(_xlfn.XLOOKUP($A327,Строчный!$A:$A,Строчный!O:O,"ERR",0))</f>
        <v/>
      </c>
      <c r="O327" s="107" t="str">
        <f ca="1">PROPER(_xlfn.XLOOKUP($A327,Строчный!$A:$A,Строчный!P:P,"ERR",0))</f>
        <v/>
      </c>
      <c r="P327" s="90">
        <f ca="1">VALUE(_xlfn.XLOOKUP($A327,Строчный!$A:$A,Строчный!N:N,"ERR",0))</f>
        <v>2094.3000000000002</v>
      </c>
      <c r="Q327" s="89" t="str">
        <f ca="1">_xlfn.XLOOKUP($G327,Фабрика!A:A,Фабрика!B:B,"ERR",0)</f>
        <v>Bollman Headwear Europe Ltd; 2 Merchants drive, Caelisle, Cumbria CA3 0JW, United Kingdom</v>
      </c>
      <c r="R327" s="80" t="str">
        <f ca="1">_xlfn.XLOOKUP(RIGHT(Z327,2),Размеры!D:D,Размеры!A:A,"ERR",0)</f>
        <v>59</v>
      </c>
      <c r="S327" s="80">
        <f ca="1">VALUE(_xlfn.XLOOKUP($Z327,Строчный!$R:$R,Строчный!T:T,"ERR",0))</f>
        <v>10</v>
      </c>
      <c r="T327" s="14" t="s">
        <v>265</v>
      </c>
      <c r="U327" s="101" t="str">
        <f t="shared" ca="1" si="33"/>
        <v>Шляпа BAILEY арт. 81690 MANNES (светло-серый)</v>
      </c>
      <c r="V327" s="100" t="str">
        <f t="shared" ca="1" si="34"/>
        <v>Шляпа BAILEY арт. 81690 MANNES (светло-серый) {light grey}</v>
      </c>
      <c r="W327" s="18" t="str">
        <f t="shared" ca="1" si="35"/>
        <v>серый</v>
      </c>
      <c r="X327" s="18" t="str">
        <f t="shared" ca="1" si="36"/>
        <v>серый</v>
      </c>
      <c r="Y327" s="117" t="str">
        <f ca="1">_xlfn.LET(_xlpm.FormColors,_xlfn.XLOOKUP(A327,Строчный!A:A,Строчный!Q:Q,"",0),IF(_xlpm.FormColors=0,IFERROR(MID(I327,FIND("-",I327)+1,LEN(I327)),IFERROR(MID(I327,1,FIND("/",I327)-2),I327)),_xlpm.FormColors))</f>
        <v>серый</v>
      </c>
      <c r="Z327" s="73" t="str">
        <f ca="1"/>
        <v>21-091-01-59</v>
      </c>
      <c r="AA327" s="75" t="str">
        <f ca="1">VLOOKUP(C327,Группа!A:B,2,FALSE)</f>
        <v>Шляпа</v>
      </c>
      <c r="AB327" s="97" t="str">
        <f ca="1">IFERROR(VLOOKUP(R327,Размеры!A:C,3,FALSE),"")</f>
        <v>59 L</v>
      </c>
      <c r="AC327" s="97" t="str">
        <f ca="1">VLOOKUP(I327,ЦветПолный!A:B,2,FALSE)</f>
        <v>01</v>
      </c>
      <c r="AD327" s="97" t="str">
        <f ca="1">IFERROR(VLOOKUP(R327,Размеры!A:D,4,FALSE),"")</f>
        <v>59</v>
      </c>
      <c r="AE327" s="97">
        <f ca="1">IF(LEFT(IFERROR(VLOOKUP(LOOKUP(2,1/SEARCH(B327,Товары!A:A),Товары!A:A),Товары!A:B,2,0),""),6)=MID(Z327,1,6),1,0)</f>
        <v>1</v>
      </c>
      <c r="AG327" s="97">
        <f ca="1">SUMIF(Группа!A:A,C327,Группа!C:C)</f>
        <v>1</v>
      </c>
      <c r="AH327" s="97">
        <f ca="1">SUMIF(Группа!B:B,AA327,Группа!C:C)</f>
        <v>1</v>
      </c>
      <c r="AI327" s="97">
        <f ca="1">SUMIF(Формы!A:A,D327,Формы!B:B)</f>
        <v>1</v>
      </c>
      <c r="AJ327" s="97">
        <f ca="1">SUMIF(Материал!A:A,K327,Материал!B:B)</f>
        <v>0</v>
      </c>
      <c r="AK327" s="97">
        <f ca="1">SUMIF(Размеры!A:A,R327,Размеры!E:E)</f>
        <v>1</v>
      </c>
      <c r="AL327" s="97">
        <f ca="1">SUMIF(Сезон!A:A,F327,Сезон!B:B)</f>
        <v>1</v>
      </c>
      <c r="AM327" s="97">
        <f ca="1">SUMIF(Состав!A:A,J327,Состав!B:B)</f>
        <v>1</v>
      </c>
      <c r="AN327" s="97">
        <f ca="1">VLOOKUP(I327,ЦветПолный!A:C,3,0)</f>
        <v>1</v>
      </c>
      <c r="AO327" s="97">
        <f ca="1">SUMIF(Цвет!A:A,Y327,Цвет!B:B)</f>
        <v>1</v>
      </c>
      <c r="AP327" s="97">
        <f ca="1">_xlfn.XLOOKUP(L327,Пол!A:A,Пол!B:B,0,0)</f>
        <v>1</v>
      </c>
      <c r="AQ327" s="97">
        <f ca="1">SUMIF(Марка!A:A,G327,Марка!B:B)</f>
        <v>1</v>
      </c>
      <c r="AR327" s="97">
        <f ca="1">SUMIF(Страна!A:A,M327,Страна!B:B)</f>
        <v>1</v>
      </c>
      <c r="AS327" s="64" t="str">
        <f ca="1">IF(VLOOKUP(V327,Товары!A:B,2,FALSE)=A327,"Есть в 1С","ERR")</f>
        <v>Есть в 1С</v>
      </c>
      <c r="AT327" s="65" t="str">
        <f ca="1">IF(VLOOKUP(A327,Товары!B:B,1,FALSE)=A327,"Есть в 1С","ERR")</f>
        <v>Есть в 1С</v>
      </c>
      <c r="AU327" s="96" t="str">
        <f ca="1">VLOOKUP(V327,Товары!A:B,2,FALSE)</f>
        <v>21-091-01</v>
      </c>
      <c r="AV327" s="94" t="str">
        <f ca="1">VLOOKUP(V327,Товары!A:B,1,FALSE)</f>
        <v>Шляпа BAILEY арт. 81690 MANNES (светло-серый) {light grey}</v>
      </c>
    </row>
    <row r="328" spans="1:48" x14ac:dyDescent="0.25">
      <c r="A328" s="110" t="str">
        <f t="shared" ca="1" si="37"/>
        <v>21-091-01</v>
      </c>
      <c r="B328" s="107" t="str">
        <f ca="1">_xlfn.LET(_xlpm.CAPS,0,_xlpm.Style,_xlfn.XLOOKUP($A328,Строчный!$A:$A,Строчный!B:B,"ERR",0),IF(_xlpm.CAPS=0,_xlpm.Style,LOWER(_xlpm.Style)))</f>
        <v>81690 MANNES</v>
      </c>
      <c r="C328" s="81" t="str">
        <f ca="1">PROPER(_xlfn.XLOOKUP($A328,Строчный!$A:$A,Строчный!C:C,"ERR",0))</f>
        <v>Шляпы</v>
      </c>
      <c r="D328" s="81" t="str">
        <f ca="1">_xlfn.LET(_xlpm.DATA,(_xlfn.XLOOKUP($A328,Строчный!$A:$A,Строчный!D:D,"ERR",0)),UPPER(MID(_xlpm.DATA,1,1))&amp;LOWER(MID(_xlpm.DATA,2,LEN(_xlpm.DATA)-1)))</f>
        <v>Шляпа хомбург</v>
      </c>
      <c r="E328" s="81" t="str">
        <f ca="1">PROPER(_xlfn.XLOOKUP($A328,Строчный!$A:$A,Строчный!E:E,"ERR",0))</f>
        <v>The Hollywood</v>
      </c>
      <c r="F328" s="81" t="str">
        <f ca="1">LOWER(_xlfn.XLOOKUP($A328,Строчный!$A:$A,Строчный!F:F,"ERR",0))</f>
        <v>летний</v>
      </c>
      <c r="G328" s="81" t="str">
        <f ca="1">UPPER(_xlfn.XLOOKUP($A328,Строчный!$A:$A,Строчный!G:G,"ERR",0))</f>
        <v>BAILEY</v>
      </c>
      <c r="H328" s="81" t="str">
        <f ca="1">LOWER(_xlfn.XLOOKUP($A328,Строчный!$A:$A,Строчный!H:H,"ERR",0))</f>
        <v>light grey</v>
      </c>
      <c r="I328" s="81" t="str">
        <f ca="1">LOWER(_xlfn.XLOOKUP($A328,Строчный!$A:$A,Строчный!I:I,"ERR",0))</f>
        <v>светло-серый</v>
      </c>
      <c r="J328" s="81" t="str">
        <f ca="1">SUBSTITUTE(LOWER(_xlfn.XLOOKUP($A328,Строчный!$A:$A,Строчный!J:J,"ERR",0)),"подклад","Подклад")</f>
        <v>100% полипропилен</v>
      </c>
      <c r="K328" s="81" t="str">
        <f ca="1">LOWER(_xlfn.XLOOKUP($A328,Строчный!$A:$A,Строчный!K:K,"ERR",0))</f>
        <v/>
      </c>
      <c r="L328" s="81" t="str">
        <f ca="1">PROPER(_xlfn.XLOOKUP($A328,Строчный!$A:$A,Строчный!L:L,"ERR",0))</f>
        <v>Унисекс</v>
      </c>
      <c r="M328" s="113" t="str">
        <f ca="1">PROPER(_xlfn.XLOOKUP($A328,Строчный!$A:$A,Строчный!M:M,"ERR",0))</f>
        <v>Китай</v>
      </c>
      <c r="N328" s="81" t="str">
        <f ca="1">UPPER(_xlfn.XLOOKUP($A328,Строчный!$A:$A,Строчный!O:O,"ERR",0))</f>
        <v/>
      </c>
      <c r="O328" s="107" t="str">
        <f ca="1">PROPER(_xlfn.XLOOKUP($A328,Строчный!$A:$A,Строчный!P:P,"ERR",0))</f>
        <v/>
      </c>
      <c r="P328" s="90">
        <f ca="1">VALUE(_xlfn.XLOOKUP($A328,Строчный!$A:$A,Строчный!N:N,"ERR",0))</f>
        <v>2094.3000000000002</v>
      </c>
      <c r="Q328" s="89" t="str">
        <f ca="1">_xlfn.XLOOKUP($G328,Фабрика!A:A,Фабрика!B:B,"ERR",0)</f>
        <v>Bollman Headwear Europe Ltd; 2 Merchants drive, Caelisle, Cumbria CA3 0JW, United Kingdom</v>
      </c>
      <c r="R328" s="80" t="str">
        <f ca="1">_xlfn.XLOOKUP(RIGHT(Z328,2),Размеры!D:D,Размеры!A:A,"ERR",0)</f>
        <v>57</v>
      </c>
      <c r="S328" s="80">
        <f ca="1">VALUE(_xlfn.XLOOKUP($Z328,Строчный!$R:$R,Строчный!T:T,"ERR",0))</f>
        <v>9</v>
      </c>
      <c r="T328" s="14" t="s">
        <v>265</v>
      </c>
      <c r="U328" s="101" t="str">
        <f t="shared" ca="1" si="33"/>
        <v>Шляпа BAILEY арт. 81690 MANNES (светло-серый)</v>
      </c>
      <c r="V328" s="100" t="str">
        <f t="shared" ca="1" si="34"/>
        <v>Шляпа BAILEY арт. 81690 MANNES (светло-серый) {light grey}</v>
      </c>
      <c r="W328" s="18" t="str">
        <f t="shared" ca="1" si="35"/>
        <v>серый</v>
      </c>
      <c r="X328" s="18" t="str">
        <f t="shared" ca="1" si="36"/>
        <v>серый</v>
      </c>
      <c r="Y328" s="117" t="str">
        <f ca="1">_xlfn.LET(_xlpm.FormColors,_xlfn.XLOOKUP(A328,Строчный!A:A,Строчный!Q:Q,"",0),IF(_xlpm.FormColors=0,IFERROR(MID(I328,FIND("-",I328)+1,LEN(I328)),IFERROR(MID(I328,1,FIND("/",I328)-2),I328)),_xlpm.FormColors))</f>
        <v>серый</v>
      </c>
      <c r="Z328" s="73" t="str">
        <f ca="1"/>
        <v>21-091-01-57</v>
      </c>
      <c r="AA328" s="75" t="str">
        <f ca="1">VLOOKUP(C328,Группа!A:B,2,FALSE)</f>
        <v>Шляпа</v>
      </c>
      <c r="AB328" s="97" t="str">
        <f ca="1">IFERROR(VLOOKUP(R328,Размеры!A:C,3,FALSE),"")</f>
        <v>57 M</v>
      </c>
      <c r="AC328" s="97" t="str">
        <f ca="1">VLOOKUP(I328,ЦветПолный!A:B,2,FALSE)</f>
        <v>01</v>
      </c>
      <c r="AD328" s="97" t="str">
        <f ca="1">IFERROR(VLOOKUP(R328,Размеры!A:D,4,FALSE),"")</f>
        <v>57</v>
      </c>
      <c r="AE328" s="97">
        <f ca="1">IF(LEFT(IFERROR(VLOOKUP(LOOKUP(2,1/SEARCH(B328,Товары!A:A),Товары!A:A),Товары!A:B,2,0),""),6)=MID(Z328,1,6),1,0)</f>
        <v>1</v>
      </c>
      <c r="AG328" s="97">
        <f ca="1">SUMIF(Группа!A:A,C328,Группа!C:C)</f>
        <v>1</v>
      </c>
      <c r="AH328" s="97">
        <f ca="1">SUMIF(Группа!B:B,AA328,Группа!C:C)</f>
        <v>1</v>
      </c>
      <c r="AI328" s="97">
        <f ca="1">SUMIF(Формы!A:A,D328,Формы!B:B)</f>
        <v>1</v>
      </c>
      <c r="AJ328" s="97">
        <f ca="1">SUMIF(Материал!A:A,K328,Материал!B:B)</f>
        <v>0</v>
      </c>
      <c r="AK328" s="97">
        <f ca="1">SUMIF(Размеры!A:A,R328,Размеры!E:E)</f>
        <v>1</v>
      </c>
      <c r="AL328" s="97">
        <f ca="1">SUMIF(Сезон!A:A,F328,Сезон!B:B)</f>
        <v>1</v>
      </c>
      <c r="AM328" s="97">
        <f ca="1">SUMIF(Состав!A:A,J328,Состав!B:B)</f>
        <v>1</v>
      </c>
      <c r="AN328" s="97">
        <f ca="1">VLOOKUP(I328,ЦветПолный!A:C,3,0)</f>
        <v>1</v>
      </c>
      <c r="AO328" s="97">
        <f ca="1">SUMIF(Цвет!A:A,Y328,Цвет!B:B)</f>
        <v>1</v>
      </c>
      <c r="AP328" s="97">
        <f ca="1">_xlfn.XLOOKUP(L328,Пол!A:A,Пол!B:B,0,0)</f>
        <v>1</v>
      </c>
      <c r="AQ328" s="97">
        <f ca="1">SUMIF(Марка!A:A,G328,Марка!B:B)</f>
        <v>1</v>
      </c>
      <c r="AR328" s="97">
        <f ca="1">SUMIF(Страна!A:A,M328,Страна!B:B)</f>
        <v>1</v>
      </c>
      <c r="AS328" s="64" t="str">
        <f ca="1">IF(VLOOKUP(V328,Товары!A:B,2,FALSE)=A328,"Есть в 1С","ERR")</f>
        <v>Есть в 1С</v>
      </c>
      <c r="AT328" s="65" t="str">
        <f ca="1">IF(VLOOKUP(A328,Товары!B:B,1,FALSE)=A328,"Есть в 1С","ERR")</f>
        <v>Есть в 1С</v>
      </c>
      <c r="AU328" s="96" t="str">
        <f ca="1">VLOOKUP(V328,Товары!A:B,2,FALSE)</f>
        <v>21-091-01</v>
      </c>
      <c r="AV328" s="94" t="str">
        <f ca="1">VLOOKUP(V328,Товары!A:B,1,FALSE)</f>
        <v>Шляпа BAILEY арт. 81690 MANNES (светло-серый) {light grey}</v>
      </c>
    </row>
    <row r="329" spans="1:48" x14ac:dyDescent="0.25">
      <c r="A329" s="110" t="str">
        <f t="shared" ca="1" si="37"/>
        <v>21-091-01</v>
      </c>
      <c r="B329" s="107" t="str">
        <f ca="1">_xlfn.LET(_xlpm.CAPS,0,_xlpm.Style,_xlfn.XLOOKUP($A329,Строчный!$A:$A,Строчный!B:B,"ERR",0),IF(_xlpm.CAPS=0,_xlpm.Style,LOWER(_xlpm.Style)))</f>
        <v>81690 MANNES</v>
      </c>
      <c r="C329" s="81" t="str">
        <f ca="1">PROPER(_xlfn.XLOOKUP($A329,Строчный!$A:$A,Строчный!C:C,"ERR",0))</f>
        <v>Шляпы</v>
      </c>
      <c r="D329" s="81" t="str">
        <f ca="1">_xlfn.LET(_xlpm.DATA,(_xlfn.XLOOKUP($A329,Строчный!$A:$A,Строчный!D:D,"ERR",0)),UPPER(MID(_xlpm.DATA,1,1))&amp;LOWER(MID(_xlpm.DATA,2,LEN(_xlpm.DATA)-1)))</f>
        <v>Шляпа хомбург</v>
      </c>
      <c r="E329" s="81" t="str">
        <f ca="1">PROPER(_xlfn.XLOOKUP($A329,Строчный!$A:$A,Строчный!E:E,"ERR",0))</f>
        <v>The Hollywood</v>
      </c>
      <c r="F329" s="81" t="str">
        <f ca="1">LOWER(_xlfn.XLOOKUP($A329,Строчный!$A:$A,Строчный!F:F,"ERR",0))</f>
        <v>летний</v>
      </c>
      <c r="G329" s="81" t="str">
        <f ca="1">UPPER(_xlfn.XLOOKUP($A329,Строчный!$A:$A,Строчный!G:G,"ERR",0))</f>
        <v>BAILEY</v>
      </c>
      <c r="H329" s="81" t="str">
        <f ca="1">LOWER(_xlfn.XLOOKUP($A329,Строчный!$A:$A,Строчный!H:H,"ERR",0))</f>
        <v>light grey</v>
      </c>
      <c r="I329" s="81" t="str">
        <f ca="1">LOWER(_xlfn.XLOOKUP($A329,Строчный!$A:$A,Строчный!I:I,"ERR",0))</f>
        <v>светло-серый</v>
      </c>
      <c r="J329" s="81" t="str">
        <f ca="1">SUBSTITUTE(LOWER(_xlfn.XLOOKUP($A329,Строчный!$A:$A,Строчный!J:J,"ERR",0)),"подклад","Подклад")</f>
        <v>100% полипропилен</v>
      </c>
      <c r="K329" s="81" t="str">
        <f ca="1">LOWER(_xlfn.XLOOKUP($A329,Строчный!$A:$A,Строчный!K:K,"ERR",0))</f>
        <v/>
      </c>
      <c r="L329" s="81" t="str">
        <f ca="1">PROPER(_xlfn.XLOOKUP($A329,Строчный!$A:$A,Строчный!L:L,"ERR",0))</f>
        <v>Унисекс</v>
      </c>
      <c r="M329" s="113" t="str">
        <f ca="1">PROPER(_xlfn.XLOOKUP($A329,Строчный!$A:$A,Строчный!M:M,"ERR",0))</f>
        <v>Китай</v>
      </c>
      <c r="N329" s="81" t="str">
        <f ca="1">UPPER(_xlfn.XLOOKUP($A329,Строчный!$A:$A,Строчный!O:O,"ERR",0))</f>
        <v/>
      </c>
      <c r="O329" s="107" t="str">
        <f ca="1">PROPER(_xlfn.XLOOKUP($A329,Строчный!$A:$A,Строчный!P:P,"ERR",0))</f>
        <v/>
      </c>
      <c r="P329" s="90">
        <f ca="1">VALUE(_xlfn.XLOOKUP($A329,Строчный!$A:$A,Строчный!N:N,"ERR",0))</f>
        <v>2094.3000000000002</v>
      </c>
      <c r="Q329" s="89" t="str">
        <f ca="1">_xlfn.XLOOKUP($G329,Фабрика!A:A,Фабрика!B:B,"ERR",0)</f>
        <v>Bollman Headwear Europe Ltd; 2 Merchants drive, Caelisle, Cumbria CA3 0JW, United Kingdom</v>
      </c>
      <c r="R329" s="80" t="str">
        <f ca="1">_xlfn.XLOOKUP(RIGHT(Z329,2),Размеры!D:D,Размеры!A:A,"ERR",0)</f>
        <v>55</v>
      </c>
      <c r="S329" s="80">
        <f ca="1">VALUE(_xlfn.XLOOKUP($Z329,Строчный!$R:$R,Строчный!T:T,"ERR",0))</f>
        <v>3</v>
      </c>
      <c r="T329" s="14" t="s">
        <v>265</v>
      </c>
      <c r="U329" s="101" t="str">
        <f t="shared" ca="1" si="33"/>
        <v>Шляпа BAILEY арт. 81690 MANNES (светло-серый)</v>
      </c>
      <c r="V329" s="100" t="str">
        <f t="shared" ca="1" si="34"/>
        <v>Шляпа BAILEY арт. 81690 MANNES (светло-серый) {light grey}</v>
      </c>
      <c r="W329" s="18" t="str">
        <f t="shared" ca="1" si="35"/>
        <v>серый</v>
      </c>
      <c r="X329" s="18" t="str">
        <f t="shared" ca="1" si="36"/>
        <v>серый</v>
      </c>
      <c r="Y329" s="117" t="str">
        <f ca="1">_xlfn.LET(_xlpm.FormColors,_xlfn.XLOOKUP(A329,Строчный!A:A,Строчный!Q:Q,"",0),IF(_xlpm.FormColors=0,IFERROR(MID(I329,FIND("-",I329)+1,LEN(I329)),IFERROR(MID(I329,1,FIND("/",I329)-2),I329)),_xlpm.FormColors))</f>
        <v>серый</v>
      </c>
      <c r="Z329" s="73" t="str">
        <f ca="1"/>
        <v>21-091-01-55</v>
      </c>
      <c r="AA329" s="75" t="str">
        <f ca="1">VLOOKUP(C329,Группа!A:B,2,FALSE)</f>
        <v>Шляпа</v>
      </c>
      <c r="AB329" s="97" t="str">
        <f ca="1">IFERROR(VLOOKUP(R329,Размеры!A:C,3,FALSE),"")</f>
        <v>55 S</v>
      </c>
      <c r="AC329" s="97" t="str">
        <f ca="1">VLOOKUP(I329,ЦветПолный!A:B,2,FALSE)</f>
        <v>01</v>
      </c>
      <c r="AD329" s="97" t="str">
        <f ca="1">IFERROR(VLOOKUP(R329,Размеры!A:D,4,FALSE),"")</f>
        <v>55</v>
      </c>
      <c r="AE329" s="97">
        <f ca="1">IF(LEFT(IFERROR(VLOOKUP(LOOKUP(2,1/SEARCH(B329,Товары!A:A),Товары!A:A),Товары!A:B,2,0),""),6)=MID(Z329,1,6),1,0)</f>
        <v>1</v>
      </c>
      <c r="AG329" s="97">
        <f ca="1">SUMIF(Группа!A:A,C329,Группа!C:C)</f>
        <v>1</v>
      </c>
      <c r="AH329" s="97">
        <f ca="1">SUMIF(Группа!B:B,AA329,Группа!C:C)</f>
        <v>1</v>
      </c>
      <c r="AI329" s="97">
        <f ca="1">SUMIF(Формы!A:A,D329,Формы!B:B)</f>
        <v>1</v>
      </c>
      <c r="AJ329" s="97">
        <f ca="1">SUMIF(Материал!A:A,K329,Материал!B:B)</f>
        <v>0</v>
      </c>
      <c r="AK329" s="97">
        <f ca="1">SUMIF(Размеры!A:A,R329,Размеры!E:E)</f>
        <v>1</v>
      </c>
      <c r="AL329" s="97">
        <f ca="1">SUMIF(Сезон!A:A,F329,Сезон!B:B)</f>
        <v>1</v>
      </c>
      <c r="AM329" s="97">
        <f ca="1">SUMIF(Состав!A:A,J329,Состав!B:B)</f>
        <v>1</v>
      </c>
      <c r="AN329" s="97">
        <f ca="1">VLOOKUP(I329,ЦветПолный!A:C,3,0)</f>
        <v>1</v>
      </c>
      <c r="AO329" s="97">
        <f ca="1">SUMIF(Цвет!A:A,Y329,Цвет!B:B)</f>
        <v>1</v>
      </c>
      <c r="AP329" s="97">
        <f ca="1">_xlfn.XLOOKUP(L329,Пол!A:A,Пол!B:B,0,0)</f>
        <v>1</v>
      </c>
      <c r="AQ329" s="97">
        <f ca="1">SUMIF(Марка!A:A,G329,Марка!B:B)</f>
        <v>1</v>
      </c>
      <c r="AR329" s="97">
        <f ca="1">SUMIF(Страна!A:A,M329,Страна!B:B)</f>
        <v>1</v>
      </c>
      <c r="AS329" s="64" t="str">
        <f ca="1">IF(VLOOKUP(V329,Товары!A:B,2,FALSE)=A329,"Есть в 1С","ERR")</f>
        <v>Есть в 1С</v>
      </c>
      <c r="AT329" s="65" t="str">
        <f ca="1">IF(VLOOKUP(A329,Товары!B:B,1,FALSE)=A329,"Есть в 1С","ERR")</f>
        <v>Есть в 1С</v>
      </c>
      <c r="AU329" s="96" t="str">
        <f ca="1">VLOOKUP(V329,Товары!A:B,2,FALSE)</f>
        <v>21-091-01</v>
      </c>
      <c r="AV329" s="94" t="str">
        <f ca="1">VLOOKUP(V329,Товары!A:B,1,FALSE)</f>
        <v>Шляпа BAILEY арт. 81690 MANNES (светло-серый) {light grey}</v>
      </c>
    </row>
    <row r="330" spans="1:48" x14ac:dyDescent="0.25">
      <c r="A330" s="110" t="str">
        <f t="shared" ca="1" si="37"/>
        <v>21-091-00</v>
      </c>
      <c r="B330" s="107" t="str">
        <f ca="1">_xlfn.LET(_xlpm.CAPS,0,_xlpm.Style,_xlfn.XLOOKUP($A330,Строчный!$A:$A,Строчный!B:B,"ERR",0),IF(_xlpm.CAPS=0,_xlpm.Style,LOWER(_xlpm.Style)))</f>
        <v>81690 MANNES</v>
      </c>
      <c r="C330" s="81" t="str">
        <f ca="1">PROPER(_xlfn.XLOOKUP($A330,Строчный!$A:$A,Строчный!C:C,"ERR",0))</f>
        <v>Шляпы</v>
      </c>
      <c r="D330" s="81" t="str">
        <f ca="1">_xlfn.LET(_xlpm.DATA,(_xlfn.XLOOKUP($A330,Строчный!$A:$A,Строчный!D:D,"ERR",0)),UPPER(MID(_xlpm.DATA,1,1))&amp;LOWER(MID(_xlpm.DATA,2,LEN(_xlpm.DATA)-1)))</f>
        <v>Шляпа хомбург</v>
      </c>
      <c r="E330" s="81" t="str">
        <f ca="1">PROPER(_xlfn.XLOOKUP($A330,Строчный!$A:$A,Строчный!E:E,"ERR",0))</f>
        <v>The Hollywood</v>
      </c>
      <c r="F330" s="81" t="str">
        <f ca="1">LOWER(_xlfn.XLOOKUP($A330,Строчный!$A:$A,Строчный!F:F,"ERR",0))</f>
        <v>летний</v>
      </c>
      <c r="G330" s="81" t="str">
        <f ca="1">UPPER(_xlfn.XLOOKUP($A330,Строчный!$A:$A,Строчный!G:G,"ERR",0))</f>
        <v>BAILEY</v>
      </c>
      <c r="H330" s="81" t="str">
        <f ca="1">LOWER(_xlfn.XLOOKUP($A330,Строчный!$A:$A,Строчный!H:H,"ERR",0))</f>
        <v>black multi</v>
      </c>
      <c r="I330" s="81" t="str">
        <f ca="1">LOWER(_xlfn.XLOOKUP($A330,Строчный!$A:$A,Строчный!I:I,"ERR",0))</f>
        <v>зеленый / синий</v>
      </c>
      <c r="J330" s="81" t="str">
        <f ca="1">SUBSTITUTE(LOWER(_xlfn.XLOOKUP($A330,Строчный!$A:$A,Строчный!J:J,"ERR",0)),"подклад","Подклад")</f>
        <v>100% полипропилен</v>
      </c>
      <c r="K330" s="81" t="str">
        <f ca="1">LOWER(_xlfn.XLOOKUP($A330,Строчный!$A:$A,Строчный!K:K,"ERR",0))</f>
        <v/>
      </c>
      <c r="L330" s="81" t="str">
        <f ca="1">PROPER(_xlfn.XLOOKUP($A330,Строчный!$A:$A,Строчный!L:L,"ERR",0))</f>
        <v>Унисекс</v>
      </c>
      <c r="M330" s="113" t="str">
        <f ca="1">PROPER(_xlfn.XLOOKUP($A330,Строчный!$A:$A,Строчный!M:M,"ERR",0))</f>
        <v>Китай</v>
      </c>
      <c r="N330" s="81" t="str">
        <f ca="1">UPPER(_xlfn.XLOOKUP($A330,Строчный!$A:$A,Строчный!O:O,"ERR",0))</f>
        <v/>
      </c>
      <c r="O330" s="107" t="str">
        <f ca="1">PROPER(_xlfn.XLOOKUP($A330,Строчный!$A:$A,Строчный!P:P,"ERR",0))</f>
        <v/>
      </c>
      <c r="P330" s="90">
        <f ca="1">VALUE(_xlfn.XLOOKUP($A330,Строчный!$A:$A,Строчный!N:N,"ERR",0))</f>
        <v>2094.3000000000002</v>
      </c>
      <c r="Q330" s="89" t="str">
        <f ca="1">_xlfn.XLOOKUP($G330,Фабрика!A:A,Фабрика!B:B,"ERR",0)</f>
        <v>Bollman Headwear Europe Ltd; 2 Merchants drive, Caelisle, Cumbria CA3 0JW, United Kingdom</v>
      </c>
      <c r="R330" s="80" t="str">
        <f ca="1">_xlfn.XLOOKUP(RIGHT(Z330,2),Размеры!D:D,Размеры!A:A,"ERR",0)</f>
        <v>63</v>
      </c>
      <c r="S330" s="80">
        <f ca="1">VALUE(_xlfn.XLOOKUP($Z330,Строчный!$R:$R,Строчный!T:T,"ERR",0))</f>
        <v>3</v>
      </c>
      <c r="T330" s="14" t="s">
        <v>265</v>
      </c>
      <c r="U330" s="101" t="str">
        <f t="shared" ca="1" si="33"/>
        <v>Шляпа BAILEY арт. 81690 MANNES (зеленый / синий)</v>
      </c>
      <c r="V330" s="100" t="str">
        <f t="shared" ca="1" si="34"/>
        <v>Шляпа BAILEY арт. 81690 MANNES (зеленый / синий) {black multi}</v>
      </c>
      <c r="W330" s="18" t="str">
        <f t="shared" ca="1" si="35"/>
        <v>зеленый</v>
      </c>
      <c r="X330" s="18" t="str">
        <f t="shared" ca="1" si="36"/>
        <v>синий</v>
      </c>
      <c r="Y330" s="117" t="str">
        <f ca="1">_xlfn.LET(_xlpm.FormColors,_xlfn.XLOOKUP(A330,Строчный!A:A,Строчный!Q:Q,"",0),IF(_xlpm.FormColors=0,IFERROR(MID(I330,FIND("-",I330)+1,LEN(I330)),IFERROR(MID(I330,1,FIND("/",I330)-2),I330)),_xlpm.FormColors))</f>
        <v>зеленый</v>
      </c>
      <c r="Z330" s="73" t="str">
        <f ca="1"/>
        <v>21-091-00-63</v>
      </c>
      <c r="AA330" s="75" t="str">
        <f ca="1">VLOOKUP(C330,Группа!A:B,2,FALSE)</f>
        <v>Шляпа</v>
      </c>
      <c r="AB330" s="97" t="str">
        <f ca="1">IFERROR(VLOOKUP(R330,Размеры!A:C,3,FALSE),"")</f>
        <v>63 XXL</v>
      </c>
      <c r="AC330" s="97" t="str">
        <f ca="1">VLOOKUP(I330,ЦветПолный!A:B,2,FALSE)</f>
        <v>00</v>
      </c>
      <c r="AD330" s="97" t="str">
        <f ca="1">IFERROR(VLOOKUP(R330,Размеры!A:D,4,FALSE),"")</f>
        <v>63</v>
      </c>
      <c r="AE330" s="97">
        <f ca="1">IF(LEFT(IFERROR(VLOOKUP(LOOKUP(2,1/SEARCH(B330,Товары!A:A),Товары!A:A),Товары!A:B,2,0),""),6)=MID(Z330,1,6),1,0)</f>
        <v>1</v>
      </c>
      <c r="AG330" s="97">
        <f ca="1">SUMIF(Группа!A:A,C330,Группа!C:C)</f>
        <v>1</v>
      </c>
      <c r="AH330" s="97">
        <f ca="1">SUMIF(Группа!B:B,AA330,Группа!C:C)</f>
        <v>1</v>
      </c>
      <c r="AI330" s="97">
        <f ca="1">SUMIF(Формы!A:A,D330,Формы!B:B)</f>
        <v>1</v>
      </c>
      <c r="AJ330" s="97">
        <f ca="1">SUMIF(Материал!A:A,K330,Материал!B:B)</f>
        <v>0</v>
      </c>
      <c r="AK330" s="97">
        <f ca="1">SUMIF(Размеры!A:A,R330,Размеры!E:E)</f>
        <v>1</v>
      </c>
      <c r="AL330" s="97">
        <f ca="1">SUMIF(Сезон!A:A,F330,Сезон!B:B)</f>
        <v>1</v>
      </c>
      <c r="AM330" s="97">
        <f ca="1">SUMIF(Состав!A:A,J330,Состав!B:B)</f>
        <v>1</v>
      </c>
      <c r="AN330" s="97">
        <f ca="1">VLOOKUP(I330,ЦветПолный!A:C,3,0)</f>
        <v>1</v>
      </c>
      <c r="AO330" s="97">
        <f ca="1">SUMIF(Цвет!A:A,Y330,Цвет!B:B)</f>
        <v>1</v>
      </c>
      <c r="AP330" s="97">
        <f ca="1">_xlfn.XLOOKUP(L330,Пол!A:A,Пол!B:B,0,0)</f>
        <v>1</v>
      </c>
      <c r="AQ330" s="97">
        <f ca="1">SUMIF(Марка!A:A,G330,Марка!B:B)</f>
        <v>1</v>
      </c>
      <c r="AR330" s="97">
        <f ca="1">SUMIF(Страна!A:A,M330,Страна!B:B)</f>
        <v>1</v>
      </c>
      <c r="AS330" s="64" t="str">
        <f ca="1">IF(VLOOKUP(V330,Товары!A:B,2,FALSE)=A330,"Есть в 1С","ERR")</f>
        <v>Есть в 1С</v>
      </c>
      <c r="AT330" s="65" t="str">
        <f ca="1">IF(VLOOKUP(A330,Товары!B:B,1,FALSE)=A330,"Есть в 1С","ERR")</f>
        <v>Есть в 1С</v>
      </c>
      <c r="AU330" s="96" t="str">
        <f ca="1">VLOOKUP(V330,Товары!A:B,2,FALSE)</f>
        <v>21-091-00</v>
      </c>
      <c r="AV330" s="94" t="str">
        <f ca="1">VLOOKUP(V330,Товары!A:B,1,FALSE)</f>
        <v>Шляпа BAILEY арт. 81690 MANNES (зеленый / синий) {black multi}</v>
      </c>
    </row>
    <row r="331" spans="1:48" x14ac:dyDescent="0.25">
      <c r="A331" s="110" t="str">
        <f t="shared" ca="1" si="37"/>
        <v>21-091-00</v>
      </c>
      <c r="B331" s="107" t="str">
        <f ca="1">_xlfn.LET(_xlpm.CAPS,0,_xlpm.Style,_xlfn.XLOOKUP($A331,Строчный!$A:$A,Строчный!B:B,"ERR",0),IF(_xlpm.CAPS=0,_xlpm.Style,LOWER(_xlpm.Style)))</f>
        <v>81690 MANNES</v>
      </c>
      <c r="C331" s="81" t="str">
        <f ca="1">PROPER(_xlfn.XLOOKUP($A331,Строчный!$A:$A,Строчный!C:C,"ERR",0))</f>
        <v>Шляпы</v>
      </c>
      <c r="D331" s="81" t="str">
        <f ca="1">_xlfn.LET(_xlpm.DATA,(_xlfn.XLOOKUP($A331,Строчный!$A:$A,Строчный!D:D,"ERR",0)),UPPER(MID(_xlpm.DATA,1,1))&amp;LOWER(MID(_xlpm.DATA,2,LEN(_xlpm.DATA)-1)))</f>
        <v>Шляпа хомбург</v>
      </c>
      <c r="E331" s="81" t="str">
        <f ca="1">PROPER(_xlfn.XLOOKUP($A331,Строчный!$A:$A,Строчный!E:E,"ERR",0))</f>
        <v>The Hollywood</v>
      </c>
      <c r="F331" s="81" t="str">
        <f ca="1">LOWER(_xlfn.XLOOKUP($A331,Строчный!$A:$A,Строчный!F:F,"ERR",0))</f>
        <v>летний</v>
      </c>
      <c r="G331" s="81" t="str">
        <f ca="1">UPPER(_xlfn.XLOOKUP($A331,Строчный!$A:$A,Строчный!G:G,"ERR",0))</f>
        <v>BAILEY</v>
      </c>
      <c r="H331" s="81" t="str">
        <f ca="1">LOWER(_xlfn.XLOOKUP($A331,Строчный!$A:$A,Строчный!H:H,"ERR",0))</f>
        <v>black multi</v>
      </c>
      <c r="I331" s="81" t="str">
        <f ca="1">LOWER(_xlfn.XLOOKUP($A331,Строчный!$A:$A,Строчный!I:I,"ERR",0))</f>
        <v>зеленый / синий</v>
      </c>
      <c r="J331" s="81" t="str">
        <f ca="1">SUBSTITUTE(LOWER(_xlfn.XLOOKUP($A331,Строчный!$A:$A,Строчный!J:J,"ERR",0)),"подклад","Подклад")</f>
        <v>100% полипропилен</v>
      </c>
      <c r="K331" s="81" t="str">
        <f ca="1">LOWER(_xlfn.XLOOKUP($A331,Строчный!$A:$A,Строчный!K:K,"ERR",0))</f>
        <v/>
      </c>
      <c r="L331" s="81" t="str">
        <f ca="1">PROPER(_xlfn.XLOOKUP($A331,Строчный!$A:$A,Строчный!L:L,"ERR",0))</f>
        <v>Унисекс</v>
      </c>
      <c r="M331" s="113" t="str">
        <f ca="1">PROPER(_xlfn.XLOOKUP($A331,Строчный!$A:$A,Строчный!M:M,"ERR",0))</f>
        <v>Китай</v>
      </c>
      <c r="N331" s="81" t="str">
        <f ca="1">UPPER(_xlfn.XLOOKUP($A331,Строчный!$A:$A,Строчный!O:O,"ERR",0))</f>
        <v/>
      </c>
      <c r="O331" s="107" t="str">
        <f ca="1">PROPER(_xlfn.XLOOKUP($A331,Строчный!$A:$A,Строчный!P:P,"ERR",0))</f>
        <v/>
      </c>
      <c r="P331" s="90">
        <f ca="1">VALUE(_xlfn.XLOOKUP($A331,Строчный!$A:$A,Строчный!N:N,"ERR",0))</f>
        <v>2094.3000000000002</v>
      </c>
      <c r="Q331" s="89" t="str">
        <f ca="1">_xlfn.XLOOKUP($G331,Фабрика!A:A,Фабрика!B:B,"ERR",0)</f>
        <v>Bollman Headwear Europe Ltd; 2 Merchants drive, Caelisle, Cumbria CA3 0JW, United Kingdom</v>
      </c>
      <c r="R331" s="80" t="str">
        <f ca="1">_xlfn.XLOOKUP(RIGHT(Z331,2),Размеры!D:D,Размеры!A:A,"ERR",0)</f>
        <v>61</v>
      </c>
      <c r="S331" s="80">
        <f ca="1">VALUE(_xlfn.XLOOKUP($Z331,Строчный!$R:$R,Строчный!T:T,"ERR",0))</f>
        <v>8</v>
      </c>
      <c r="T331" s="14" t="s">
        <v>265</v>
      </c>
      <c r="U331" s="101" t="str">
        <f t="shared" ca="1" si="33"/>
        <v>Шляпа BAILEY арт. 81690 MANNES (зеленый / синий)</v>
      </c>
      <c r="V331" s="100" t="str">
        <f t="shared" ca="1" si="34"/>
        <v>Шляпа BAILEY арт. 81690 MANNES (зеленый / синий) {black multi}</v>
      </c>
      <c r="W331" s="18" t="str">
        <f t="shared" ca="1" si="35"/>
        <v>зеленый</v>
      </c>
      <c r="X331" s="18" t="str">
        <f t="shared" ca="1" si="36"/>
        <v>синий</v>
      </c>
      <c r="Y331" s="117" t="str">
        <f ca="1">_xlfn.LET(_xlpm.FormColors,_xlfn.XLOOKUP(A331,Строчный!A:A,Строчный!Q:Q,"",0),IF(_xlpm.FormColors=0,IFERROR(MID(I331,FIND("-",I331)+1,LEN(I331)),IFERROR(MID(I331,1,FIND("/",I331)-2),I331)),_xlpm.FormColors))</f>
        <v>зеленый</v>
      </c>
      <c r="Z331" s="73" t="str">
        <f ca="1"/>
        <v>21-091-00-61</v>
      </c>
      <c r="AA331" s="75" t="str">
        <f ca="1">VLOOKUP(C331,Группа!A:B,2,FALSE)</f>
        <v>Шляпа</v>
      </c>
      <c r="AB331" s="97" t="str">
        <f ca="1">IFERROR(VLOOKUP(R331,Размеры!A:C,3,FALSE),"")</f>
        <v>61 XL</v>
      </c>
      <c r="AC331" s="97" t="str">
        <f ca="1">VLOOKUP(I331,ЦветПолный!A:B,2,FALSE)</f>
        <v>00</v>
      </c>
      <c r="AD331" s="97" t="str">
        <f ca="1">IFERROR(VLOOKUP(R331,Размеры!A:D,4,FALSE),"")</f>
        <v>61</v>
      </c>
      <c r="AE331" s="97">
        <f ca="1">IF(LEFT(IFERROR(VLOOKUP(LOOKUP(2,1/SEARCH(B331,Товары!A:A),Товары!A:A),Товары!A:B,2,0),""),6)=MID(Z331,1,6),1,0)</f>
        <v>1</v>
      </c>
      <c r="AG331" s="97">
        <f ca="1">SUMIF(Группа!A:A,C331,Группа!C:C)</f>
        <v>1</v>
      </c>
      <c r="AH331" s="97">
        <f ca="1">SUMIF(Группа!B:B,AA331,Группа!C:C)</f>
        <v>1</v>
      </c>
      <c r="AI331" s="97">
        <f ca="1">SUMIF(Формы!A:A,D331,Формы!B:B)</f>
        <v>1</v>
      </c>
      <c r="AJ331" s="97">
        <f ca="1">SUMIF(Материал!A:A,K331,Материал!B:B)</f>
        <v>0</v>
      </c>
      <c r="AK331" s="97">
        <f ca="1">SUMIF(Размеры!A:A,R331,Размеры!E:E)</f>
        <v>1</v>
      </c>
      <c r="AL331" s="97">
        <f ca="1">SUMIF(Сезон!A:A,F331,Сезон!B:B)</f>
        <v>1</v>
      </c>
      <c r="AM331" s="97">
        <f ca="1">SUMIF(Состав!A:A,J331,Состав!B:B)</f>
        <v>1</v>
      </c>
      <c r="AN331" s="97">
        <f ca="1">VLOOKUP(I331,ЦветПолный!A:C,3,0)</f>
        <v>1</v>
      </c>
      <c r="AO331" s="97">
        <f ca="1">SUMIF(Цвет!A:A,Y331,Цвет!B:B)</f>
        <v>1</v>
      </c>
      <c r="AP331" s="97">
        <f ca="1">_xlfn.XLOOKUP(L331,Пол!A:A,Пол!B:B,0,0)</f>
        <v>1</v>
      </c>
      <c r="AQ331" s="97">
        <f ca="1">SUMIF(Марка!A:A,G331,Марка!B:B)</f>
        <v>1</v>
      </c>
      <c r="AR331" s="97">
        <f ca="1">SUMIF(Страна!A:A,M331,Страна!B:B)</f>
        <v>1</v>
      </c>
      <c r="AS331" s="64" t="str">
        <f ca="1">IF(VLOOKUP(V331,Товары!A:B,2,FALSE)=A331,"Есть в 1С","ERR")</f>
        <v>Есть в 1С</v>
      </c>
      <c r="AT331" s="65" t="str">
        <f ca="1">IF(VLOOKUP(A331,Товары!B:B,1,FALSE)=A331,"Есть в 1С","ERR")</f>
        <v>Есть в 1С</v>
      </c>
      <c r="AU331" s="96" t="str">
        <f ca="1">VLOOKUP(V331,Товары!A:B,2,FALSE)</f>
        <v>21-091-00</v>
      </c>
      <c r="AV331" s="94" t="str">
        <f ca="1">VLOOKUP(V331,Товары!A:B,1,FALSE)</f>
        <v>Шляпа BAILEY арт. 81690 MANNES (зеленый / синий) {black multi}</v>
      </c>
    </row>
    <row r="332" spans="1:48" x14ac:dyDescent="0.25">
      <c r="A332" s="110" t="str">
        <f t="shared" ca="1" si="37"/>
        <v>21-091-00</v>
      </c>
      <c r="B332" s="107" t="str">
        <f ca="1">_xlfn.LET(_xlpm.CAPS,0,_xlpm.Style,_xlfn.XLOOKUP($A332,Строчный!$A:$A,Строчный!B:B,"ERR",0),IF(_xlpm.CAPS=0,_xlpm.Style,LOWER(_xlpm.Style)))</f>
        <v>81690 MANNES</v>
      </c>
      <c r="C332" s="81" t="str">
        <f ca="1">PROPER(_xlfn.XLOOKUP($A332,Строчный!$A:$A,Строчный!C:C,"ERR",0))</f>
        <v>Шляпы</v>
      </c>
      <c r="D332" s="81" t="str">
        <f ca="1">_xlfn.LET(_xlpm.DATA,(_xlfn.XLOOKUP($A332,Строчный!$A:$A,Строчный!D:D,"ERR",0)),UPPER(MID(_xlpm.DATA,1,1))&amp;LOWER(MID(_xlpm.DATA,2,LEN(_xlpm.DATA)-1)))</f>
        <v>Шляпа хомбург</v>
      </c>
      <c r="E332" s="81" t="str">
        <f ca="1">PROPER(_xlfn.XLOOKUP($A332,Строчный!$A:$A,Строчный!E:E,"ERR",0))</f>
        <v>The Hollywood</v>
      </c>
      <c r="F332" s="81" t="str">
        <f ca="1">LOWER(_xlfn.XLOOKUP($A332,Строчный!$A:$A,Строчный!F:F,"ERR",0))</f>
        <v>летний</v>
      </c>
      <c r="G332" s="81" t="str">
        <f ca="1">UPPER(_xlfn.XLOOKUP($A332,Строчный!$A:$A,Строчный!G:G,"ERR",0))</f>
        <v>BAILEY</v>
      </c>
      <c r="H332" s="81" t="str">
        <f ca="1">LOWER(_xlfn.XLOOKUP($A332,Строчный!$A:$A,Строчный!H:H,"ERR",0))</f>
        <v>black multi</v>
      </c>
      <c r="I332" s="81" t="str">
        <f ca="1">LOWER(_xlfn.XLOOKUP($A332,Строчный!$A:$A,Строчный!I:I,"ERR",0))</f>
        <v>зеленый / синий</v>
      </c>
      <c r="J332" s="81" t="str">
        <f ca="1">SUBSTITUTE(LOWER(_xlfn.XLOOKUP($A332,Строчный!$A:$A,Строчный!J:J,"ERR",0)),"подклад","Подклад")</f>
        <v>100% полипропилен</v>
      </c>
      <c r="K332" s="81" t="str">
        <f ca="1">LOWER(_xlfn.XLOOKUP($A332,Строчный!$A:$A,Строчный!K:K,"ERR",0))</f>
        <v/>
      </c>
      <c r="L332" s="81" t="str">
        <f ca="1">PROPER(_xlfn.XLOOKUP($A332,Строчный!$A:$A,Строчный!L:L,"ERR",0))</f>
        <v>Унисекс</v>
      </c>
      <c r="M332" s="113" t="str">
        <f ca="1">PROPER(_xlfn.XLOOKUP($A332,Строчный!$A:$A,Строчный!M:M,"ERR",0))</f>
        <v>Китай</v>
      </c>
      <c r="N332" s="81" t="str">
        <f ca="1">UPPER(_xlfn.XLOOKUP($A332,Строчный!$A:$A,Строчный!O:O,"ERR",0))</f>
        <v/>
      </c>
      <c r="O332" s="107" t="str">
        <f ca="1">PROPER(_xlfn.XLOOKUP($A332,Строчный!$A:$A,Строчный!P:P,"ERR",0))</f>
        <v/>
      </c>
      <c r="P332" s="90">
        <f ca="1">VALUE(_xlfn.XLOOKUP($A332,Строчный!$A:$A,Строчный!N:N,"ERR",0))</f>
        <v>2094.3000000000002</v>
      </c>
      <c r="Q332" s="89" t="str">
        <f ca="1">_xlfn.XLOOKUP($G332,Фабрика!A:A,Фабрика!B:B,"ERR",0)</f>
        <v>Bollman Headwear Europe Ltd; 2 Merchants drive, Caelisle, Cumbria CA3 0JW, United Kingdom</v>
      </c>
      <c r="R332" s="80" t="str">
        <f ca="1">_xlfn.XLOOKUP(RIGHT(Z332,2),Размеры!D:D,Размеры!A:A,"ERR",0)</f>
        <v>59</v>
      </c>
      <c r="S332" s="80">
        <f ca="1">VALUE(_xlfn.XLOOKUP($Z332,Строчный!$R:$R,Строчный!T:T,"ERR",0))</f>
        <v>11</v>
      </c>
      <c r="T332" s="14" t="s">
        <v>265</v>
      </c>
      <c r="U332" s="101" t="str">
        <f t="shared" ca="1" si="33"/>
        <v>Шляпа BAILEY арт. 81690 MANNES (зеленый / синий)</v>
      </c>
      <c r="V332" s="100" t="str">
        <f t="shared" ca="1" si="34"/>
        <v>Шляпа BAILEY арт. 81690 MANNES (зеленый / синий) {black multi}</v>
      </c>
      <c r="W332" s="18" t="str">
        <f t="shared" ca="1" si="35"/>
        <v>зеленый</v>
      </c>
      <c r="X332" s="18" t="str">
        <f t="shared" ca="1" si="36"/>
        <v>синий</v>
      </c>
      <c r="Y332" s="117" t="str">
        <f ca="1">_xlfn.LET(_xlpm.FormColors,_xlfn.XLOOKUP(A332,Строчный!A:A,Строчный!Q:Q,"",0),IF(_xlpm.FormColors=0,IFERROR(MID(I332,FIND("-",I332)+1,LEN(I332)),IFERROR(MID(I332,1,FIND("/",I332)-2),I332)),_xlpm.FormColors))</f>
        <v>зеленый</v>
      </c>
      <c r="Z332" s="73" t="str">
        <f ca="1"/>
        <v>21-091-00-59</v>
      </c>
      <c r="AA332" s="75" t="str">
        <f ca="1">VLOOKUP(C332,Группа!A:B,2,FALSE)</f>
        <v>Шляпа</v>
      </c>
      <c r="AB332" s="97" t="str">
        <f ca="1">IFERROR(VLOOKUP(R332,Размеры!A:C,3,FALSE),"")</f>
        <v>59 L</v>
      </c>
      <c r="AC332" s="97" t="str">
        <f ca="1">VLOOKUP(I332,ЦветПолный!A:B,2,FALSE)</f>
        <v>00</v>
      </c>
      <c r="AD332" s="97" t="str">
        <f ca="1">IFERROR(VLOOKUP(R332,Размеры!A:D,4,FALSE),"")</f>
        <v>59</v>
      </c>
      <c r="AE332" s="97">
        <f ca="1">IF(LEFT(IFERROR(VLOOKUP(LOOKUP(2,1/SEARCH(B332,Товары!A:A),Товары!A:A),Товары!A:B,2,0),""),6)=MID(Z332,1,6),1,0)</f>
        <v>1</v>
      </c>
      <c r="AG332" s="97">
        <f ca="1">SUMIF(Группа!A:A,C332,Группа!C:C)</f>
        <v>1</v>
      </c>
      <c r="AH332" s="97">
        <f ca="1">SUMIF(Группа!B:B,AA332,Группа!C:C)</f>
        <v>1</v>
      </c>
      <c r="AI332" s="97">
        <f ca="1">SUMIF(Формы!A:A,D332,Формы!B:B)</f>
        <v>1</v>
      </c>
      <c r="AJ332" s="97">
        <f ca="1">SUMIF(Материал!A:A,K332,Материал!B:B)</f>
        <v>0</v>
      </c>
      <c r="AK332" s="97">
        <f ca="1">SUMIF(Размеры!A:A,R332,Размеры!E:E)</f>
        <v>1</v>
      </c>
      <c r="AL332" s="97">
        <f ca="1">SUMIF(Сезон!A:A,F332,Сезон!B:B)</f>
        <v>1</v>
      </c>
      <c r="AM332" s="97">
        <f ca="1">SUMIF(Состав!A:A,J332,Состав!B:B)</f>
        <v>1</v>
      </c>
      <c r="AN332" s="97">
        <f ca="1">VLOOKUP(I332,ЦветПолный!A:C,3,0)</f>
        <v>1</v>
      </c>
      <c r="AO332" s="97">
        <f ca="1">SUMIF(Цвет!A:A,Y332,Цвет!B:B)</f>
        <v>1</v>
      </c>
      <c r="AP332" s="97">
        <f ca="1">_xlfn.XLOOKUP(L332,Пол!A:A,Пол!B:B,0,0)</f>
        <v>1</v>
      </c>
      <c r="AQ332" s="97">
        <f ca="1">SUMIF(Марка!A:A,G332,Марка!B:B)</f>
        <v>1</v>
      </c>
      <c r="AR332" s="97">
        <f ca="1">SUMIF(Страна!A:A,M332,Страна!B:B)</f>
        <v>1</v>
      </c>
      <c r="AS332" s="64" t="str">
        <f ca="1">IF(VLOOKUP(V332,Товары!A:B,2,FALSE)=A332,"Есть в 1С","ERR")</f>
        <v>Есть в 1С</v>
      </c>
      <c r="AT332" s="65" t="str">
        <f ca="1">IF(VLOOKUP(A332,Товары!B:B,1,FALSE)=A332,"Есть в 1С","ERR")</f>
        <v>Есть в 1С</v>
      </c>
      <c r="AU332" s="96" t="str">
        <f ca="1">VLOOKUP(V332,Товары!A:B,2,FALSE)</f>
        <v>21-091-00</v>
      </c>
      <c r="AV332" s="94" t="str">
        <f ca="1">VLOOKUP(V332,Товары!A:B,1,FALSE)</f>
        <v>Шляпа BAILEY арт. 81690 MANNES (зеленый / синий) {black multi}</v>
      </c>
    </row>
    <row r="333" spans="1:48" x14ac:dyDescent="0.25">
      <c r="A333" s="110" t="str">
        <f t="shared" ca="1" si="37"/>
        <v>21-091-00</v>
      </c>
      <c r="B333" s="107" t="str">
        <f ca="1">_xlfn.LET(_xlpm.CAPS,0,_xlpm.Style,_xlfn.XLOOKUP($A333,Строчный!$A:$A,Строчный!B:B,"ERR",0),IF(_xlpm.CAPS=0,_xlpm.Style,LOWER(_xlpm.Style)))</f>
        <v>81690 MANNES</v>
      </c>
      <c r="C333" s="81" t="str">
        <f ca="1">PROPER(_xlfn.XLOOKUP($A333,Строчный!$A:$A,Строчный!C:C,"ERR",0))</f>
        <v>Шляпы</v>
      </c>
      <c r="D333" s="81" t="str">
        <f ca="1">_xlfn.LET(_xlpm.DATA,(_xlfn.XLOOKUP($A333,Строчный!$A:$A,Строчный!D:D,"ERR",0)),UPPER(MID(_xlpm.DATA,1,1))&amp;LOWER(MID(_xlpm.DATA,2,LEN(_xlpm.DATA)-1)))</f>
        <v>Шляпа хомбург</v>
      </c>
      <c r="E333" s="81" t="str">
        <f ca="1">PROPER(_xlfn.XLOOKUP($A333,Строчный!$A:$A,Строчный!E:E,"ERR",0))</f>
        <v>The Hollywood</v>
      </c>
      <c r="F333" s="81" t="str">
        <f ca="1">LOWER(_xlfn.XLOOKUP($A333,Строчный!$A:$A,Строчный!F:F,"ERR",0))</f>
        <v>летний</v>
      </c>
      <c r="G333" s="81" t="str">
        <f ca="1">UPPER(_xlfn.XLOOKUP($A333,Строчный!$A:$A,Строчный!G:G,"ERR",0))</f>
        <v>BAILEY</v>
      </c>
      <c r="H333" s="81" t="str">
        <f ca="1">LOWER(_xlfn.XLOOKUP($A333,Строчный!$A:$A,Строчный!H:H,"ERR",0))</f>
        <v>black multi</v>
      </c>
      <c r="I333" s="81" t="str">
        <f ca="1">LOWER(_xlfn.XLOOKUP($A333,Строчный!$A:$A,Строчный!I:I,"ERR",0))</f>
        <v>зеленый / синий</v>
      </c>
      <c r="J333" s="81" t="str">
        <f ca="1">SUBSTITUTE(LOWER(_xlfn.XLOOKUP($A333,Строчный!$A:$A,Строчный!J:J,"ERR",0)),"подклад","Подклад")</f>
        <v>100% полипропилен</v>
      </c>
      <c r="K333" s="81" t="str">
        <f ca="1">LOWER(_xlfn.XLOOKUP($A333,Строчный!$A:$A,Строчный!K:K,"ERR",0))</f>
        <v/>
      </c>
      <c r="L333" s="81" t="str">
        <f ca="1">PROPER(_xlfn.XLOOKUP($A333,Строчный!$A:$A,Строчный!L:L,"ERR",0))</f>
        <v>Унисекс</v>
      </c>
      <c r="M333" s="113" t="str">
        <f ca="1">PROPER(_xlfn.XLOOKUP($A333,Строчный!$A:$A,Строчный!M:M,"ERR",0))</f>
        <v>Китай</v>
      </c>
      <c r="N333" s="81" t="str">
        <f ca="1">UPPER(_xlfn.XLOOKUP($A333,Строчный!$A:$A,Строчный!O:O,"ERR",0))</f>
        <v/>
      </c>
      <c r="O333" s="107" t="str">
        <f ca="1">PROPER(_xlfn.XLOOKUP($A333,Строчный!$A:$A,Строчный!P:P,"ERR",0))</f>
        <v/>
      </c>
      <c r="P333" s="90">
        <f ca="1">VALUE(_xlfn.XLOOKUP($A333,Строчный!$A:$A,Строчный!N:N,"ERR",0))</f>
        <v>2094.3000000000002</v>
      </c>
      <c r="Q333" s="89" t="str">
        <f ca="1">_xlfn.XLOOKUP($G333,Фабрика!A:A,Фабрика!B:B,"ERR",0)</f>
        <v>Bollman Headwear Europe Ltd; 2 Merchants drive, Caelisle, Cumbria CA3 0JW, United Kingdom</v>
      </c>
      <c r="R333" s="80" t="str">
        <f ca="1">_xlfn.XLOOKUP(RIGHT(Z333,2),Размеры!D:D,Размеры!A:A,"ERR",0)</f>
        <v>57</v>
      </c>
      <c r="S333" s="80">
        <f ca="1">VALUE(_xlfn.XLOOKUP($Z333,Строчный!$R:$R,Строчный!T:T,"ERR",0))</f>
        <v>9</v>
      </c>
      <c r="T333" s="14" t="s">
        <v>265</v>
      </c>
      <c r="U333" s="101" t="str">
        <f t="shared" ca="1" si="33"/>
        <v>Шляпа BAILEY арт. 81690 MANNES (зеленый / синий)</v>
      </c>
      <c r="V333" s="100" t="str">
        <f t="shared" ca="1" si="34"/>
        <v>Шляпа BAILEY арт. 81690 MANNES (зеленый / синий) {black multi}</v>
      </c>
      <c r="W333" s="18" t="str">
        <f t="shared" ca="1" si="35"/>
        <v>зеленый</v>
      </c>
      <c r="X333" s="18" t="str">
        <f t="shared" ca="1" si="36"/>
        <v>синий</v>
      </c>
      <c r="Y333" s="117" t="str">
        <f ca="1">_xlfn.LET(_xlpm.FormColors,_xlfn.XLOOKUP(A333,Строчный!A:A,Строчный!Q:Q,"",0),IF(_xlpm.FormColors=0,IFERROR(MID(I333,FIND("-",I333)+1,LEN(I333)),IFERROR(MID(I333,1,FIND("/",I333)-2),I333)),_xlpm.FormColors))</f>
        <v>зеленый</v>
      </c>
      <c r="Z333" s="73" t="str">
        <f ca="1"/>
        <v>21-091-00-57</v>
      </c>
      <c r="AA333" s="75" t="str">
        <f ca="1">VLOOKUP(C333,Группа!A:B,2,FALSE)</f>
        <v>Шляпа</v>
      </c>
      <c r="AB333" s="97" t="str">
        <f ca="1">IFERROR(VLOOKUP(R333,Размеры!A:C,3,FALSE),"")</f>
        <v>57 M</v>
      </c>
      <c r="AC333" s="97" t="str">
        <f ca="1">VLOOKUP(I333,ЦветПолный!A:B,2,FALSE)</f>
        <v>00</v>
      </c>
      <c r="AD333" s="97" t="str">
        <f ca="1">IFERROR(VLOOKUP(R333,Размеры!A:D,4,FALSE),"")</f>
        <v>57</v>
      </c>
      <c r="AE333" s="97">
        <f ca="1">IF(LEFT(IFERROR(VLOOKUP(LOOKUP(2,1/SEARCH(B333,Товары!A:A),Товары!A:A),Товары!A:B,2,0),""),6)=MID(Z333,1,6),1,0)</f>
        <v>1</v>
      </c>
      <c r="AG333" s="97">
        <f ca="1">SUMIF(Группа!A:A,C333,Группа!C:C)</f>
        <v>1</v>
      </c>
      <c r="AH333" s="97">
        <f ca="1">SUMIF(Группа!B:B,AA333,Группа!C:C)</f>
        <v>1</v>
      </c>
      <c r="AI333" s="97">
        <f ca="1">SUMIF(Формы!A:A,D333,Формы!B:B)</f>
        <v>1</v>
      </c>
      <c r="AJ333" s="97">
        <f ca="1">SUMIF(Материал!A:A,K333,Материал!B:B)</f>
        <v>0</v>
      </c>
      <c r="AK333" s="97">
        <f ca="1">SUMIF(Размеры!A:A,R333,Размеры!E:E)</f>
        <v>1</v>
      </c>
      <c r="AL333" s="97">
        <f ca="1">SUMIF(Сезон!A:A,F333,Сезон!B:B)</f>
        <v>1</v>
      </c>
      <c r="AM333" s="97">
        <f ca="1">SUMIF(Состав!A:A,J333,Состав!B:B)</f>
        <v>1</v>
      </c>
      <c r="AN333" s="97">
        <f ca="1">VLOOKUP(I333,ЦветПолный!A:C,3,0)</f>
        <v>1</v>
      </c>
      <c r="AO333" s="97">
        <f ca="1">SUMIF(Цвет!A:A,Y333,Цвет!B:B)</f>
        <v>1</v>
      </c>
      <c r="AP333" s="97">
        <f ca="1">_xlfn.XLOOKUP(L333,Пол!A:A,Пол!B:B,0,0)</f>
        <v>1</v>
      </c>
      <c r="AQ333" s="97">
        <f ca="1">SUMIF(Марка!A:A,G333,Марка!B:B)</f>
        <v>1</v>
      </c>
      <c r="AR333" s="97">
        <f ca="1">SUMIF(Страна!A:A,M333,Страна!B:B)</f>
        <v>1</v>
      </c>
      <c r="AS333" s="64" t="str">
        <f ca="1">IF(VLOOKUP(V333,Товары!A:B,2,FALSE)=A333,"Есть в 1С","ERR")</f>
        <v>Есть в 1С</v>
      </c>
      <c r="AT333" s="65" t="str">
        <f ca="1">IF(VLOOKUP(A333,Товары!B:B,1,FALSE)=A333,"Есть в 1С","ERR")</f>
        <v>Есть в 1С</v>
      </c>
      <c r="AU333" s="96" t="str">
        <f ca="1">VLOOKUP(V333,Товары!A:B,2,FALSE)</f>
        <v>21-091-00</v>
      </c>
      <c r="AV333" s="94" t="str">
        <f ca="1">VLOOKUP(V333,Товары!A:B,1,FALSE)</f>
        <v>Шляпа BAILEY арт. 81690 MANNES (зеленый / синий) {black multi}</v>
      </c>
    </row>
    <row r="334" spans="1:48" x14ac:dyDescent="0.25">
      <c r="A334" s="110" t="str">
        <f t="shared" ca="1" si="37"/>
        <v>21-091-00</v>
      </c>
      <c r="B334" s="107" t="str">
        <f ca="1">_xlfn.LET(_xlpm.CAPS,0,_xlpm.Style,_xlfn.XLOOKUP($A334,Строчный!$A:$A,Строчный!B:B,"ERR",0),IF(_xlpm.CAPS=0,_xlpm.Style,LOWER(_xlpm.Style)))</f>
        <v>81690 MANNES</v>
      </c>
      <c r="C334" s="81" t="str">
        <f ca="1">PROPER(_xlfn.XLOOKUP($A334,Строчный!$A:$A,Строчный!C:C,"ERR",0))</f>
        <v>Шляпы</v>
      </c>
      <c r="D334" s="81" t="str">
        <f ca="1">_xlfn.LET(_xlpm.DATA,(_xlfn.XLOOKUP($A334,Строчный!$A:$A,Строчный!D:D,"ERR",0)),UPPER(MID(_xlpm.DATA,1,1))&amp;LOWER(MID(_xlpm.DATA,2,LEN(_xlpm.DATA)-1)))</f>
        <v>Шляпа хомбург</v>
      </c>
      <c r="E334" s="81" t="str">
        <f ca="1">PROPER(_xlfn.XLOOKUP($A334,Строчный!$A:$A,Строчный!E:E,"ERR",0))</f>
        <v>The Hollywood</v>
      </c>
      <c r="F334" s="81" t="str">
        <f ca="1">LOWER(_xlfn.XLOOKUP($A334,Строчный!$A:$A,Строчный!F:F,"ERR",0))</f>
        <v>летний</v>
      </c>
      <c r="G334" s="81" t="str">
        <f ca="1">UPPER(_xlfn.XLOOKUP($A334,Строчный!$A:$A,Строчный!G:G,"ERR",0))</f>
        <v>BAILEY</v>
      </c>
      <c r="H334" s="81" t="str">
        <f ca="1">LOWER(_xlfn.XLOOKUP($A334,Строчный!$A:$A,Строчный!H:H,"ERR",0))</f>
        <v>black multi</v>
      </c>
      <c r="I334" s="81" t="str">
        <f ca="1">LOWER(_xlfn.XLOOKUP($A334,Строчный!$A:$A,Строчный!I:I,"ERR",0))</f>
        <v>зеленый / синий</v>
      </c>
      <c r="J334" s="81" t="str">
        <f ca="1">SUBSTITUTE(LOWER(_xlfn.XLOOKUP($A334,Строчный!$A:$A,Строчный!J:J,"ERR",0)),"подклад","Подклад")</f>
        <v>100% полипропилен</v>
      </c>
      <c r="K334" s="81" t="str">
        <f ca="1">LOWER(_xlfn.XLOOKUP($A334,Строчный!$A:$A,Строчный!K:K,"ERR",0))</f>
        <v/>
      </c>
      <c r="L334" s="81" t="str">
        <f ca="1">PROPER(_xlfn.XLOOKUP($A334,Строчный!$A:$A,Строчный!L:L,"ERR",0))</f>
        <v>Унисекс</v>
      </c>
      <c r="M334" s="113" t="str">
        <f ca="1">PROPER(_xlfn.XLOOKUP($A334,Строчный!$A:$A,Строчный!M:M,"ERR",0))</f>
        <v>Китай</v>
      </c>
      <c r="N334" s="81" t="str">
        <f ca="1">UPPER(_xlfn.XLOOKUP($A334,Строчный!$A:$A,Строчный!O:O,"ERR",0))</f>
        <v/>
      </c>
      <c r="O334" s="107" t="str">
        <f ca="1">PROPER(_xlfn.XLOOKUP($A334,Строчный!$A:$A,Строчный!P:P,"ERR",0))</f>
        <v/>
      </c>
      <c r="P334" s="90">
        <f ca="1">VALUE(_xlfn.XLOOKUP($A334,Строчный!$A:$A,Строчный!N:N,"ERR",0))</f>
        <v>2094.3000000000002</v>
      </c>
      <c r="Q334" s="89" t="str">
        <f ca="1">_xlfn.XLOOKUP($G334,Фабрика!A:A,Фабрика!B:B,"ERR",0)</f>
        <v>Bollman Headwear Europe Ltd; 2 Merchants drive, Caelisle, Cumbria CA3 0JW, United Kingdom</v>
      </c>
      <c r="R334" s="80" t="str">
        <f ca="1">_xlfn.XLOOKUP(RIGHT(Z334,2),Размеры!D:D,Размеры!A:A,"ERR",0)</f>
        <v>55</v>
      </c>
      <c r="S334" s="80">
        <f ca="1">VALUE(_xlfn.XLOOKUP($Z334,Строчный!$R:$R,Строчный!T:T,"ERR",0))</f>
        <v>3</v>
      </c>
      <c r="T334" s="14" t="s">
        <v>265</v>
      </c>
      <c r="U334" s="101" t="str">
        <f t="shared" ca="1" si="33"/>
        <v>Шляпа BAILEY арт. 81690 MANNES (зеленый / синий)</v>
      </c>
      <c r="V334" s="100" t="str">
        <f t="shared" ca="1" si="34"/>
        <v>Шляпа BAILEY арт. 81690 MANNES (зеленый / синий) {black multi}</v>
      </c>
      <c r="W334" s="18" t="str">
        <f t="shared" ca="1" si="35"/>
        <v>зеленый</v>
      </c>
      <c r="X334" s="18" t="str">
        <f t="shared" ca="1" si="36"/>
        <v>синий</v>
      </c>
      <c r="Y334" s="117" t="str">
        <f ca="1">_xlfn.LET(_xlpm.FormColors,_xlfn.XLOOKUP(A334,Строчный!A:A,Строчный!Q:Q,"",0),IF(_xlpm.FormColors=0,IFERROR(MID(I334,FIND("-",I334)+1,LEN(I334)),IFERROR(MID(I334,1,FIND("/",I334)-2),I334)),_xlpm.FormColors))</f>
        <v>зеленый</v>
      </c>
      <c r="Z334" s="73" t="str">
        <f ca="1"/>
        <v>21-091-00-55</v>
      </c>
      <c r="AA334" s="75" t="str">
        <f ca="1">VLOOKUP(C334,Группа!A:B,2,FALSE)</f>
        <v>Шляпа</v>
      </c>
      <c r="AB334" s="97" t="str">
        <f ca="1">IFERROR(VLOOKUP(R334,Размеры!A:C,3,FALSE),"")</f>
        <v>55 S</v>
      </c>
      <c r="AC334" s="97" t="str">
        <f ca="1">VLOOKUP(I334,ЦветПолный!A:B,2,FALSE)</f>
        <v>00</v>
      </c>
      <c r="AD334" s="97" t="str">
        <f ca="1">IFERROR(VLOOKUP(R334,Размеры!A:D,4,FALSE),"")</f>
        <v>55</v>
      </c>
      <c r="AE334" s="97">
        <f ca="1">IF(LEFT(IFERROR(VLOOKUP(LOOKUP(2,1/SEARCH(B334,Товары!A:A),Товары!A:A),Товары!A:B,2,0),""),6)=MID(Z334,1,6),1,0)</f>
        <v>1</v>
      </c>
      <c r="AG334" s="97">
        <f ca="1">SUMIF(Группа!A:A,C334,Группа!C:C)</f>
        <v>1</v>
      </c>
      <c r="AH334" s="97">
        <f ca="1">SUMIF(Группа!B:B,AA334,Группа!C:C)</f>
        <v>1</v>
      </c>
      <c r="AI334" s="97">
        <f ca="1">SUMIF(Формы!A:A,D334,Формы!B:B)</f>
        <v>1</v>
      </c>
      <c r="AJ334" s="97">
        <f ca="1">SUMIF(Материал!A:A,K334,Материал!B:B)</f>
        <v>0</v>
      </c>
      <c r="AK334" s="97">
        <f ca="1">SUMIF(Размеры!A:A,R334,Размеры!E:E)</f>
        <v>1</v>
      </c>
      <c r="AL334" s="97">
        <f ca="1">SUMIF(Сезон!A:A,F334,Сезон!B:B)</f>
        <v>1</v>
      </c>
      <c r="AM334" s="97">
        <f ca="1">SUMIF(Состав!A:A,J334,Состав!B:B)</f>
        <v>1</v>
      </c>
      <c r="AN334" s="97">
        <f ca="1">VLOOKUP(I334,ЦветПолный!A:C,3,0)</f>
        <v>1</v>
      </c>
      <c r="AO334" s="97">
        <f ca="1">SUMIF(Цвет!A:A,Y334,Цвет!B:B)</f>
        <v>1</v>
      </c>
      <c r="AP334" s="97">
        <f ca="1">_xlfn.XLOOKUP(L334,Пол!A:A,Пол!B:B,0,0)</f>
        <v>1</v>
      </c>
      <c r="AQ334" s="97">
        <f ca="1">SUMIF(Марка!A:A,G334,Марка!B:B)</f>
        <v>1</v>
      </c>
      <c r="AR334" s="97">
        <f ca="1">SUMIF(Страна!A:A,M334,Страна!B:B)</f>
        <v>1</v>
      </c>
      <c r="AS334" s="64" t="str">
        <f ca="1">IF(VLOOKUP(V334,Товары!A:B,2,FALSE)=A334,"Есть в 1С","ERR")</f>
        <v>Есть в 1С</v>
      </c>
      <c r="AT334" s="65" t="str">
        <f ca="1">IF(VLOOKUP(A334,Товары!B:B,1,FALSE)=A334,"Есть в 1С","ERR")</f>
        <v>Есть в 1С</v>
      </c>
      <c r="AU334" s="96" t="str">
        <f ca="1">VLOOKUP(V334,Товары!A:B,2,FALSE)</f>
        <v>21-091-00</v>
      </c>
      <c r="AV334" s="94" t="str">
        <f ca="1">VLOOKUP(V334,Товары!A:B,1,FALSE)</f>
        <v>Шляпа BAILEY арт. 81690 MANNES (зеленый / синий) {black multi}</v>
      </c>
    </row>
    <row r="335" spans="1:48" x14ac:dyDescent="0.25">
      <c r="A335" s="110" t="str">
        <f t="shared" ca="1" si="37"/>
        <v>21-090-82</v>
      </c>
      <c r="B335" s="107" t="str">
        <f ca="1">_xlfn.LET(_xlpm.CAPS,0,_xlpm.Style,_xlfn.XLOOKUP($A335,Строчный!$A:$A,Строчный!B:B,"ERR",0),IF(_xlpm.CAPS=0,_xlpm.Style,LOWER(_xlpm.Style)))</f>
        <v>81670 BILLY</v>
      </c>
      <c r="C335" s="81" t="str">
        <f ca="1">PROPER(_xlfn.XLOOKUP($A335,Строчный!$A:$A,Строчный!C:C,"ERR",0))</f>
        <v>Шляпы</v>
      </c>
      <c r="D335" s="81" t="str">
        <f ca="1">_xlfn.LET(_xlpm.DATA,(_xlfn.XLOOKUP($A335,Строчный!$A:$A,Строчный!D:D,"ERR",0)),UPPER(MID(_xlpm.DATA,1,1))&amp;LOWER(MID(_xlpm.DATA,2,LEN(_xlpm.DATA)-1)))</f>
        <v>Шляпа хомбург</v>
      </c>
      <c r="E335" s="81" t="str">
        <f ca="1">PROPER(_xlfn.XLOOKUP($A335,Строчный!$A:$A,Строчный!E:E,"ERR",0))</f>
        <v>The Hollywood</v>
      </c>
      <c r="F335" s="81" t="str">
        <f ca="1">LOWER(_xlfn.XLOOKUP($A335,Строчный!$A:$A,Строчный!F:F,"ERR",0))</f>
        <v>летний</v>
      </c>
      <c r="G335" s="81" t="str">
        <f ca="1">UPPER(_xlfn.XLOOKUP($A335,Строчный!$A:$A,Строчный!G:G,"ERR",0))</f>
        <v>BAILEY</v>
      </c>
      <c r="H335" s="81" t="str">
        <f ca="1">LOWER(_xlfn.XLOOKUP($A335,Строчный!$A:$A,Строчный!H:H,"ERR",0))</f>
        <v>latte</v>
      </c>
      <c r="I335" s="81" t="str">
        <f ca="1">LOWER(_xlfn.XLOOKUP($A335,Строчный!$A:$A,Строчный!I:I,"ERR",0))</f>
        <v>кофейный</v>
      </c>
      <c r="J335" s="81" t="str">
        <f ca="1">SUBSTITUTE(LOWER(_xlfn.XLOOKUP($A335,Строчный!$A:$A,Строчный!J:J,"ERR",0)),"подклад","Подклад")</f>
        <v>55% бумага - 45% полиэстер</v>
      </c>
      <c r="K335" s="81" t="str">
        <f ca="1">LOWER(_xlfn.XLOOKUP($A335,Строчный!$A:$A,Строчный!K:K,"ERR",0))</f>
        <v>бумажные</v>
      </c>
      <c r="L335" s="81" t="str">
        <f ca="1">PROPER(_xlfn.XLOOKUP($A335,Строчный!$A:$A,Строчный!L:L,"ERR",0))</f>
        <v>Унисекс</v>
      </c>
      <c r="M335" s="113" t="str">
        <f ca="1">PROPER(_xlfn.XLOOKUP($A335,Строчный!$A:$A,Строчный!M:M,"ERR",0))</f>
        <v>Китай</v>
      </c>
      <c r="N335" s="81" t="str">
        <f ca="1">UPPER(_xlfn.XLOOKUP($A335,Строчный!$A:$A,Строчный!O:O,"ERR",0))</f>
        <v/>
      </c>
      <c r="O335" s="107" t="str">
        <f ca="1">PROPER(_xlfn.XLOOKUP($A335,Строчный!$A:$A,Строчный!P:P,"ERR",0))</f>
        <v/>
      </c>
      <c r="P335" s="90">
        <f ca="1">VALUE(_xlfn.XLOOKUP($A335,Строчный!$A:$A,Строчный!N:N,"ERR",0))</f>
        <v>2094.3000000000002</v>
      </c>
      <c r="Q335" s="89" t="str">
        <f ca="1">_xlfn.XLOOKUP($G335,Фабрика!A:A,Фабрика!B:B,"ERR",0)</f>
        <v>Bollman Headwear Europe Ltd; 2 Merchants drive, Caelisle, Cumbria CA3 0JW, United Kingdom</v>
      </c>
      <c r="R335" s="80" t="str">
        <f ca="1">_xlfn.XLOOKUP(RIGHT(Z335,2),Размеры!D:D,Размеры!A:A,"ERR",0)</f>
        <v>63</v>
      </c>
      <c r="S335" s="80">
        <f ca="1">VALUE(_xlfn.XLOOKUP($Z335,Строчный!$R:$R,Строчный!T:T,"ERR",0))</f>
        <v>2</v>
      </c>
      <c r="T335" s="14" t="s">
        <v>265</v>
      </c>
      <c r="U335" s="101" t="str">
        <f t="shared" ca="1" si="33"/>
        <v>Шляпа BAILEY арт. 81670 BILLY (кофейный)</v>
      </c>
      <c r="V335" s="100" t="str">
        <f t="shared" ca="1" si="34"/>
        <v>Шляпа BAILEY арт. 81670 BILLY (кофейный) {latte}</v>
      </c>
      <c r="W335" s="18" t="str">
        <f t="shared" ca="1" si="35"/>
        <v>кофейный</v>
      </c>
      <c r="X335" s="18" t="str">
        <f t="shared" ca="1" si="36"/>
        <v>кофейный</v>
      </c>
      <c r="Y335" s="117" t="str">
        <f ca="1">_xlfn.LET(_xlpm.FormColors,_xlfn.XLOOKUP(A335,Строчный!A:A,Строчный!Q:Q,"",0),IF(_xlpm.FormColors=0,IFERROR(MID(I335,FIND("-",I335)+1,LEN(I335)),IFERROR(MID(I335,1,FIND("/",I335)-2),I335)),_xlpm.FormColors))</f>
        <v>кофейный</v>
      </c>
      <c r="Z335" s="73" t="str">
        <f ca="1"/>
        <v>21-090-82-63</v>
      </c>
      <c r="AA335" s="75" t="str">
        <f ca="1">VLOOKUP(C335,Группа!A:B,2,FALSE)</f>
        <v>Шляпа</v>
      </c>
      <c r="AB335" s="97" t="str">
        <f ca="1">IFERROR(VLOOKUP(R335,Размеры!A:C,3,FALSE),"")</f>
        <v>63 XXL</v>
      </c>
      <c r="AC335" s="97" t="str">
        <f ca="1">VLOOKUP(I335,ЦветПолный!A:B,2,FALSE)</f>
        <v>91</v>
      </c>
      <c r="AD335" s="97" t="str">
        <f ca="1">IFERROR(VLOOKUP(R335,Размеры!A:D,4,FALSE),"")</f>
        <v>63</v>
      </c>
      <c r="AE335" s="97">
        <f ca="1">IF(LEFT(IFERROR(VLOOKUP(LOOKUP(2,1/SEARCH(B335,Товары!A:A),Товары!A:A),Товары!A:B,2,0),""),6)=MID(Z335,1,6),1,0)</f>
        <v>1</v>
      </c>
      <c r="AG335" s="97">
        <f ca="1">SUMIF(Группа!A:A,C335,Группа!C:C)</f>
        <v>1</v>
      </c>
      <c r="AH335" s="97">
        <f ca="1">SUMIF(Группа!B:B,AA335,Группа!C:C)</f>
        <v>1</v>
      </c>
      <c r="AI335" s="97">
        <f ca="1">SUMIF(Формы!A:A,D335,Формы!B:B)</f>
        <v>1</v>
      </c>
      <c r="AJ335" s="97">
        <f ca="1">SUMIF(Материал!A:A,K335,Материал!B:B)</f>
        <v>1</v>
      </c>
      <c r="AK335" s="97">
        <f ca="1">SUMIF(Размеры!A:A,R335,Размеры!E:E)</f>
        <v>1</v>
      </c>
      <c r="AL335" s="97">
        <f ca="1">SUMIF(Сезон!A:A,F335,Сезон!B:B)</f>
        <v>1</v>
      </c>
      <c r="AM335" s="97">
        <f ca="1">SUMIF(Состав!A:A,J335,Состав!B:B)</f>
        <v>1</v>
      </c>
      <c r="AN335" s="97">
        <f ca="1">VLOOKUP(I335,ЦветПолный!A:C,3,0)</f>
        <v>1</v>
      </c>
      <c r="AO335" s="97">
        <f ca="1">SUMIF(Цвет!A:A,Y335,Цвет!B:B)</f>
        <v>0</v>
      </c>
      <c r="AP335" s="97">
        <f ca="1">_xlfn.XLOOKUP(L335,Пол!A:A,Пол!B:B,0,0)</f>
        <v>1</v>
      </c>
      <c r="AQ335" s="97">
        <f ca="1">SUMIF(Марка!A:A,G335,Марка!B:B)</f>
        <v>1</v>
      </c>
      <c r="AR335" s="97">
        <f ca="1">SUMIF(Страна!A:A,M335,Страна!B:B)</f>
        <v>1</v>
      </c>
      <c r="AS335" s="64" t="str">
        <f ca="1">IF(VLOOKUP(V335,Товары!A:B,2,FALSE)=A335,"Есть в 1С","ERR")</f>
        <v>Есть в 1С</v>
      </c>
      <c r="AT335" s="65" t="str">
        <f ca="1">IF(VLOOKUP(A335,Товары!B:B,1,FALSE)=A335,"Есть в 1С","ERR")</f>
        <v>Есть в 1С</v>
      </c>
      <c r="AU335" s="96" t="str">
        <f ca="1">VLOOKUP(V335,Товары!A:B,2,FALSE)</f>
        <v>21-090-82</v>
      </c>
      <c r="AV335" s="94" t="str">
        <f ca="1">VLOOKUP(V335,Товары!A:B,1,FALSE)</f>
        <v>Шляпа BAILEY арт. 81670 BILLY (кофейный) {latte}</v>
      </c>
    </row>
    <row r="336" spans="1:48" x14ac:dyDescent="0.25">
      <c r="A336" s="110" t="str">
        <f t="shared" ca="1" si="37"/>
        <v>21-090-82</v>
      </c>
      <c r="B336" s="107" t="str">
        <f ca="1">_xlfn.LET(_xlpm.CAPS,0,_xlpm.Style,_xlfn.XLOOKUP($A336,Строчный!$A:$A,Строчный!B:B,"ERR",0),IF(_xlpm.CAPS=0,_xlpm.Style,LOWER(_xlpm.Style)))</f>
        <v>81670 BILLY</v>
      </c>
      <c r="C336" s="81" t="str">
        <f ca="1">PROPER(_xlfn.XLOOKUP($A336,Строчный!$A:$A,Строчный!C:C,"ERR",0))</f>
        <v>Шляпы</v>
      </c>
      <c r="D336" s="81" t="str">
        <f ca="1">_xlfn.LET(_xlpm.DATA,(_xlfn.XLOOKUP($A336,Строчный!$A:$A,Строчный!D:D,"ERR",0)),UPPER(MID(_xlpm.DATA,1,1))&amp;LOWER(MID(_xlpm.DATA,2,LEN(_xlpm.DATA)-1)))</f>
        <v>Шляпа хомбург</v>
      </c>
      <c r="E336" s="81" t="str">
        <f ca="1">PROPER(_xlfn.XLOOKUP($A336,Строчный!$A:$A,Строчный!E:E,"ERR",0))</f>
        <v>The Hollywood</v>
      </c>
      <c r="F336" s="81" t="str">
        <f ca="1">LOWER(_xlfn.XLOOKUP($A336,Строчный!$A:$A,Строчный!F:F,"ERR",0))</f>
        <v>летний</v>
      </c>
      <c r="G336" s="81" t="str">
        <f ca="1">UPPER(_xlfn.XLOOKUP($A336,Строчный!$A:$A,Строчный!G:G,"ERR",0))</f>
        <v>BAILEY</v>
      </c>
      <c r="H336" s="81" t="str">
        <f ca="1">LOWER(_xlfn.XLOOKUP($A336,Строчный!$A:$A,Строчный!H:H,"ERR",0))</f>
        <v>latte</v>
      </c>
      <c r="I336" s="81" t="str">
        <f ca="1">LOWER(_xlfn.XLOOKUP($A336,Строчный!$A:$A,Строчный!I:I,"ERR",0))</f>
        <v>кофейный</v>
      </c>
      <c r="J336" s="81" t="str">
        <f ca="1">SUBSTITUTE(LOWER(_xlfn.XLOOKUP($A336,Строчный!$A:$A,Строчный!J:J,"ERR",0)),"подклад","Подклад")</f>
        <v>55% бумага - 45% полиэстер</v>
      </c>
      <c r="K336" s="81" t="str">
        <f ca="1">LOWER(_xlfn.XLOOKUP($A336,Строчный!$A:$A,Строчный!K:K,"ERR",0))</f>
        <v>бумажные</v>
      </c>
      <c r="L336" s="81" t="str">
        <f ca="1">PROPER(_xlfn.XLOOKUP($A336,Строчный!$A:$A,Строчный!L:L,"ERR",0))</f>
        <v>Унисекс</v>
      </c>
      <c r="M336" s="113" t="str">
        <f ca="1">PROPER(_xlfn.XLOOKUP($A336,Строчный!$A:$A,Строчный!M:M,"ERR",0))</f>
        <v>Китай</v>
      </c>
      <c r="N336" s="81" t="str">
        <f ca="1">UPPER(_xlfn.XLOOKUP($A336,Строчный!$A:$A,Строчный!O:O,"ERR",0))</f>
        <v/>
      </c>
      <c r="O336" s="107" t="str">
        <f ca="1">PROPER(_xlfn.XLOOKUP($A336,Строчный!$A:$A,Строчный!P:P,"ERR",0))</f>
        <v/>
      </c>
      <c r="P336" s="90">
        <f ca="1">VALUE(_xlfn.XLOOKUP($A336,Строчный!$A:$A,Строчный!N:N,"ERR",0))</f>
        <v>2094.3000000000002</v>
      </c>
      <c r="Q336" s="89" t="str">
        <f ca="1">_xlfn.XLOOKUP($G336,Фабрика!A:A,Фабрика!B:B,"ERR",0)</f>
        <v>Bollman Headwear Europe Ltd; 2 Merchants drive, Caelisle, Cumbria CA3 0JW, United Kingdom</v>
      </c>
      <c r="R336" s="80" t="str">
        <f ca="1">_xlfn.XLOOKUP(RIGHT(Z336,2),Размеры!D:D,Размеры!A:A,"ERR",0)</f>
        <v>61</v>
      </c>
      <c r="S336" s="80">
        <f ca="1">VALUE(_xlfn.XLOOKUP($Z336,Строчный!$R:$R,Строчный!T:T,"ERR",0))</f>
        <v>5</v>
      </c>
      <c r="T336" s="14" t="s">
        <v>265</v>
      </c>
      <c r="U336" s="101" t="str">
        <f t="shared" ca="1" si="33"/>
        <v>Шляпа BAILEY арт. 81670 BILLY (кофейный)</v>
      </c>
      <c r="V336" s="100" t="str">
        <f t="shared" ca="1" si="34"/>
        <v>Шляпа BAILEY арт. 81670 BILLY (кофейный) {latte}</v>
      </c>
      <c r="W336" s="18" t="str">
        <f t="shared" ca="1" si="35"/>
        <v>кофейный</v>
      </c>
      <c r="X336" s="18" t="str">
        <f t="shared" ca="1" si="36"/>
        <v>кофейный</v>
      </c>
      <c r="Y336" s="117" t="str">
        <f ca="1">_xlfn.LET(_xlpm.FormColors,_xlfn.XLOOKUP(A336,Строчный!A:A,Строчный!Q:Q,"",0),IF(_xlpm.FormColors=0,IFERROR(MID(I336,FIND("-",I336)+1,LEN(I336)),IFERROR(MID(I336,1,FIND("/",I336)-2),I336)),_xlpm.FormColors))</f>
        <v>кофейный</v>
      </c>
      <c r="Z336" s="73" t="str">
        <f ca="1"/>
        <v>21-090-82-61</v>
      </c>
      <c r="AA336" s="75" t="str">
        <f ca="1">VLOOKUP(C336,Группа!A:B,2,FALSE)</f>
        <v>Шляпа</v>
      </c>
      <c r="AB336" s="97" t="str">
        <f ca="1">IFERROR(VLOOKUP(R336,Размеры!A:C,3,FALSE),"")</f>
        <v>61 XL</v>
      </c>
      <c r="AC336" s="97" t="str">
        <f ca="1">VLOOKUP(I336,ЦветПолный!A:B,2,FALSE)</f>
        <v>91</v>
      </c>
      <c r="AD336" s="97" t="str">
        <f ca="1">IFERROR(VLOOKUP(R336,Размеры!A:D,4,FALSE),"")</f>
        <v>61</v>
      </c>
      <c r="AE336" s="97">
        <f ca="1">IF(LEFT(IFERROR(VLOOKUP(LOOKUP(2,1/SEARCH(B336,Товары!A:A),Товары!A:A),Товары!A:B,2,0),""),6)=MID(Z336,1,6),1,0)</f>
        <v>1</v>
      </c>
      <c r="AG336" s="97">
        <f ca="1">SUMIF(Группа!A:A,C336,Группа!C:C)</f>
        <v>1</v>
      </c>
      <c r="AH336" s="97">
        <f ca="1">SUMIF(Группа!B:B,AA336,Группа!C:C)</f>
        <v>1</v>
      </c>
      <c r="AI336" s="97">
        <f ca="1">SUMIF(Формы!A:A,D336,Формы!B:B)</f>
        <v>1</v>
      </c>
      <c r="AJ336" s="97">
        <f ca="1">SUMIF(Материал!A:A,K336,Материал!B:B)</f>
        <v>1</v>
      </c>
      <c r="AK336" s="97">
        <f ca="1">SUMIF(Размеры!A:A,R336,Размеры!E:E)</f>
        <v>1</v>
      </c>
      <c r="AL336" s="97">
        <f ca="1">SUMIF(Сезон!A:A,F336,Сезон!B:B)</f>
        <v>1</v>
      </c>
      <c r="AM336" s="97">
        <f ca="1">SUMIF(Состав!A:A,J336,Состав!B:B)</f>
        <v>1</v>
      </c>
      <c r="AN336" s="97">
        <f ca="1">VLOOKUP(I336,ЦветПолный!A:C,3,0)</f>
        <v>1</v>
      </c>
      <c r="AO336" s="97">
        <f ca="1">SUMIF(Цвет!A:A,Y336,Цвет!B:B)</f>
        <v>0</v>
      </c>
      <c r="AP336" s="97">
        <f ca="1">_xlfn.XLOOKUP(L336,Пол!A:A,Пол!B:B,0,0)</f>
        <v>1</v>
      </c>
      <c r="AQ336" s="97">
        <f ca="1">SUMIF(Марка!A:A,G336,Марка!B:B)</f>
        <v>1</v>
      </c>
      <c r="AR336" s="97">
        <f ca="1">SUMIF(Страна!A:A,M336,Страна!B:B)</f>
        <v>1</v>
      </c>
      <c r="AS336" s="64" t="str">
        <f ca="1">IF(VLOOKUP(V336,Товары!A:B,2,FALSE)=A336,"Есть в 1С","ERR")</f>
        <v>Есть в 1С</v>
      </c>
      <c r="AT336" s="65" t="str">
        <f ca="1">IF(VLOOKUP(A336,Товары!B:B,1,FALSE)=A336,"Есть в 1С","ERR")</f>
        <v>Есть в 1С</v>
      </c>
      <c r="AU336" s="96" t="str">
        <f ca="1">VLOOKUP(V336,Товары!A:B,2,FALSE)</f>
        <v>21-090-82</v>
      </c>
      <c r="AV336" s="94" t="str">
        <f ca="1">VLOOKUP(V336,Товары!A:B,1,FALSE)</f>
        <v>Шляпа BAILEY арт. 81670 BILLY (кофейный) {latte}</v>
      </c>
    </row>
    <row r="337" spans="1:48" x14ac:dyDescent="0.25">
      <c r="A337" s="110" t="str">
        <f t="shared" ca="1" si="37"/>
        <v>21-090-82</v>
      </c>
      <c r="B337" s="107" t="str">
        <f ca="1">_xlfn.LET(_xlpm.CAPS,0,_xlpm.Style,_xlfn.XLOOKUP($A337,Строчный!$A:$A,Строчный!B:B,"ERR",0),IF(_xlpm.CAPS=0,_xlpm.Style,LOWER(_xlpm.Style)))</f>
        <v>81670 BILLY</v>
      </c>
      <c r="C337" s="81" t="str">
        <f ca="1">PROPER(_xlfn.XLOOKUP($A337,Строчный!$A:$A,Строчный!C:C,"ERR",0))</f>
        <v>Шляпы</v>
      </c>
      <c r="D337" s="81" t="str">
        <f ca="1">_xlfn.LET(_xlpm.DATA,(_xlfn.XLOOKUP($A337,Строчный!$A:$A,Строчный!D:D,"ERR",0)),UPPER(MID(_xlpm.DATA,1,1))&amp;LOWER(MID(_xlpm.DATA,2,LEN(_xlpm.DATA)-1)))</f>
        <v>Шляпа хомбург</v>
      </c>
      <c r="E337" s="81" t="str">
        <f ca="1">PROPER(_xlfn.XLOOKUP($A337,Строчный!$A:$A,Строчный!E:E,"ERR",0))</f>
        <v>The Hollywood</v>
      </c>
      <c r="F337" s="81" t="str">
        <f ca="1">LOWER(_xlfn.XLOOKUP($A337,Строчный!$A:$A,Строчный!F:F,"ERR",0))</f>
        <v>летний</v>
      </c>
      <c r="G337" s="81" t="str">
        <f ca="1">UPPER(_xlfn.XLOOKUP($A337,Строчный!$A:$A,Строчный!G:G,"ERR",0))</f>
        <v>BAILEY</v>
      </c>
      <c r="H337" s="81" t="str">
        <f ca="1">LOWER(_xlfn.XLOOKUP($A337,Строчный!$A:$A,Строчный!H:H,"ERR",0))</f>
        <v>latte</v>
      </c>
      <c r="I337" s="81" t="str">
        <f ca="1">LOWER(_xlfn.XLOOKUP($A337,Строчный!$A:$A,Строчный!I:I,"ERR",0))</f>
        <v>кофейный</v>
      </c>
      <c r="J337" s="81" t="str">
        <f ca="1">SUBSTITUTE(LOWER(_xlfn.XLOOKUP($A337,Строчный!$A:$A,Строчный!J:J,"ERR",0)),"подклад","Подклад")</f>
        <v>55% бумага - 45% полиэстер</v>
      </c>
      <c r="K337" s="81" t="str">
        <f ca="1">LOWER(_xlfn.XLOOKUP($A337,Строчный!$A:$A,Строчный!K:K,"ERR",0))</f>
        <v>бумажные</v>
      </c>
      <c r="L337" s="81" t="str">
        <f ca="1">PROPER(_xlfn.XLOOKUP($A337,Строчный!$A:$A,Строчный!L:L,"ERR",0))</f>
        <v>Унисекс</v>
      </c>
      <c r="M337" s="113" t="str">
        <f ca="1">PROPER(_xlfn.XLOOKUP($A337,Строчный!$A:$A,Строчный!M:M,"ERR",0))</f>
        <v>Китай</v>
      </c>
      <c r="N337" s="81" t="str">
        <f ca="1">UPPER(_xlfn.XLOOKUP($A337,Строчный!$A:$A,Строчный!O:O,"ERR",0))</f>
        <v/>
      </c>
      <c r="O337" s="107" t="str">
        <f ca="1">PROPER(_xlfn.XLOOKUP($A337,Строчный!$A:$A,Строчный!P:P,"ERR",0))</f>
        <v/>
      </c>
      <c r="P337" s="90">
        <f ca="1">VALUE(_xlfn.XLOOKUP($A337,Строчный!$A:$A,Строчный!N:N,"ERR",0))</f>
        <v>2094.3000000000002</v>
      </c>
      <c r="Q337" s="89" t="str">
        <f ca="1">_xlfn.XLOOKUP($G337,Фабрика!A:A,Фабрика!B:B,"ERR",0)</f>
        <v>Bollman Headwear Europe Ltd; 2 Merchants drive, Caelisle, Cumbria CA3 0JW, United Kingdom</v>
      </c>
      <c r="R337" s="80" t="str">
        <f ca="1">_xlfn.XLOOKUP(RIGHT(Z337,2),Размеры!D:D,Размеры!A:A,"ERR",0)</f>
        <v>59</v>
      </c>
      <c r="S337" s="80">
        <f ca="1">VALUE(_xlfn.XLOOKUP($Z337,Строчный!$R:$R,Строчный!T:T,"ERR",0))</f>
        <v>5</v>
      </c>
      <c r="T337" s="14" t="s">
        <v>265</v>
      </c>
      <c r="U337" s="101" t="str">
        <f t="shared" ca="1" si="33"/>
        <v>Шляпа BAILEY арт. 81670 BILLY (кофейный)</v>
      </c>
      <c r="V337" s="100" t="str">
        <f t="shared" ca="1" si="34"/>
        <v>Шляпа BAILEY арт. 81670 BILLY (кофейный) {latte}</v>
      </c>
      <c r="W337" s="18" t="str">
        <f t="shared" ca="1" si="35"/>
        <v>кофейный</v>
      </c>
      <c r="X337" s="18" t="str">
        <f t="shared" ca="1" si="36"/>
        <v>кофейный</v>
      </c>
      <c r="Y337" s="117" t="str">
        <f ca="1">_xlfn.LET(_xlpm.FormColors,_xlfn.XLOOKUP(A337,Строчный!A:A,Строчный!Q:Q,"",0),IF(_xlpm.FormColors=0,IFERROR(MID(I337,FIND("-",I337)+1,LEN(I337)),IFERROR(MID(I337,1,FIND("/",I337)-2),I337)),_xlpm.FormColors))</f>
        <v>кофейный</v>
      </c>
      <c r="Z337" s="73" t="str">
        <f ca="1"/>
        <v>21-090-82-59</v>
      </c>
      <c r="AA337" s="75" t="str">
        <f ca="1">VLOOKUP(C337,Группа!A:B,2,FALSE)</f>
        <v>Шляпа</v>
      </c>
      <c r="AB337" s="97" t="str">
        <f ca="1">IFERROR(VLOOKUP(R337,Размеры!A:C,3,FALSE),"")</f>
        <v>59 L</v>
      </c>
      <c r="AC337" s="97" t="str">
        <f ca="1">VLOOKUP(I337,ЦветПолный!A:B,2,FALSE)</f>
        <v>91</v>
      </c>
      <c r="AD337" s="97" t="str">
        <f ca="1">IFERROR(VLOOKUP(R337,Размеры!A:D,4,FALSE),"")</f>
        <v>59</v>
      </c>
      <c r="AE337" s="97">
        <f ca="1">IF(LEFT(IFERROR(VLOOKUP(LOOKUP(2,1/SEARCH(B337,Товары!A:A),Товары!A:A),Товары!A:B,2,0),""),6)=MID(Z337,1,6),1,0)</f>
        <v>1</v>
      </c>
      <c r="AG337" s="97">
        <f ca="1">SUMIF(Группа!A:A,C337,Группа!C:C)</f>
        <v>1</v>
      </c>
      <c r="AH337" s="97">
        <f ca="1">SUMIF(Группа!B:B,AA337,Группа!C:C)</f>
        <v>1</v>
      </c>
      <c r="AI337" s="97">
        <f ca="1">SUMIF(Формы!A:A,D337,Формы!B:B)</f>
        <v>1</v>
      </c>
      <c r="AJ337" s="97">
        <f ca="1">SUMIF(Материал!A:A,K337,Материал!B:B)</f>
        <v>1</v>
      </c>
      <c r="AK337" s="97">
        <f ca="1">SUMIF(Размеры!A:A,R337,Размеры!E:E)</f>
        <v>1</v>
      </c>
      <c r="AL337" s="97">
        <f ca="1">SUMIF(Сезон!A:A,F337,Сезон!B:B)</f>
        <v>1</v>
      </c>
      <c r="AM337" s="97">
        <f ca="1">SUMIF(Состав!A:A,J337,Состав!B:B)</f>
        <v>1</v>
      </c>
      <c r="AN337" s="97">
        <f ca="1">VLOOKUP(I337,ЦветПолный!A:C,3,0)</f>
        <v>1</v>
      </c>
      <c r="AO337" s="97">
        <f ca="1">SUMIF(Цвет!A:A,Y337,Цвет!B:B)</f>
        <v>0</v>
      </c>
      <c r="AP337" s="97">
        <f ca="1">_xlfn.XLOOKUP(L337,Пол!A:A,Пол!B:B,0,0)</f>
        <v>1</v>
      </c>
      <c r="AQ337" s="97">
        <f ca="1">SUMIF(Марка!A:A,G337,Марка!B:B)</f>
        <v>1</v>
      </c>
      <c r="AR337" s="97">
        <f ca="1">SUMIF(Страна!A:A,M337,Страна!B:B)</f>
        <v>1</v>
      </c>
      <c r="AS337" s="64" t="str">
        <f ca="1">IF(VLOOKUP(V337,Товары!A:B,2,FALSE)=A337,"Есть в 1С","ERR")</f>
        <v>Есть в 1С</v>
      </c>
      <c r="AT337" s="65" t="str">
        <f ca="1">IF(VLOOKUP(A337,Товары!B:B,1,FALSE)=A337,"Есть в 1С","ERR")</f>
        <v>Есть в 1С</v>
      </c>
      <c r="AU337" s="96" t="str">
        <f ca="1">VLOOKUP(V337,Товары!A:B,2,FALSE)</f>
        <v>21-090-82</v>
      </c>
      <c r="AV337" s="94" t="str">
        <f ca="1">VLOOKUP(V337,Товары!A:B,1,FALSE)</f>
        <v>Шляпа BAILEY арт. 81670 BILLY (кофейный) {latte}</v>
      </c>
    </row>
    <row r="338" spans="1:48" x14ac:dyDescent="0.25">
      <c r="A338" s="110" t="str">
        <f t="shared" ca="1" si="37"/>
        <v>21-090-82</v>
      </c>
      <c r="B338" s="107" t="str">
        <f ca="1">_xlfn.LET(_xlpm.CAPS,0,_xlpm.Style,_xlfn.XLOOKUP($A338,Строчный!$A:$A,Строчный!B:B,"ERR",0),IF(_xlpm.CAPS=0,_xlpm.Style,LOWER(_xlpm.Style)))</f>
        <v>81670 BILLY</v>
      </c>
      <c r="C338" s="81" t="str">
        <f ca="1">PROPER(_xlfn.XLOOKUP($A338,Строчный!$A:$A,Строчный!C:C,"ERR",0))</f>
        <v>Шляпы</v>
      </c>
      <c r="D338" s="81" t="str">
        <f ca="1">_xlfn.LET(_xlpm.DATA,(_xlfn.XLOOKUP($A338,Строчный!$A:$A,Строчный!D:D,"ERR",0)),UPPER(MID(_xlpm.DATA,1,1))&amp;LOWER(MID(_xlpm.DATA,2,LEN(_xlpm.DATA)-1)))</f>
        <v>Шляпа хомбург</v>
      </c>
      <c r="E338" s="81" t="str">
        <f ca="1">PROPER(_xlfn.XLOOKUP($A338,Строчный!$A:$A,Строчный!E:E,"ERR",0))</f>
        <v>The Hollywood</v>
      </c>
      <c r="F338" s="81" t="str">
        <f ca="1">LOWER(_xlfn.XLOOKUP($A338,Строчный!$A:$A,Строчный!F:F,"ERR",0))</f>
        <v>летний</v>
      </c>
      <c r="G338" s="81" t="str">
        <f ca="1">UPPER(_xlfn.XLOOKUP($A338,Строчный!$A:$A,Строчный!G:G,"ERR",0))</f>
        <v>BAILEY</v>
      </c>
      <c r="H338" s="81" t="str">
        <f ca="1">LOWER(_xlfn.XLOOKUP($A338,Строчный!$A:$A,Строчный!H:H,"ERR",0))</f>
        <v>latte</v>
      </c>
      <c r="I338" s="81" t="str">
        <f ca="1">LOWER(_xlfn.XLOOKUP($A338,Строчный!$A:$A,Строчный!I:I,"ERR",0))</f>
        <v>кофейный</v>
      </c>
      <c r="J338" s="81" t="str">
        <f ca="1">SUBSTITUTE(LOWER(_xlfn.XLOOKUP($A338,Строчный!$A:$A,Строчный!J:J,"ERR",0)),"подклад","Подклад")</f>
        <v>55% бумага - 45% полиэстер</v>
      </c>
      <c r="K338" s="81" t="str">
        <f ca="1">LOWER(_xlfn.XLOOKUP($A338,Строчный!$A:$A,Строчный!K:K,"ERR",0))</f>
        <v>бумажные</v>
      </c>
      <c r="L338" s="81" t="str">
        <f ca="1">PROPER(_xlfn.XLOOKUP($A338,Строчный!$A:$A,Строчный!L:L,"ERR",0))</f>
        <v>Унисекс</v>
      </c>
      <c r="M338" s="113" t="str">
        <f ca="1">PROPER(_xlfn.XLOOKUP($A338,Строчный!$A:$A,Строчный!M:M,"ERR",0))</f>
        <v>Китай</v>
      </c>
      <c r="N338" s="81" t="str">
        <f ca="1">UPPER(_xlfn.XLOOKUP($A338,Строчный!$A:$A,Строчный!O:O,"ERR",0))</f>
        <v/>
      </c>
      <c r="O338" s="107" t="str">
        <f ca="1">PROPER(_xlfn.XLOOKUP($A338,Строчный!$A:$A,Строчный!P:P,"ERR",0))</f>
        <v/>
      </c>
      <c r="P338" s="90">
        <f ca="1">VALUE(_xlfn.XLOOKUP($A338,Строчный!$A:$A,Строчный!N:N,"ERR",0))</f>
        <v>2094.3000000000002</v>
      </c>
      <c r="Q338" s="89" t="str">
        <f ca="1">_xlfn.XLOOKUP($G338,Фабрика!A:A,Фабрика!B:B,"ERR",0)</f>
        <v>Bollman Headwear Europe Ltd; 2 Merchants drive, Caelisle, Cumbria CA3 0JW, United Kingdom</v>
      </c>
      <c r="R338" s="80" t="str">
        <f ca="1">_xlfn.XLOOKUP(RIGHT(Z338,2),Размеры!D:D,Размеры!A:A,"ERR",0)</f>
        <v>57</v>
      </c>
      <c r="S338" s="80">
        <f ca="1">VALUE(_xlfn.XLOOKUP($Z338,Строчный!$R:$R,Строчный!T:T,"ERR",0))</f>
        <v>3</v>
      </c>
      <c r="T338" s="14" t="s">
        <v>265</v>
      </c>
      <c r="U338" s="101" t="str">
        <f t="shared" ca="1" si="33"/>
        <v>Шляпа BAILEY арт. 81670 BILLY (кофейный)</v>
      </c>
      <c r="V338" s="100" t="str">
        <f t="shared" ca="1" si="34"/>
        <v>Шляпа BAILEY арт. 81670 BILLY (кофейный) {latte}</v>
      </c>
      <c r="W338" s="18" t="str">
        <f t="shared" ca="1" si="35"/>
        <v>кофейный</v>
      </c>
      <c r="X338" s="18" t="str">
        <f t="shared" ca="1" si="36"/>
        <v>кофейный</v>
      </c>
      <c r="Y338" s="117" t="str">
        <f ca="1">_xlfn.LET(_xlpm.FormColors,_xlfn.XLOOKUP(A338,Строчный!A:A,Строчный!Q:Q,"",0),IF(_xlpm.FormColors=0,IFERROR(MID(I338,FIND("-",I338)+1,LEN(I338)),IFERROR(MID(I338,1,FIND("/",I338)-2),I338)),_xlpm.FormColors))</f>
        <v>кофейный</v>
      </c>
      <c r="Z338" s="73" t="str">
        <f ca="1"/>
        <v>21-090-82-57</v>
      </c>
      <c r="AA338" s="75" t="str">
        <f ca="1">VLOOKUP(C338,Группа!A:B,2,FALSE)</f>
        <v>Шляпа</v>
      </c>
      <c r="AB338" s="97" t="str">
        <f ca="1">IFERROR(VLOOKUP(R338,Размеры!A:C,3,FALSE),"")</f>
        <v>57 M</v>
      </c>
      <c r="AC338" s="97" t="str">
        <f ca="1">VLOOKUP(I338,ЦветПолный!A:B,2,FALSE)</f>
        <v>91</v>
      </c>
      <c r="AD338" s="97" t="str">
        <f ca="1">IFERROR(VLOOKUP(R338,Размеры!A:D,4,FALSE),"")</f>
        <v>57</v>
      </c>
      <c r="AE338" s="97">
        <f ca="1">IF(LEFT(IFERROR(VLOOKUP(LOOKUP(2,1/SEARCH(B338,Товары!A:A),Товары!A:A),Товары!A:B,2,0),""),6)=MID(Z338,1,6),1,0)</f>
        <v>1</v>
      </c>
      <c r="AG338" s="97">
        <f ca="1">SUMIF(Группа!A:A,C338,Группа!C:C)</f>
        <v>1</v>
      </c>
      <c r="AH338" s="97">
        <f ca="1">SUMIF(Группа!B:B,AA338,Группа!C:C)</f>
        <v>1</v>
      </c>
      <c r="AI338" s="97">
        <f ca="1">SUMIF(Формы!A:A,D338,Формы!B:B)</f>
        <v>1</v>
      </c>
      <c r="AJ338" s="97">
        <f ca="1">SUMIF(Материал!A:A,K338,Материал!B:B)</f>
        <v>1</v>
      </c>
      <c r="AK338" s="97">
        <f ca="1">SUMIF(Размеры!A:A,R338,Размеры!E:E)</f>
        <v>1</v>
      </c>
      <c r="AL338" s="97">
        <f ca="1">SUMIF(Сезон!A:A,F338,Сезон!B:B)</f>
        <v>1</v>
      </c>
      <c r="AM338" s="97">
        <f ca="1">SUMIF(Состав!A:A,J338,Состав!B:B)</f>
        <v>1</v>
      </c>
      <c r="AN338" s="97">
        <f ca="1">VLOOKUP(I338,ЦветПолный!A:C,3,0)</f>
        <v>1</v>
      </c>
      <c r="AO338" s="97">
        <f ca="1">SUMIF(Цвет!A:A,Y338,Цвет!B:B)</f>
        <v>0</v>
      </c>
      <c r="AP338" s="97">
        <f ca="1">_xlfn.XLOOKUP(L338,Пол!A:A,Пол!B:B,0,0)</f>
        <v>1</v>
      </c>
      <c r="AQ338" s="97">
        <f ca="1">SUMIF(Марка!A:A,G338,Марка!B:B)</f>
        <v>1</v>
      </c>
      <c r="AR338" s="97">
        <f ca="1">SUMIF(Страна!A:A,M338,Страна!B:B)</f>
        <v>1</v>
      </c>
      <c r="AS338" s="64" t="str">
        <f ca="1">IF(VLOOKUP(V338,Товары!A:B,2,FALSE)=A338,"Есть в 1С","ERR")</f>
        <v>Есть в 1С</v>
      </c>
      <c r="AT338" s="65" t="str">
        <f ca="1">IF(VLOOKUP(A338,Товары!B:B,1,FALSE)=A338,"Есть в 1С","ERR")</f>
        <v>Есть в 1С</v>
      </c>
      <c r="AU338" s="96" t="str">
        <f ca="1">VLOOKUP(V338,Товары!A:B,2,FALSE)</f>
        <v>21-090-82</v>
      </c>
      <c r="AV338" s="94" t="str">
        <f ca="1">VLOOKUP(V338,Товары!A:B,1,FALSE)</f>
        <v>Шляпа BAILEY арт. 81670 BILLY (кофейный) {latte}</v>
      </c>
    </row>
    <row r="339" spans="1:48" x14ac:dyDescent="0.25">
      <c r="A339" s="110" t="str">
        <f t="shared" ca="1" si="37"/>
        <v>21-090-82</v>
      </c>
      <c r="B339" s="107" t="str">
        <f ca="1">_xlfn.LET(_xlpm.CAPS,0,_xlpm.Style,_xlfn.XLOOKUP($A339,Строчный!$A:$A,Строчный!B:B,"ERR",0),IF(_xlpm.CAPS=0,_xlpm.Style,LOWER(_xlpm.Style)))</f>
        <v>81670 BILLY</v>
      </c>
      <c r="C339" s="81" t="str">
        <f ca="1">PROPER(_xlfn.XLOOKUP($A339,Строчный!$A:$A,Строчный!C:C,"ERR",0))</f>
        <v>Шляпы</v>
      </c>
      <c r="D339" s="81" t="str">
        <f ca="1">_xlfn.LET(_xlpm.DATA,(_xlfn.XLOOKUP($A339,Строчный!$A:$A,Строчный!D:D,"ERR",0)),UPPER(MID(_xlpm.DATA,1,1))&amp;LOWER(MID(_xlpm.DATA,2,LEN(_xlpm.DATA)-1)))</f>
        <v>Шляпа хомбург</v>
      </c>
      <c r="E339" s="81" t="str">
        <f ca="1">PROPER(_xlfn.XLOOKUP($A339,Строчный!$A:$A,Строчный!E:E,"ERR",0))</f>
        <v>The Hollywood</v>
      </c>
      <c r="F339" s="81" t="str">
        <f ca="1">LOWER(_xlfn.XLOOKUP($A339,Строчный!$A:$A,Строчный!F:F,"ERR",0))</f>
        <v>летний</v>
      </c>
      <c r="G339" s="81" t="str">
        <f ca="1">UPPER(_xlfn.XLOOKUP($A339,Строчный!$A:$A,Строчный!G:G,"ERR",0))</f>
        <v>BAILEY</v>
      </c>
      <c r="H339" s="81" t="str">
        <f ca="1">LOWER(_xlfn.XLOOKUP($A339,Строчный!$A:$A,Строчный!H:H,"ERR",0))</f>
        <v>latte</v>
      </c>
      <c r="I339" s="81" t="str">
        <f ca="1">LOWER(_xlfn.XLOOKUP($A339,Строчный!$A:$A,Строчный!I:I,"ERR",0))</f>
        <v>кофейный</v>
      </c>
      <c r="J339" s="81" t="str">
        <f ca="1">SUBSTITUTE(LOWER(_xlfn.XLOOKUP($A339,Строчный!$A:$A,Строчный!J:J,"ERR",0)),"подклад","Подклад")</f>
        <v>55% бумага - 45% полиэстер</v>
      </c>
      <c r="K339" s="81" t="str">
        <f ca="1">LOWER(_xlfn.XLOOKUP($A339,Строчный!$A:$A,Строчный!K:K,"ERR",0))</f>
        <v>бумажные</v>
      </c>
      <c r="L339" s="81" t="str">
        <f ca="1">PROPER(_xlfn.XLOOKUP($A339,Строчный!$A:$A,Строчный!L:L,"ERR",0))</f>
        <v>Унисекс</v>
      </c>
      <c r="M339" s="113" t="str">
        <f ca="1">PROPER(_xlfn.XLOOKUP($A339,Строчный!$A:$A,Строчный!M:M,"ERR",0))</f>
        <v>Китай</v>
      </c>
      <c r="N339" s="81" t="str">
        <f ca="1">UPPER(_xlfn.XLOOKUP($A339,Строчный!$A:$A,Строчный!O:O,"ERR",0))</f>
        <v/>
      </c>
      <c r="O339" s="107" t="str">
        <f ca="1">PROPER(_xlfn.XLOOKUP($A339,Строчный!$A:$A,Строчный!P:P,"ERR",0))</f>
        <v/>
      </c>
      <c r="P339" s="90">
        <f ca="1">VALUE(_xlfn.XLOOKUP($A339,Строчный!$A:$A,Строчный!N:N,"ERR",0))</f>
        <v>2094.3000000000002</v>
      </c>
      <c r="Q339" s="89" t="str">
        <f ca="1">_xlfn.XLOOKUP($G339,Фабрика!A:A,Фабрика!B:B,"ERR",0)</f>
        <v>Bollman Headwear Europe Ltd; 2 Merchants drive, Caelisle, Cumbria CA3 0JW, United Kingdom</v>
      </c>
      <c r="R339" s="80" t="str">
        <f ca="1">_xlfn.XLOOKUP(RIGHT(Z339,2),Размеры!D:D,Размеры!A:A,"ERR",0)</f>
        <v>55</v>
      </c>
      <c r="S339" s="80">
        <f ca="1">VALUE(_xlfn.XLOOKUP($Z339,Строчный!$R:$R,Строчный!T:T,"ERR",0))</f>
        <v>1</v>
      </c>
      <c r="T339" s="14" t="s">
        <v>265</v>
      </c>
      <c r="U339" s="101" t="str">
        <f t="shared" ca="1" si="33"/>
        <v>Шляпа BAILEY арт. 81670 BILLY (кофейный)</v>
      </c>
      <c r="V339" s="100" t="str">
        <f t="shared" ca="1" si="34"/>
        <v>Шляпа BAILEY арт. 81670 BILLY (кофейный) {latte}</v>
      </c>
      <c r="W339" s="18" t="str">
        <f t="shared" ca="1" si="35"/>
        <v>кофейный</v>
      </c>
      <c r="X339" s="18" t="str">
        <f t="shared" ca="1" si="36"/>
        <v>кофейный</v>
      </c>
      <c r="Y339" s="117" t="str">
        <f ca="1">_xlfn.LET(_xlpm.FormColors,_xlfn.XLOOKUP(A339,Строчный!A:A,Строчный!Q:Q,"",0),IF(_xlpm.FormColors=0,IFERROR(MID(I339,FIND("-",I339)+1,LEN(I339)),IFERROR(MID(I339,1,FIND("/",I339)-2),I339)),_xlpm.FormColors))</f>
        <v>кофейный</v>
      </c>
      <c r="Z339" s="73" t="str">
        <f ca="1"/>
        <v>21-090-82-55</v>
      </c>
      <c r="AA339" s="75" t="str">
        <f ca="1">VLOOKUP(C339,Группа!A:B,2,FALSE)</f>
        <v>Шляпа</v>
      </c>
      <c r="AB339" s="97" t="str">
        <f ca="1">IFERROR(VLOOKUP(R339,Размеры!A:C,3,FALSE),"")</f>
        <v>55 S</v>
      </c>
      <c r="AC339" s="97" t="str">
        <f ca="1">VLOOKUP(I339,ЦветПолный!A:B,2,FALSE)</f>
        <v>91</v>
      </c>
      <c r="AD339" s="97" t="str">
        <f ca="1">IFERROR(VLOOKUP(R339,Размеры!A:D,4,FALSE),"")</f>
        <v>55</v>
      </c>
      <c r="AE339" s="97">
        <f ca="1">IF(LEFT(IFERROR(VLOOKUP(LOOKUP(2,1/SEARCH(B339,Товары!A:A),Товары!A:A),Товары!A:B,2,0),""),6)=MID(Z339,1,6),1,0)</f>
        <v>1</v>
      </c>
      <c r="AG339" s="97">
        <f ca="1">SUMIF(Группа!A:A,C339,Группа!C:C)</f>
        <v>1</v>
      </c>
      <c r="AH339" s="97">
        <f ca="1">SUMIF(Группа!B:B,AA339,Группа!C:C)</f>
        <v>1</v>
      </c>
      <c r="AI339" s="97">
        <f ca="1">SUMIF(Формы!A:A,D339,Формы!B:B)</f>
        <v>1</v>
      </c>
      <c r="AJ339" s="97">
        <f ca="1">SUMIF(Материал!A:A,K339,Материал!B:B)</f>
        <v>1</v>
      </c>
      <c r="AK339" s="97">
        <f ca="1">SUMIF(Размеры!A:A,R339,Размеры!E:E)</f>
        <v>1</v>
      </c>
      <c r="AL339" s="97">
        <f ca="1">SUMIF(Сезон!A:A,F339,Сезон!B:B)</f>
        <v>1</v>
      </c>
      <c r="AM339" s="97">
        <f ca="1">SUMIF(Состав!A:A,J339,Состав!B:B)</f>
        <v>1</v>
      </c>
      <c r="AN339" s="97">
        <f ca="1">VLOOKUP(I339,ЦветПолный!A:C,3,0)</f>
        <v>1</v>
      </c>
      <c r="AO339" s="97">
        <f ca="1">SUMIF(Цвет!A:A,Y339,Цвет!B:B)</f>
        <v>0</v>
      </c>
      <c r="AP339" s="97">
        <f ca="1">_xlfn.XLOOKUP(L339,Пол!A:A,Пол!B:B,0,0)</f>
        <v>1</v>
      </c>
      <c r="AQ339" s="97">
        <f ca="1">SUMIF(Марка!A:A,G339,Марка!B:B)</f>
        <v>1</v>
      </c>
      <c r="AR339" s="97">
        <f ca="1">SUMIF(Страна!A:A,M339,Страна!B:B)</f>
        <v>1</v>
      </c>
      <c r="AS339" s="64" t="str">
        <f ca="1">IF(VLOOKUP(V339,Товары!A:B,2,FALSE)=A339,"Есть в 1С","ERR")</f>
        <v>Есть в 1С</v>
      </c>
      <c r="AT339" s="65" t="str">
        <f ca="1">IF(VLOOKUP(A339,Товары!B:B,1,FALSE)=A339,"Есть в 1С","ERR")</f>
        <v>Есть в 1С</v>
      </c>
      <c r="AU339" s="96" t="str">
        <f ca="1">VLOOKUP(V339,Товары!A:B,2,FALSE)</f>
        <v>21-090-82</v>
      </c>
      <c r="AV339" s="94" t="str">
        <f ca="1">VLOOKUP(V339,Товары!A:B,1,FALSE)</f>
        <v>Шляпа BAILEY арт. 81670 BILLY (кофейный) {latte}</v>
      </c>
    </row>
    <row r="340" spans="1:48" x14ac:dyDescent="0.25">
      <c r="A340" s="110" t="str">
        <f t="shared" ca="1" si="37"/>
        <v>21-090-53</v>
      </c>
      <c r="B340" s="107" t="str">
        <f ca="1">_xlfn.LET(_xlpm.CAPS,0,_xlpm.Style,_xlfn.XLOOKUP($A340,Строчный!$A:$A,Строчный!B:B,"ERR",0),IF(_xlpm.CAPS=0,_xlpm.Style,LOWER(_xlpm.Style)))</f>
        <v>81670 BILLY</v>
      </c>
      <c r="C340" s="81" t="str">
        <f ca="1">PROPER(_xlfn.XLOOKUP($A340,Строчный!$A:$A,Строчный!C:C,"ERR",0))</f>
        <v>Шляпы</v>
      </c>
      <c r="D340" s="81" t="str">
        <f ca="1">_xlfn.LET(_xlpm.DATA,(_xlfn.XLOOKUP($A340,Строчный!$A:$A,Строчный!D:D,"ERR",0)),UPPER(MID(_xlpm.DATA,1,1))&amp;LOWER(MID(_xlpm.DATA,2,LEN(_xlpm.DATA)-1)))</f>
        <v>Шляпа хомбург</v>
      </c>
      <c r="E340" s="81" t="str">
        <f ca="1">PROPER(_xlfn.XLOOKUP($A340,Строчный!$A:$A,Строчный!E:E,"ERR",0))</f>
        <v>The Hollywood</v>
      </c>
      <c r="F340" s="81" t="str">
        <f ca="1">LOWER(_xlfn.XLOOKUP($A340,Строчный!$A:$A,Строчный!F:F,"ERR",0))</f>
        <v>летний</v>
      </c>
      <c r="G340" s="81" t="str">
        <f ca="1">UPPER(_xlfn.XLOOKUP($A340,Строчный!$A:$A,Строчный!G:G,"ERR",0))</f>
        <v>BAILEY</v>
      </c>
      <c r="H340" s="81" t="str">
        <f ca="1">LOWER(_xlfn.XLOOKUP($A340,Строчный!$A:$A,Строчный!H:H,"ERR",0))</f>
        <v>sandstone</v>
      </c>
      <c r="I340" s="81" t="str">
        <f ca="1">LOWER(_xlfn.XLOOKUP($A340,Строчный!$A:$A,Строчный!I:I,"ERR",0))</f>
        <v>бежевый / черный</v>
      </c>
      <c r="J340" s="81" t="str">
        <f ca="1">SUBSTITUTE(LOWER(_xlfn.XLOOKUP($A340,Строчный!$A:$A,Строчный!J:J,"ERR",0)),"подклад","Подклад")</f>
        <v>55% бумага - 45% полиэстер</v>
      </c>
      <c r="K340" s="81" t="str">
        <f ca="1">LOWER(_xlfn.XLOOKUP($A340,Строчный!$A:$A,Строчный!K:K,"ERR",0))</f>
        <v>бумажные</v>
      </c>
      <c r="L340" s="81" t="str">
        <f ca="1">PROPER(_xlfn.XLOOKUP($A340,Строчный!$A:$A,Строчный!L:L,"ERR",0))</f>
        <v>Унисекс</v>
      </c>
      <c r="M340" s="113" t="str">
        <f ca="1">PROPER(_xlfn.XLOOKUP($A340,Строчный!$A:$A,Строчный!M:M,"ERR",0))</f>
        <v>Китай</v>
      </c>
      <c r="N340" s="81" t="str">
        <f ca="1">UPPER(_xlfn.XLOOKUP($A340,Строчный!$A:$A,Строчный!O:O,"ERR",0))</f>
        <v/>
      </c>
      <c r="O340" s="107" t="str">
        <f ca="1">PROPER(_xlfn.XLOOKUP($A340,Строчный!$A:$A,Строчный!P:P,"ERR",0))</f>
        <v/>
      </c>
      <c r="P340" s="90">
        <f ca="1">VALUE(_xlfn.XLOOKUP($A340,Строчный!$A:$A,Строчный!N:N,"ERR",0))</f>
        <v>2094.3000000000002</v>
      </c>
      <c r="Q340" s="89" t="str">
        <f ca="1">_xlfn.XLOOKUP($G340,Фабрика!A:A,Фабрика!B:B,"ERR",0)</f>
        <v>Bollman Headwear Europe Ltd; 2 Merchants drive, Caelisle, Cumbria CA3 0JW, United Kingdom</v>
      </c>
      <c r="R340" s="80" t="str">
        <f ca="1">_xlfn.XLOOKUP(RIGHT(Z340,2),Размеры!D:D,Размеры!A:A,"ERR",0)</f>
        <v>63</v>
      </c>
      <c r="S340" s="80">
        <f ca="1">VALUE(_xlfn.XLOOKUP($Z340,Строчный!$R:$R,Строчный!T:T,"ERR",0))</f>
        <v>2</v>
      </c>
      <c r="T340" s="14" t="s">
        <v>265</v>
      </c>
      <c r="U340" s="101" t="str">
        <f t="shared" ca="1" si="33"/>
        <v>Шляпа BAILEY арт. 81670 BILLY (бежевый / черный)</v>
      </c>
      <c r="V340" s="100" t="str">
        <f t="shared" ca="1" si="34"/>
        <v>Шляпа BAILEY арт. 81670 BILLY (бежевый / черный) {sandstone}</v>
      </c>
      <c r="W340" s="18" t="str">
        <f t="shared" ca="1" si="35"/>
        <v>бежевый</v>
      </c>
      <c r="X340" s="18" t="str">
        <f t="shared" ca="1" si="36"/>
        <v>черный</v>
      </c>
      <c r="Y340" s="117" t="str">
        <f ca="1">_xlfn.LET(_xlpm.FormColors,_xlfn.XLOOKUP(A340,Строчный!A:A,Строчный!Q:Q,"",0),IF(_xlpm.FormColors=0,IFERROR(MID(I340,FIND("-",I340)+1,LEN(I340)),IFERROR(MID(I340,1,FIND("/",I340)-2),I340)),_xlpm.FormColors))</f>
        <v>бежевый</v>
      </c>
      <c r="Z340" s="73" t="str">
        <f ca="1"/>
        <v>21-090-53-63</v>
      </c>
      <c r="AA340" s="75" t="str">
        <f ca="1">VLOOKUP(C340,Группа!A:B,2,FALSE)</f>
        <v>Шляпа</v>
      </c>
      <c r="AB340" s="97" t="str">
        <f ca="1">IFERROR(VLOOKUP(R340,Размеры!A:C,3,FALSE),"")</f>
        <v>63 XXL</v>
      </c>
      <c r="AC340" s="97" t="str">
        <f ca="1">VLOOKUP(I340,ЦветПолный!A:B,2,FALSE)</f>
        <v>53</v>
      </c>
      <c r="AD340" s="97" t="str">
        <f ca="1">IFERROR(VLOOKUP(R340,Размеры!A:D,4,FALSE),"")</f>
        <v>63</v>
      </c>
      <c r="AE340" s="97">
        <f ca="1">IF(LEFT(IFERROR(VLOOKUP(LOOKUP(2,1/SEARCH(B340,Товары!A:A),Товары!A:A),Товары!A:B,2,0),""),6)=MID(Z340,1,6),1,0)</f>
        <v>1</v>
      </c>
      <c r="AG340" s="97">
        <f ca="1">SUMIF(Группа!A:A,C340,Группа!C:C)</f>
        <v>1</v>
      </c>
      <c r="AH340" s="97">
        <f ca="1">SUMIF(Группа!B:B,AA340,Группа!C:C)</f>
        <v>1</v>
      </c>
      <c r="AI340" s="97">
        <f ca="1">SUMIF(Формы!A:A,D340,Формы!B:B)</f>
        <v>1</v>
      </c>
      <c r="AJ340" s="97">
        <f ca="1">SUMIF(Материал!A:A,K340,Материал!B:B)</f>
        <v>1</v>
      </c>
      <c r="AK340" s="97">
        <f ca="1">SUMIF(Размеры!A:A,R340,Размеры!E:E)</f>
        <v>1</v>
      </c>
      <c r="AL340" s="97">
        <f ca="1">SUMIF(Сезон!A:A,F340,Сезон!B:B)</f>
        <v>1</v>
      </c>
      <c r="AM340" s="97">
        <f ca="1">SUMIF(Состав!A:A,J340,Состав!B:B)</f>
        <v>1</v>
      </c>
      <c r="AN340" s="97">
        <f ca="1">VLOOKUP(I340,ЦветПолный!A:C,3,0)</f>
        <v>1</v>
      </c>
      <c r="AO340" s="97">
        <f ca="1">SUMIF(Цвет!A:A,Y340,Цвет!B:B)</f>
        <v>1</v>
      </c>
      <c r="AP340" s="97">
        <f ca="1">_xlfn.XLOOKUP(L340,Пол!A:A,Пол!B:B,0,0)</f>
        <v>1</v>
      </c>
      <c r="AQ340" s="97">
        <f ca="1">SUMIF(Марка!A:A,G340,Марка!B:B)</f>
        <v>1</v>
      </c>
      <c r="AR340" s="97">
        <f ca="1">SUMIF(Страна!A:A,M340,Страна!B:B)</f>
        <v>1</v>
      </c>
      <c r="AS340" s="64" t="str">
        <f ca="1">IF(VLOOKUP(V340,Товары!A:B,2,FALSE)=A340,"Есть в 1С","ERR")</f>
        <v>Есть в 1С</v>
      </c>
      <c r="AT340" s="65" t="str">
        <f ca="1">IF(VLOOKUP(A340,Товары!B:B,1,FALSE)=A340,"Есть в 1С","ERR")</f>
        <v>Есть в 1С</v>
      </c>
      <c r="AU340" s="96" t="str">
        <f ca="1">VLOOKUP(V340,Товары!A:B,2,FALSE)</f>
        <v>21-090-53</v>
      </c>
      <c r="AV340" s="94" t="str">
        <f ca="1">VLOOKUP(V340,Товары!A:B,1,FALSE)</f>
        <v>Шляпа BAILEY арт. 81670 BILLY (бежевый / черный) {sandstone}</v>
      </c>
    </row>
    <row r="341" spans="1:48" x14ac:dyDescent="0.25">
      <c r="A341" s="110" t="str">
        <f t="shared" ca="1" si="37"/>
        <v>21-090-53</v>
      </c>
      <c r="B341" s="107" t="str">
        <f ca="1">_xlfn.LET(_xlpm.CAPS,0,_xlpm.Style,_xlfn.XLOOKUP($A341,Строчный!$A:$A,Строчный!B:B,"ERR",0),IF(_xlpm.CAPS=0,_xlpm.Style,LOWER(_xlpm.Style)))</f>
        <v>81670 BILLY</v>
      </c>
      <c r="C341" s="81" t="str">
        <f ca="1">PROPER(_xlfn.XLOOKUP($A341,Строчный!$A:$A,Строчный!C:C,"ERR",0))</f>
        <v>Шляпы</v>
      </c>
      <c r="D341" s="81" t="str">
        <f ca="1">_xlfn.LET(_xlpm.DATA,(_xlfn.XLOOKUP($A341,Строчный!$A:$A,Строчный!D:D,"ERR",0)),UPPER(MID(_xlpm.DATA,1,1))&amp;LOWER(MID(_xlpm.DATA,2,LEN(_xlpm.DATA)-1)))</f>
        <v>Шляпа хомбург</v>
      </c>
      <c r="E341" s="81" t="str">
        <f ca="1">PROPER(_xlfn.XLOOKUP($A341,Строчный!$A:$A,Строчный!E:E,"ERR",0))</f>
        <v>The Hollywood</v>
      </c>
      <c r="F341" s="81" t="str">
        <f ca="1">LOWER(_xlfn.XLOOKUP($A341,Строчный!$A:$A,Строчный!F:F,"ERR",0))</f>
        <v>летний</v>
      </c>
      <c r="G341" s="81" t="str">
        <f ca="1">UPPER(_xlfn.XLOOKUP($A341,Строчный!$A:$A,Строчный!G:G,"ERR",0))</f>
        <v>BAILEY</v>
      </c>
      <c r="H341" s="81" t="str">
        <f ca="1">LOWER(_xlfn.XLOOKUP($A341,Строчный!$A:$A,Строчный!H:H,"ERR",0))</f>
        <v>sandstone</v>
      </c>
      <c r="I341" s="81" t="str">
        <f ca="1">LOWER(_xlfn.XLOOKUP($A341,Строчный!$A:$A,Строчный!I:I,"ERR",0))</f>
        <v>бежевый / черный</v>
      </c>
      <c r="J341" s="81" t="str">
        <f ca="1">SUBSTITUTE(LOWER(_xlfn.XLOOKUP($A341,Строчный!$A:$A,Строчный!J:J,"ERR",0)),"подклад","Подклад")</f>
        <v>55% бумага - 45% полиэстер</v>
      </c>
      <c r="K341" s="81" t="str">
        <f ca="1">LOWER(_xlfn.XLOOKUP($A341,Строчный!$A:$A,Строчный!K:K,"ERR",0))</f>
        <v>бумажные</v>
      </c>
      <c r="L341" s="81" t="str">
        <f ca="1">PROPER(_xlfn.XLOOKUP($A341,Строчный!$A:$A,Строчный!L:L,"ERR",0))</f>
        <v>Унисекс</v>
      </c>
      <c r="M341" s="113" t="str">
        <f ca="1">PROPER(_xlfn.XLOOKUP($A341,Строчный!$A:$A,Строчный!M:M,"ERR",0))</f>
        <v>Китай</v>
      </c>
      <c r="N341" s="81" t="str">
        <f ca="1">UPPER(_xlfn.XLOOKUP($A341,Строчный!$A:$A,Строчный!O:O,"ERR",0))</f>
        <v/>
      </c>
      <c r="O341" s="107" t="str">
        <f ca="1">PROPER(_xlfn.XLOOKUP($A341,Строчный!$A:$A,Строчный!P:P,"ERR",0))</f>
        <v/>
      </c>
      <c r="P341" s="90">
        <f ca="1">VALUE(_xlfn.XLOOKUP($A341,Строчный!$A:$A,Строчный!N:N,"ERR",0))</f>
        <v>2094.3000000000002</v>
      </c>
      <c r="Q341" s="89" t="str">
        <f ca="1">_xlfn.XLOOKUP($G341,Фабрика!A:A,Фабрика!B:B,"ERR",0)</f>
        <v>Bollman Headwear Europe Ltd; 2 Merchants drive, Caelisle, Cumbria CA3 0JW, United Kingdom</v>
      </c>
      <c r="R341" s="80" t="str">
        <f ca="1">_xlfn.XLOOKUP(RIGHT(Z341,2),Размеры!D:D,Размеры!A:A,"ERR",0)</f>
        <v>61</v>
      </c>
      <c r="S341" s="80">
        <f ca="1">VALUE(_xlfn.XLOOKUP($Z341,Строчный!$R:$R,Строчный!T:T,"ERR",0))</f>
        <v>6</v>
      </c>
      <c r="T341" s="14" t="s">
        <v>265</v>
      </c>
      <c r="U341" s="101" t="str">
        <f t="shared" ca="1" si="33"/>
        <v>Шляпа BAILEY арт. 81670 BILLY (бежевый / черный)</v>
      </c>
      <c r="V341" s="100" t="str">
        <f t="shared" ca="1" si="34"/>
        <v>Шляпа BAILEY арт. 81670 BILLY (бежевый / черный) {sandstone}</v>
      </c>
      <c r="W341" s="18" t="str">
        <f t="shared" ca="1" si="35"/>
        <v>бежевый</v>
      </c>
      <c r="X341" s="18" t="str">
        <f t="shared" ca="1" si="36"/>
        <v>черный</v>
      </c>
      <c r="Y341" s="117" t="str">
        <f ca="1">_xlfn.LET(_xlpm.FormColors,_xlfn.XLOOKUP(A341,Строчный!A:A,Строчный!Q:Q,"",0),IF(_xlpm.FormColors=0,IFERROR(MID(I341,FIND("-",I341)+1,LEN(I341)),IFERROR(MID(I341,1,FIND("/",I341)-2),I341)),_xlpm.FormColors))</f>
        <v>бежевый</v>
      </c>
      <c r="Z341" s="73" t="str">
        <f ca="1"/>
        <v>21-090-53-61</v>
      </c>
      <c r="AA341" s="75" t="str">
        <f ca="1">VLOOKUP(C341,Группа!A:B,2,FALSE)</f>
        <v>Шляпа</v>
      </c>
      <c r="AB341" s="97" t="str">
        <f ca="1">IFERROR(VLOOKUP(R341,Размеры!A:C,3,FALSE),"")</f>
        <v>61 XL</v>
      </c>
      <c r="AC341" s="97" t="str">
        <f ca="1">VLOOKUP(I341,ЦветПолный!A:B,2,FALSE)</f>
        <v>53</v>
      </c>
      <c r="AD341" s="97" t="str">
        <f ca="1">IFERROR(VLOOKUP(R341,Размеры!A:D,4,FALSE),"")</f>
        <v>61</v>
      </c>
      <c r="AE341" s="97">
        <f ca="1">IF(LEFT(IFERROR(VLOOKUP(LOOKUP(2,1/SEARCH(B341,Товары!A:A),Товары!A:A),Товары!A:B,2,0),""),6)=MID(Z341,1,6),1,0)</f>
        <v>1</v>
      </c>
      <c r="AG341" s="97">
        <f ca="1">SUMIF(Группа!A:A,C341,Группа!C:C)</f>
        <v>1</v>
      </c>
      <c r="AH341" s="97">
        <f ca="1">SUMIF(Группа!B:B,AA341,Группа!C:C)</f>
        <v>1</v>
      </c>
      <c r="AI341" s="97">
        <f ca="1">SUMIF(Формы!A:A,D341,Формы!B:B)</f>
        <v>1</v>
      </c>
      <c r="AJ341" s="97">
        <f ca="1">SUMIF(Материал!A:A,K341,Материал!B:B)</f>
        <v>1</v>
      </c>
      <c r="AK341" s="97">
        <f ca="1">SUMIF(Размеры!A:A,R341,Размеры!E:E)</f>
        <v>1</v>
      </c>
      <c r="AL341" s="97">
        <f ca="1">SUMIF(Сезон!A:A,F341,Сезон!B:B)</f>
        <v>1</v>
      </c>
      <c r="AM341" s="97">
        <f ca="1">SUMIF(Состав!A:A,J341,Состав!B:B)</f>
        <v>1</v>
      </c>
      <c r="AN341" s="97">
        <f ca="1">VLOOKUP(I341,ЦветПолный!A:C,3,0)</f>
        <v>1</v>
      </c>
      <c r="AO341" s="97">
        <f ca="1">SUMIF(Цвет!A:A,Y341,Цвет!B:B)</f>
        <v>1</v>
      </c>
      <c r="AP341" s="97">
        <f ca="1">_xlfn.XLOOKUP(L341,Пол!A:A,Пол!B:B,0,0)</f>
        <v>1</v>
      </c>
      <c r="AQ341" s="97">
        <f ca="1">SUMIF(Марка!A:A,G341,Марка!B:B)</f>
        <v>1</v>
      </c>
      <c r="AR341" s="97">
        <f ca="1">SUMIF(Страна!A:A,M341,Страна!B:B)</f>
        <v>1</v>
      </c>
      <c r="AS341" s="64" t="str">
        <f ca="1">IF(VLOOKUP(V341,Товары!A:B,2,FALSE)=A341,"Есть в 1С","ERR")</f>
        <v>Есть в 1С</v>
      </c>
      <c r="AT341" s="65" t="str">
        <f ca="1">IF(VLOOKUP(A341,Товары!B:B,1,FALSE)=A341,"Есть в 1С","ERR")</f>
        <v>Есть в 1С</v>
      </c>
      <c r="AU341" s="96" t="str">
        <f ca="1">VLOOKUP(V341,Товары!A:B,2,FALSE)</f>
        <v>21-090-53</v>
      </c>
      <c r="AV341" s="94" t="str">
        <f ca="1">VLOOKUP(V341,Товары!A:B,1,FALSE)</f>
        <v>Шляпа BAILEY арт. 81670 BILLY (бежевый / черный) {sandstone}</v>
      </c>
    </row>
    <row r="342" spans="1:48" x14ac:dyDescent="0.25">
      <c r="A342" s="110" t="str">
        <f t="shared" ca="1" si="37"/>
        <v>21-090-53</v>
      </c>
      <c r="B342" s="107" t="str">
        <f ca="1">_xlfn.LET(_xlpm.CAPS,0,_xlpm.Style,_xlfn.XLOOKUP($A342,Строчный!$A:$A,Строчный!B:B,"ERR",0),IF(_xlpm.CAPS=0,_xlpm.Style,LOWER(_xlpm.Style)))</f>
        <v>81670 BILLY</v>
      </c>
      <c r="C342" s="81" t="str">
        <f ca="1">PROPER(_xlfn.XLOOKUP($A342,Строчный!$A:$A,Строчный!C:C,"ERR",0))</f>
        <v>Шляпы</v>
      </c>
      <c r="D342" s="81" t="str">
        <f ca="1">_xlfn.LET(_xlpm.DATA,(_xlfn.XLOOKUP($A342,Строчный!$A:$A,Строчный!D:D,"ERR",0)),UPPER(MID(_xlpm.DATA,1,1))&amp;LOWER(MID(_xlpm.DATA,2,LEN(_xlpm.DATA)-1)))</f>
        <v>Шляпа хомбург</v>
      </c>
      <c r="E342" s="81" t="str">
        <f ca="1">PROPER(_xlfn.XLOOKUP($A342,Строчный!$A:$A,Строчный!E:E,"ERR",0))</f>
        <v>The Hollywood</v>
      </c>
      <c r="F342" s="81" t="str">
        <f ca="1">LOWER(_xlfn.XLOOKUP($A342,Строчный!$A:$A,Строчный!F:F,"ERR",0))</f>
        <v>летний</v>
      </c>
      <c r="G342" s="81" t="str">
        <f ca="1">UPPER(_xlfn.XLOOKUP($A342,Строчный!$A:$A,Строчный!G:G,"ERR",0))</f>
        <v>BAILEY</v>
      </c>
      <c r="H342" s="81" t="str">
        <f ca="1">LOWER(_xlfn.XLOOKUP($A342,Строчный!$A:$A,Строчный!H:H,"ERR",0))</f>
        <v>sandstone</v>
      </c>
      <c r="I342" s="81" t="str">
        <f ca="1">LOWER(_xlfn.XLOOKUP($A342,Строчный!$A:$A,Строчный!I:I,"ERR",0))</f>
        <v>бежевый / черный</v>
      </c>
      <c r="J342" s="81" t="str">
        <f ca="1">SUBSTITUTE(LOWER(_xlfn.XLOOKUP($A342,Строчный!$A:$A,Строчный!J:J,"ERR",0)),"подклад","Подклад")</f>
        <v>55% бумага - 45% полиэстер</v>
      </c>
      <c r="K342" s="81" t="str">
        <f ca="1">LOWER(_xlfn.XLOOKUP($A342,Строчный!$A:$A,Строчный!K:K,"ERR",0))</f>
        <v>бумажные</v>
      </c>
      <c r="L342" s="81" t="str">
        <f ca="1">PROPER(_xlfn.XLOOKUP($A342,Строчный!$A:$A,Строчный!L:L,"ERR",0))</f>
        <v>Унисекс</v>
      </c>
      <c r="M342" s="113" t="str">
        <f ca="1">PROPER(_xlfn.XLOOKUP($A342,Строчный!$A:$A,Строчный!M:M,"ERR",0))</f>
        <v>Китай</v>
      </c>
      <c r="N342" s="81" t="str">
        <f ca="1">UPPER(_xlfn.XLOOKUP($A342,Строчный!$A:$A,Строчный!O:O,"ERR",0))</f>
        <v/>
      </c>
      <c r="O342" s="107" t="str">
        <f ca="1">PROPER(_xlfn.XLOOKUP($A342,Строчный!$A:$A,Строчный!P:P,"ERR",0))</f>
        <v/>
      </c>
      <c r="P342" s="90">
        <f ca="1">VALUE(_xlfn.XLOOKUP($A342,Строчный!$A:$A,Строчный!N:N,"ERR",0))</f>
        <v>2094.3000000000002</v>
      </c>
      <c r="Q342" s="89" t="str">
        <f ca="1">_xlfn.XLOOKUP($G342,Фабрика!A:A,Фабрика!B:B,"ERR",0)</f>
        <v>Bollman Headwear Europe Ltd; 2 Merchants drive, Caelisle, Cumbria CA3 0JW, United Kingdom</v>
      </c>
      <c r="R342" s="80" t="str">
        <f ca="1">_xlfn.XLOOKUP(RIGHT(Z342,2),Размеры!D:D,Размеры!A:A,"ERR",0)</f>
        <v>59</v>
      </c>
      <c r="S342" s="80">
        <f ca="1">VALUE(_xlfn.XLOOKUP($Z342,Строчный!$R:$R,Строчный!T:T,"ERR",0))</f>
        <v>7</v>
      </c>
      <c r="T342" s="14" t="s">
        <v>265</v>
      </c>
      <c r="U342" s="101" t="str">
        <f t="shared" ca="1" si="33"/>
        <v>Шляпа BAILEY арт. 81670 BILLY (бежевый / черный)</v>
      </c>
      <c r="V342" s="100" t="str">
        <f t="shared" ca="1" si="34"/>
        <v>Шляпа BAILEY арт. 81670 BILLY (бежевый / черный) {sandstone}</v>
      </c>
      <c r="W342" s="18" t="str">
        <f t="shared" ca="1" si="35"/>
        <v>бежевый</v>
      </c>
      <c r="X342" s="18" t="str">
        <f t="shared" ca="1" si="36"/>
        <v>черный</v>
      </c>
      <c r="Y342" s="117" t="str">
        <f ca="1">_xlfn.LET(_xlpm.FormColors,_xlfn.XLOOKUP(A342,Строчный!A:A,Строчный!Q:Q,"",0),IF(_xlpm.FormColors=0,IFERROR(MID(I342,FIND("-",I342)+1,LEN(I342)),IFERROR(MID(I342,1,FIND("/",I342)-2),I342)),_xlpm.FormColors))</f>
        <v>бежевый</v>
      </c>
      <c r="Z342" s="73" t="str">
        <f ca="1"/>
        <v>21-090-53-59</v>
      </c>
      <c r="AA342" s="75" t="str">
        <f ca="1">VLOOKUP(C342,Группа!A:B,2,FALSE)</f>
        <v>Шляпа</v>
      </c>
      <c r="AB342" s="97" t="str">
        <f ca="1">IFERROR(VLOOKUP(R342,Размеры!A:C,3,FALSE),"")</f>
        <v>59 L</v>
      </c>
      <c r="AC342" s="97" t="str">
        <f ca="1">VLOOKUP(I342,ЦветПолный!A:B,2,FALSE)</f>
        <v>53</v>
      </c>
      <c r="AD342" s="97" t="str">
        <f ca="1">IFERROR(VLOOKUP(R342,Размеры!A:D,4,FALSE),"")</f>
        <v>59</v>
      </c>
      <c r="AE342" s="97">
        <f ca="1">IF(LEFT(IFERROR(VLOOKUP(LOOKUP(2,1/SEARCH(B342,Товары!A:A),Товары!A:A),Товары!A:B,2,0),""),6)=MID(Z342,1,6),1,0)</f>
        <v>1</v>
      </c>
      <c r="AG342" s="97">
        <f ca="1">SUMIF(Группа!A:A,C342,Группа!C:C)</f>
        <v>1</v>
      </c>
      <c r="AH342" s="97">
        <f ca="1">SUMIF(Группа!B:B,AA342,Группа!C:C)</f>
        <v>1</v>
      </c>
      <c r="AI342" s="97">
        <f ca="1">SUMIF(Формы!A:A,D342,Формы!B:B)</f>
        <v>1</v>
      </c>
      <c r="AJ342" s="97">
        <f ca="1">SUMIF(Материал!A:A,K342,Материал!B:B)</f>
        <v>1</v>
      </c>
      <c r="AK342" s="97">
        <f ca="1">SUMIF(Размеры!A:A,R342,Размеры!E:E)</f>
        <v>1</v>
      </c>
      <c r="AL342" s="97">
        <f ca="1">SUMIF(Сезон!A:A,F342,Сезон!B:B)</f>
        <v>1</v>
      </c>
      <c r="AM342" s="97">
        <f ca="1">SUMIF(Состав!A:A,J342,Состав!B:B)</f>
        <v>1</v>
      </c>
      <c r="AN342" s="97">
        <f ca="1">VLOOKUP(I342,ЦветПолный!A:C,3,0)</f>
        <v>1</v>
      </c>
      <c r="AO342" s="97">
        <f ca="1">SUMIF(Цвет!A:A,Y342,Цвет!B:B)</f>
        <v>1</v>
      </c>
      <c r="AP342" s="97">
        <f ca="1">_xlfn.XLOOKUP(L342,Пол!A:A,Пол!B:B,0,0)</f>
        <v>1</v>
      </c>
      <c r="AQ342" s="97">
        <f ca="1">SUMIF(Марка!A:A,G342,Марка!B:B)</f>
        <v>1</v>
      </c>
      <c r="AR342" s="97">
        <f ca="1">SUMIF(Страна!A:A,M342,Страна!B:B)</f>
        <v>1</v>
      </c>
      <c r="AS342" s="64" t="str">
        <f ca="1">IF(VLOOKUP(V342,Товары!A:B,2,FALSE)=A342,"Есть в 1С","ERR")</f>
        <v>Есть в 1С</v>
      </c>
      <c r="AT342" s="65" t="str">
        <f ca="1">IF(VLOOKUP(A342,Товары!B:B,1,FALSE)=A342,"Есть в 1С","ERR")</f>
        <v>Есть в 1С</v>
      </c>
      <c r="AU342" s="96" t="str">
        <f ca="1">VLOOKUP(V342,Товары!A:B,2,FALSE)</f>
        <v>21-090-53</v>
      </c>
      <c r="AV342" s="94" t="str">
        <f ca="1">VLOOKUP(V342,Товары!A:B,1,FALSE)</f>
        <v>Шляпа BAILEY арт. 81670 BILLY (бежевый / черный) {sandstone}</v>
      </c>
    </row>
    <row r="343" spans="1:48" x14ac:dyDescent="0.25">
      <c r="A343" s="110" t="str">
        <f t="shared" ca="1" si="37"/>
        <v>21-090-53</v>
      </c>
      <c r="B343" s="107" t="str">
        <f ca="1">_xlfn.LET(_xlpm.CAPS,0,_xlpm.Style,_xlfn.XLOOKUP($A343,Строчный!$A:$A,Строчный!B:B,"ERR",0),IF(_xlpm.CAPS=0,_xlpm.Style,LOWER(_xlpm.Style)))</f>
        <v>81670 BILLY</v>
      </c>
      <c r="C343" s="81" t="str">
        <f ca="1">PROPER(_xlfn.XLOOKUP($A343,Строчный!$A:$A,Строчный!C:C,"ERR",0))</f>
        <v>Шляпы</v>
      </c>
      <c r="D343" s="81" t="str">
        <f ca="1">_xlfn.LET(_xlpm.DATA,(_xlfn.XLOOKUP($A343,Строчный!$A:$A,Строчный!D:D,"ERR",0)),UPPER(MID(_xlpm.DATA,1,1))&amp;LOWER(MID(_xlpm.DATA,2,LEN(_xlpm.DATA)-1)))</f>
        <v>Шляпа хомбург</v>
      </c>
      <c r="E343" s="81" t="str">
        <f ca="1">PROPER(_xlfn.XLOOKUP($A343,Строчный!$A:$A,Строчный!E:E,"ERR",0))</f>
        <v>The Hollywood</v>
      </c>
      <c r="F343" s="81" t="str">
        <f ca="1">LOWER(_xlfn.XLOOKUP($A343,Строчный!$A:$A,Строчный!F:F,"ERR",0))</f>
        <v>летний</v>
      </c>
      <c r="G343" s="81" t="str">
        <f ca="1">UPPER(_xlfn.XLOOKUP($A343,Строчный!$A:$A,Строчный!G:G,"ERR",0))</f>
        <v>BAILEY</v>
      </c>
      <c r="H343" s="81" t="str">
        <f ca="1">LOWER(_xlfn.XLOOKUP($A343,Строчный!$A:$A,Строчный!H:H,"ERR",0))</f>
        <v>sandstone</v>
      </c>
      <c r="I343" s="81" t="str">
        <f ca="1">LOWER(_xlfn.XLOOKUP($A343,Строчный!$A:$A,Строчный!I:I,"ERR",0))</f>
        <v>бежевый / черный</v>
      </c>
      <c r="J343" s="81" t="str">
        <f ca="1">SUBSTITUTE(LOWER(_xlfn.XLOOKUP($A343,Строчный!$A:$A,Строчный!J:J,"ERR",0)),"подклад","Подклад")</f>
        <v>55% бумага - 45% полиэстер</v>
      </c>
      <c r="K343" s="81" t="str">
        <f ca="1">LOWER(_xlfn.XLOOKUP($A343,Строчный!$A:$A,Строчный!K:K,"ERR",0))</f>
        <v>бумажные</v>
      </c>
      <c r="L343" s="81" t="str">
        <f ca="1">PROPER(_xlfn.XLOOKUP($A343,Строчный!$A:$A,Строчный!L:L,"ERR",0))</f>
        <v>Унисекс</v>
      </c>
      <c r="M343" s="113" t="str">
        <f ca="1">PROPER(_xlfn.XLOOKUP($A343,Строчный!$A:$A,Строчный!M:M,"ERR",0))</f>
        <v>Китай</v>
      </c>
      <c r="N343" s="81" t="str">
        <f ca="1">UPPER(_xlfn.XLOOKUP($A343,Строчный!$A:$A,Строчный!O:O,"ERR",0))</f>
        <v/>
      </c>
      <c r="O343" s="107" t="str">
        <f ca="1">PROPER(_xlfn.XLOOKUP($A343,Строчный!$A:$A,Строчный!P:P,"ERR",0))</f>
        <v/>
      </c>
      <c r="P343" s="90">
        <f ca="1">VALUE(_xlfn.XLOOKUP($A343,Строчный!$A:$A,Строчный!N:N,"ERR",0))</f>
        <v>2094.3000000000002</v>
      </c>
      <c r="Q343" s="89" t="str">
        <f ca="1">_xlfn.XLOOKUP($G343,Фабрика!A:A,Фабрика!B:B,"ERR",0)</f>
        <v>Bollman Headwear Europe Ltd; 2 Merchants drive, Caelisle, Cumbria CA3 0JW, United Kingdom</v>
      </c>
      <c r="R343" s="80" t="str">
        <f ca="1">_xlfn.XLOOKUP(RIGHT(Z343,2),Размеры!D:D,Размеры!A:A,"ERR",0)</f>
        <v>57</v>
      </c>
      <c r="S343" s="80">
        <f ca="1">VALUE(_xlfn.XLOOKUP($Z343,Строчный!$R:$R,Строчный!T:T,"ERR",0))</f>
        <v>4</v>
      </c>
      <c r="T343" s="14" t="s">
        <v>265</v>
      </c>
      <c r="U343" s="101" t="str">
        <f t="shared" ca="1" si="33"/>
        <v>Шляпа BAILEY арт. 81670 BILLY (бежевый / черный)</v>
      </c>
      <c r="V343" s="100" t="str">
        <f t="shared" ca="1" si="34"/>
        <v>Шляпа BAILEY арт. 81670 BILLY (бежевый / черный) {sandstone}</v>
      </c>
      <c r="W343" s="18" t="str">
        <f t="shared" ca="1" si="35"/>
        <v>бежевый</v>
      </c>
      <c r="X343" s="18" t="str">
        <f t="shared" ca="1" si="36"/>
        <v>черный</v>
      </c>
      <c r="Y343" s="117" t="str">
        <f ca="1">_xlfn.LET(_xlpm.FormColors,_xlfn.XLOOKUP(A343,Строчный!A:A,Строчный!Q:Q,"",0),IF(_xlpm.FormColors=0,IFERROR(MID(I343,FIND("-",I343)+1,LEN(I343)),IFERROR(MID(I343,1,FIND("/",I343)-2),I343)),_xlpm.FormColors))</f>
        <v>бежевый</v>
      </c>
      <c r="Z343" s="73" t="str">
        <f ca="1"/>
        <v>21-090-53-57</v>
      </c>
      <c r="AA343" s="75" t="str">
        <f ca="1">VLOOKUP(C343,Группа!A:B,2,FALSE)</f>
        <v>Шляпа</v>
      </c>
      <c r="AB343" s="97" t="str">
        <f ca="1">IFERROR(VLOOKUP(R343,Размеры!A:C,3,FALSE),"")</f>
        <v>57 M</v>
      </c>
      <c r="AC343" s="97" t="str">
        <f ca="1">VLOOKUP(I343,ЦветПолный!A:B,2,FALSE)</f>
        <v>53</v>
      </c>
      <c r="AD343" s="97" t="str">
        <f ca="1">IFERROR(VLOOKUP(R343,Размеры!A:D,4,FALSE),"")</f>
        <v>57</v>
      </c>
      <c r="AE343" s="97">
        <f ca="1">IF(LEFT(IFERROR(VLOOKUP(LOOKUP(2,1/SEARCH(B343,Товары!A:A),Товары!A:A),Товары!A:B,2,0),""),6)=MID(Z343,1,6),1,0)</f>
        <v>1</v>
      </c>
      <c r="AG343" s="97">
        <f ca="1">SUMIF(Группа!A:A,C343,Группа!C:C)</f>
        <v>1</v>
      </c>
      <c r="AH343" s="97">
        <f ca="1">SUMIF(Группа!B:B,AA343,Группа!C:C)</f>
        <v>1</v>
      </c>
      <c r="AI343" s="97">
        <f ca="1">SUMIF(Формы!A:A,D343,Формы!B:B)</f>
        <v>1</v>
      </c>
      <c r="AJ343" s="97">
        <f ca="1">SUMIF(Материал!A:A,K343,Материал!B:B)</f>
        <v>1</v>
      </c>
      <c r="AK343" s="97">
        <f ca="1">SUMIF(Размеры!A:A,R343,Размеры!E:E)</f>
        <v>1</v>
      </c>
      <c r="AL343" s="97">
        <f ca="1">SUMIF(Сезон!A:A,F343,Сезон!B:B)</f>
        <v>1</v>
      </c>
      <c r="AM343" s="97">
        <f ca="1">SUMIF(Состав!A:A,J343,Состав!B:B)</f>
        <v>1</v>
      </c>
      <c r="AN343" s="97">
        <f ca="1">VLOOKUP(I343,ЦветПолный!A:C,3,0)</f>
        <v>1</v>
      </c>
      <c r="AO343" s="97">
        <f ca="1">SUMIF(Цвет!A:A,Y343,Цвет!B:B)</f>
        <v>1</v>
      </c>
      <c r="AP343" s="97">
        <f ca="1">_xlfn.XLOOKUP(L343,Пол!A:A,Пол!B:B,0,0)</f>
        <v>1</v>
      </c>
      <c r="AQ343" s="97">
        <f ca="1">SUMIF(Марка!A:A,G343,Марка!B:B)</f>
        <v>1</v>
      </c>
      <c r="AR343" s="97">
        <f ca="1">SUMIF(Страна!A:A,M343,Страна!B:B)</f>
        <v>1</v>
      </c>
      <c r="AS343" s="64" t="str">
        <f ca="1">IF(VLOOKUP(V343,Товары!A:B,2,FALSE)=A343,"Есть в 1С","ERR")</f>
        <v>Есть в 1С</v>
      </c>
      <c r="AT343" s="65" t="str">
        <f ca="1">IF(VLOOKUP(A343,Товары!B:B,1,FALSE)=A343,"Есть в 1С","ERR")</f>
        <v>Есть в 1С</v>
      </c>
      <c r="AU343" s="96" t="str">
        <f ca="1">VLOOKUP(V343,Товары!A:B,2,FALSE)</f>
        <v>21-090-53</v>
      </c>
      <c r="AV343" s="94" t="str">
        <f ca="1">VLOOKUP(V343,Товары!A:B,1,FALSE)</f>
        <v>Шляпа BAILEY арт. 81670 BILLY (бежевый / черный) {sandstone}</v>
      </c>
    </row>
    <row r="344" spans="1:48" x14ac:dyDescent="0.25">
      <c r="A344" s="110" t="str">
        <f t="shared" ca="1" si="37"/>
        <v>21-090-17</v>
      </c>
      <c r="B344" s="107" t="str">
        <f ca="1">_xlfn.LET(_xlpm.CAPS,0,_xlpm.Style,_xlfn.XLOOKUP($A344,Строчный!$A:$A,Строчный!B:B,"ERR",0),IF(_xlpm.CAPS=0,_xlpm.Style,LOWER(_xlpm.Style)))</f>
        <v>81670 BILLY</v>
      </c>
      <c r="C344" s="81" t="str">
        <f ca="1">PROPER(_xlfn.XLOOKUP($A344,Строчный!$A:$A,Строчный!C:C,"ERR",0))</f>
        <v>Шляпы</v>
      </c>
      <c r="D344" s="81" t="str">
        <f ca="1">_xlfn.LET(_xlpm.DATA,(_xlfn.XLOOKUP($A344,Строчный!$A:$A,Строчный!D:D,"ERR",0)),UPPER(MID(_xlpm.DATA,1,1))&amp;LOWER(MID(_xlpm.DATA,2,LEN(_xlpm.DATA)-1)))</f>
        <v>Шляпа хомбург</v>
      </c>
      <c r="E344" s="81" t="str">
        <f ca="1">PROPER(_xlfn.XLOOKUP($A344,Строчный!$A:$A,Строчный!E:E,"ERR",0))</f>
        <v>The Hollywood</v>
      </c>
      <c r="F344" s="81" t="str">
        <f ca="1">LOWER(_xlfn.XLOOKUP($A344,Строчный!$A:$A,Строчный!F:F,"ERR",0))</f>
        <v>летний</v>
      </c>
      <c r="G344" s="81" t="str">
        <f ca="1">UPPER(_xlfn.XLOOKUP($A344,Строчный!$A:$A,Строчный!G:G,"ERR",0))</f>
        <v>BAILEY</v>
      </c>
      <c r="H344" s="81" t="str">
        <f ca="1">LOWER(_xlfn.XLOOKUP($A344,Строчный!$A:$A,Строчный!H:H,"ERR",0))</f>
        <v>white</v>
      </c>
      <c r="I344" s="81" t="str">
        <f ca="1">LOWER(_xlfn.XLOOKUP($A344,Строчный!$A:$A,Строчный!I:I,"ERR",0))</f>
        <v>белый</v>
      </c>
      <c r="J344" s="81" t="str">
        <f ca="1">SUBSTITUTE(LOWER(_xlfn.XLOOKUP($A344,Строчный!$A:$A,Строчный!J:J,"ERR",0)),"подклад","Подклад")</f>
        <v>55% бумага - 45% полиэстер</v>
      </c>
      <c r="K344" s="81" t="str">
        <f ca="1">LOWER(_xlfn.XLOOKUP($A344,Строчный!$A:$A,Строчный!K:K,"ERR",0))</f>
        <v>бумажные</v>
      </c>
      <c r="L344" s="81" t="str">
        <f ca="1">PROPER(_xlfn.XLOOKUP($A344,Строчный!$A:$A,Строчный!L:L,"ERR",0))</f>
        <v>Унисекс</v>
      </c>
      <c r="M344" s="113" t="str">
        <f ca="1">PROPER(_xlfn.XLOOKUP($A344,Строчный!$A:$A,Строчный!M:M,"ERR",0))</f>
        <v>Китай</v>
      </c>
      <c r="N344" s="81" t="str">
        <f ca="1">UPPER(_xlfn.XLOOKUP($A344,Строчный!$A:$A,Строчный!O:O,"ERR",0))</f>
        <v/>
      </c>
      <c r="O344" s="107" t="str">
        <f ca="1">PROPER(_xlfn.XLOOKUP($A344,Строчный!$A:$A,Строчный!P:P,"ERR",0))</f>
        <v/>
      </c>
      <c r="P344" s="90">
        <f ca="1">VALUE(_xlfn.XLOOKUP($A344,Строчный!$A:$A,Строчный!N:N,"ERR",0))</f>
        <v>2094.3000000000002</v>
      </c>
      <c r="Q344" s="89" t="str">
        <f ca="1">_xlfn.XLOOKUP($G344,Фабрика!A:A,Фабрика!B:B,"ERR",0)</f>
        <v>Bollman Headwear Europe Ltd; 2 Merchants drive, Caelisle, Cumbria CA3 0JW, United Kingdom</v>
      </c>
      <c r="R344" s="80" t="str">
        <f ca="1">_xlfn.XLOOKUP(RIGHT(Z344,2),Размеры!D:D,Размеры!A:A,"ERR",0)</f>
        <v>63</v>
      </c>
      <c r="S344" s="80">
        <f ca="1">VALUE(_xlfn.XLOOKUP($Z344,Строчный!$R:$R,Строчный!T:T,"ERR",0))</f>
        <v>3</v>
      </c>
      <c r="T344" s="14" t="s">
        <v>265</v>
      </c>
      <c r="U344" s="101" t="str">
        <f t="shared" ca="1" si="33"/>
        <v>Шляпа BAILEY арт. 81670 BILLY (белый)</v>
      </c>
      <c r="V344" s="100" t="str">
        <f t="shared" ca="1" si="34"/>
        <v>Шляпа BAILEY арт. 81670 BILLY (белый) {white}</v>
      </c>
      <c r="W344" s="18" t="str">
        <f t="shared" ca="1" si="35"/>
        <v>белый</v>
      </c>
      <c r="X344" s="18" t="str">
        <f t="shared" ca="1" si="36"/>
        <v>белый</v>
      </c>
      <c r="Y344" s="117" t="str">
        <f ca="1">_xlfn.LET(_xlpm.FormColors,_xlfn.XLOOKUP(A344,Строчный!A:A,Строчный!Q:Q,"",0),IF(_xlpm.FormColors=0,IFERROR(MID(I344,FIND("-",I344)+1,LEN(I344)),IFERROR(MID(I344,1,FIND("/",I344)-2),I344)),_xlpm.FormColors))</f>
        <v>белый</v>
      </c>
      <c r="Z344" s="73" t="str">
        <f ca="1"/>
        <v>21-090-17-63</v>
      </c>
      <c r="AA344" s="75" t="str">
        <f ca="1">VLOOKUP(C344,Группа!A:B,2,FALSE)</f>
        <v>Шляпа</v>
      </c>
      <c r="AB344" s="97" t="str">
        <f ca="1">IFERROR(VLOOKUP(R344,Размеры!A:C,3,FALSE),"")</f>
        <v>63 XXL</v>
      </c>
      <c r="AC344" s="97" t="str">
        <f ca="1">VLOOKUP(I344,ЦветПолный!A:B,2,FALSE)</f>
        <v>17</v>
      </c>
      <c r="AD344" s="97" t="str">
        <f ca="1">IFERROR(VLOOKUP(R344,Размеры!A:D,4,FALSE),"")</f>
        <v>63</v>
      </c>
      <c r="AE344" s="97">
        <f ca="1">IF(LEFT(IFERROR(VLOOKUP(LOOKUP(2,1/SEARCH(B344,Товары!A:A),Товары!A:A),Товары!A:B,2,0),""),6)=MID(Z344,1,6),1,0)</f>
        <v>1</v>
      </c>
      <c r="AG344" s="97">
        <f ca="1">SUMIF(Группа!A:A,C344,Группа!C:C)</f>
        <v>1</v>
      </c>
      <c r="AH344" s="97">
        <f ca="1">SUMIF(Группа!B:B,AA344,Группа!C:C)</f>
        <v>1</v>
      </c>
      <c r="AI344" s="97">
        <f ca="1">SUMIF(Формы!A:A,D344,Формы!B:B)</f>
        <v>1</v>
      </c>
      <c r="AJ344" s="97">
        <f ca="1">SUMIF(Материал!A:A,K344,Материал!B:B)</f>
        <v>1</v>
      </c>
      <c r="AK344" s="97">
        <f ca="1">SUMIF(Размеры!A:A,R344,Размеры!E:E)</f>
        <v>1</v>
      </c>
      <c r="AL344" s="97">
        <f ca="1">SUMIF(Сезон!A:A,F344,Сезон!B:B)</f>
        <v>1</v>
      </c>
      <c r="AM344" s="97">
        <f ca="1">SUMIF(Состав!A:A,J344,Состав!B:B)</f>
        <v>1</v>
      </c>
      <c r="AN344" s="97">
        <f ca="1">VLOOKUP(I344,ЦветПолный!A:C,3,0)</f>
        <v>1</v>
      </c>
      <c r="AO344" s="97">
        <f ca="1">SUMIF(Цвет!A:A,Y344,Цвет!B:B)</f>
        <v>1</v>
      </c>
      <c r="AP344" s="97">
        <f ca="1">_xlfn.XLOOKUP(L344,Пол!A:A,Пол!B:B,0,0)</f>
        <v>1</v>
      </c>
      <c r="AQ344" s="97">
        <f ca="1">SUMIF(Марка!A:A,G344,Марка!B:B)</f>
        <v>1</v>
      </c>
      <c r="AR344" s="97">
        <f ca="1">SUMIF(Страна!A:A,M344,Страна!B:B)</f>
        <v>1</v>
      </c>
      <c r="AS344" s="64" t="str">
        <f ca="1">IF(VLOOKUP(V344,Товары!A:B,2,FALSE)=A344,"Есть в 1С","ERR")</f>
        <v>Есть в 1С</v>
      </c>
      <c r="AT344" s="65" t="str">
        <f ca="1">IF(VLOOKUP(A344,Товары!B:B,1,FALSE)=A344,"Есть в 1С","ERR")</f>
        <v>Есть в 1С</v>
      </c>
      <c r="AU344" s="96" t="str">
        <f ca="1">VLOOKUP(V344,Товары!A:B,2,FALSE)</f>
        <v>21-090-17</v>
      </c>
      <c r="AV344" s="94" t="str">
        <f ca="1">VLOOKUP(V344,Товары!A:B,1,FALSE)</f>
        <v>Шляпа BAILEY арт. 81670 BILLY (белый) {white}</v>
      </c>
    </row>
    <row r="345" spans="1:48" x14ac:dyDescent="0.25">
      <c r="A345" s="110" t="str">
        <f t="shared" ca="1" si="37"/>
        <v>21-090-17</v>
      </c>
      <c r="B345" s="107" t="str">
        <f ca="1">_xlfn.LET(_xlpm.CAPS,0,_xlpm.Style,_xlfn.XLOOKUP($A345,Строчный!$A:$A,Строчный!B:B,"ERR",0),IF(_xlpm.CAPS=0,_xlpm.Style,LOWER(_xlpm.Style)))</f>
        <v>81670 BILLY</v>
      </c>
      <c r="C345" s="81" t="str">
        <f ca="1">PROPER(_xlfn.XLOOKUP($A345,Строчный!$A:$A,Строчный!C:C,"ERR",0))</f>
        <v>Шляпы</v>
      </c>
      <c r="D345" s="81" t="str">
        <f ca="1">_xlfn.LET(_xlpm.DATA,(_xlfn.XLOOKUP($A345,Строчный!$A:$A,Строчный!D:D,"ERR",0)),UPPER(MID(_xlpm.DATA,1,1))&amp;LOWER(MID(_xlpm.DATA,2,LEN(_xlpm.DATA)-1)))</f>
        <v>Шляпа хомбург</v>
      </c>
      <c r="E345" s="81" t="str">
        <f ca="1">PROPER(_xlfn.XLOOKUP($A345,Строчный!$A:$A,Строчный!E:E,"ERR",0))</f>
        <v>The Hollywood</v>
      </c>
      <c r="F345" s="81" t="str">
        <f ca="1">LOWER(_xlfn.XLOOKUP($A345,Строчный!$A:$A,Строчный!F:F,"ERR",0))</f>
        <v>летний</v>
      </c>
      <c r="G345" s="81" t="str">
        <f ca="1">UPPER(_xlfn.XLOOKUP($A345,Строчный!$A:$A,Строчный!G:G,"ERR",0))</f>
        <v>BAILEY</v>
      </c>
      <c r="H345" s="81" t="str">
        <f ca="1">LOWER(_xlfn.XLOOKUP($A345,Строчный!$A:$A,Строчный!H:H,"ERR",0))</f>
        <v>white</v>
      </c>
      <c r="I345" s="81" t="str">
        <f ca="1">LOWER(_xlfn.XLOOKUP($A345,Строчный!$A:$A,Строчный!I:I,"ERR",0))</f>
        <v>белый</v>
      </c>
      <c r="J345" s="81" t="str">
        <f ca="1">SUBSTITUTE(LOWER(_xlfn.XLOOKUP($A345,Строчный!$A:$A,Строчный!J:J,"ERR",0)),"подклад","Подклад")</f>
        <v>55% бумага - 45% полиэстер</v>
      </c>
      <c r="K345" s="81" t="str">
        <f ca="1">LOWER(_xlfn.XLOOKUP($A345,Строчный!$A:$A,Строчный!K:K,"ERR",0))</f>
        <v>бумажные</v>
      </c>
      <c r="L345" s="81" t="str">
        <f ca="1">PROPER(_xlfn.XLOOKUP($A345,Строчный!$A:$A,Строчный!L:L,"ERR",0))</f>
        <v>Унисекс</v>
      </c>
      <c r="M345" s="113" t="str">
        <f ca="1">PROPER(_xlfn.XLOOKUP($A345,Строчный!$A:$A,Строчный!M:M,"ERR",0))</f>
        <v>Китай</v>
      </c>
      <c r="N345" s="81" t="str">
        <f ca="1">UPPER(_xlfn.XLOOKUP($A345,Строчный!$A:$A,Строчный!O:O,"ERR",0))</f>
        <v/>
      </c>
      <c r="O345" s="107" t="str">
        <f ca="1">PROPER(_xlfn.XLOOKUP($A345,Строчный!$A:$A,Строчный!P:P,"ERR",0))</f>
        <v/>
      </c>
      <c r="P345" s="90">
        <f ca="1">VALUE(_xlfn.XLOOKUP($A345,Строчный!$A:$A,Строчный!N:N,"ERR",0))</f>
        <v>2094.3000000000002</v>
      </c>
      <c r="Q345" s="89" t="str">
        <f ca="1">_xlfn.XLOOKUP($G345,Фабрика!A:A,Фабрика!B:B,"ERR",0)</f>
        <v>Bollman Headwear Europe Ltd; 2 Merchants drive, Caelisle, Cumbria CA3 0JW, United Kingdom</v>
      </c>
      <c r="R345" s="80" t="str">
        <f ca="1">_xlfn.XLOOKUP(RIGHT(Z345,2),Размеры!D:D,Размеры!A:A,"ERR",0)</f>
        <v>61</v>
      </c>
      <c r="S345" s="80">
        <f ca="1">VALUE(_xlfn.XLOOKUP($Z345,Строчный!$R:$R,Строчный!T:T,"ERR",0))</f>
        <v>10</v>
      </c>
      <c r="T345" s="14" t="s">
        <v>265</v>
      </c>
      <c r="U345" s="101" t="str">
        <f t="shared" ca="1" si="33"/>
        <v>Шляпа BAILEY арт. 81670 BILLY (белый)</v>
      </c>
      <c r="V345" s="100" t="str">
        <f t="shared" ca="1" si="34"/>
        <v>Шляпа BAILEY арт. 81670 BILLY (белый) {white}</v>
      </c>
      <c r="W345" s="18" t="str">
        <f t="shared" ca="1" si="35"/>
        <v>белый</v>
      </c>
      <c r="X345" s="18" t="str">
        <f t="shared" ca="1" si="36"/>
        <v>белый</v>
      </c>
      <c r="Y345" s="117" t="str">
        <f ca="1">_xlfn.LET(_xlpm.FormColors,_xlfn.XLOOKUP(A345,Строчный!A:A,Строчный!Q:Q,"",0),IF(_xlpm.FormColors=0,IFERROR(MID(I345,FIND("-",I345)+1,LEN(I345)),IFERROR(MID(I345,1,FIND("/",I345)-2),I345)),_xlpm.FormColors))</f>
        <v>белый</v>
      </c>
      <c r="Z345" s="73" t="str">
        <f ca="1"/>
        <v>21-090-17-61</v>
      </c>
      <c r="AA345" s="75" t="str">
        <f ca="1">VLOOKUP(C345,Группа!A:B,2,FALSE)</f>
        <v>Шляпа</v>
      </c>
      <c r="AB345" s="97" t="str">
        <f ca="1">IFERROR(VLOOKUP(R345,Размеры!A:C,3,FALSE),"")</f>
        <v>61 XL</v>
      </c>
      <c r="AC345" s="97" t="str">
        <f ca="1">VLOOKUP(I345,ЦветПолный!A:B,2,FALSE)</f>
        <v>17</v>
      </c>
      <c r="AD345" s="97" t="str">
        <f ca="1">IFERROR(VLOOKUP(R345,Размеры!A:D,4,FALSE),"")</f>
        <v>61</v>
      </c>
      <c r="AE345" s="97">
        <f ca="1">IF(LEFT(IFERROR(VLOOKUP(LOOKUP(2,1/SEARCH(B345,Товары!A:A),Товары!A:A),Товары!A:B,2,0),""),6)=MID(Z345,1,6),1,0)</f>
        <v>1</v>
      </c>
      <c r="AG345" s="97">
        <f ca="1">SUMIF(Группа!A:A,C345,Группа!C:C)</f>
        <v>1</v>
      </c>
      <c r="AH345" s="97">
        <f ca="1">SUMIF(Группа!B:B,AA345,Группа!C:C)</f>
        <v>1</v>
      </c>
      <c r="AI345" s="97">
        <f ca="1">SUMIF(Формы!A:A,D345,Формы!B:B)</f>
        <v>1</v>
      </c>
      <c r="AJ345" s="97">
        <f ca="1">SUMIF(Материал!A:A,K345,Материал!B:B)</f>
        <v>1</v>
      </c>
      <c r="AK345" s="97">
        <f ca="1">SUMIF(Размеры!A:A,R345,Размеры!E:E)</f>
        <v>1</v>
      </c>
      <c r="AL345" s="97">
        <f ca="1">SUMIF(Сезон!A:A,F345,Сезон!B:B)</f>
        <v>1</v>
      </c>
      <c r="AM345" s="97">
        <f ca="1">SUMIF(Состав!A:A,J345,Состав!B:B)</f>
        <v>1</v>
      </c>
      <c r="AN345" s="97">
        <f ca="1">VLOOKUP(I345,ЦветПолный!A:C,3,0)</f>
        <v>1</v>
      </c>
      <c r="AO345" s="97">
        <f ca="1">SUMIF(Цвет!A:A,Y345,Цвет!B:B)</f>
        <v>1</v>
      </c>
      <c r="AP345" s="97">
        <f ca="1">_xlfn.XLOOKUP(L345,Пол!A:A,Пол!B:B,0,0)</f>
        <v>1</v>
      </c>
      <c r="AQ345" s="97">
        <f ca="1">SUMIF(Марка!A:A,G345,Марка!B:B)</f>
        <v>1</v>
      </c>
      <c r="AR345" s="97">
        <f ca="1">SUMIF(Страна!A:A,M345,Страна!B:B)</f>
        <v>1</v>
      </c>
      <c r="AS345" s="64" t="str">
        <f ca="1">IF(VLOOKUP(V345,Товары!A:B,2,FALSE)=A345,"Есть в 1С","ERR")</f>
        <v>Есть в 1С</v>
      </c>
      <c r="AT345" s="65" t="str">
        <f ca="1">IF(VLOOKUP(A345,Товары!B:B,1,FALSE)=A345,"Есть в 1С","ERR")</f>
        <v>Есть в 1С</v>
      </c>
      <c r="AU345" s="96" t="str">
        <f ca="1">VLOOKUP(V345,Товары!A:B,2,FALSE)</f>
        <v>21-090-17</v>
      </c>
      <c r="AV345" s="94" t="str">
        <f ca="1">VLOOKUP(V345,Товары!A:B,1,FALSE)</f>
        <v>Шляпа BAILEY арт. 81670 BILLY (белый) {white}</v>
      </c>
    </row>
    <row r="346" spans="1:48" x14ac:dyDescent="0.25">
      <c r="A346" s="110" t="str">
        <f t="shared" ca="1" si="37"/>
        <v>21-090-17</v>
      </c>
      <c r="B346" s="107" t="str">
        <f ca="1">_xlfn.LET(_xlpm.CAPS,0,_xlpm.Style,_xlfn.XLOOKUP($A346,Строчный!$A:$A,Строчный!B:B,"ERR",0),IF(_xlpm.CAPS=0,_xlpm.Style,LOWER(_xlpm.Style)))</f>
        <v>81670 BILLY</v>
      </c>
      <c r="C346" s="81" t="str">
        <f ca="1">PROPER(_xlfn.XLOOKUP($A346,Строчный!$A:$A,Строчный!C:C,"ERR",0))</f>
        <v>Шляпы</v>
      </c>
      <c r="D346" s="81" t="str">
        <f ca="1">_xlfn.LET(_xlpm.DATA,(_xlfn.XLOOKUP($A346,Строчный!$A:$A,Строчный!D:D,"ERR",0)),UPPER(MID(_xlpm.DATA,1,1))&amp;LOWER(MID(_xlpm.DATA,2,LEN(_xlpm.DATA)-1)))</f>
        <v>Шляпа хомбург</v>
      </c>
      <c r="E346" s="81" t="str">
        <f ca="1">PROPER(_xlfn.XLOOKUP($A346,Строчный!$A:$A,Строчный!E:E,"ERR",0))</f>
        <v>The Hollywood</v>
      </c>
      <c r="F346" s="81" t="str">
        <f ca="1">LOWER(_xlfn.XLOOKUP($A346,Строчный!$A:$A,Строчный!F:F,"ERR",0))</f>
        <v>летний</v>
      </c>
      <c r="G346" s="81" t="str">
        <f ca="1">UPPER(_xlfn.XLOOKUP($A346,Строчный!$A:$A,Строчный!G:G,"ERR",0))</f>
        <v>BAILEY</v>
      </c>
      <c r="H346" s="81" t="str">
        <f ca="1">LOWER(_xlfn.XLOOKUP($A346,Строчный!$A:$A,Строчный!H:H,"ERR",0))</f>
        <v>white</v>
      </c>
      <c r="I346" s="81" t="str">
        <f ca="1">LOWER(_xlfn.XLOOKUP($A346,Строчный!$A:$A,Строчный!I:I,"ERR",0))</f>
        <v>белый</v>
      </c>
      <c r="J346" s="81" t="str">
        <f ca="1">SUBSTITUTE(LOWER(_xlfn.XLOOKUP($A346,Строчный!$A:$A,Строчный!J:J,"ERR",0)),"подклад","Подклад")</f>
        <v>55% бумага - 45% полиэстер</v>
      </c>
      <c r="K346" s="81" t="str">
        <f ca="1">LOWER(_xlfn.XLOOKUP($A346,Строчный!$A:$A,Строчный!K:K,"ERR",0))</f>
        <v>бумажные</v>
      </c>
      <c r="L346" s="81" t="str">
        <f ca="1">PROPER(_xlfn.XLOOKUP($A346,Строчный!$A:$A,Строчный!L:L,"ERR",0))</f>
        <v>Унисекс</v>
      </c>
      <c r="M346" s="113" t="str">
        <f ca="1">PROPER(_xlfn.XLOOKUP($A346,Строчный!$A:$A,Строчный!M:M,"ERR",0))</f>
        <v>Китай</v>
      </c>
      <c r="N346" s="81" t="str">
        <f ca="1">UPPER(_xlfn.XLOOKUP($A346,Строчный!$A:$A,Строчный!O:O,"ERR",0))</f>
        <v/>
      </c>
      <c r="O346" s="107" t="str">
        <f ca="1">PROPER(_xlfn.XLOOKUP($A346,Строчный!$A:$A,Строчный!P:P,"ERR",0))</f>
        <v/>
      </c>
      <c r="P346" s="90">
        <f ca="1">VALUE(_xlfn.XLOOKUP($A346,Строчный!$A:$A,Строчный!N:N,"ERR",0))</f>
        <v>2094.3000000000002</v>
      </c>
      <c r="Q346" s="89" t="str">
        <f ca="1">_xlfn.XLOOKUP($G346,Фабрика!A:A,Фабрика!B:B,"ERR",0)</f>
        <v>Bollman Headwear Europe Ltd; 2 Merchants drive, Caelisle, Cumbria CA3 0JW, United Kingdom</v>
      </c>
      <c r="R346" s="80" t="str">
        <f ca="1">_xlfn.XLOOKUP(RIGHT(Z346,2),Размеры!D:D,Размеры!A:A,"ERR",0)</f>
        <v>59</v>
      </c>
      <c r="S346" s="80">
        <f ca="1">VALUE(_xlfn.XLOOKUP($Z346,Строчный!$R:$R,Строчный!T:T,"ERR",0))</f>
        <v>14</v>
      </c>
      <c r="T346" s="14" t="s">
        <v>265</v>
      </c>
      <c r="U346" s="101" t="str">
        <f t="shared" ca="1" si="33"/>
        <v>Шляпа BAILEY арт. 81670 BILLY (белый)</v>
      </c>
      <c r="V346" s="100" t="str">
        <f t="shared" ca="1" si="34"/>
        <v>Шляпа BAILEY арт. 81670 BILLY (белый) {white}</v>
      </c>
      <c r="W346" s="18" t="str">
        <f t="shared" ca="1" si="35"/>
        <v>белый</v>
      </c>
      <c r="X346" s="18" t="str">
        <f t="shared" ca="1" si="36"/>
        <v>белый</v>
      </c>
      <c r="Y346" s="117" t="str">
        <f ca="1">_xlfn.LET(_xlpm.FormColors,_xlfn.XLOOKUP(A346,Строчный!A:A,Строчный!Q:Q,"",0),IF(_xlpm.FormColors=0,IFERROR(MID(I346,FIND("-",I346)+1,LEN(I346)),IFERROR(MID(I346,1,FIND("/",I346)-2),I346)),_xlpm.FormColors))</f>
        <v>белый</v>
      </c>
      <c r="Z346" s="73" t="str">
        <f ca="1"/>
        <v>21-090-17-59</v>
      </c>
      <c r="AA346" s="75" t="str">
        <f ca="1">VLOOKUP(C346,Группа!A:B,2,FALSE)</f>
        <v>Шляпа</v>
      </c>
      <c r="AB346" s="97" t="str">
        <f ca="1">IFERROR(VLOOKUP(R346,Размеры!A:C,3,FALSE),"")</f>
        <v>59 L</v>
      </c>
      <c r="AC346" s="97" t="str">
        <f ca="1">VLOOKUP(I346,ЦветПолный!A:B,2,FALSE)</f>
        <v>17</v>
      </c>
      <c r="AD346" s="97" t="str">
        <f ca="1">IFERROR(VLOOKUP(R346,Размеры!A:D,4,FALSE),"")</f>
        <v>59</v>
      </c>
      <c r="AE346" s="97">
        <f ca="1">IF(LEFT(IFERROR(VLOOKUP(LOOKUP(2,1/SEARCH(B346,Товары!A:A),Товары!A:A),Товары!A:B,2,0),""),6)=MID(Z346,1,6),1,0)</f>
        <v>1</v>
      </c>
      <c r="AG346" s="97">
        <f ca="1">SUMIF(Группа!A:A,C346,Группа!C:C)</f>
        <v>1</v>
      </c>
      <c r="AH346" s="97">
        <f ca="1">SUMIF(Группа!B:B,AA346,Группа!C:C)</f>
        <v>1</v>
      </c>
      <c r="AI346" s="97">
        <f ca="1">SUMIF(Формы!A:A,D346,Формы!B:B)</f>
        <v>1</v>
      </c>
      <c r="AJ346" s="97">
        <f ca="1">SUMIF(Материал!A:A,K346,Материал!B:B)</f>
        <v>1</v>
      </c>
      <c r="AK346" s="97">
        <f ca="1">SUMIF(Размеры!A:A,R346,Размеры!E:E)</f>
        <v>1</v>
      </c>
      <c r="AL346" s="97">
        <f ca="1">SUMIF(Сезон!A:A,F346,Сезон!B:B)</f>
        <v>1</v>
      </c>
      <c r="AM346" s="97">
        <f ca="1">SUMIF(Состав!A:A,J346,Состав!B:B)</f>
        <v>1</v>
      </c>
      <c r="AN346" s="97">
        <f ca="1">VLOOKUP(I346,ЦветПолный!A:C,3,0)</f>
        <v>1</v>
      </c>
      <c r="AO346" s="97">
        <f ca="1">SUMIF(Цвет!A:A,Y346,Цвет!B:B)</f>
        <v>1</v>
      </c>
      <c r="AP346" s="97">
        <f ca="1">_xlfn.XLOOKUP(L346,Пол!A:A,Пол!B:B,0,0)</f>
        <v>1</v>
      </c>
      <c r="AQ346" s="97">
        <f ca="1">SUMIF(Марка!A:A,G346,Марка!B:B)</f>
        <v>1</v>
      </c>
      <c r="AR346" s="97">
        <f ca="1">SUMIF(Страна!A:A,M346,Страна!B:B)</f>
        <v>1</v>
      </c>
      <c r="AS346" s="64" t="str">
        <f ca="1">IF(VLOOKUP(V346,Товары!A:B,2,FALSE)=A346,"Есть в 1С","ERR")</f>
        <v>Есть в 1С</v>
      </c>
      <c r="AT346" s="65" t="str">
        <f ca="1">IF(VLOOKUP(A346,Товары!B:B,1,FALSE)=A346,"Есть в 1С","ERR")</f>
        <v>Есть в 1С</v>
      </c>
      <c r="AU346" s="96" t="str">
        <f ca="1">VLOOKUP(V346,Товары!A:B,2,FALSE)</f>
        <v>21-090-17</v>
      </c>
      <c r="AV346" s="94" t="str">
        <f ca="1">VLOOKUP(V346,Товары!A:B,1,FALSE)</f>
        <v>Шляпа BAILEY арт. 81670 BILLY (белый) {white}</v>
      </c>
    </row>
    <row r="347" spans="1:48" x14ac:dyDescent="0.25">
      <c r="A347" s="110" t="str">
        <f t="shared" ca="1" si="37"/>
        <v>21-090-17</v>
      </c>
      <c r="B347" s="107" t="str">
        <f ca="1">_xlfn.LET(_xlpm.CAPS,0,_xlpm.Style,_xlfn.XLOOKUP($A347,Строчный!$A:$A,Строчный!B:B,"ERR",0),IF(_xlpm.CAPS=0,_xlpm.Style,LOWER(_xlpm.Style)))</f>
        <v>81670 BILLY</v>
      </c>
      <c r="C347" s="81" t="str">
        <f ca="1">PROPER(_xlfn.XLOOKUP($A347,Строчный!$A:$A,Строчный!C:C,"ERR",0))</f>
        <v>Шляпы</v>
      </c>
      <c r="D347" s="81" t="str">
        <f ca="1">_xlfn.LET(_xlpm.DATA,(_xlfn.XLOOKUP($A347,Строчный!$A:$A,Строчный!D:D,"ERR",0)),UPPER(MID(_xlpm.DATA,1,1))&amp;LOWER(MID(_xlpm.DATA,2,LEN(_xlpm.DATA)-1)))</f>
        <v>Шляпа хомбург</v>
      </c>
      <c r="E347" s="81" t="str">
        <f ca="1">PROPER(_xlfn.XLOOKUP($A347,Строчный!$A:$A,Строчный!E:E,"ERR",0))</f>
        <v>The Hollywood</v>
      </c>
      <c r="F347" s="81" t="str">
        <f ca="1">LOWER(_xlfn.XLOOKUP($A347,Строчный!$A:$A,Строчный!F:F,"ERR",0))</f>
        <v>летний</v>
      </c>
      <c r="G347" s="81" t="str">
        <f ca="1">UPPER(_xlfn.XLOOKUP($A347,Строчный!$A:$A,Строчный!G:G,"ERR",0))</f>
        <v>BAILEY</v>
      </c>
      <c r="H347" s="81" t="str">
        <f ca="1">LOWER(_xlfn.XLOOKUP($A347,Строчный!$A:$A,Строчный!H:H,"ERR",0))</f>
        <v>white</v>
      </c>
      <c r="I347" s="81" t="str">
        <f ca="1">LOWER(_xlfn.XLOOKUP($A347,Строчный!$A:$A,Строчный!I:I,"ERR",0))</f>
        <v>белый</v>
      </c>
      <c r="J347" s="81" t="str">
        <f ca="1">SUBSTITUTE(LOWER(_xlfn.XLOOKUP($A347,Строчный!$A:$A,Строчный!J:J,"ERR",0)),"подклад","Подклад")</f>
        <v>55% бумага - 45% полиэстер</v>
      </c>
      <c r="K347" s="81" t="str">
        <f ca="1">LOWER(_xlfn.XLOOKUP($A347,Строчный!$A:$A,Строчный!K:K,"ERR",0))</f>
        <v>бумажные</v>
      </c>
      <c r="L347" s="81" t="str">
        <f ca="1">PROPER(_xlfn.XLOOKUP($A347,Строчный!$A:$A,Строчный!L:L,"ERR",0))</f>
        <v>Унисекс</v>
      </c>
      <c r="M347" s="113" t="str">
        <f ca="1">PROPER(_xlfn.XLOOKUP($A347,Строчный!$A:$A,Строчный!M:M,"ERR",0))</f>
        <v>Китай</v>
      </c>
      <c r="N347" s="81" t="str">
        <f ca="1">UPPER(_xlfn.XLOOKUP($A347,Строчный!$A:$A,Строчный!O:O,"ERR",0))</f>
        <v/>
      </c>
      <c r="O347" s="107" t="str">
        <f ca="1">PROPER(_xlfn.XLOOKUP($A347,Строчный!$A:$A,Строчный!P:P,"ERR",0))</f>
        <v/>
      </c>
      <c r="P347" s="90">
        <f ca="1">VALUE(_xlfn.XLOOKUP($A347,Строчный!$A:$A,Строчный!N:N,"ERR",0))</f>
        <v>2094.3000000000002</v>
      </c>
      <c r="Q347" s="89" t="str">
        <f ca="1">_xlfn.XLOOKUP($G347,Фабрика!A:A,Фабрика!B:B,"ERR",0)</f>
        <v>Bollman Headwear Europe Ltd; 2 Merchants drive, Caelisle, Cumbria CA3 0JW, United Kingdom</v>
      </c>
      <c r="R347" s="80" t="str">
        <f ca="1">_xlfn.XLOOKUP(RIGHT(Z347,2),Размеры!D:D,Размеры!A:A,"ERR",0)</f>
        <v>57</v>
      </c>
      <c r="S347" s="80">
        <f ca="1">VALUE(_xlfn.XLOOKUP($Z347,Строчный!$R:$R,Строчный!T:T,"ERR",0))</f>
        <v>11</v>
      </c>
      <c r="T347" s="14" t="s">
        <v>265</v>
      </c>
      <c r="U347" s="101" t="str">
        <f t="shared" ca="1" si="33"/>
        <v>Шляпа BAILEY арт. 81670 BILLY (белый)</v>
      </c>
      <c r="V347" s="100" t="str">
        <f t="shared" ca="1" si="34"/>
        <v>Шляпа BAILEY арт. 81670 BILLY (белый) {white}</v>
      </c>
      <c r="W347" s="18" t="str">
        <f t="shared" ca="1" si="35"/>
        <v>белый</v>
      </c>
      <c r="X347" s="18" t="str">
        <f t="shared" ca="1" si="36"/>
        <v>белый</v>
      </c>
      <c r="Y347" s="117" t="str">
        <f ca="1">_xlfn.LET(_xlpm.FormColors,_xlfn.XLOOKUP(A347,Строчный!A:A,Строчный!Q:Q,"",0),IF(_xlpm.FormColors=0,IFERROR(MID(I347,FIND("-",I347)+1,LEN(I347)),IFERROR(MID(I347,1,FIND("/",I347)-2),I347)),_xlpm.FormColors))</f>
        <v>белый</v>
      </c>
      <c r="Z347" s="73" t="str">
        <f ca="1"/>
        <v>21-090-17-57</v>
      </c>
      <c r="AA347" s="75" t="str">
        <f ca="1">VLOOKUP(C347,Группа!A:B,2,FALSE)</f>
        <v>Шляпа</v>
      </c>
      <c r="AB347" s="97" t="str">
        <f ca="1">IFERROR(VLOOKUP(R347,Размеры!A:C,3,FALSE),"")</f>
        <v>57 M</v>
      </c>
      <c r="AC347" s="97" t="str">
        <f ca="1">VLOOKUP(I347,ЦветПолный!A:B,2,FALSE)</f>
        <v>17</v>
      </c>
      <c r="AD347" s="97" t="str">
        <f ca="1">IFERROR(VLOOKUP(R347,Размеры!A:D,4,FALSE),"")</f>
        <v>57</v>
      </c>
      <c r="AE347" s="97">
        <f ca="1">IF(LEFT(IFERROR(VLOOKUP(LOOKUP(2,1/SEARCH(B347,Товары!A:A),Товары!A:A),Товары!A:B,2,0),""),6)=MID(Z347,1,6),1,0)</f>
        <v>1</v>
      </c>
      <c r="AG347" s="97">
        <f ca="1">SUMIF(Группа!A:A,C347,Группа!C:C)</f>
        <v>1</v>
      </c>
      <c r="AH347" s="97">
        <f ca="1">SUMIF(Группа!B:B,AA347,Группа!C:C)</f>
        <v>1</v>
      </c>
      <c r="AI347" s="97">
        <f ca="1">SUMIF(Формы!A:A,D347,Формы!B:B)</f>
        <v>1</v>
      </c>
      <c r="AJ347" s="97">
        <f ca="1">SUMIF(Материал!A:A,K347,Материал!B:B)</f>
        <v>1</v>
      </c>
      <c r="AK347" s="97">
        <f ca="1">SUMIF(Размеры!A:A,R347,Размеры!E:E)</f>
        <v>1</v>
      </c>
      <c r="AL347" s="97">
        <f ca="1">SUMIF(Сезон!A:A,F347,Сезон!B:B)</f>
        <v>1</v>
      </c>
      <c r="AM347" s="97">
        <f ca="1">SUMIF(Состав!A:A,J347,Состав!B:B)</f>
        <v>1</v>
      </c>
      <c r="AN347" s="97">
        <f ca="1">VLOOKUP(I347,ЦветПолный!A:C,3,0)</f>
        <v>1</v>
      </c>
      <c r="AO347" s="97">
        <f ca="1">SUMIF(Цвет!A:A,Y347,Цвет!B:B)</f>
        <v>1</v>
      </c>
      <c r="AP347" s="97">
        <f ca="1">_xlfn.XLOOKUP(L347,Пол!A:A,Пол!B:B,0,0)</f>
        <v>1</v>
      </c>
      <c r="AQ347" s="97">
        <f ca="1">SUMIF(Марка!A:A,G347,Марка!B:B)</f>
        <v>1</v>
      </c>
      <c r="AR347" s="97">
        <f ca="1">SUMIF(Страна!A:A,M347,Страна!B:B)</f>
        <v>1</v>
      </c>
      <c r="AS347" s="64" t="str">
        <f ca="1">IF(VLOOKUP(V347,Товары!A:B,2,FALSE)=A347,"Есть в 1С","ERR")</f>
        <v>Есть в 1С</v>
      </c>
      <c r="AT347" s="65" t="str">
        <f ca="1">IF(VLOOKUP(A347,Товары!B:B,1,FALSE)=A347,"Есть в 1С","ERR")</f>
        <v>Есть в 1С</v>
      </c>
      <c r="AU347" s="96" t="str">
        <f ca="1">VLOOKUP(V347,Товары!A:B,2,FALSE)</f>
        <v>21-090-17</v>
      </c>
      <c r="AV347" s="94" t="str">
        <f ca="1">VLOOKUP(V347,Товары!A:B,1,FALSE)</f>
        <v>Шляпа BAILEY арт. 81670 BILLY (белый) {white}</v>
      </c>
    </row>
    <row r="348" spans="1:48" x14ac:dyDescent="0.25">
      <c r="A348" s="110" t="str">
        <f t="shared" ca="1" si="37"/>
        <v>21-090-17</v>
      </c>
      <c r="B348" s="107" t="str">
        <f ca="1">_xlfn.LET(_xlpm.CAPS,0,_xlpm.Style,_xlfn.XLOOKUP($A348,Строчный!$A:$A,Строчный!B:B,"ERR",0),IF(_xlpm.CAPS=0,_xlpm.Style,LOWER(_xlpm.Style)))</f>
        <v>81670 BILLY</v>
      </c>
      <c r="C348" s="81" t="str">
        <f ca="1">PROPER(_xlfn.XLOOKUP($A348,Строчный!$A:$A,Строчный!C:C,"ERR",0))</f>
        <v>Шляпы</v>
      </c>
      <c r="D348" s="81" t="str">
        <f ca="1">_xlfn.LET(_xlpm.DATA,(_xlfn.XLOOKUP($A348,Строчный!$A:$A,Строчный!D:D,"ERR",0)),UPPER(MID(_xlpm.DATA,1,1))&amp;LOWER(MID(_xlpm.DATA,2,LEN(_xlpm.DATA)-1)))</f>
        <v>Шляпа хомбург</v>
      </c>
      <c r="E348" s="81" t="str">
        <f ca="1">PROPER(_xlfn.XLOOKUP($A348,Строчный!$A:$A,Строчный!E:E,"ERR",0))</f>
        <v>The Hollywood</v>
      </c>
      <c r="F348" s="81" t="str">
        <f ca="1">LOWER(_xlfn.XLOOKUP($A348,Строчный!$A:$A,Строчный!F:F,"ERR",0))</f>
        <v>летний</v>
      </c>
      <c r="G348" s="81" t="str">
        <f ca="1">UPPER(_xlfn.XLOOKUP($A348,Строчный!$A:$A,Строчный!G:G,"ERR",0))</f>
        <v>BAILEY</v>
      </c>
      <c r="H348" s="81" t="str">
        <f ca="1">LOWER(_xlfn.XLOOKUP($A348,Строчный!$A:$A,Строчный!H:H,"ERR",0))</f>
        <v>white</v>
      </c>
      <c r="I348" s="81" t="str">
        <f ca="1">LOWER(_xlfn.XLOOKUP($A348,Строчный!$A:$A,Строчный!I:I,"ERR",0))</f>
        <v>белый</v>
      </c>
      <c r="J348" s="81" t="str">
        <f ca="1">SUBSTITUTE(LOWER(_xlfn.XLOOKUP($A348,Строчный!$A:$A,Строчный!J:J,"ERR",0)),"подклад","Подклад")</f>
        <v>55% бумага - 45% полиэстер</v>
      </c>
      <c r="K348" s="81" t="str">
        <f ca="1">LOWER(_xlfn.XLOOKUP($A348,Строчный!$A:$A,Строчный!K:K,"ERR",0))</f>
        <v>бумажные</v>
      </c>
      <c r="L348" s="81" t="str">
        <f ca="1">PROPER(_xlfn.XLOOKUP($A348,Строчный!$A:$A,Строчный!L:L,"ERR",0))</f>
        <v>Унисекс</v>
      </c>
      <c r="M348" s="113" t="str">
        <f ca="1">PROPER(_xlfn.XLOOKUP($A348,Строчный!$A:$A,Строчный!M:M,"ERR",0))</f>
        <v>Китай</v>
      </c>
      <c r="N348" s="81" t="str">
        <f ca="1">UPPER(_xlfn.XLOOKUP($A348,Строчный!$A:$A,Строчный!O:O,"ERR",0))</f>
        <v/>
      </c>
      <c r="O348" s="107" t="str">
        <f ca="1">PROPER(_xlfn.XLOOKUP($A348,Строчный!$A:$A,Строчный!P:P,"ERR",0))</f>
        <v/>
      </c>
      <c r="P348" s="90">
        <f ca="1">VALUE(_xlfn.XLOOKUP($A348,Строчный!$A:$A,Строчный!N:N,"ERR",0))</f>
        <v>2094.3000000000002</v>
      </c>
      <c r="Q348" s="89" t="str">
        <f ca="1">_xlfn.XLOOKUP($G348,Фабрика!A:A,Фабрика!B:B,"ERR",0)</f>
        <v>Bollman Headwear Europe Ltd; 2 Merchants drive, Caelisle, Cumbria CA3 0JW, United Kingdom</v>
      </c>
      <c r="R348" s="80" t="str">
        <f ca="1">_xlfn.XLOOKUP(RIGHT(Z348,2),Размеры!D:D,Размеры!A:A,"ERR",0)</f>
        <v>55</v>
      </c>
      <c r="S348" s="80">
        <f ca="1">VALUE(_xlfn.XLOOKUP($Z348,Строчный!$R:$R,Строчный!T:T,"ERR",0))</f>
        <v>3</v>
      </c>
      <c r="T348" s="14" t="s">
        <v>265</v>
      </c>
      <c r="U348" s="101" t="str">
        <f t="shared" ca="1" si="33"/>
        <v>Шляпа BAILEY арт. 81670 BILLY (белый)</v>
      </c>
      <c r="V348" s="100" t="str">
        <f t="shared" ca="1" si="34"/>
        <v>Шляпа BAILEY арт. 81670 BILLY (белый) {white}</v>
      </c>
      <c r="W348" s="18" t="str">
        <f t="shared" ca="1" si="35"/>
        <v>белый</v>
      </c>
      <c r="X348" s="18" t="str">
        <f t="shared" ca="1" si="36"/>
        <v>белый</v>
      </c>
      <c r="Y348" s="117" t="str">
        <f ca="1">_xlfn.LET(_xlpm.FormColors,_xlfn.XLOOKUP(A348,Строчный!A:A,Строчный!Q:Q,"",0),IF(_xlpm.FormColors=0,IFERROR(MID(I348,FIND("-",I348)+1,LEN(I348)),IFERROR(MID(I348,1,FIND("/",I348)-2),I348)),_xlpm.FormColors))</f>
        <v>белый</v>
      </c>
      <c r="Z348" s="73" t="str">
        <f ca="1"/>
        <v>21-090-17-55</v>
      </c>
      <c r="AA348" s="75" t="str">
        <f ca="1">VLOOKUP(C348,Группа!A:B,2,FALSE)</f>
        <v>Шляпа</v>
      </c>
      <c r="AB348" s="97" t="str">
        <f ca="1">IFERROR(VLOOKUP(R348,Размеры!A:C,3,FALSE),"")</f>
        <v>55 S</v>
      </c>
      <c r="AC348" s="97" t="str">
        <f ca="1">VLOOKUP(I348,ЦветПолный!A:B,2,FALSE)</f>
        <v>17</v>
      </c>
      <c r="AD348" s="97" t="str">
        <f ca="1">IFERROR(VLOOKUP(R348,Размеры!A:D,4,FALSE),"")</f>
        <v>55</v>
      </c>
      <c r="AE348" s="97">
        <f ca="1">IF(LEFT(IFERROR(VLOOKUP(LOOKUP(2,1/SEARCH(B348,Товары!A:A),Товары!A:A),Товары!A:B,2,0),""),6)=MID(Z348,1,6),1,0)</f>
        <v>1</v>
      </c>
      <c r="AG348" s="97">
        <f ca="1">SUMIF(Группа!A:A,C348,Группа!C:C)</f>
        <v>1</v>
      </c>
      <c r="AH348" s="97">
        <f ca="1">SUMIF(Группа!B:B,AA348,Группа!C:C)</f>
        <v>1</v>
      </c>
      <c r="AI348" s="97">
        <f ca="1">SUMIF(Формы!A:A,D348,Формы!B:B)</f>
        <v>1</v>
      </c>
      <c r="AJ348" s="97">
        <f ca="1">SUMIF(Материал!A:A,K348,Материал!B:B)</f>
        <v>1</v>
      </c>
      <c r="AK348" s="97">
        <f ca="1">SUMIF(Размеры!A:A,R348,Размеры!E:E)</f>
        <v>1</v>
      </c>
      <c r="AL348" s="97">
        <f ca="1">SUMIF(Сезон!A:A,F348,Сезон!B:B)</f>
        <v>1</v>
      </c>
      <c r="AM348" s="97">
        <f ca="1">SUMIF(Состав!A:A,J348,Состав!B:B)</f>
        <v>1</v>
      </c>
      <c r="AN348" s="97">
        <f ca="1">VLOOKUP(I348,ЦветПолный!A:C,3,0)</f>
        <v>1</v>
      </c>
      <c r="AO348" s="97">
        <f ca="1">SUMIF(Цвет!A:A,Y348,Цвет!B:B)</f>
        <v>1</v>
      </c>
      <c r="AP348" s="97">
        <f ca="1">_xlfn.XLOOKUP(L348,Пол!A:A,Пол!B:B,0,0)</f>
        <v>1</v>
      </c>
      <c r="AQ348" s="97">
        <f ca="1">SUMIF(Марка!A:A,G348,Марка!B:B)</f>
        <v>1</v>
      </c>
      <c r="AR348" s="97">
        <f ca="1">SUMIF(Страна!A:A,M348,Страна!B:B)</f>
        <v>1</v>
      </c>
      <c r="AS348" s="64" t="str">
        <f ca="1">IF(VLOOKUP(V348,Товары!A:B,2,FALSE)=A348,"Есть в 1С","ERR")</f>
        <v>Есть в 1С</v>
      </c>
      <c r="AT348" s="65" t="str">
        <f ca="1">IF(VLOOKUP(A348,Товары!B:B,1,FALSE)=A348,"Есть в 1С","ERR")</f>
        <v>Есть в 1С</v>
      </c>
      <c r="AU348" s="96" t="str">
        <f ca="1">VLOOKUP(V348,Товары!A:B,2,FALSE)</f>
        <v>21-090-17</v>
      </c>
      <c r="AV348" s="94" t="str">
        <f ca="1">VLOOKUP(V348,Товары!A:B,1,FALSE)</f>
        <v>Шляпа BAILEY арт. 81670 BILLY (белый) {white}</v>
      </c>
    </row>
    <row r="349" spans="1:48" x14ac:dyDescent="0.25">
      <c r="A349" s="110" t="str">
        <f t="shared" ca="1" si="37"/>
        <v>21-090-09</v>
      </c>
      <c r="B349" s="107" t="str">
        <f ca="1">_xlfn.LET(_xlpm.CAPS,0,_xlpm.Style,_xlfn.XLOOKUP($A349,Строчный!$A:$A,Строчный!B:B,"ERR",0),IF(_xlpm.CAPS=0,_xlpm.Style,LOWER(_xlpm.Style)))</f>
        <v>81670 BILLY</v>
      </c>
      <c r="C349" s="81" t="str">
        <f ca="1">PROPER(_xlfn.XLOOKUP($A349,Строчный!$A:$A,Строчный!C:C,"ERR",0))</f>
        <v>Шляпы</v>
      </c>
      <c r="D349" s="81" t="str">
        <f ca="1">_xlfn.LET(_xlpm.DATA,(_xlfn.XLOOKUP($A349,Строчный!$A:$A,Строчный!D:D,"ERR",0)),UPPER(MID(_xlpm.DATA,1,1))&amp;LOWER(MID(_xlpm.DATA,2,LEN(_xlpm.DATA)-1)))</f>
        <v>Шляпа хомбург</v>
      </c>
      <c r="E349" s="81" t="str">
        <f ca="1">PROPER(_xlfn.XLOOKUP($A349,Строчный!$A:$A,Строчный!E:E,"ERR",0))</f>
        <v>The Hollywood</v>
      </c>
      <c r="F349" s="81" t="str">
        <f ca="1">LOWER(_xlfn.XLOOKUP($A349,Строчный!$A:$A,Строчный!F:F,"ERR",0))</f>
        <v>летний</v>
      </c>
      <c r="G349" s="81" t="str">
        <f ca="1">UPPER(_xlfn.XLOOKUP($A349,Строчный!$A:$A,Строчный!G:G,"ERR",0))</f>
        <v>BAILEY</v>
      </c>
      <c r="H349" s="81" t="str">
        <f ca="1">LOWER(_xlfn.XLOOKUP($A349,Строчный!$A:$A,Строчный!H:H,"ERR",0))</f>
        <v>black</v>
      </c>
      <c r="I349" s="81" t="str">
        <f ca="1">LOWER(_xlfn.XLOOKUP($A349,Строчный!$A:$A,Строчный!I:I,"ERR",0))</f>
        <v>черный</v>
      </c>
      <c r="J349" s="81" t="str">
        <f ca="1">SUBSTITUTE(LOWER(_xlfn.XLOOKUP($A349,Строчный!$A:$A,Строчный!J:J,"ERR",0)),"подклад","Подклад")</f>
        <v>55% бумага - 45% полиэстер</v>
      </c>
      <c r="K349" s="81" t="str">
        <f ca="1">LOWER(_xlfn.XLOOKUP($A349,Строчный!$A:$A,Строчный!K:K,"ERR",0))</f>
        <v>бумажные</v>
      </c>
      <c r="L349" s="81" t="str">
        <f ca="1">PROPER(_xlfn.XLOOKUP($A349,Строчный!$A:$A,Строчный!L:L,"ERR",0))</f>
        <v>Унисекс</v>
      </c>
      <c r="M349" s="113" t="str">
        <f ca="1">PROPER(_xlfn.XLOOKUP($A349,Строчный!$A:$A,Строчный!M:M,"ERR",0))</f>
        <v>Китай</v>
      </c>
      <c r="N349" s="81" t="str">
        <f ca="1">UPPER(_xlfn.XLOOKUP($A349,Строчный!$A:$A,Строчный!O:O,"ERR",0))</f>
        <v/>
      </c>
      <c r="O349" s="107" t="str">
        <f ca="1">PROPER(_xlfn.XLOOKUP($A349,Строчный!$A:$A,Строчный!P:P,"ERR",0))</f>
        <v/>
      </c>
      <c r="P349" s="90">
        <f ca="1">VALUE(_xlfn.XLOOKUP($A349,Строчный!$A:$A,Строчный!N:N,"ERR",0))</f>
        <v>2094.3000000000002</v>
      </c>
      <c r="Q349" s="89" t="str">
        <f ca="1">_xlfn.XLOOKUP($G349,Фабрика!A:A,Фабрика!B:B,"ERR",0)</f>
        <v>Bollman Headwear Europe Ltd; 2 Merchants drive, Caelisle, Cumbria CA3 0JW, United Kingdom</v>
      </c>
      <c r="R349" s="80" t="str">
        <f ca="1">_xlfn.XLOOKUP(RIGHT(Z349,2),Размеры!D:D,Размеры!A:A,"ERR",0)</f>
        <v>63</v>
      </c>
      <c r="S349" s="80">
        <f ca="1">VALUE(_xlfn.XLOOKUP($Z349,Строчный!$R:$R,Строчный!T:T,"ERR",0))</f>
        <v>3</v>
      </c>
      <c r="T349" s="14" t="s">
        <v>265</v>
      </c>
      <c r="U349" s="101" t="str">
        <f t="shared" ca="1" si="33"/>
        <v>Шляпа BAILEY арт. 81670 BILLY (черный)</v>
      </c>
      <c r="V349" s="100" t="str">
        <f t="shared" ca="1" si="34"/>
        <v>Шляпа BAILEY арт. 81670 BILLY (черный) {black}</v>
      </c>
      <c r="W349" s="18" t="str">
        <f t="shared" ca="1" si="35"/>
        <v>черный</v>
      </c>
      <c r="X349" s="18" t="str">
        <f t="shared" ca="1" si="36"/>
        <v>черный</v>
      </c>
      <c r="Y349" s="117" t="str">
        <f ca="1">_xlfn.LET(_xlpm.FormColors,_xlfn.XLOOKUP(A349,Строчный!A:A,Строчный!Q:Q,"",0),IF(_xlpm.FormColors=0,IFERROR(MID(I349,FIND("-",I349)+1,LEN(I349)),IFERROR(MID(I349,1,FIND("/",I349)-2),I349)),_xlpm.FormColors))</f>
        <v>черный</v>
      </c>
      <c r="Z349" s="73" t="str">
        <f ca="1"/>
        <v>21-090-09-63</v>
      </c>
      <c r="AA349" s="75" t="str">
        <f ca="1">VLOOKUP(C349,Группа!A:B,2,FALSE)</f>
        <v>Шляпа</v>
      </c>
      <c r="AB349" s="97" t="str">
        <f ca="1">IFERROR(VLOOKUP(R349,Размеры!A:C,3,FALSE),"")</f>
        <v>63 XXL</v>
      </c>
      <c r="AC349" s="97" t="str">
        <f ca="1">VLOOKUP(I349,ЦветПолный!A:B,2,FALSE)</f>
        <v>09</v>
      </c>
      <c r="AD349" s="97" t="str">
        <f ca="1">IFERROR(VLOOKUP(R349,Размеры!A:D,4,FALSE),"")</f>
        <v>63</v>
      </c>
      <c r="AE349" s="97">
        <f ca="1">IF(LEFT(IFERROR(VLOOKUP(LOOKUP(2,1/SEARCH(B349,Товары!A:A),Товары!A:A),Товары!A:B,2,0),""),6)=MID(Z349,1,6),1,0)</f>
        <v>1</v>
      </c>
      <c r="AG349" s="97">
        <f ca="1">SUMIF(Группа!A:A,C349,Группа!C:C)</f>
        <v>1</v>
      </c>
      <c r="AH349" s="97">
        <f ca="1">SUMIF(Группа!B:B,AA349,Группа!C:C)</f>
        <v>1</v>
      </c>
      <c r="AI349" s="97">
        <f ca="1">SUMIF(Формы!A:A,D349,Формы!B:B)</f>
        <v>1</v>
      </c>
      <c r="AJ349" s="97">
        <f ca="1">SUMIF(Материал!A:A,K349,Материал!B:B)</f>
        <v>1</v>
      </c>
      <c r="AK349" s="97">
        <f ca="1">SUMIF(Размеры!A:A,R349,Размеры!E:E)</f>
        <v>1</v>
      </c>
      <c r="AL349" s="97">
        <f ca="1">SUMIF(Сезон!A:A,F349,Сезон!B:B)</f>
        <v>1</v>
      </c>
      <c r="AM349" s="97">
        <f ca="1">SUMIF(Состав!A:A,J349,Состав!B:B)</f>
        <v>1</v>
      </c>
      <c r="AN349" s="97">
        <f ca="1">VLOOKUP(I349,ЦветПолный!A:C,3,0)</f>
        <v>1</v>
      </c>
      <c r="AO349" s="97">
        <f ca="1">SUMIF(Цвет!A:A,Y349,Цвет!B:B)</f>
        <v>1</v>
      </c>
      <c r="AP349" s="97">
        <f ca="1">_xlfn.XLOOKUP(L349,Пол!A:A,Пол!B:B,0,0)</f>
        <v>1</v>
      </c>
      <c r="AQ349" s="97">
        <f ca="1">SUMIF(Марка!A:A,G349,Марка!B:B)</f>
        <v>1</v>
      </c>
      <c r="AR349" s="97">
        <f ca="1">SUMIF(Страна!A:A,M349,Страна!B:B)</f>
        <v>1</v>
      </c>
      <c r="AS349" s="64" t="str">
        <f ca="1">IF(VLOOKUP(V349,Товары!A:B,2,FALSE)=A349,"Есть в 1С","ERR")</f>
        <v>Есть в 1С</v>
      </c>
      <c r="AT349" s="65" t="str">
        <f ca="1">IF(VLOOKUP(A349,Товары!B:B,1,FALSE)=A349,"Есть в 1С","ERR")</f>
        <v>Есть в 1С</v>
      </c>
      <c r="AU349" s="96" t="str">
        <f ca="1">VLOOKUP(V349,Товары!A:B,2,FALSE)</f>
        <v>21-090-09</v>
      </c>
      <c r="AV349" s="94" t="str">
        <f ca="1">VLOOKUP(V349,Товары!A:B,1,FALSE)</f>
        <v>Шляпа BAILEY арт. 81670 BILLY (черный) {black}</v>
      </c>
    </row>
    <row r="350" spans="1:48" x14ac:dyDescent="0.25">
      <c r="A350" s="110" t="str">
        <f t="shared" ca="1" si="37"/>
        <v>21-090-09</v>
      </c>
      <c r="B350" s="107" t="str">
        <f ca="1">_xlfn.LET(_xlpm.CAPS,0,_xlpm.Style,_xlfn.XLOOKUP($A350,Строчный!$A:$A,Строчный!B:B,"ERR",0),IF(_xlpm.CAPS=0,_xlpm.Style,LOWER(_xlpm.Style)))</f>
        <v>81670 BILLY</v>
      </c>
      <c r="C350" s="81" t="str">
        <f ca="1">PROPER(_xlfn.XLOOKUP($A350,Строчный!$A:$A,Строчный!C:C,"ERR",0))</f>
        <v>Шляпы</v>
      </c>
      <c r="D350" s="81" t="str">
        <f ca="1">_xlfn.LET(_xlpm.DATA,(_xlfn.XLOOKUP($A350,Строчный!$A:$A,Строчный!D:D,"ERR",0)),UPPER(MID(_xlpm.DATA,1,1))&amp;LOWER(MID(_xlpm.DATA,2,LEN(_xlpm.DATA)-1)))</f>
        <v>Шляпа хомбург</v>
      </c>
      <c r="E350" s="81" t="str">
        <f ca="1">PROPER(_xlfn.XLOOKUP($A350,Строчный!$A:$A,Строчный!E:E,"ERR",0))</f>
        <v>The Hollywood</v>
      </c>
      <c r="F350" s="81" t="str">
        <f ca="1">LOWER(_xlfn.XLOOKUP($A350,Строчный!$A:$A,Строчный!F:F,"ERR",0))</f>
        <v>летний</v>
      </c>
      <c r="G350" s="81" t="str">
        <f ca="1">UPPER(_xlfn.XLOOKUP($A350,Строчный!$A:$A,Строчный!G:G,"ERR",0))</f>
        <v>BAILEY</v>
      </c>
      <c r="H350" s="81" t="str">
        <f ca="1">LOWER(_xlfn.XLOOKUP($A350,Строчный!$A:$A,Строчный!H:H,"ERR",0))</f>
        <v>black</v>
      </c>
      <c r="I350" s="81" t="str">
        <f ca="1">LOWER(_xlfn.XLOOKUP($A350,Строчный!$A:$A,Строчный!I:I,"ERR",0))</f>
        <v>черный</v>
      </c>
      <c r="J350" s="81" t="str">
        <f ca="1">SUBSTITUTE(LOWER(_xlfn.XLOOKUP($A350,Строчный!$A:$A,Строчный!J:J,"ERR",0)),"подклад","Подклад")</f>
        <v>55% бумага - 45% полиэстер</v>
      </c>
      <c r="K350" s="81" t="str">
        <f ca="1">LOWER(_xlfn.XLOOKUP($A350,Строчный!$A:$A,Строчный!K:K,"ERR",0))</f>
        <v>бумажные</v>
      </c>
      <c r="L350" s="81" t="str">
        <f ca="1">PROPER(_xlfn.XLOOKUP($A350,Строчный!$A:$A,Строчный!L:L,"ERR",0))</f>
        <v>Унисекс</v>
      </c>
      <c r="M350" s="113" t="str">
        <f ca="1">PROPER(_xlfn.XLOOKUP($A350,Строчный!$A:$A,Строчный!M:M,"ERR",0))</f>
        <v>Китай</v>
      </c>
      <c r="N350" s="81" t="str">
        <f ca="1">UPPER(_xlfn.XLOOKUP($A350,Строчный!$A:$A,Строчный!O:O,"ERR",0))</f>
        <v/>
      </c>
      <c r="O350" s="107" t="str">
        <f ca="1">PROPER(_xlfn.XLOOKUP($A350,Строчный!$A:$A,Строчный!P:P,"ERR",0))</f>
        <v/>
      </c>
      <c r="P350" s="90">
        <f ca="1">VALUE(_xlfn.XLOOKUP($A350,Строчный!$A:$A,Строчный!N:N,"ERR",0))</f>
        <v>2094.3000000000002</v>
      </c>
      <c r="Q350" s="89" t="str">
        <f ca="1">_xlfn.XLOOKUP($G350,Фабрика!A:A,Фабрика!B:B,"ERR",0)</f>
        <v>Bollman Headwear Europe Ltd; 2 Merchants drive, Caelisle, Cumbria CA3 0JW, United Kingdom</v>
      </c>
      <c r="R350" s="80" t="str">
        <f ca="1">_xlfn.XLOOKUP(RIGHT(Z350,2),Размеры!D:D,Размеры!A:A,"ERR",0)</f>
        <v>61</v>
      </c>
      <c r="S350" s="80">
        <f ca="1">VALUE(_xlfn.XLOOKUP($Z350,Строчный!$R:$R,Строчный!T:T,"ERR",0))</f>
        <v>6</v>
      </c>
      <c r="T350" s="14" t="s">
        <v>265</v>
      </c>
      <c r="U350" s="101" t="str">
        <f t="shared" ca="1" si="33"/>
        <v>Шляпа BAILEY арт. 81670 BILLY (черный)</v>
      </c>
      <c r="V350" s="100" t="str">
        <f t="shared" ca="1" si="34"/>
        <v>Шляпа BAILEY арт. 81670 BILLY (черный) {black}</v>
      </c>
      <c r="W350" s="18" t="str">
        <f t="shared" ca="1" si="35"/>
        <v>черный</v>
      </c>
      <c r="X350" s="18" t="str">
        <f t="shared" ca="1" si="36"/>
        <v>черный</v>
      </c>
      <c r="Y350" s="117" t="str">
        <f ca="1">_xlfn.LET(_xlpm.FormColors,_xlfn.XLOOKUP(A350,Строчный!A:A,Строчный!Q:Q,"",0),IF(_xlpm.FormColors=0,IFERROR(MID(I350,FIND("-",I350)+1,LEN(I350)),IFERROR(MID(I350,1,FIND("/",I350)-2),I350)),_xlpm.FormColors))</f>
        <v>черный</v>
      </c>
      <c r="Z350" s="73" t="str">
        <f ca="1"/>
        <v>21-090-09-61</v>
      </c>
      <c r="AA350" s="75" t="str">
        <f ca="1">VLOOKUP(C350,Группа!A:B,2,FALSE)</f>
        <v>Шляпа</v>
      </c>
      <c r="AB350" s="97" t="str">
        <f ca="1">IFERROR(VLOOKUP(R350,Размеры!A:C,3,FALSE),"")</f>
        <v>61 XL</v>
      </c>
      <c r="AC350" s="97" t="str">
        <f ca="1">VLOOKUP(I350,ЦветПолный!A:B,2,FALSE)</f>
        <v>09</v>
      </c>
      <c r="AD350" s="97" t="str">
        <f ca="1">IFERROR(VLOOKUP(R350,Размеры!A:D,4,FALSE),"")</f>
        <v>61</v>
      </c>
      <c r="AE350" s="97">
        <f ca="1">IF(LEFT(IFERROR(VLOOKUP(LOOKUP(2,1/SEARCH(B350,Товары!A:A),Товары!A:A),Товары!A:B,2,0),""),6)=MID(Z350,1,6),1,0)</f>
        <v>1</v>
      </c>
      <c r="AG350" s="97">
        <f ca="1">SUMIF(Группа!A:A,C350,Группа!C:C)</f>
        <v>1</v>
      </c>
      <c r="AH350" s="97">
        <f ca="1">SUMIF(Группа!B:B,AA350,Группа!C:C)</f>
        <v>1</v>
      </c>
      <c r="AI350" s="97">
        <f ca="1">SUMIF(Формы!A:A,D350,Формы!B:B)</f>
        <v>1</v>
      </c>
      <c r="AJ350" s="97">
        <f ca="1">SUMIF(Материал!A:A,K350,Материал!B:B)</f>
        <v>1</v>
      </c>
      <c r="AK350" s="97">
        <f ca="1">SUMIF(Размеры!A:A,R350,Размеры!E:E)</f>
        <v>1</v>
      </c>
      <c r="AL350" s="97">
        <f ca="1">SUMIF(Сезон!A:A,F350,Сезон!B:B)</f>
        <v>1</v>
      </c>
      <c r="AM350" s="97">
        <f ca="1">SUMIF(Состав!A:A,J350,Состав!B:B)</f>
        <v>1</v>
      </c>
      <c r="AN350" s="97">
        <f ca="1">VLOOKUP(I350,ЦветПолный!A:C,3,0)</f>
        <v>1</v>
      </c>
      <c r="AO350" s="97">
        <f ca="1">SUMIF(Цвет!A:A,Y350,Цвет!B:B)</f>
        <v>1</v>
      </c>
      <c r="AP350" s="97">
        <f ca="1">_xlfn.XLOOKUP(L350,Пол!A:A,Пол!B:B,0,0)</f>
        <v>1</v>
      </c>
      <c r="AQ350" s="97">
        <f ca="1">SUMIF(Марка!A:A,G350,Марка!B:B)</f>
        <v>1</v>
      </c>
      <c r="AR350" s="97">
        <f ca="1">SUMIF(Страна!A:A,M350,Страна!B:B)</f>
        <v>1</v>
      </c>
      <c r="AS350" s="64" t="str">
        <f ca="1">IF(VLOOKUP(V350,Товары!A:B,2,FALSE)=A350,"Есть в 1С","ERR")</f>
        <v>Есть в 1С</v>
      </c>
      <c r="AT350" s="65" t="str">
        <f ca="1">IF(VLOOKUP(A350,Товары!B:B,1,FALSE)=A350,"Есть в 1С","ERR")</f>
        <v>Есть в 1С</v>
      </c>
      <c r="AU350" s="96" t="str">
        <f ca="1">VLOOKUP(V350,Товары!A:B,2,FALSE)</f>
        <v>21-090-09</v>
      </c>
      <c r="AV350" s="94" t="str">
        <f ca="1">VLOOKUP(V350,Товары!A:B,1,FALSE)</f>
        <v>Шляпа BAILEY арт. 81670 BILLY (черный) {black}</v>
      </c>
    </row>
    <row r="351" spans="1:48" x14ac:dyDescent="0.25">
      <c r="A351" s="110" t="str">
        <f t="shared" ca="1" si="37"/>
        <v>21-090-09</v>
      </c>
      <c r="B351" s="107" t="str">
        <f ca="1">_xlfn.LET(_xlpm.CAPS,0,_xlpm.Style,_xlfn.XLOOKUP($A351,Строчный!$A:$A,Строчный!B:B,"ERR",0),IF(_xlpm.CAPS=0,_xlpm.Style,LOWER(_xlpm.Style)))</f>
        <v>81670 BILLY</v>
      </c>
      <c r="C351" s="81" t="str">
        <f ca="1">PROPER(_xlfn.XLOOKUP($A351,Строчный!$A:$A,Строчный!C:C,"ERR",0))</f>
        <v>Шляпы</v>
      </c>
      <c r="D351" s="81" t="str">
        <f ca="1">_xlfn.LET(_xlpm.DATA,(_xlfn.XLOOKUP($A351,Строчный!$A:$A,Строчный!D:D,"ERR",0)),UPPER(MID(_xlpm.DATA,1,1))&amp;LOWER(MID(_xlpm.DATA,2,LEN(_xlpm.DATA)-1)))</f>
        <v>Шляпа хомбург</v>
      </c>
      <c r="E351" s="81" t="str">
        <f ca="1">PROPER(_xlfn.XLOOKUP($A351,Строчный!$A:$A,Строчный!E:E,"ERR",0))</f>
        <v>The Hollywood</v>
      </c>
      <c r="F351" s="81" t="str">
        <f ca="1">LOWER(_xlfn.XLOOKUP($A351,Строчный!$A:$A,Строчный!F:F,"ERR",0))</f>
        <v>летний</v>
      </c>
      <c r="G351" s="81" t="str">
        <f ca="1">UPPER(_xlfn.XLOOKUP($A351,Строчный!$A:$A,Строчный!G:G,"ERR",0))</f>
        <v>BAILEY</v>
      </c>
      <c r="H351" s="81" t="str">
        <f ca="1">LOWER(_xlfn.XLOOKUP($A351,Строчный!$A:$A,Строчный!H:H,"ERR",0))</f>
        <v>black</v>
      </c>
      <c r="I351" s="81" t="str">
        <f ca="1">LOWER(_xlfn.XLOOKUP($A351,Строчный!$A:$A,Строчный!I:I,"ERR",0))</f>
        <v>черный</v>
      </c>
      <c r="J351" s="81" t="str">
        <f ca="1">SUBSTITUTE(LOWER(_xlfn.XLOOKUP($A351,Строчный!$A:$A,Строчный!J:J,"ERR",0)),"подклад","Подклад")</f>
        <v>55% бумага - 45% полиэстер</v>
      </c>
      <c r="K351" s="81" t="str">
        <f ca="1">LOWER(_xlfn.XLOOKUP($A351,Строчный!$A:$A,Строчный!K:K,"ERR",0))</f>
        <v>бумажные</v>
      </c>
      <c r="L351" s="81" t="str">
        <f ca="1">PROPER(_xlfn.XLOOKUP($A351,Строчный!$A:$A,Строчный!L:L,"ERR",0))</f>
        <v>Унисекс</v>
      </c>
      <c r="M351" s="113" t="str">
        <f ca="1">PROPER(_xlfn.XLOOKUP($A351,Строчный!$A:$A,Строчный!M:M,"ERR",0))</f>
        <v>Китай</v>
      </c>
      <c r="N351" s="81" t="str">
        <f ca="1">UPPER(_xlfn.XLOOKUP($A351,Строчный!$A:$A,Строчный!O:O,"ERR",0))</f>
        <v/>
      </c>
      <c r="O351" s="107" t="str">
        <f ca="1">PROPER(_xlfn.XLOOKUP($A351,Строчный!$A:$A,Строчный!P:P,"ERR",0))</f>
        <v/>
      </c>
      <c r="P351" s="90">
        <f ca="1">VALUE(_xlfn.XLOOKUP($A351,Строчный!$A:$A,Строчный!N:N,"ERR",0))</f>
        <v>2094.3000000000002</v>
      </c>
      <c r="Q351" s="89" t="str">
        <f ca="1">_xlfn.XLOOKUP($G351,Фабрика!A:A,Фабрика!B:B,"ERR",0)</f>
        <v>Bollman Headwear Europe Ltd; 2 Merchants drive, Caelisle, Cumbria CA3 0JW, United Kingdom</v>
      </c>
      <c r="R351" s="80" t="str">
        <f ca="1">_xlfn.XLOOKUP(RIGHT(Z351,2),Размеры!D:D,Размеры!A:A,"ERR",0)</f>
        <v>59</v>
      </c>
      <c r="S351" s="80">
        <f ca="1">VALUE(_xlfn.XLOOKUP($Z351,Строчный!$R:$R,Строчный!T:T,"ERR",0))</f>
        <v>10</v>
      </c>
      <c r="T351" s="14" t="s">
        <v>265</v>
      </c>
      <c r="U351" s="101" t="str">
        <f t="shared" ca="1" si="33"/>
        <v>Шляпа BAILEY арт. 81670 BILLY (черный)</v>
      </c>
      <c r="V351" s="100" t="str">
        <f t="shared" ca="1" si="34"/>
        <v>Шляпа BAILEY арт. 81670 BILLY (черный) {black}</v>
      </c>
      <c r="W351" s="18" t="str">
        <f t="shared" ca="1" si="35"/>
        <v>черный</v>
      </c>
      <c r="X351" s="18" t="str">
        <f t="shared" ca="1" si="36"/>
        <v>черный</v>
      </c>
      <c r="Y351" s="117" t="str">
        <f ca="1">_xlfn.LET(_xlpm.FormColors,_xlfn.XLOOKUP(A351,Строчный!A:A,Строчный!Q:Q,"",0),IF(_xlpm.FormColors=0,IFERROR(MID(I351,FIND("-",I351)+1,LEN(I351)),IFERROR(MID(I351,1,FIND("/",I351)-2),I351)),_xlpm.FormColors))</f>
        <v>черный</v>
      </c>
      <c r="Z351" s="73" t="str">
        <f ca="1"/>
        <v>21-090-09-59</v>
      </c>
      <c r="AA351" s="75" t="str">
        <f ca="1">VLOOKUP(C351,Группа!A:B,2,FALSE)</f>
        <v>Шляпа</v>
      </c>
      <c r="AB351" s="97" t="str">
        <f ca="1">IFERROR(VLOOKUP(R351,Размеры!A:C,3,FALSE),"")</f>
        <v>59 L</v>
      </c>
      <c r="AC351" s="97" t="str">
        <f ca="1">VLOOKUP(I351,ЦветПолный!A:B,2,FALSE)</f>
        <v>09</v>
      </c>
      <c r="AD351" s="97" t="str">
        <f ca="1">IFERROR(VLOOKUP(R351,Размеры!A:D,4,FALSE),"")</f>
        <v>59</v>
      </c>
      <c r="AE351" s="97">
        <f ca="1">IF(LEFT(IFERROR(VLOOKUP(LOOKUP(2,1/SEARCH(B351,Товары!A:A),Товары!A:A),Товары!A:B,2,0),""),6)=MID(Z351,1,6),1,0)</f>
        <v>1</v>
      </c>
      <c r="AG351" s="97">
        <f ca="1">SUMIF(Группа!A:A,C351,Группа!C:C)</f>
        <v>1</v>
      </c>
      <c r="AH351" s="97">
        <f ca="1">SUMIF(Группа!B:B,AA351,Группа!C:C)</f>
        <v>1</v>
      </c>
      <c r="AI351" s="97">
        <f ca="1">SUMIF(Формы!A:A,D351,Формы!B:B)</f>
        <v>1</v>
      </c>
      <c r="AJ351" s="97">
        <f ca="1">SUMIF(Материал!A:A,K351,Материал!B:B)</f>
        <v>1</v>
      </c>
      <c r="AK351" s="97">
        <f ca="1">SUMIF(Размеры!A:A,R351,Размеры!E:E)</f>
        <v>1</v>
      </c>
      <c r="AL351" s="97">
        <f ca="1">SUMIF(Сезон!A:A,F351,Сезон!B:B)</f>
        <v>1</v>
      </c>
      <c r="AM351" s="97">
        <f ca="1">SUMIF(Состав!A:A,J351,Состав!B:B)</f>
        <v>1</v>
      </c>
      <c r="AN351" s="97">
        <f ca="1">VLOOKUP(I351,ЦветПолный!A:C,3,0)</f>
        <v>1</v>
      </c>
      <c r="AO351" s="97">
        <f ca="1">SUMIF(Цвет!A:A,Y351,Цвет!B:B)</f>
        <v>1</v>
      </c>
      <c r="AP351" s="97">
        <f ca="1">_xlfn.XLOOKUP(L351,Пол!A:A,Пол!B:B,0,0)</f>
        <v>1</v>
      </c>
      <c r="AQ351" s="97">
        <f ca="1">SUMIF(Марка!A:A,G351,Марка!B:B)</f>
        <v>1</v>
      </c>
      <c r="AR351" s="97">
        <f ca="1">SUMIF(Страна!A:A,M351,Страна!B:B)</f>
        <v>1</v>
      </c>
      <c r="AS351" s="64" t="str">
        <f ca="1">IF(VLOOKUP(V351,Товары!A:B,2,FALSE)=A351,"Есть в 1С","ERR")</f>
        <v>Есть в 1С</v>
      </c>
      <c r="AT351" s="65" t="str">
        <f ca="1">IF(VLOOKUP(A351,Товары!B:B,1,FALSE)=A351,"Есть в 1С","ERR")</f>
        <v>Есть в 1С</v>
      </c>
      <c r="AU351" s="96" t="str">
        <f ca="1">VLOOKUP(V351,Товары!A:B,2,FALSE)</f>
        <v>21-090-09</v>
      </c>
      <c r="AV351" s="94" t="str">
        <f ca="1">VLOOKUP(V351,Товары!A:B,1,FALSE)</f>
        <v>Шляпа BAILEY арт. 81670 BILLY (черный) {black}</v>
      </c>
    </row>
    <row r="352" spans="1:48" x14ac:dyDescent="0.25">
      <c r="A352" s="110" t="str">
        <f t="shared" ca="1" si="37"/>
        <v>21-090-09</v>
      </c>
      <c r="B352" s="107" t="str">
        <f ca="1">_xlfn.LET(_xlpm.CAPS,0,_xlpm.Style,_xlfn.XLOOKUP($A352,Строчный!$A:$A,Строчный!B:B,"ERR",0),IF(_xlpm.CAPS=0,_xlpm.Style,LOWER(_xlpm.Style)))</f>
        <v>81670 BILLY</v>
      </c>
      <c r="C352" s="81" t="str">
        <f ca="1">PROPER(_xlfn.XLOOKUP($A352,Строчный!$A:$A,Строчный!C:C,"ERR",0))</f>
        <v>Шляпы</v>
      </c>
      <c r="D352" s="81" t="str">
        <f ca="1">_xlfn.LET(_xlpm.DATA,(_xlfn.XLOOKUP($A352,Строчный!$A:$A,Строчный!D:D,"ERR",0)),UPPER(MID(_xlpm.DATA,1,1))&amp;LOWER(MID(_xlpm.DATA,2,LEN(_xlpm.DATA)-1)))</f>
        <v>Шляпа хомбург</v>
      </c>
      <c r="E352" s="81" t="str">
        <f ca="1">PROPER(_xlfn.XLOOKUP($A352,Строчный!$A:$A,Строчный!E:E,"ERR",0))</f>
        <v>The Hollywood</v>
      </c>
      <c r="F352" s="81" t="str">
        <f ca="1">LOWER(_xlfn.XLOOKUP($A352,Строчный!$A:$A,Строчный!F:F,"ERR",0))</f>
        <v>летний</v>
      </c>
      <c r="G352" s="81" t="str">
        <f ca="1">UPPER(_xlfn.XLOOKUP($A352,Строчный!$A:$A,Строчный!G:G,"ERR",0))</f>
        <v>BAILEY</v>
      </c>
      <c r="H352" s="81" t="str">
        <f ca="1">LOWER(_xlfn.XLOOKUP($A352,Строчный!$A:$A,Строчный!H:H,"ERR",0))</f>
        <v>black</v>
      </c>
      <c r="I352" s="81" t="str">
        <f ca="1">LOWER(_xlfn.XLOOKUP($A352,Строчный!$A:$A,Строчный!I:I,"ERR",0))</f>
        <v>черный</v>
      </c>
      <c r="J352" s="81" t="str">
        <f ca="1">SUBSTITUTE(LOWER(_xlfn.XLOOKUP($A352,Строчный!$A:$A,Строчный!J:J,"ERR",0)),"подклад","Подклад")</f>
        <v>55% бумага - 45% полиэстер</v>
      </c>
      <c r="K352" s="81" t="str">
        <f ca="1">LOWER(_xlfn.XLOOKUP($A352,Строчный!$A:$A,Строчный!K:K,"ERR",0))</f>
        <v>бумажные</v>
      </c>
      <c r="L352" s="81" t="str">
        <f ca="1">PROPER(_xlfn.XLOOKUP($A352,Строчный!$A:$A,Строчный!L:L,"ERR",0))</f>
        <v>Унисекс</v>
      </c>
      <c r="M352" s="113" t="str">
        <f ca="1">PROPER(_xlfn.XLOOKUP($A352,Строчный!$A:$A,Строчный!M:M,"ERR",0))</f>
        <v>Китай</v>
      </c>
      <c r="N352" s="81" t="str">
        <f ca="1">UPPER(_xlfn.XLOOKUP($A352,Строчный!$A:$A,Строчный!O:O,"ERR",0))</f>
        <v/>
      </c>
      <c r="O352" s="107" t="str">
        <f ca="1">PROPER(_xlfn.XLOOKUP($A352,Строчный!$A:$A,Строчный!P:P,"ERR",0))</f>
        <v/>
      </c>
      <c r="P352" s="90">
        <f ca="1">VALUE(_xlfn.XLOOKUP($A352,Строчный!$A:$A,Строчный!N:N,"ERR",0))</f>
        <v>2094.3000000000002</v>
      </c>
      <c r="Q352" s="89" t="str">
        <f ca="1">_xlfn.XLOOKUP($G352,Фабрика!A:A,Фабрика!B:B,"ERR",0)</f>
        <v>Bollman Headwear Europe Ltd; 2 Merchants drive, Caelisle, Cumbria CA3 0JW, United Kingdom</v>
      </c>
      <c r="R352" s="80" t="str">
        <f ca="1">_xlfn.XLOOKUP(RIGHT(Z352,2),Размеры!D:D,Размеры!A:A,"ERR",0)</f>
        <v>57</v>
      </c>
      <c r="S352" s="80">
        <f ca="1">VALUE(_xlfn.XLOOKUP($Z352,Строчный!$R:$R,Строчный!T:T,"ERR",0))</f>
        <v>7</v>
      </c>
      <c r="T352" s="14" t="s">
        <v>265</v>
      </c>
      <c r="U352" s="101" t="str">
        <f t="shared" ca="1" si="33"/>
        <v>Шляпа BAILEY арт. 81670 BILLY (черный)</v>
      </c>
      <c r="V352" s="100" t="str">
        <f t="shared" ca="1" si="34"/>
        <v>Шляпа BAILEY арт. 81670 BILLY (черный) {black}</v>
      </c>
      <c r="W352" s="18" t="str">
        <f t="shared" ca="1" si="35"/>
        <v>черный</v>
      </c>
      <c r="X352" s="18" t="str">
        <f t="shared" ca="1" si="36"/>
        <v>черный</v>
      </c>
      <c r="Y352" s="117" t="str">
        <f ca="1">_xlfn.LET(_xlpm.FormColors,_xlfn.XLOOKUP(A352,Строчный!A:A,Строчный!Q:Q,"",0),IF(_xlpm.FormColors=0,IFERROR(MID(I352,FIND("-",I352)+1,LEN(I352)),IFERROR(MID(I352,1,FIND("/",I352)-2),I352)),_xlpm.FormColors))</f>
        <v>черный</v>
      </c>
      <c r="Z352" s="73" t="str">
        <f ca="1"/>
        <v>21-090-09-57</v>
      </c>
      <c r="AA352" s="75" t="str">
        <f ca="1">VLOOKUP(C352,Группа!A:B,2,FALSE)</f>
        <v>Шляпа</v>
      </c>
      <c r="AB352" s="97" t="str">
        <f ca="1">IFERROR(VLOOKUP(R352,Размеры!A:C,3,FALSE),"")</f>
        <v>57 M</v>
      </c>
      <c r="AC352" s="97" t="str">
        <f ca="1">VLOOKUP(I352,ЦветПолный!A:B,2,FALSE)</f>
        <v>09</v>
      </c>
      <c r="AD352" s="97" t="str">
        <f ca="1">IFERROR(VLOOKUP(R352,Размеры!A:D,4,FALSE),"")</f>
        <v>57</v>
      </c>
      <c r="AE352" s="97">
        <f ca="1">IF(LEFT(IFERROR(VLOOKUP(LOOKUP(2,1/SEARCH(B352,Товары!A:A),Товары!A:A),Товары!A:B,2,0),""),6)=MID(Z352,1,6),1,0)</f>
        <v>1</v>
      </c>
      <c r="AG352" s="97">
        <f ca="1">SUMIF(Группа!A:A,C352,Группа!C:C)</f>
        <v>1</v>
      </c>
      <c r="AH352" s="97">
        <f ca="1">SUMIF(Группа!B:B,AA352,Группа!C:C)</f>
        <v>1</v>
      </c>
      <c r="AI352" s="97">
        <f ca="1">SUMIF(Формы!A:A,D352,Формы!B:B)</f>
        <v>1</v>
      </c>
      <c r="AJ352" s="97">
        <f ca="1">SUMIF(Материал!A:A,K352,Материал!B:B)</f>
        <v>1</v>
      </c>
      <c r="AK352" s="97">
        <f ca="1">SUMIF(Размеры!A:A,R352,Размеры!E:E)</f>
        <v>1</v>
      </c>
      <c r="AL352" s="97">
        <f ca="1">SUMIF(Сезон!A:A,F352,Сезон!B:B)</f>
        <v>1</v>
      </c>
      <c r="AM352" s="97">
        <f ca="1">SUMIF(Состав!A:A,J352,Состав!B:B)</f>
        <v>1</v>
      </c>
      <c r="AN352" s="97">
        <f ca="1">VLOOKUP(I352,ЦветПолный!A:C,3,0)</f>
        <v>1</v>
      </c>
      <c r="AO352" s="97">
        <f ca="1">SUMIF(Цвет!A:A,Y352,Цвет!B:B)</f>
        <v>1</v>
      </c>
      <c r="AP352" s="97">
        <f ca="1">_xlfn.XLOOKUP(L352,Пол!A:A,Пол!B:B,0,0)</f>
        <v>1</v>
      </c>
      <c r="AQ352" s="97">
        <f ca="1">SUMIF(Марка!A:A,G352,Марка!B:B)</f>
        <v>1</v>
      </c>
      <c r="AR352" s="97">
        <f ca="1">SUMIF(Страна!A:A,M352,Страна!B:B)</f>
        <v>1</v>
      </c>
      <c r="AS352" s="64" t="str">
        <f ca="1">IF(VLOOKUP(V352,Товары!A:B,2,FALSE)=A352,"Есть в 1С","ERR")</f>
        <v>Есть в 1С</v>
      </c>
      <c r="AT352" s="65" t="str">
        <f ca="1">IF(VLOOKUP(A352,Товары!B:B,1,FALSE)=A352,"Есть в 1С","ERR")</f>
        <v>Есть в 1С</v>
      </c>
      <c r="AU352" s="96" t="str">
        <f ca="1">VLOOKUP(V352,Товары!A:B,2,FALSE)</f>
        <v>21-090-09</v>
      </c>
      <c r="AV352" s="94" t="str">
        <f ca="1">VLOOKUP(V352,Товары!A:B,1,FALSE)</f>
        <v>Шляпа BAILEY арт. 81670 BILLY (черный) {black}</v>
      </c>
    </row>
    <row r="353" spans="1:48" x14ac:dyDescent="0.25">
      <c r="A353" s="110" t="str">
        <f t="shared" ca="1" si="37"/>
        <v>21-090-09</v>
      </c>
      <c r="B353" s="107" t="str">
        <f ca="1">_xlfn.LET(_xlpm.CAPS,0,_xlpm.Style,_xlfn.XLOOKUP($A353,Строчный!$A:$A,Строчный!B:B,"ERR",0),IF(_xlpm.CAPS=0,_xlpm.Style,LOWER(_xlpm.Style)))</f>
        <v>81670 BILLY</v>
      </c>
      <c r="C353" s="81" t="str">
        <f ca="1">PROPER(_xlfn.XLOOKUP($A353,Строчный!$A:$A,Строчный!C:C,"ERR",0))</f>
        <v>Шляпы</v>
      </c>
      <c r="D353" s="81" t="str">
        <f ca="1">_xlfn.LET(_xlpm.DATA,(_xlfn.XLOOKUP($A353,Строчный!$A:$A,Строчный!D:D,"ERR",0)),UPPER(MID(_xlpm.DATA,1,1))&amp;LOWER(MID(_xlpm.DATA,2,LEN(_xlpm.DATA)-1)))</f>
        <v>Шляпа хомбург</v>
      </c>
      <c r="E353" s="81" t="str">
        <f ca="1">PROPER(_xlfn.XLOOKUP($A353,Строчный!$A:$A,Строчный!E:E,"ERR",0))</f>
        <v>The Hollywood</v>
      </c>
      <c r="F353" s="81" t="str">
        <f ca="1">LOWER(_xlfn.XLOOKUP($A353,Строчный!$A:$A,Строчный!F:F,"ERR",0))</f>
        <v>летний</v>
      </c>
      <c r="G353" s="81" t="str">
        <f ca="1">UPPER(_xlfn.XLOOKUP($A353,Строчный!$A:$A,Строчный!G:G,"ERR",0))</f>
        <v>BAILEY</v>
      </c>
      <c r="H353" s="81" t="str">
        <f ca="1">LOWER(_xlfn.XLOOKUP($A353,Строчный!$A:$A,Строчный!H:H,"ERR",0))</f>
        <v>black</v>
      </c>
      <c r="I353" s="81" t="str">
        <f ca="1">LOWER(_xlfn.XLOOKUP($A353,Строчный!$A:$A,Строчный!I:I,"ERR",0))</f>
        <v>черный</v>
      </c>
      <c r="J353" s="81" t="str">
        <f ca="1">SUBSTITUTE(LOWER(_xlfn.XLOOKUP($A353,Строчный!$A:$A,Строчный!J:J,"ERR",0)),"подклад","Подклад")</f>
        <v>55% бумага - 45% полиэстер</v>
      </c>
      <c r="K353" s="81" t="str">
        <f ca="1">LOWER(_xlfn.XLOOKUP($A353,Строчный!$A:$A,Строчный!K:K,"ERR",0))</f>
        <v>бумажные</v>
      </c>
      <c r="L353" s="81" t="str">
        <f ca="1">PROPER(_xlfn.XLOOKUP($A353,Строчный!$A:$A,Строчный!L:L,"ERR",0))</f>
        <v>Унисекс</v>
      </c>
      <c r="M353" s="113" t="str">
        <f ca="1">PROPER(_xlfn.XLOOKUP($A353,Строчный!$A:$A,Строчный!M:M,"ERR",0))</f>
        <v>Китай</v>
      </c>
      <c r="N353" s="81" t="str">
        <f ca="1">UPPER(_xlfn.XLOOKUP($A353,Строчный!$A:$A,Строчный!O:O,"ERR",0))</f>
        <v/>
      </c>
      <c r="O353" s="107" t="str">
        <f ca="1">PROPER(_xlfn.XLOOKUP($A353,Строчный!$A:$A,Строчный!P:P,"ERR",0))</f>
        <v/>
      </c>
      <c r="P353" s="90">
        <f ca="1">VALUE(_xlfn.XLOOKUP($A353,Строчный!$A:$A,Строчный!N:N,"ERR",0))</f>
        <v>2094.3000000000002</v>
      </c>
      <c r="Q353" s="89" t="str">
        <f ca="1">_xlfn.XLOOKUP($G353,Фабрика!A:A,Фабрика!B:B,"ERR",0)</f>
        <v>Bollman Headwear Europe Ltd; 2 Merchants drive, Caelisle, Cumbria CA3 0JW, United Kingdom</v>
      </c>
      <c r="R353" s="80" t="str">
        <f ca="1">_xlfn.XLOOKUP(RIGHT(Z353,2),Размеры!D:D,Размеры!A:A,"ERR",0)</f>
        <v>55</v>
      </c>
      <c r="S353" s="80">
        <f ca="1">VALUE(_xlfn.XLOOKUP($Z353,Строчный!$R:$R,Строчный!T:T,"ERR",0))</f>
        <v>2</v>
      </c>
      <c r="T353" s="14" t="s">
        <v>265</v>
      </c>
      <c r="U353" s="101" t="str">
        <f t="shared" ca="1" si="33"/>
        <v>Шляпа BAILEY арт. 81670 BILLY (черный)</v>
      </c>
      <c r="V353" s="100" t="str">
        <f t="shared" ca="1" si="34"/>
        <v>Шляпа BAILEY арт. 81670 BILLY (черный) {black}</v>
      </c>
      <c r="W353" s="18" t="str">
        <f t="shared" ca="1" si="35"/>
        <v>черный</v>
      </c>
      <c r="X353" s="18" t="str">
        <f t="shared" ca="1" si="36"/>
        <v>черный</v>
      </c>
      <c r="Y353" s="117" t="str">
        <f ca="1">_xlfn.LET(_xlpm.FormColors,_xlfn.XLOOKUP(A353,Строчный!A:A,Строчный!Q:Q,"",0),IF(_xlpm.FormColors=0,IFERROR(MID(I353,FIND("-",I353)+1,LEN(I353)),IFERROR(MID(I353,1,FIND("/",I353)-2),I353)),_xlpm.FormColors))</f>
        <v>черный</v>
      </c>
      <c r="Z353" s="73" t="str">
        <f ca="1"/>
        <v>21-090-09-55</v>
      </c>
      <c r="AA353" s="75" t="str">
        <f ca="1">VLOOKUP(C353,Группа!A:B,2,FALSE)</f>
        <v>Шляпа</v>
      </c>
      <c r="AB353" s="97" t="str">
        <f ca="1">IFERROR(VLOOKUP(R353,Размеры!A:C,3,FALSE),"")</f>
        <v>55 S</v>
      </c>
      <c r="AC353" s="97" t="str">
        <f ca="1">VLOOKUP(I353,ЦветПолный!A:B,2,FALSE)</f>
        <v>09</v>
      </c>
      <c r="AD353" s="97" t="str">
        <f ca="1">IFERROR(VLOOKUP(R353,Размеры!A:D,4,FALSE),"")</f>
        <v>55</v>
      </c>
      <c r="AE353" s="97">
        <f ca="1">IF(LEFT(IFERROR(VLOOKUP(LOOKUP(2,1/SEARCH(B353,Товары!A:A),Товары!A:A),Товары!A:B,2,0),""),6)=MID(Z353,1,6),1,0)</f>
        <v>1</v>
      </c>
      <c r="AG353" s="97">
        <f ca="1">SUMIF(Группа!A:A,C353,Группа!C:C)</f>
        <v>1</v>
      </c>
      <c r="AH353" s="97">
        <f ca="1">SUMIF(Группа!B:B,AA353,Группа!C:C)</f>
        <v>1</v>
      </c>
      <c r="AI353" s="97">
        <f ca="1">SUMIF(Формы!A:A,D353,Формы!B:B)</f>
        <v>1</v>
      </c>
      <c r="AJ353" s="97">
        <f ca="1">SUMIF(Материал!A:A,K353,Материал!B:B)</f>
        <v>1</v>
      </c>
      <c r="AK353" s="97">
        <f ca="1">SUMIF(Размеры!A:A,R353,Размеры!E:E)</f>
        <v>1</v>
      </c>
      <c r="AL353" s="97">
        <f ca="1">SUMIF(Сезон!A:A,F353,Сезон!B:B)</f>
        <v>1</v>
      </c>
      <c r="AM353" s="97">
        <f ca="1">SUMIF(Состав!A:A,J353,Состав!B:B)</f>
        <v>1</v>
      </c>
      <c r="AN353" s="97">
        <f ca="1">VLOOKUP(I353,ЦветПолный!A:C,3,0)</f>
        <v>1</v>
      </c>
      <c r="AO353" s="97">
        <f ca="1">SUMIF(Цвет!A:A,Y353,Цвет!B:B)</f>
        <v>1</v>
      </c>
      <c r="AP353" s="97">
        <f ca="1">_xlfn.XLOOKUP(L353,Пол!A:A,Пол!B:B,0,0)</f>
        <v>1</v>
      </c>
      <c r="AQ353" s="97">
        <f ca="1">SUMIF(Марка!A:A,G353,Марка!B:B)</f>
        <v>1</v>
      </c>
      <c r="AR353" s="97">
        <f ca="1">SUMIF(Страна!A:A,M353,Страна!B:B)</f>
        <v>1</v>
      </c>
      <c r="AS353" s="64" t="str">
        <f ca="1">IF(VLOOKUP(V353,Товары!A:B,2,FALSE)=A353,"Есть в 1С","ERR")</f>
        <v>Есть в 1С</v>
      </c>
      <c r="AT353" s="65" t="str">
        <f ca="1">IF(VLOOKUP(A353,Товары!B:B,1,FALSE)=A353,"Есть в 1С","ERR")</f>
        <v>Есть в 1С</v>
      </c>
      <c r="AU353" s="96" t="str">
        <f ca="1">VLOOKUP(V353,Товары!A:B,2,FALSE)</f>
        <v>21-090-09</v>
      </c>
      <c r="AV353" s="94" t="str">
        <f ca="1">VLOOKUP(V353,Товары!A:B,1,FALSE)</f>
        <v>Шляпа BAILEY арт. 81670 BILLY (черный) {black}</v>
      </c>
    </row>
    <row r="354" spans="1:48" x14ac:dyDescent="0.25">
      <c r="A354" s="110" t="str">
        <f t="shared" ca="1" si="37"/>
        <v>21-090-02</v>
      </c>
      <c r="B354" s="107" t="str">
        <f ca="1">_xlfn.LET(_xlpm.CAPS,0,_xlpm.Style,_xlfn.XLOOKUP($A354,Строчный!$A:$A,Строчный!B:B,"ERR",0),IF(_xlpm.CAPS=0,_xlpm.Style,LOWER(_xlpm.Style)))</f>
        <v>81670 BILLY</v>
      </c>
      <c r="C354" s="81" t="str">
        <f ca="1">PROPER(_xlfn.XLOOKUP($A354,Строчный!$A:$A,Строчный!C:C,"ERR",0))</f>
        <v>Шляпы</v>
      </c>
      <c r="D354" s="81" t="str">
        <f ca="1">_xlfn.LET(_xlpm.DATA,(_xlfn.XLOOKUP($A354,Строчный!$A:$A,Строчный!D:D,"ERR",0)),UPPER(MID(_xlpm.DATA,1,1))&amp;LOWER(MID(_xlpm.DATA,2,LEN(_xlpm.DATA)-1)))</f>
        <v>Шляпа хомбург</v>
      </c>
      <c r="E354" s="81" t="str">
        <f ca="1">PROPER(_xlfn.XLOOKUP($A354,Строчный!$A:$A,Строчный!E:E,"ERR",0))</f>
        <v>The Hollywood</v>
      </c>
      <c r="F354" s="81" t="str">
        <f ca="1">LOWER(_xlfn.XLOOKUP($A354,Строчный!$A:$A,Строчный!F:F,"ERR",0))</f>
        <v>летний</v>
      </c>
      <c r="G354" s="81" t="str">
        <f ca="1">UPPER(_xlfn.XLOOKUP($A354,Строчный!$A:$A,Строчный!G:G,"ERR",0))</f>
        <v>BAILEY</v>
      </c>
      <c r="H354" s="81" t="str">
        <f ca="1">LOWER(_xlfn.XLOOKUP($A354,Строчный!$A:$A,Строчный!H:H,"ERR",0))</f>
        <v>tan</v>
      </c>
      <c r="I354" s="81" t="str">
        <f ca="1">LOWER(_xlfn.XLOOKUP($A354,Строчный!$A:$A,Строчный!I:I,"ERR",0))</f>
        <v>песочный</v>
      </c>
      <c r="J354" s="81" t="str">
        <f ca="1">SUBSTITUTE(LOWER(_xlfn.XLOOKUP($A354,Строчный!$A:$A,Строчный!J:J,"ERR",0)),"подклад","Подклад")</f>
        <v>55% бумага - 45% полиэстер</v>
      </c>
      <c r="K354" s="81" t="str">
        <f ca="1">LOWER(_xlfn.XLOOKUP($A354,Строчный!$A:$A,Строчный!K:K,"ERR",0))</f>
        <v>бумажные</v>
      </c>
      <c r="L354" s="81" t="str">
        <f ca="1">PROPER(_xlfn.XLOOKUP($A354,Строчный!$A:$A,Строчный!L:L,"ERR",0))</f>
        <v>Унисекс</v>
      </c>
      <c r="M354" s="113" t="str">
        <f ca="1">PROPER(_xlfn.XLOOKUP($A354,Строчный!$A:$A,Строчный!M:M,"ERR",0))</f>
        <v>Китай</v>
      </c>
      <c r="N354" s="81" t="str">
        <f ca="1">UPPER(_xlfn.XLOOKUP($A354,Строчный!$A:$A,Строчный!O:O,"ERR",0))</f>
        <v/>
      </c>
      <c r="O354" s="107" t="str">
        <f ca="1">PROPER(_xlfn.XLOOKUP($A354,Строчный!$A:$A,Строчный!P:P,"ERR",0))</f>
        <v/>
      </c>
      <c r="P354" s="90">
        <f ca="1">VALUE(_xlfn.XLOOKUP($A354,Строчный!$A:$A,Строчный!N:N,"ERR",0))</f>
        <v>2094.3000000000002</v>
      </c>
      <c r="Q354" s="89" t="str">
        <f ca="1">_xlfn.XLOOKUP($G354,Фабрика!A:A,Фабрика!B:B,"ERR",0)</f>
        <v>Bollman Headwear Europe Ltd; 2 Merchants drive, Caelisle, Cumbria CA3 0JW, United Kingdom</v>
      </c>
      <c r="R354" s="80" t="str">
        <f ca="1">_xlfn.XLOOKUP(RIGHT(Z354,2),Размеры!D:D,Размеры!A:A,"ERR",0)</f>
        <v>63</v>
      </c>
      <c r="S354" s="80">
        <f ca="1">VALUE(_xlfn.XLOOKUP($Z354,Строчный!$R:$R,Строчный!T:T,"ERR",0))</f>
        <v>3</v>
      </c>
      <c r="T354" s="14" t="s">
        <v>265</v>
      </c>
      <c r="U354" s="101" t="str">
        <f t="shared" ca="1" si="33"/>
        <v>Шляпа BAILEY арт. 81670 BILLY (песочный)</v>
      </c>
      <c r="V354" s="100" t="str">
        <f t="shared" ca="1" si="34"/>
        <v>Шляпа BAILEY арт. 81670 BILLY (песочный) {tan}</v>
      </c>
      <c r="W354" s="18" t="str">
        <f t="shared" ca="1" si="35"/>
        <v>песочный</v>
      </c>
      <c r="X354" s="18" t="str">
        <f t="shared" ca="1" si="36"/>
        <v>песочный</v>
      </c>
      <c r="Y354" s="117" t="str">
        <f ca="1">_xlfn.LET(_xlpm.FormColors,_xlfn.XLOOKUP(A354,Строчный!A:A,Строчный!Q:Q,"",0),IF(_xlpm.FormColors=0,IFERROR(MID(I354,FIND("-",I354)+1,LEN(I354)),IFERROR(MID(I354,1,FIND("/",I354)-2),I354)),_xlpm.FormColors))</f>
        <v>песочный</v>
      </c>
      <c r="Z354" s="73" t="str">
        <f ca="1"/>
        <v>21-090-02-63</v>
      </c>
      <c r="AA354" s="75" t="str">
        <f ca="1">VLOOKUP(C354,Группа!A:B,2,FALSE)</f>
        <v>Шляпа</v>
      </c>
      <c r="AB354" s="97" t="str">
        <f ca="1">IFERROR(VLOOKUP(R354,Размеры!A:C,3,FALSE),"")</f>
        <v>63 XXL</v>
      </c>
      <c r="AC354" s="97" t="str">
        <f ca="1">VLOOKUP(I354,ЦветПолный!A:B,2,FALSE)</f>
        <v>02</v>
      </c>
      <c r="AD354" s="97" t="str">
        <f ca="1">IFERROR(VLOOKUP(R354,Размеры!A:D,4,FALSE),"")</f>
        <v>63</v>
      </c>
      <c r="AE354" s="97">
        <f ca="1">IF(LEFT(IFERROR(VLOOKUP(LOOKUP(2,1/SEARCH(B354,Товары!A:A),Товары!A:A),Товары!A:B,2,0),""),6)=MID(Z354,1,6),1,0)</f>
        <v>1</v>
      </c>
      <c r="AG354" s="97">
        <f ca="1">SUMIF(Группа!A:A,C354,Группа!C:C)</f>
        <v>1</v>
      </c>
      <c r="AH354" s="97">
        <f ca="1">SUMIF(Группа!B:B,AA354,Группа!C:C)</f>
        <v>1</v>
      </c>
      <c r="AI354" s="97">
        <f ca="1">SUMIF(Формы!A:A,D354,Формы!B:B)</f>
        <v>1</v>
      </c>
      <c r="AJ354" s="97">
        <f ca="1">SUMIF(Материал!A:A,K354,Материал!B:B)</f>
        <v>1</v>
      </c>
      <c r="AK354" s="97">
        <f ca="1">SUMIF(Размеры!A:A,R354,Размеры!E:E)</f>
        <v>1</v>
      </c>
      <c r="AL354" s="97">
        <f ca="1">SUMIF(Сезон!A:A,F354,Сезон!B:B)</f>
        <v>1</v>
      </c>
      <c r="AM354" s="97">
        <f ca="1">SUMIF(Состав!A:A,J354,Состав!B:B)</f>
        <v>1</v>
      </c>
      <c r="AN354" s="97">
        <f ca="1">VLOOKUP(I354,ЦветПолный!A:C,3,0)</f>
        <v>1</v>
      </c>
      <c r="AO354" s="97">
        <f ca="1">SUMIF(Цвет!A:A,Y354,Цвет!B:B)</f>
        <v>1</v>
      </c>
      <c r="AP354" s="97">
        <f ca="1">_xlfn.XLOOKUP(L354,Пол!A:A,Пол!B:B,0,0)</f>
        <v>1</v>
      </c>
      <c r="AQ354" s="97">
        <f ca="1">SUMIF(Марка!A:A,G354,Марка!B:B)</f>
        <v>1</v>
      </c>
      <c r="AR354" s="97">
        <f ca="1">SUMIF(Страна!A:A,M354,Страна!B:B)</f>
        <v>1</v>
      </c>
      <c r="AS354" s="64" t="e">
        <f ca="1">IF(VLOOKUP(V354,Товары!A:B,2,FALSE)=A354,"Есть в 1С","ERR")</f>
        <v>#N/A</v>
      </c>
      <c r="AT354" s="65" t="str">
        <f ca="1">IF(VLOOKUP(A354,Товары!B:B,1,FALSE)=A354,"Есть в 1С","ERR")</f>
        <v>Есть в 1С</v>
      </c>
      <c r="AU354" s="96" t="e">
        <f ca="1">VLOOKUP(V354,Товары!A:B,2,FALSE)</f>
        <v>#N/A</v>
      </c>
      <c r="AV354" s="94" t="e">
        <f ca="1">VLOOKUP(V354,Товары!A:B,1,FALSE)</f>
        <v>#N/A</v>
      </c>
    </row>
    <row r="355" spans="1:48" x14ac:dyDescent="0.25">
      <c r="A355" s="110" t="str">
        <f t="shared" ca="1" si="37"/>
        <v>21-090-02</v>
      </c>
      <c r="B355" s="107" t="str">
        <f ca="1">_xlfn.LET(_xlpm.CAPS,0,_xlpm.Style,_xlfn.XLOOKUP($A355,Строчный!$A:$A,Строчный!B:B,"ERR",0),IF(_xlpm.CAPS=0,_xlpm.Style,LOWER(_xlpm.Style)))</f>
        <v>81670 BILLY</v>
      </c>
      <c r="C355" s="81" t="str">
        <f ca="1">PROPER(_xlfn.XLOOKUP($A355,Строчный!$A:$A,Строчный!C:C,"ERR",0))</f>
        <v>Шляпы</v>
      </c>
      <c r="D355" s="81" t="str">
        <f ca="1">_xlfn.LET(_xlpm.DATA,(_xlfn.XLOOKUP($A355,Строчный!$A:$A,Строчный!D:D,"ERR",0)),UPPER(MID(_xlpm.DATA,1,1))&amp;LOWER(MID(_xlpm.DATA,2,LEN(_xlpm.DATA)-1)))</f>
        <v>Шляпа хомбург</v>
      </c>
      <c r="E355" s="81" t="str">
        <f ca="1">PROPER(_xlfn.XLOOKUP($A355,Строчный!$A:$A,Строчный!E:E,"ERR",0))</f>
        <v>The Hollywood</v>
      </c>
      <c r="F355" s="81" t="str">
        <f ca="1">LOWER(_xlfn.XLOOKUP($A355,Строчный!$A:$A,Строчный!F:F,"ERR",0))</f>
        <v>летний</v>
      </c>
      <c r="G355" s="81" t="str">
        <f ca="1">UPPER(_xlfn.XLOOKUP($A355,Строчный!$A:$A,Строчный!G:G,"ERR",0))</f>
        <v>BAILEY</v>
      </c>
      <c r="H355" s="81" t="str">
        <f ca="1">LOWER(_xlfn.XLOOKUP($A355,Строчный!$A:$A,Строчный!H:H,"ERR",0))</f>
        <v>tan</v>
      </c>
      <c r="I355" s="81" t="str">
        <f ca="1">LOWER(_xlfn.XLOOKUP($A355,Строчный!$A:$A,Строчный!I:I,"ERR",0))</f>
        <v>песочный</v>
      </c>
      <c r="J355" s="81" t="str">
        <f ca="1">SUBSTITUTE(LOWER(_xlfn.XLOOKUP($A355,Строчный!$A:$A,Строчный!J:J,"ERR",0)),"подклад","Подклад")</f>
        <v>55% бумага - 45% полиэстер</v>
      </c>
      <c r="K355" s="81" t="str">
        <f ca="1">LOWER(_xlfn.XLOOKUP($A355,Строчный!$A:$A,Строчный!K:K,"ERR",0))</f>
        <v>бумажные</v>
      </c>
      <c r="L355" s="81" t="str">
        <f ca="1">PROPER(_xlfn.XLOOKUP($A355,Строчный!$A:$A,Строчный!L:L,"ERR",0))</f>
        <v>Унисекс</v>
      </c>
      <c r="M355" s="113" t="str">
        <f ca="1">PROPER(_xlfn.XLOOKUP($A355,Строчный!$A:$A,Строчный!M:M,"ERR",0))</f>
        <v>Китай</v>
      </c>
      <c r="N355" s="81" t="str">
        <f ca="1">UPPER(_xlfn.XLOOKUP($A355,Строчный!$A:$A,Строчный!O:O,"ERR",0))</f>
        <v/>
      </c>
      <c r="O355" s="107" t="str">
        <f ca="1">PROPER(_xlfn.XLOOKUP($A355,Строчный!$A:$A,Строчный!P:P,"ERR",0))</f>
        <v/>
      </c>
      <c r="P355" s="90">
        <f ca="1">VALUE(_xlfn.XLOOKUP($A355,Строчный!$A:$A,Строчный!N:N,"ERR",0))</f>
        <v>2094.3000000000002</v>
      </c>
      <c r="Q355" s="89" t="str">
        <f ca="1">_xlfn.XLOOKUP($G355,Фабрика!A:A,Фабрика!B:B,"ERR",0)</f>
        <v>Bollman Headwear Europe Ltd; 2 Merchants drive, Caelisle, Cumbria CA3 0JW, United Kingdom</v>
      </c>
      <c r="R355" s="80" t="str">
        <f ca="1">_xlfn.XLOOKUP(RIGHT(Z355,2),Размеры!D:D,Размеры!A:A,"ERR",0)</f>
        <v>61</v>
      </c>
      <c r="S355" s="80">
        <f ca="1">VALUE(_xlfn.XLOOKUP($Z355,Строчный!$R:$R,Строчный!T:T,"ERR",0))</f>
        <v>5</v>
      </c>
      <c r="T355" s="14" t="s">
        <v>265</v>
      </c>
      <c r="U355" s="101" t="str">
        <f t="shared" ca="1" si="33"/>
        <v>Шляпа BAILEY арт. 81670 BILLY (песочный)</v>
      </c>
      <c r="V355" s="100" t="str">
        <f t="shared" ca="1" si="34"/>
        <v>Шляпа BAILEY арт. 81670 BILLY (песочный) {tan}</v>
      </c>
      <c r="W355" s="18" t="str">
        <f t="shared" ca="1" si="35"/>
        <v>песочный</v>
      </c>
      <c r="X355" s="18" t="str">
        <f t="shared" ca="1" si="36"/>
        <v>песочный</v>
      </c>
      <c r="Y355" s="117" t="str">
        <f ca="1">_xlfn.LET(_xlpm.FormColors,_xlfn.XLOOKUP(A355,Строчный!A:A,Строчный!Q:Q,"",0),IF(_xlpm.FormColors=0,IFERROR(MID(I355,FIND("-",I355)+1,LEN(I355)),IFERROR(MID(I355,1,FIND("/",I355)-2),I355)),_xlpm.FormColors))</f>
        <v>песочный</v>
      </c>
      <c r="Z355" s="73" t="str">
        <f ca="1"/>
        <v>21-090-02-61</v>
      </c>
      <c r="AA355" s="75" t="str">
        <f ca="1">VLOOKUP(C355,Группа!A:B,2,FALSE)</f>
        <v>Шляпа</v>
      </c>
      <c r="AB355" s="97" t="str">
        <f ca="1">IFERROR(VLOOKUP(R355,Размеры!A:C,3,FALSE),"")</f>
        <v>61 XL</v>
      </c>
      <c r="AC355" s="97" t="str">
        <f ca="1">VLOOKUP(I355,ЦветПолный!A:B,2,FALSE)</f>
        <v>02</v>
      </c>
      <c r="AD355" s="97" t="str">
        <f ca="1">IFERROR(VLOOKUP(R355,Размеры!A:D,4,FALSE),"")</f>
        <v>61</v>
      </c>
      <c r="AE355" s="97">
        <f ca="1">IF(LEFT(IFERROR(VLOOKUP(LOOKUP(2,1/SEARCH(B355,Товары!A:A),Товары!A:A),Товары!A:B,2,0),""),6)=MID(Z355,1,6),1,0)</f>
        <v>1</v>
      </c>
      <c r="AG355" s="97">
        <f ca="1">SUMIF(Группа!A:A,C355,Группа!C:C)</f>
        <v>1</v>
      </c>
      <c r="AH355" s="97">
        <f ca="1">SUMIF(Группа!B:B,AA355,Группа!C:C)</f>
        <v>1</v>
      </c>
      <c r="AI355" s="97">
        <f ca="1">SUMIF(Формы!A:A,D355,Формы!B:B)</f>
        <v>1</v>
      </c>
      <c r="AJ355" s="97">
        <f ca="1">SUMIF(Материал!A:A,K355,Материал!B:B)</f>
        <v>1</v>
      </c>
      <c r="AK355" s="97">
        <f ca="1">SUMIF(Размеры!A:A,R355,Размеры!E:E)</f>
        <v>1</v>
      </c>
      <c r="AL355" s="97">
        <f ca="1">SUMIF(Сезон!A:A,F355,Сезон!B:B)</f>
        <v>1</v>
      </c>
      <c r="AM355" s="97">
        <f ca="1">SUMIF(Состав!A:A,J355,Состав!B:B)</f>
        <v>1</v>
      </c>
      <c r="AN355" s="97">
        <f ca="1">VLOOKUP(I355,ЦветПолный!A:C,3,0)</f>
        <v>1</v>
      </c>
      <c r="AO355" s="97">
        <f ca="1">SUMIF(Цвет!A:A,Y355,Цвет!B:B)</f>
        <v>1</v>
      </c>
      <c r="AP355" s="97">
        <f ca="1">_xlfn.XLOOKUP(L355,Пол!A:A,Пол!B:B,0,0)</f>
        <v>1</v>
      </c>
      <c r="AQ355" s="97">
        <f ca="1">SUMIF(Марка!A:A,G355,Марка!B:B)</f>
        <v>1</v>
      </c>
      <c r="AR355" s="97">
        <f ca="1">SUMIF(Страна!A:A,M355,Страна!B:B)</f>
        <v>1</v>
      </c>
      <c r="AS355" s="64" t="e">
        <f ca="1">IF(VLOOKUP(V355,Товары!A:B,2,FALSE)=A355,"Есть в 1С","ERR")</f>
        <v>#N/A</v>
      </c>
      <c r="AT355" s="65" t="str">
        <f ca="1">IF(VLOOKUP(A355,Товары!B:B,1,FALSE)=A355,"Есть в 1С","ERR")</f>
        <v>Есть в 1С</v>
      </c>
      <c r="AU355" s="96" t="e">
        <f ca="1">VLOOKUP(V355,Товары!A:B,2,FALSE)</f>
        <v>#N/A</v>
      </c>
      <c r="AV355" s="94" t="e">
        <f ca="1">VLOOKUP(V355,Товары!A:B,1,FALSE)</f>
        <v>#N/A</v>
      </c>
    </row>
    <row r="356" spans="1:48" x14ac:dyDescent="0.25">
      <c r="A356" s="110" t="str">
        <f t="shared" ca="1" si="37"/>
        <v>21-090-02</v>
      </c>
      <c r="B356" s="107" t="str">
        <f ca="1">_xlfn.LET(_xlpm.CAPS,0,_xlpm.Style,_xlfn.XLOOKUP($A356,Строчный!$A:$A,Строчный!B:B,"ERR",0),IF(_xlpm.CAPS=0,_xlpm.Style,LOWER(_xlpm.Style)))</f>
        <v>81670 BILLY</v>
      </c>
      <c r="C356" s="81" t="str">
        <f ca="1">PROPER(_xlfn.XLOOKUP($A356,Строчный!$A:$A,Строчный!C:C,"ERR",0))</f>
        <v>Шляпы</v>
      </c>
      <c r="D356" s="81" t="str">
        <f ca="1">_xlfn.LET(_xlpm.DATA,(_xlfn.XLOOKUP($A356,Строчный!$A:$A,Строчный!D:D,"ERR",0)),UPPER(MID(_xlpm.DATA,1,1))&amp;LOWER(MID(_xlpm.DATA,2,LEN(_xlpm.DATA)-1)))</f>
        <v>Шляпа хомбург</v>
      </c>
      <c r="E356" s="81" t="str">
        <f ca="1">PROPER(_xlfn.XLOOKUP($A356,Строчный!$A:$A,Строчный!E:E,"ERR",0))</f>
        <v>The Hollywood</v>
      </c>
      <c r="F356" s="81" t="str">
        <f ca="1">LOWER(_xlfn.XLOOKUP($A356,Строчный!$A:$A,Строчный!F:F,"ERR",0))</f>
        <v>летний</v>
      </c>
      <c r="G356" s="81" t="str">
        <f ca="1">UPPER(_xlfn.XLOOKUP($A356,Строчный!$A:$A,Строчный!G:G,"ERR",0))</f>
        <v>BAILEY</v>
      </c>
      <c r="H356" s="81" t="str">
        <f ca="1">LOWER(_xlfn.XLOOKUP($A356,Строчный!$A:$A,Строчный!H:H,"ERR",0))</f>
        <v>tan</v>
      </c>
      <c r="I356" s="81" t="str">
        <f ca="1">LOWER(_xlfn.XLOOKUP($A356,Строчный!$A:$A,Строчный!I:I,"ERR",0))</f>
        <v>песочный</v>
      </c>
      <c r="J356" s="81" t="str">
        <f ca="1">SUBSTITUTE(LOWER(_xlfn.XLOOKUP($A356,Строчный!$A:$A,Строчный!J:J,"ERR",0)),"подклад","Подклад")</f>
        <v>55% бумага - 45% полиэстер</v>
      </c>
      <c r="K356" s="81" t="str">
        <f ca="1">LOWER(_xlfn.XLOOKUP($A356,Строчный!$A:$A,Строчный!K:K,"ERR",0))</f>
        <v>бумажные</v>
      </c>
      <c r="L356" s="81" t="str">
        <f ca="1">PROPER(_xlfn.XLOOKUP($A356,Строчный!$A:$A,Строчный!L:L,"ERR",0))</f>
        <v>Унисекс</v>
      </c>
      <c r="M356" s="113" t="str">
        <f ca="1">PROPER(_xlfn.XLOOKUP($A356,Строчный!$A:$A,Строчный!M:M,"ERR",0))</f>
        <v>Китай</v>
      </c>
      <c r="N356" s="81" t="str">
        <f ca="1">UPPER(_xlfn.XLOOKUP($A356,Строчный!$A:$A,Строчный!O:O,"ERR",0))</f>
        <v/>
      </c>
      <c r="O356" s="107" t="str">
        <f ca="1">PROPER(_xlfn.XLOOKUP($A356,Строчный!$A:$A,Строчный!P:P,"ERR",0))</f>
        <v/>
      </c>
      <c r="P356" s="90">
        <f ca="1">VALUE(_xlfn.XLOOKUP($A356,Строчный!$A:$A,Строчный!N:N,"ERR",0))</f>
        <v>2094.3000000000002</v>
      </c>
      <c r="Q356" s="89" t="str">
        <f ca="1">_xlfn.XLOOKUP($G356,Фабрика!A:A,Фабрика!B:B,"ERR",0)</f>
        <v>Bollman Headwear Europe Ltd; 2 Merchants drive, Caelisle, Cumbria CA3 0JW, United Kingdom</v>
      </c>
      <c r="R356" s="80" t="str">
        <f ca="1">_xlfn.XLOOKUP(RIGHT(Z356,2),Размеры!D:D,Размеры!A:A,"ERR",0)</f>
        <v>59</v>
      </c>
      <c r="S356" s="80">
        <f ca="1">VALUE(_xlfn.XLOOKUP($Z356,Строчный!$R:$R,Строчный!T:T,"ERR",0))</f>
        <v>8</v>
      </c>
      <c r="T356" s="14" t="s">
        <v>265</v>
      </c>
      <c r="U356" s="101" t="str">
        <f t="shared" ca="1" si="33"/>
        <v>Шляпа BAILEY арт. 81670 BILLY (песочный)</v>
      </c>
      <c r="V356" s="100" t="str">
        <f t="shared" ca="1" si="34"/>
        <v>Шляпа BAILEY арт. 81670 BILLY (песочный) {tan}</v>
      </c>
      <c r="W356" s="18" t="str">
        <f t="shared" ca="1" si="35"/>
        <v>песочный</v>
      </c>
      <c r="X356" s="18" t="str">
        <f t="shared" ca="1" si="36"/>
        <v>песочный</v>
      </c>
      <c r="Y356" s="117" t="str">
        <f ca="1">_xlfn.LET(_xlpm.FormColors,_xlfn.XLOOKUP(A356,Строчный!A:A,Строчный!Q:Q,"",0),IF(_xlpm.FormColors=0,IFERROR(MID(I356,FIND("-",I356)+1,LEN(I356)),IFERROR(MID(I356,1,FIND("/",I356)-2),I356)),_xlpm.FormColors))</f>
        <v>песочный</v>
      </c>
      <c r="Z356" s="73" t="str">
        <f ca="1"/>
        <v>21-090-02-59</v>
      </c>
      <c r="AA356" s="75" t="str">
        <f ca="1">VLOOKUP(C356,Группа!A:B,2,FALSE)</f>
        <v>Шляпа</v>
      </c>
      <c r="AB356" s="97" t="str">
        <f ca="1">IFERROR(VLOOKUP(R356,Размеры!A:C,3,FALSE),"")</f>
        <v>59 L</v>
      </c>
      <c r="AC356" s="97" t="str">
        <f ca="1">VLOOKUP(I356,ЦветПолный!A:B,2,FALSE)</f>
        <v>02</v>
      </c>
      <c r="AD356" s="97" t="str">
        <f ca="1">IFERROR(VLOOKUP(R356,Размеры!A:D,4,FALSE),"")</f>
        <v>59</v>
      </c>
      <c r="AE356" s="97">
        <f ca="1">IF(LEFT(IFERROR(VLOOKUP(LOOKUP(2,1/SEARCH(B356,Товары!A:A),Товары!A:A),Товары!A:B,2,0),""),6)=MID(Z356,1,6),1,0)</f>
        <v>1</v>
      </c>
      <c r="AG356" s="97">
        <f ca="1">SUMIF(Группа!A:A,C356,Группа!C:C)</f>
        <v>1</v>
      </c>
      <c r="AH356" s="97">
        <f ca="1">SUMIF(Группа!B:B,AA356,Группа!C:C)</f>
        <v>1</v>
      </c>
      <c r="AI356" s="97">
        <f ca="1">SUMIF(Формы!A:A,D356,Формы!B:B)</f>
        <v>1</v>
      </c>
      <c r="AJ356" s="97">
        <f ca="1">SUMIF(Материал!A:A,K356,Материал!B:B)</f>
        <v>1</v>
      </c>
      <c r="AK356" s="97">
        <f ca="1">SUMIF(Размеры!A:A,R356,Размеры!E:E)</f>
        <v>1</v>
      </c>
      <c r="AL356" s="97">
        <f ca="1">SUMIF(Сезон!A:A,F356,Сезон!B:B)</f>
        <v>1</v>
      </c>
      <c r="AM356" s="97">
        <f ca="1">SUMIF(Состав!A:A,J356,Состав!B:B)</f>
        <v>1</v>
      </c>
      <c r="AN356" s="97">
        <f ca="1">VLOOKUP(I356,ЦветПолный!A:C,3,0)</f>
        <v>1</v>
      </c>
      <c r="AO356" s="97">
        <f ca="1">SUMIF(Цвет!A:A,Y356,Цвет!B:B)</f>
        <v>1</v>
      </c>
      <c r="AP356" s="97">
        <f ca="1">_xlfn.XLOOKUP(L356,Пол!A:A,Пол!B:B,0,0)</f>
        <v>1</v>
      </c>
      <c r="AQ356" s="97">
        <f ca="1">SUMIF(Марка!A:A,G356,Марка!B:B)</f>
        <v>1</v>
      </c>
      <c r="AR356" s="97">
        <f ca="1">SUMIF(Страна!A:A,M356,Страна!B:B)</f>
        <v>1</v>
      </c>
      <c r="AS356" s="64" t="e">
        <f ca="1">IF(VLOOKUP(V356,Товары!A:B,2,FALSE)=A356,"Есть в 1С","ERR")</f>
        <v>#N/A</v>
      </c>
      <c r="AT356" s="65" t="str">
        <f ca="1">IF(VLOOKUP(A356,Товары!B:B,1,FALSE)=A356,"Есть в 1С","ERR")</f>
        <v>Есть в 1С</v>
      </c>
      <c r="AU356" s="96" t="e">
        <f ca="1">VLOOKUP(V356,Товары!A:B,2,FALSE)</f>
        <v>#N/A</v>
      </c>
      <c r="AV356" s="94" t="e">
        <f ca="1">VLOOKUP(V356,Товары!A:B,1,FALSE)</f>
        <v>#N/A</v>
      </c>
    </row>
    <row r="357" spans="1:48" x14ac:dyDescent="0.25">
      <c r="A357" s="110" t="str">
        <f t="shared" ca="1" si="37"/>
        <v>21-090-02</v>
      </c>
      <c r="B357" s="107" t="str">
        <f ca="1">_xlfn.LET(_xlpm.CAPS,0,_xlpm.Style,_xlfn.XLOOKUP($A357,Строчный!$A:$A,Строчный!B:B,"ERR",0),IF(_xlpm.CAPS=0,_xlpm.Style,LOWER(_xlpm.Style)))</f>
        <v>81670 BILLY</v>
      </c>
      <c r="C357" s="81" t="str">
        <f ca="1">PROPER(_xlfn.XLOOKUP($A357,Строчный!$A:$A,Строчный!C:C,"ERR",0))</f>
        <v>Шляпы</v>
      </c>
      <c r="D357" s="81" t="str">
        <f ca="1">_xlfn.LET(_xlpm.DATA,(_xlfn.XLOOKUP($A357,Строчный!$A:$A,Строчный!D:D,"ERR",0)),UPPER(MID(_xlpm.DATA,1,1))&amp;LOWER(MID(_xlpm.DATA,2,LEN(_xlpm.DATA)-1)))</f>
        <v>Шляпа хомбург</v>
      </c>
      <c r="E357" s="81" t="str">
        <f ca="1">PROPER(_xlfn.XLOOKUP($A357,Строчный!$A:$A,Строчный!E:E,"ERR",0))</f>
        <v>The Hollywood</v>
      </c>
      <c r="F357" s="81" t="str">
        <f ca="1">LOWER(_xlfn.XLOOKUP($A357,Строчный!$A:$A,Строчный!F:F,"ERR",0))</f>
        <v>летний</v>
      </c>
      <c r="G357" s="81" t="str">
        <f ca="1">UPPER(_xlfn.XLOOKUP($A357,Строчный!$A:$A,Строчный!G:G,"ERR",0))</f>
        <v>BAILEY</v>
      </c>
      <c r="H357" s="81" t="str">
        <f ca="1">LOWER(_xlfn.XLOOKUP($A357,Строчный!$A:$A,Строчный!H:H,"ERR",0))</f>
        <v>tan</v>
      </c>
      <c r="I357" s="81" t="str">
        <f ca="1">LOWER(_xlfn.XLOOKUP($A357,Строчный!$A:$A,Строчный!I:I,"ERR",0))</f>
        <v>песочный</v>
      </c>
      <c r="J357" s="81" t="str">
        <f ca="1">SUBSTITUTE(LOWER(_xlfn.XLOOKUP($A357,Строчный!$A:$A,Строчный!J:J,"ERR",0)),"подклад","Подклад")</f>
        <v>55% бумага - 45% полиэстер</v>
      </c>
      <c r="K357" s="81" t="str">
        <f ca="1">LOWER(_xlfn.XLOOKUP($A357,Строчный!$A:$A,Строчный!K:K,"ERR",0))</f>
        <v>бумажные</v>
      </c>
      <c r="L357" s="81" t="str">
        <f ca="1">PROPER(_xlfn.XLOOKUP($A357,Строчный!$A:$A,Строчный!L:L,"ERR",0))</f>
        <v>Унисекс</v>
      </c>
      <c r="M357" s="113" t="str">
        <f ca="1">PROPER(_xlfn.XLOOKUP($A357,Строчный!$A:$A,Строчный!M:M,"ERR",0))</f>
        <v>Китай</v>
      </c>
      <c r="N357" s="81" t="str">
        <f ca="1">UPPER(_xlfn.XLOOKUP($A357,Строчный!$A:$A,Строчный!O:O,"ERR",0))</f>
        <v/>
      </c>
      <c r="O357" s="107" t="str">
        <f ca="1">PROPER(_xlfn.XLOOKUP($A357,Строчный!$A:$A,Строчный!P:P,"ERR",0))</f>
        <v/>
      </c>
      <c r="P357" s="90">
        <f ca="1">VALUE(_xlfn.XLOOKUP($A357,Строчный!$A:$A,Строчный!N:N,"ERR",0))</f>
        <v>2094.3000000000002</v>
      </c>
      <c r="Q357" s="89" t="str">
        <f ca="1">_xlfn.XLOOKUP($G357,Фабрика!A:A,Фабрика!B:B,"ERR",0)</f>
        <v>Bollman Headwear Europe Ltd; 2 Merchants drive, Caelisle, Cumbria CA3 0JW, United Kingdom</v>
      </c>
      <c r="R357" s="80" t="str">
        <f ca="1">_xlfn.XLOOKUP(RIGHT(Z357,2),Размеры!D:D,Размеры!A:A,"ERR",0)</f>
        <v>57</v>
      </c>
      <c r="S357" s="80">
        <f ca="1">VALUE(_xlfn.XLOOKUP($Z357,Строчный!$R:$R,Строчный!T:T,"ERR",0))</f>
        <v>6</v>
      </c>
      <c r="T357" s="14" t="s">
        <v>265</v>
      </c>
      <c r="U357" s="101" t="str">
        <f t="shared" ca="1" si="33"/>
        <v>Шляпа BAILEY арт. 81670 BILLY (песочный)</v>
      </c>
      <c r="V357" s="100" t="str">
        <f t="shared" ca="1" si="34"/>
        <v>Шляпа BAILEY арт. 81670 BILLY (песочный) {tan}</v>
      </c>
      <c r="W357" s="18" t="str">
        <f t="shared" ca="1" si="35"/>
        <v>песочный</v>
      </c>
      <c r="X357" s="18" t="str">
        <f t="shared" ca="1" si="36"/>
        <v>песочный</v>
      </c>
      <c r="Y357" s="117" t="str">
        <f ca="1">_xlfn.LET(_xlpm.FormColors,_xlfn.XLOOKUP(A357,Строчный!A:A,Строчный!Q:Q,"",0),IF(_xlpm.FormColors=0,IFERROR(MID(I357,FIND("-",I357)+1,LEN(I357)),IFERROR(MID(I357,1,FIND("/",I357)-2),I357)),_xlpm.FormColors))</f>
        <v>песочный</v>
      </c>
      <c r="Z357" s="73" t="str">
        <f ca="1"/>
        <v>21-090-02-57</v>
      </c>
      <c r="AA357" s="75" t="str">
        <f ca="1">VLOOKUP(C357,Группа!A:B,2,FALSE)</f>
        <v>Шляпа</v>
      </c>
      <c r="AB357" s="97" t="str">
        <f ca="1">IFERROR(VLOOKUP(R357,Размеры!A:C,3,FALSE),"")</f>
        <v>57 M</v>
      </c>
      <c r="AC357" s="97" t="str">
        <f ca="1">VLOOKUP(I357,ЦветПолный!A:B,2,FALSE)</f>
        <v>02</v>
      </c>
      <c r="AD357" s="97" t="str">
        <f ca="1">IFERROR(VLOOKUP(R357,Размеры!A:D,4,FALSE),"")</f>
        <v>57</v>
      </c>
      <c r="AE357" s="97">
        <f ca="1">IF(LEFT(IFERROR(VLOOKUP(LOOKUP(2,1/SEARCH(B357,Товары!A:A),Товары!A:A),Товары!A:B,2,0),""),6)=MID(Z357,1,6),1,0)</f>
        <v>1</v>
      </c>
      <c r="AG357" s="97">
        <f ca="1">SUMIF(Группа!A:A,C357,Группа!C:C)</f>
        <v>1</v>
      </c>
      <c r="AH357" s="97">
        <f ca="1">SUMIF(Группа!B:B,AA357,Группа!C:C)</f>
        <v>1</v>
      </c>
      <c r="AI357" s="97">
        <f ca="1">SUMIF(Формы!A:A,D357,Формы!B:B)</f>
        <v>1</v>
      </c>
      <c r="AJ357" s="97">
        <f ca="1">SUMIF(Материал!A:A,K357,Материал!B:B)</f>
        <v>1</v>
      </c>
      <c r="AK357" s="97">
        <f ca="1">SUMIF(Размеры!A:A,R357,Размеры!E:E)</f>
        <v>1</v>
      </c>
      <c r="AL357" s="97">
        <f ca="1">SUMIF(Сезон!A:A,F357,Сезон!B:B)</f>
        <v>1</v>
      </c>
      <c r="AM357" s="97">
        <f ca="1">SUMIF(Состав!A:A,J357,Состав!B:B)</f>
        <v>1</v>
      </c>
      <c r="AN357" s="97">
        <f ca="1">VLOOKUP(I357,ЦветПолный!A:C,3,0)</f>
        <v>1</v>
      </c>
      <c r="AO357" s="97">
        <f ca="1">SUMIF(Цвет!A:A,Y357,Цвет!B:B)</f>
        <v>1</v>
      </c>
      <c r="AP357" s="97">
        <f ca="1">_xlfn.XLOOKUP(L357,Пол!A:A,Пол!B:B,0,0)</f>
        <v>1</v>
      </c>
      <c r="AQ357" s="97">
        <f ca="1">SUMIF(Марка!A:A,G357,Марка!B:B)</f>
        <v>1</v>
      </c>
      <c r="AR357" s="97">
        <f ca="1">SUMIF(Страна!A:A,M357,Страна!B:B)</f>
        <v>1</v>
      </c>
      <c r="AS357" s="64" t="e">
        <f ca="1">IF(VLOOKUP(V357,Товары!A:B,2,FALSE)=A357,"Есть в 1С","ERR")</f>
        <v>#N/A</v>
      </c>
      <c r="AT357" s="65" t="str">
        <f ca="1">IF(VLOOKUP(A357,Товары!B:B,1,FALSE)=A357,"Есть в 1С","ERR")</f>
        <v>Есть в 1С</v>
      </c>
      <c r="AU357" s="96" t="e">
        <f ca="1">VLOOKUP(V357,Товары!A:B,2,FALSE)</f>
        <v>#N/A</v>
      </c>
      <c r="AV357" s="94" t="e">
        <f ca="1">VLOOKUP(V357,Товары!A:B,1,FALSE)</f>
        <v>#N/A</v>
      </c>
    </row>
    <row r="358" spans="1:48" x14ac:dyDescent="0.25">
      <c r="A358" s="110" t="str">
        <f t="shared" ca="1" si="37"/>
        <v>21-090-02</v>
      </c>
      <c r="B358" s="107" t="str">
        <f ca="1">_xlfn.LET(_xlpm.CAPS,0,_xlpm.Style,_xlfn.XLOOKUP($A358,Строчный!$A:$A,Строчный!B:B,"ERR",0),IF(_xlpm.CAPS=0,_xlpm.Style,LOWER(_xlpm.Style)))</f>
        <v>81670 BILLY</v>
      </c>
      <c r="C358" s="81" t="str">
        <f ca="1">PROPER(_xlfn.XLOOKUP($A358,Строчный!$A:$A,Строчный!C:C,"ERR",0))</f>
        <v>Шляпы</v>
      </c>
      <c r="D358" s="81" t="str">
        <f ca="1">_xlfn.LET(_xlpm.DATA,(_xlfn.XLOOKUP($A358,Строчный!$A:$A,Строчный!D:D,"ERR",0)),UPPER(MID(_xlpm.DATA,1,1))&amp;LOWER(MID(_xlpm.DATA,2,LEN(_xlpm.DATA)-1)))</f>
        <v>Шляпа хомбург</v>
      </c>
      <c r="E358" s="81" t="str">
        <f ca="1">PROPER(_xlfn.XLOOKUP($A358,Строчный!$A:$A,Строчный!E:E,"ERR",0))</f>
        <v>The Hollywood</v>
      </c>
      <c r="F358" s="81" t="str">
        <f ca="1">LOWER(_xlfn.XLOOKUP($A358,Строчный!$A:$A,Строчный!F:F,"ERR",0))</f>
        <v>летний</v>
      </c>
      <c r="G358" s="81" t="str">
        <f ca="1">UPPER(_xlfn.XLOOKUP($A358,Строчный!$A:$A,Строчный!G:G,"ERR",0))</f>
        <v>BAILEY</v>
      </c>
      <c r="H358" s="81" t="str">
        <f ca="1">LOWER(_xlfn.XLOOKUP($A358,Строчный!$A:$A,Строчный!H:H,"ERR",0))</f>
        <v>tan</v>
      </c>
      <c r="I358" s="81" t="str">
        <f ca="1">LOWER(_xlfn.XLOOKUP($A358,Строчный!$A:$A,Строчный!I:I,"ERR",0))</f>
        <v>песочный</v>
      </c>
      <c r="J358" s="81" t="str">
        <f ca="1">SUBSTITUTE(LOWER(_xlfn.XLOOKUP($A358,Строчный!$A:$A,Строчный!J:J,"ERR",0)),"подклад","Подклад")</f>
        <v>55% бумага - 45% полиэстер</v>
      </c>
      <c r="K358" s="81" t="str">
        <f ca="1">LOWER(_xlfn.XLOOKUP($A358,Строчный!$A:$A,Строчный!K:K,"ERR",0))</f>
        <v>бумажные</v>
      </c>
      <c r="L358" s="81" t="str">
        <f ca="1">PROPER(_xlfn.XLOOKUP($A358,Строчный!$A:$A,Строчный!L:L,"ERR",0))</f>
        <v>Унисекс</v>
      </c>
      <c r="M358" s="113" t="str">
        <f ca="1">PROPER(_xlfn.XLOOKUP($A358,Строчный!$A:$A,Строчный!M:M,"ERR",0))</f>
        <v>Китай</v>
      </c>
      <c r="N358" s="81" t="str">
        <f ca="1">UPPER(_xlfn.XLOOKUP($A358,Строчный!$A:$A,Строчный!O:O,"ERR",0))</f>
        <v/>
      </c>
      <c r="O358" s="107" t="str">
        <f ca="1">PROPER(_xlfn.XLOOKUP($A358,Строчный!$A:$A,Строчный!P:P,"ERR",0))</f>
        <v/>
      </c>
      <c r="P358" s="90">
        <f ca="1">VALUE(_xlfn.XLOOKUP($A358,Строчный!$A:$A,Строчный!N:N,"ERR",0))</f>
        <v>2094.3000000000002</v>
      </c>
      <c r="Q358" s="89" t="str">
        <f ca="1">_xlfn.XLOOKUP($G358,Фабрика!A:A,Фабрика!B:B,"ERR",0)</f>
        <v>Bollman Headwear Europe Ltd; 2 Merchants drive, Caelisle, Cumbria CA3 0JW, United Kingdom</v>
      </c>
      <c r="R358" s="80" t="str">
        <f ca="1">_xlfn.XLOOKUP(RIGHT(Z358,2),Размеры!D:D,Размеры!A:A,"ERR",0)</f>
        <v>55</v>
      </c>
      <c r="S358" s="80">
        <f ca="1">VALUE(_xlfn.XLOOKUP($Z358,Строчный!$R:$R,Строчный!T:T,"ERR",0))</f>
        <v>1</v>
      </c>
      <c r="T358" s="14" t="s">
        <v>265</v>
      </c>
      <c r="U358" s="101" t="str">
        <f t="shared" ca="1" si="33"/>
        <v>Шляпа BAILEY арт. 81670 BILLY (песочный)</v>
      </c>
      <c r="V358" s="100" t="str">
        <f t="shared" ca="1" si="34"/>
        <v>Шляпа BAILEY арт. 81670 BILLY (песочный) {tan}</v>
      </c>
      <c r="W358" s="18" t="str">
        <f t="shared" ca="1" si="35"/>
        <v>песочный</v>
      </c>
      <c r="X358" s="18" t="str">
        <f t="shared" ca="1" si="36"/>
        <v>песочный</v>
      </c>
      <c r="Y358" s="117" t="str">
        <f ca="1">_xlfn.LET(_xlpm.FormColors,_xlfn.XLOOKUP(A358,Строчный!A:A,Строчный!Q:Q,"",0),IF(_xlpm.FormColors=0,IFERROR(MID(I358,FIND("-",I358)+1,LEN(I358)),IFERROR(MID(I358,1,FIND("/",I358)-2),I358)),_xlpm.FormColors))</f>
        <v>песочный</v>
      </c>
      <c r="Z358" s="73" t="str">
        <f ca="1"/>
        <v>21-090-02-55</v>
      </c>
      <c r="AA358" s="75" t="str">
        <f ca="1">VLOOKUP(C358,Группа!A:B,2,FALSE)</f>
        <v>Шляпа</v>
      </c>
      <c r="AB358" s="97" t="str">
        <f ca="1">IFERROR(VLOOKUP(R358,Размеры!A:C,3,FALSE),"")</f>
        <v>55 S</v>
      </c>
      <c r="AC358" s="97" t="str">
        <f ca="1">VLOOKUP(I358,ЦветПолный!A:B,2,FALSE)</f>
        <v>02</v>
      </c>
      <c r="AD358" s="97" t="str">
        <f ca="1">IFERROR(VLOOKUP(R358,Размеры!A:D,4,FALSE),"")</f>
        <v>55</v>
      </c>
      <c r="AE358" s="97">
        <f ca="1">IF(LEFT(IFERROR(VLOOKUP(LOOKUP(2,1/SEARCH(B358,Товары!A:A),Товары!A:A),Товары!A:B,2,0),""),6)=MID(Z358,1,6),1,0)</f>
        <v>1</v>
      </c>
      <c r="AG358" s="97">
        <f ca="1">SUMIF(Группа!A:A,C358,Группа!C:C)</f>
        <v>1</v>
      </c>
      <c r="AH358" s="97">
        <f ca="1">SUMIF(Группа!B:B,AA358,Группа!C:C)</f>
        <v>1</v>
      </c>
      <c r="AI358" s="97">
        <f ca="1">SUMIF(Формы!A:A,D358,Формы!B:B)</f>
        <v>1</v>
      </c>
      <c r="AJ358" s="97">
        <f ca="1">SUMIF(Материал!A:A,K358,Материал!B:B)</f>
        <v>1</v>
      </c>
      <c r="AK358" s="97">
        <f ca="1">SUMIF(Размеры!A:A,R358,Размеры!E:E)</f>
        <v>1</v>
      </c>
      <c r="AL358" s="97">
        <f ca="1">SUMIF(Сезон!A:A,F358,Сезон!B:B)</f>
        <v>1</v>
      </c>
      <c r="AM358" s="97">
        <f ca="1">SUMIF(Состав!A:A,J358,Состав!B:B)</f>
        <v>1</v>
      </c>
      <c r="AN358" s="97">
        <f ca="1">VLOOKUP(I358,ЦветПолный!A:C,3,0)</f>
        <v>1</v>
      </c>
      <c r="AO358" s="97">
        <f ca="1">SUMIF(Цвет!A:A,Y358,Цвет!B:B)</f>
        <v>1</v>
      </c>
      <c r="AP358" s="97">
        <f ca="1">_xlfn.XLOOKUP(L358,Пол!A:A,Пол!B:B,0,0)</f>
        <v>1</v>
      </c>
      <c r="AQ358" s="97">
        <f ca="1">SUMIF(Марка!A:A,G358,Марка!B:B)</f>
        <v>1</v>
      </c>
      <c r="AR358" s="97">
        <f ca="1">SUMIF(Страна!A:A,M358,Страна!B:B)</f>
        <v>1</v>
      </c>
      <c r="AS358" s="64" t="e">
        <f ca="1">IF(VLOOKUP(V358,Товары!A:B,2,FALSE)=A358,"Есть в 1С","ERR")</f>
        <v>#N/A</v>
      </c>
      <c r="AT358" s="65" t="str">
        <f ca="1">IF(VLOOKUP(A358,Товары!B:B,1,FALSE)=A358,"Есть в 1С","ERR")</f>
        <v>Есть в 1С</v>
      </c>
      <c r="AU358" s="96" t="e">
        <f ca="1">VLOOKUP(V358,Товары!A:B,2,FALSE)</f>
        <v>#N/A</v>
      </c>
      <c r="AV358" s="94" t="e">
        <f ca="1">VLOOKUP(V358,Товары!A:B,1,FALSE)</f>
        <v>#N/A</v>
      </c>
    </row>
    <row r="359" spans="1:48" x14ac:dyDescent="0.25">
      <c r="A359" s="110" t="str">
        <f t="shared" ca="1" si="37"/>
        <v>21-089-36</v>
      </c>
      <c r="B359" s="107" t="str">
        <f ca="1">_xlfn.LET(_xlpm.CAPS,0,_xlpm.Style,_xlfn.XLOOKUP($A359,Строчный!$A:$A,Строчный!B:B,"ERR",0),IF(_xlpm.CAPS=0,_xlpm.Style,LOWER(_xlpm.Style)))</f>
        <v>81650 SALEM</v>
      </c>
      <c r="C359" s="81" t="str">
        <f ca="1">PROPER(_xlfn.XLOOKUP($A359,Строчный!$A:$A,Строчный!C:C,"ERR",0))</f>
        <v>Шляпы</v>
      </c>
      <c r="D359" s="81" t="str">
        <f ca="1">_xlfn.LET(_xlpm.DATA,(_xlfn.XLOOKUP($A359,Строчный!$A:$A,Строчный!D:D,"ERR",0)),UPPER(MID(_xlpm.DATA,1,1))&amp;LOWER(MID(_xlpm.DATA,2,LEN(_xlpm.DATA)-1)))</f>
        <v>Шляпа хомбург</v>
      </c>
      <c r="E359" s="81" t="str">
        <f ca="1">PROPER(_xlfn.XLOOKUP($A359,Строчный!$A:$A,Строчный!E:E,"ERR",0))</f>
        <v>The Hollywood</v>
      </c>
      <c r="F359" s="81" t="str">
        <f ca="1">LOWER(_xlfn.XLOOKUP($A359,Строчный!$A:$A,Строчный!F:F,"ERR",0))</f>
        <v>летний</v>
      </c>
      <c r="G359" s="81" t="str">
        <f ca="1">UPPER(_xlfn.XLOOKUP($A359,Строчный!$A:$A,Строчный!G:G,"ERR",0))</f>
        <v>BAILEY</v>
      </c>
      <c r="H359" s="81" t="str">
        <f ca="1">LOWER(_xlfn.XLOOKUP($A359,Строчный!$A:$A,Строчный!H:H,"ERR",0))</f>
        <v>natural</v>
      </c>
      <c r="I359" s="81" t="str">
        <f ca="1">LOWER(_xlfn.XLOOKUP($A359,Строчный!$A:$A,Строчный!I:I,"ERR",0))</f>
        <v>кремовый</v>
      </c>
      <c r="J359" s="81" t="str">
        <f ca="1">SUBSTITUTE(LOWER(_xlfn.XLOOKUP($A359,Строчный!$A:$A,Строчный!J:J,"ERR",0)),"подклад","Подклад")</f>
        <v>55% бумага - 45% полиэстер</v>
      </c>
      <c r="K359" s="81" t="str">
        <f ca="1">LOWER(_xlfn.XLOOKUP($A359,Строчный!$A:$A,Строчный!K:K,"ERR",0))</f>
        <v>бумажные</v>
      </c>
      <c r="L359" s="81" t="str">
        <f ca="1">PROPER(_xlfn.XLOOKUP($A359,Строчный!$A:$A,Строчный!L:L,"ERR",0))</f>
        <v>Унисекс</v>
      </c>
      <c r="M359" s="113" t="str">
        <f ca="1">PROPER(_xlfn.XLOOKUP($A359,Строчный!$A:$A,Строчный!M:M,"ERR",0))</f>
        <v>Китай</v>
      </c>
      <c r="N359" s="81" t="str">
        <f ca="1">UPPER(_xlfn.XLOOKUP($A359,Строчный!$A:$A,Строчный!O:O,"ERR",0))</f>
        <v/>
      </c>
      <c r="O359" s="107" t="str">
        <f ca="1">PROPER(_xlfn.XLOOKUP($A359,Строчный!$A:$A,Строчный!P:P,"ERR",0))</f>
        <v/>
      </c>
      <c r="P359" s="90">
        <f ca="1">VALUE(_xlfn.XLOOKUP($A359,Строчный!$A:$A,Строчный!N:N,"ERR",0))</f>
        <v>2094.3000000000002</v>
      </c>
      <c r="Q359" s="89" t="str">
        <f ca="1">_xlfn.XLOOKUP($G359,Фабрика!A:A,Фабрика!B:B,"ERR",0)</f>
        <v>Bollman Headwear Europe Ltd; 2 Merchants drive, Caelisle, Cumbria CA3 0JW, United Kingdom</v>
      </c>
      <c r="R359" s="80" t="str">
        <f ca="1">_xlfn.XLOOKUP(RIGHT(Z359,2),Размеры!D:D,Размеры!A:A,"ERR",0)</f>
        <v>63</v>
      </c>
      <c r="S359" s="80">
        <f ca="1">VALUE(_xlfn.XLOOKUP($Z359,Строчный!$R:$R,Строчный!T:T,"ERR",0))</f>
        <v>2</v>
      </c>
      <c r="T359" s="14" t="s">
        <v>265</v>
      </c>
      <c r="U359" s="101" t="str">
        <f t="shared" ca="1" si="33"/>
        <v>Шляпа BAILEY арт. 81650 SALEM (кремовый)</v>
      </c>
      <c r="V359" s="100" t="str">
        <f t="shared" ca="1" si="34"/>
        <v>Шляпа BAILEY арт. 81650 SALEM (кремовый) {natural}</v>
      </c>
      <c r="W359" s="18" t="str">
        <f t="shared" ca="1" si="35"/>
        <v>кремовый</v>
      </c>
      <c r="X359" s="18" t="str">
        <f t="shared" ca="1" si="36"/>
        <v>кремовый</v>
      </c>
      <c r="Y359" s="117" t="str">
        <f ca="1">_xlfn.LET(_xlpm.FormColors,_xlfn.XLOOKUP(A359,Строчный!A:A,Строчный!Q:Q,"",0),IF(_xlpm.FormColors=0,IFERROR(MID(I359,FIND("-",I359)+1,LEN(I359)),IFERROR(MID(I359,1,FIND("/",I359)-2),I359)),_xlpm.FormColors))</f>
        <v>кремовый</v>
      </c>
      <c r="Z359" s="73" t="str">
        <f ca="1"/>
        <v>21-089-36-63</v>
      </c>
      <c r="AA359" s="75" t="str">
        <f ca="1">VLOOKUP(C359,Группа!A:B,2,FALSE)</f>
        <v>Шляпа</v>
      </c>
      <c r="AB359" s="97" t="str">
        <f ca="1">IFERROR(VLOOKUP(R359,Размеры!A:C,3,FALSE),"")</f>
        <v>63 XXL</v>
      </c>
      <c r="AC359" s="97" t="str">
        <f ca="1">VLOOKUP(I359,ЦветПолный!A:B,2,FALSE)</f>
        <v>36</v>
      </c>
      <c r="AD359" s="97" t="str">
        <f ca="1">IFERROR(VLOOKUP(R359,Размеры!A:D,4,FALSE),"")</f>
        <v>63</v>
      </c>
      <c r="AE359" s="97">
        <f ca="1">IF(LEFT(IFERROR(VLOOKUP(LOOKUP(2,1/SEARCH(B359,Товары!A:A),Товары!A:A),Товары!A:B,2,0),""),6)=MID(Z359,1,6),1,0)</f>
        <v>1</v>
      </c>
      <c r="AG359" s="97">
        <f ca="1">SUMIF(Группа!A:A,C359,Группа!C:C)</f>
        <v>1</v>
      </c>
      <c r="AH359" s="97">
        <f ca="1">SUMIF(Группа!B:B,AA359,Группа!C:C)</f>
        <v>1</v>
      </c>
      <c r="AI359" s="97">
        <f ca="1">SUMIF(Формы!A:A,D359,Формы!B:B)</f>
        <v>1</v>
      </c>
      <c r="AJ359" s="97">
        <f ca="1">SUMIF(Материал!A:A,K359,Материал!B:B)</f>
        <v>1</v>
      </c>
      <c r="AK359" s="97">
        <f ca="1">SUMIF(Размеры!A:A,R359,Размеры!E:E)</f>
        <v>1</v>
      </c>
      <c r="AL359" s="97">
        <f ca="1">SUMIF(Сезон!A:A,F359,Сезон!B:B)</f>
        <v>1</v>
      </c>
      <c r="AM359" s="97">
        <f ca="1">SUMIF(Состав!A:A,J359,Состав!B:B)</f>
        <v>1</v>
      </c>
      <c r="AN359" s="97">
        <f ca="1">VLOOKUP(I359,ЦветПолный!A:C,3,0)</f>
        <v>1</v>
      </c>
      <c r="AO359" s="97">
        <f ca="1">SUMIF(Цвет!A:A,Y359,Цвет!B:B)</f>
        <v>1</v>
      </c>
      <c r="AP359" s="97">
        <f ca="1">_xlfn.XLOOKUP(L359,Пол!A:A,Пол!B:B,0,0)</f>
        <v>1</v>
      </c>
      <c r="AQ359" s="97">
        <f ca="1">SUMIF(Марка!A:A,G359,Марка!B:B)</f>
        <v>1</v>
      </c>
      <c r="AR359" s="97">
        <f ca="1">SUMIF(Страна!A:A,M359,Страна!B:B)</f>
        <v>1</v>
      </c>
      <c r="AS359" s="64" t="str">
        <f ca="1">IF(VLOOKUP(V359,Товары!A:B,2,FALSE)=A359,"Есть в 1С","ERR")</f>
        <v>Есть в 1С</v>
      </c>
      <c r="AT359" s="65" t="str">
        <f ca="1">IF(VLOOKUP(A359,Товары!B:B,1,FALSE)=A359,"Есть в 1С","ERR")</f>
        <v>Есть в 1С</v>
      </c>
      <c r="AU359" s="96" t="str">
        <f ca="1">VLOOKUP(V359,Товары!A:B,2,FALSE)</f>
        <v>21-089-36</v>
      </c>
      <c r="AV359" s="94" t="str">
        <f ca="1">VLOOKUP(V359,Товары!A:B,1,FALSE)</f>
        <v>Шляпа BAILEY арт. 81650 SALEM (кремовый) {natural}</v>
      </c>
    </row>
    <row r="360" spans="1:48" x14ac:dyDescent="0.25">
      <c r="A360" s="110" t="str">
        <f t="shared" ca="1" si="37"/>
        <v>21-089-36</v>
      </c>
      <c r="B360" s="107" t="str">
        <f ca="1">_xlfn.LET(_xlpm.CAPS,0,_xlpm.Style,_xlfn.XLOOKUP($A360,Строчный!$A:$A,Строчный!B:B,"ERR",0),IF(_xlpm.CAPS=0,_xlpm.Style,LOWER(_xlpm.Style)))</f>
        <v>81650 SALEM</v>
      </c>
      <c r="C360" s="81" t="str">
        <f ca="1">PROPER(_xlfn.XLOOKUP($A360,Строчный!$A:$A,Строчный!C:C,"ERR",0))</f>
        <v>Шляпы</v>
      </c>
      <c r="D360" s="81" t="str">
        <f ca="1">_xlfn.LET(_xlpm.DATA,(_xlfn.XLOOKUP($A360,Строчный!$A:$A,Строчный!D:D,"ERR",0)),UPPER(MID(_xlpm.DATA,1,1))&amp;LOWER(MID(_xlpm.DATA,2,LEN(_xlpm.DATA)-1)))</f>
        <v>Шляпа хомбург</v>
      </c>
      <c r="E360" s="81" t="str">
        <f ca="1">PROPER(_xlfn.XLOOKUP($A360,Строчный!$A:$A,Строчный!E:E,"ERR",0))</f>
        <v>The Hollywood</v>
      </c>
      <c r="F360" s="81" t="str">
        <f ca="1">LOWER(_xlfn.XLOOKUP($A360,Строчный!$A:$A,Строчный!F:F,"ERR",0))</f>
        <v>летний</v>
      </c>
      <c r="G360" s="81" t="str">
        <f ca="1">UPPER(_xlfn.XLOOKUP($A360,Строчный!$A:$A,Строчный!G:G,"ERR",0))</f>
        <v>BAILEY</v>
      </c>
      <c r="H360" s="81" t="str">
        <f ca="1">LOWER(_xlfn.XLOOKUP($A360,Строчный!$A:$A,Строчный!H:H,"ERR",0))</f>
        <v>natural</v>
      </c>
      <c r="I360" s="81" t="str">
        <f ca="1">LOWER(_xlfn.XLOOKUP($A360,Строчный!$A:$A,Строчный!I:I,"ERR",0))</f>
        <v>кремовый</v>
      </c>
      <c r="J360" s="81" t="str">
        <f ca="1">SUBSTITUTE(LOWER(_xlfn.XLOOKUP($A360,Строчный!$A:$A,Строчный!J:J,"ERR",0)),"подклад","Подклад")</f>
        <v>55% бумага - 45% полиэстер</v>
      </c>
      <c r="K360" s="81" t="str">
        <f ca="1">LOWER(_xlfn.XLOOKUP($A360,Строчный!$A:$A,Строчный!K:K,"ERR",0))</f>
        <v>бумажные</v>
      </c>
      <c r="L360" s="81" t="str">
        <f ca="1">PROPER(_xlfn.XLOOKUP($A360,Строчный!$A:$A,Строчный!L:L,"ERR",0))</f>
        <v>Унисекс</v>
      </c>
      <c r="M360" s="113" t="str">
        <f ca="1">PROPER(_xlfn.XLOOKUP($A360,Строчный!$A:$A,Строчный!M:M,"ERR",0))</f>
        <v>Китай</v>
      </c>
      <c r="N360" s="81" t="str">
        <f ca="1">UPPER(_xlfn.XLOOKUP($A360,Строчный!$A:$A,Строчный!O:O,"ERR",0))</f>
        <v/>
      </c>
      <c r="O360" s="107" t="str">
        <f ca="1">PROPER(_xlfn.XLOOKUP($A360,Строчный!$A:$A,Строчный!P:P,"ERR",0))</f>
        <v/>
      </c>
      <c r="P360" s="90">
        <f ca="1">VALUE(_xlfn.XLOOKUP($A360,Строчный!$A:$A,Строчный!N:N,"ERR",0))</f>
        <v>2094.3000000000002</v>
      </c>
      <c r="Q360" s="89" t="str">
        <f ca="1">_xlfn.XLOOKUP($G360,Фабрика!A:A,Фабрика!B:B,"ERR",0)</f>
        <v>Bollman Headwear Europe Ltd; 2 Merchants drive, Caelisle, Cumbria CA3 0JW, United Kingdom</v>
      </c>
      <c r="R360" s="80" t="str">
        <f ca="1">_xlfn.XLOOKUP(RIGHT(Z360,2),Размеры!D:D,Размеры!A:A,"ERR",0)</f>
        <v>61</v>
      </c>
      <c r="S360" s="80">
        <f ca="1">VALUE(_xlfn.XLOOKUP($Z360,Строчный!$R:$R,Строчный!T:T,"ERR",0))</f>
        <v>5</v>
      </c>
      <c r="T360" s="14" t="s">
        <v>265</v>
      </c>
      <c r="U360" s="101" t="str">
        <f t="shared" ca="1" si="33"/>
        <v>Шляпа BAILEY арт. 81650 SALEM (кремовый)</v>
      </c>
      <c r="V360" s="100" t="str">
        <f t="shared" ca="1" si="34"/>
        <v>Шляпа BAILEY арт. 81650 SALEM (кремовый) {natural}</v>
      </c>
      <c r="W360" s="18" t="str">
        <f t="shared" ca="1" si="35"/>
        <v>кремовый</v>
      </c>
      <c r="X360" s="18" t="str">
        <f t="shared" ca="1" si="36"/>
        <v>кремовый</v>
      </c>
      <c r="Y360" s="117" t="str">
        <f ca="1">_xlfn.LET(_xlpm.FormColors,_xlfn.XLOOKUP(A360,Строчный!A:A,Строчный!Q:Q,"",0),IF(_xlpm.FormColors=0,IFERROR(MID(I360,FIND("-",I360)+1,LEN(I360)),IFERROR(MID(I360,1,FIND("/",I360)-2),I360)),_xlpm.FormColors))</f>
        <v>кремовый</v>
      </c>
      <c r="Z360" s="73" t="str">
        <f ca="1"/>
        <v>21-089-36-61</v>
      </c>
      <c r="AA360" s="75" t="str">
        <f ca="1">VLOOKUP(C360,Группа!A:B,2,FALSE)</f>
        <v>Шляпа</v>
      </c>
      <c r="AB360" s="97" t="str">
        <f ca="1">IFERROR(VLOOKUP(R360,Размеры!A:C,3,FALSE),"")</f>
        <v>61 XL</v>
      </c>
      <c r="AC360" s="97" t="str">
        <f ca="1">VLOOKUP(I360,ЦветПолный!A:B,2,FALSE)</f>
        <v>36</v>
      </c>
      <c r="AD360" s="97" t="str">
        <f ca="1">IFERROR(VLOOKUP(R360,Размеры!A:D,4,FALSE),"")</f>
        <v>61</v>
      </c>
      <c r="AE360" s="97">
        <f ca="1">IF(LEFT(IFERROR(VLOOKUP(LOOKUP(2,1/SEARCH(B360,Товары!A:A),Товары!A:A),Товары!A:B,2,0),""),6)=MID(Z360,1,6),1,0)</f>
        <v>1</v>
      </c>
      <c r="AG360" s="97">
        <f ca="1">SUMIF(Группа!A:A,C360,Группа!C:C)</f>
        <v>1</v>
      </c>
      <c r="AH360" s="97">
        <f ca="1">SUMIF(Группа!B:B,AA360,Группа!C:C)</f>
        <v>1</v>
      </c>
      <c r="AI360" s="97">
        <f ca="1">SUMIF(Формы!A:A,D360,Формы!B:B)</f>
        <v>1</v>
      </c>
      <c r="AJ360" s="97">
        <f ca="1">SUMIF(Материал!A:A,K360,Материал!B:B)</f>
        <v>1</v>
      </c>
      <c r="AK360" s="97">
        <f ca="1">SUMIF(Размеры!A:A,R360,Размеры!E:E)</f>
        <v>1</v>
      </c>
      <c r="AL360" s="97">
        <f ca="1">SUMIF(Сезон!A:A,F360,Сезон!B:B)</f>
        <v>1</v>
      </c>
      <c r="AM360" s="97">
        <f ca="1">SUMIF(Состав!A:A,J360,Состав!B:B)</f>
        <v>1</v>
      </c>
      <c r="AN360" s="97">
        <f ca="1">VLOOKUP(I360,ЦветПолный!A:C,3,0)</f>
        <v>1</v>
      </c>
      <c r="AO360" s="97">
        <f ca="1">SUMIF(Цвет!A:A,Y360,Цвет!B:B)</f>
        <v>1</v>
      </c>
      <c r="AP360" s="97">
        <f ca="1">_xlfn.XLOOKUP(L360,Пол!A:A,Пол!B:B,0,0)</f>
        <v>1</v>
      </c>
      <c r="AQ360" s="97">
        <f ca="1">SUMIF(Марка!A:A,G360,Марка!B:B)</f>
        <v>1</v>
      </c>
      <c r="AR360" s="97">
        <f ca="1">SUMIF(Страна!A:A,M360,Страна!B:B)</f>
        <v>1</v>
      </c>
      <c r="AS360" s="64" t="str">
        <f ca="1">IF(VLOOKUP(V360,Товары!A:B,2,FALSE)=A360,"Есть в 1С","ERR")</f>
        <v>Есть в 1С</v>
      </c>
      <c r="AT360" s="65" t="str">
        <f ca="1">IF(VLOOKUP(A360,Товары!B:B,1,FALSE)=A360,"Есть в 1С","ERR")</f>
        <v>Есть в 1С</v>
      </c>
      <c r="AU360" s="96" t="str">
        <f ca="1">VLOOKUP(V360,Товары!A:B,2,FALSE)</f>
        <v>21-089-36</v>
      </c>
      <c r="AV360" s="94" t="str">
        <f ca="1">VLOOKUP(V360,Товары!A:B,1,FALSE)</f>
        <v>Шляпа BAILEY арт. 81650 SALEM (кремовый) {natural}</v>
      </c>
    </row>
    <row r="361" spans="1:48" x14ac:dyDescent="0.25">
      <c r="A361" s="110" t="str">
        <f t="shared" ca="1" si="37"/>
        <v>21-089-36</v>
      </c>
      <c r="B361" s="107" t="str">
        <f ca="1">_xlfn.LET(_xlpm.CAPS,0,_xlpm.Style,_xlfn.XLOOKUP($A361,Строчный!$A:$A,Строчный!B:B,"ERR",0),IF(_xlpm.CAPS=0,_xlpm.Style,LOWER(_xlpm.Style)))</f>
        <v>81650 SALEM</v>
      </c>
      <c r="C361" s="81" t="str">
        <f ca="1">PROPER(_xlfn.XLOOKUP($A361,Строчный!$A:$A,Строчный!C:C,"ERR",0))</f>
        <v>Шляпы</v>
      </c>
      <c r="D361" s="81" t="str">
        <f ca="1">_xlfn.LET(_xlpm.DATA,(_xlfn.XLOOKUP($A361,Строчный!$A:$A,Строчный!D:D,"ERR",0)),UPPER(MID(_xlpm.DATA,1,1))&amp;LOWER(MID(_xlpm.DATA,2,LEN(_xlpm.DATA)-1)))</f>
        <v>Шляпа хомбург</v>
      </c>
      <c r="E361" s="81" t="str">
        <f ca="1">PROPER(_xlfn.XLOOKUP($A361,Строчный!$A:$A,Строчный!E:E,"ERR",0))</f>
        <v>The Hollywood</v>
      </c>
      <c r="F361" s="81" t="str">
        <f ca="1">LOWER(_xlfn.XLOOKUP($A361,Строчный!$A:$A,Строчный!F:F,"ERR",0))</f>
        <v>летний</v>
      </c>
      <c r="G361" s="81" t="str">
        <f ca="1">UPPER(_xlfn.XLOOKUP($A361,Строчный!$A:$A,Строчный!G:G,"ERR",0))</f>
        <v>BAILEY</v>
      </c>
      <c r="H361" s="81" t="str">
        <f ca="1">LOWER(_xlfn.XLOOKUP($A361,Строчный!$A:$A,Строчный!H:H,"ERR",0))</f>
        <v>natural</v>
      </c>
      <c r="I361" s="81" t="str">
        <f ca="1">LOWER(_xlfn.XLOOKUP($A361,Строчный!$A:$A,Строчный!I:I,"ERR",0))</f>
        <v>кремовый</v>
      </c>
      <c r="J361" s="81" t="str">
        <f ca="1">SUBSTITUTE(LOWER(_xlfn.XLOOKUP($A361,Строчный!$A:$A,Строчный!J:J,"ERR",0)),"подклад","Подклад")</f>
        <v>55% бумага - 45% полиэстер</v>
      </c>
      <c r="K361" s="81" t="str">
        <f ca="1">LOWER(_xlfn.XLOOKUP($A361,Строчный!$A:$A,Строчный!K:K,"ERR",0))</f>
        <v>бумажные</v>
      </c>
      <c r="L361" s="81" t="str">
        <f ca="1">PROPER(_xlfn.XLOOKUP($A361,Строчный!$A:$A,Строчный!L:L,"ERR",0))</f>
        <v>Унисекс</v>
      </c>
      <c r="M361" s="113" t="str">
        <f ca="1">PROPER(_xlfn.XLOOKUP($A361,Строчный!$A:$A,Строчный!M:M,"ERR",0))</f>
        <v>Китай</v>
      </c>
      <c r="N361" s="81" t="str">
        <f ca="1">UPPER(_xlfn.XLOOKUP($A361,Строчный!$A:$A,Строчный!O:O,"ERR",0))</f>
        <v/>
      </c>
      <c r="O361" s="107" t="str">
        <f ca="1">PROPER(_xlfn.XLOOKUP($A361,Строчный!$A:$A,Строчный!P:P,"ERR",0))</f>
        <v/>
      </c>
      <c r="P361" s="90">
        <f ca="1">VALUE(_xlfn.XLOOKUP($A361,Строчный!$A:$A,Строчный!N:N,"ERR",0))</f>
        <v>2094.3000000000002</v>
      </c>
      <c r="Q361" s="89" t="str">
        <f ca="1">_xlfn.XLOOKUP($G361,Фабрика!A:A,Фабрика!B:B,"ERR",0)</f>
        <v>Bollman Headwear Europe Ltd; 2 Merchants drive, Caelisle, Cumbria CA3 0JW, United Kingdom</v>
      </c>
      <c r="R361" s="80" t="str">
        <f ca="1">_xlfn.XLOOKUP(RIGHT(Z361,2),Размеры!D:D,Размеры!A:A,"ERR",0)</f>
        <v>59</v>
      </c>
      <c r="S361" s="80">
        <f ca="1">VALUE(_xlfn.XLOOKUP($Z361,Строчный!$R:$R,Строчный!T:T,"ERR",0))</f>
        <v>8</v>
      </c>
      <c r="T361" s="14" t="s">
        <v>265</v>
      </c>
      <c r="U361" s="101" t="str">
        <f t="shared" ca="1" si="33"/>
        <v>Шляпа BAILEY арт. 81650 SALEM (кремовый)</v>
      </c>
      <c r="V361" s="100" t="str">
        <f t="shared" ca="1" si="34"/>
        <v>Шляпа BAILEY арт. 81650 SALEM (кремовый) {natural}</v>
      </c>
      <c r="W361" s="18" t="str">
        <f t="shared" ca="1" si="35"/>
        <v>кремовый</v>
      </c>
      <c r="X361" s="18" t="str">
        <f t="shared" ca="1" si="36"/>
        <v>кремовый</v>
      </c>
      <c r="Y361" s="117" t="str">
        <f ca="1">_xlfn.LET(_xlpm.FormColors,_xlfn.XLOOKUP(A361,Строчный!A:A,Строчный!Q:Q,"",0),IF(_xlpm.FormColors=0,IFERROR(MID(I361,FIND("-",I361)+1,LEN(I361)),IFERROR(MID(I361,1,FIND("/",I361)-2),I361)),_xlpm.FormColors))</f>
        <v>кремовый</v>
      </c>
      <c r="Z361" s="73" t="str">
        <f ca="1"/>
        <v>21-089-36-59</v>
      </c>
      <c r="AA361" s="75" t="str">
        <f ca="1">VLOOKUP(C361,Группа!A:B,2,FALSE)</f>
        <v>Шляпа</v>
      </c>
      <c r="AB361" s="97" t="str">
        <f ca="1">IFERROR(VLOOKUP(R361,Размеры!A:C,3,FALSE),"")</f>
        <v>59 L</v>
      </c>
      <c r="AC361" s="97" t="str">
        <f ca="1">VLOOKUP(I361,ЦветПолный!A:B,2,FALSE)</f>
        <v>36</v>
      </c>
      <c r="AD361" s="97" t="str">
        <f ca="1">IFERROR(VLOOKUP(R361,Размеры!A:D,4,FALSE),"")</f>
        <v>59</v>
      </c>
      <c r="AE361" s="97">
        <f ca="1">IF(LEFT(IFERROR(VLOOKUP(LOOKUP(2,1/SEARCH(B361,Товары!A:A),Товары!A:A),Товары!A:B,2,0),""),6)=MID(Z361,1,6),1,0)</f>
        <v>1</v>
      </c>
      <c r="AG361" s="97">
        <f ca="1">SUMIF(Группа!A:A,C361,Группа!C:C)</f>
        <v>1</v>
      </c>
      <c r="AH361" s="97">
        <f ca="1">SUMIF(Группа!B:B,AA361,Группа!C:C)</f>
        <v>1</v>
      </c>
      <c r="AI361" s="97">
        <f ca="1">SUMIF(Формы!A:A,D361,Формы!B:B)</f>
        <v>1</v>
      </c>
      <c r="AJ361" s="97">
        <f ca="1">SUMIF(Материал!A:A,K361,Материал!B:B)</f>
        <v>1</v>
      </c>
      <c r="AK361" s="97">
        <f ca="1">SUMIF(Размеры!A:A,R361,Размеры!E:E)</f>
        <v>1</v>
      </c>
      <c r="AL361" s="97">
        <f ca="1">SUMIF(Сезон!A:A,F361,Сезон!B:B)</f>
        <v>1</v>
      </c>
      <c r="AM361" s="97">
        <f ca="1">SUMIF(Состав!A:A,J361,Состав!B:B)</f>
        <v>1</v>
      </c>
      <c r="AN361" s="97">
        <f ca="1">VLOOKUP(I361,ЦветПолный!A:C,3,0)</f>
        <v>1</v>
      </c>
      <c r="AO361" s="97">
        <f ca="1">SUMIF(Цвет!A:A,Y361,Цвет!B:B)</f>
        <v>1</v>
      </c>
      <c r="AP361" s="97">
        <f ca="1">_xlfn.XLOOKUP(L361,Пол!A:A,Пол!B:B,0,0)</f>
        <v>1</v>
      </c>
      <c r="AQ361" s="97">
        <f ca="1">SUMIF(Марка!A:A,G361,Марка!B:B)</f>
        <v>1</v>
      </c>
      <c r="AR361" s="97">
        <f ca="1">SUMIF(Страна!A:A,M361,Страна!B:B)</f>
        <v>1</v>
      </c>
      <c r="AS361" s="64" t="str">
        <f ca="1">IF(VLOOKUP(V361,Товары!A:B,2,FALSE)=A361,"Есть в 1С","ERR")</f>
        <v>Есть в 1С</v>
      </c>
      <c r="AT361" s="65" t="str">
        <f ca="1">IF(VLOOKUP(A361,Товары!B:B,1,FALSE)=A361,"Есть в 1С","ERR")</f>
        <v>Есть в 1С</v>
      </c>
      <c r="AU361" s="96" t="str">
        <f ca="1">VLOOKUP(V361,Товары!A:B,2,FALSE)</f>
        <v>21-089-36</v>
      </c>
      <c r="AV361" s="94" t="str">
        <f ca="1">VLOOKUP(V361,Товары!A:B,1,FALSE)</f>
        <v>Шляпа BAILEY арт. 81650 SALEM (кремовый) {natural}</v>
      </c>
    </row>
    <row r="362" spans="1:48" x14ac:dyDescent="0.25">
      <c r="A362" s="110" t="str">
        <f t="shared" ca="1" si="37"/>
        <v>21-089-36</v>
      </c>
      <c r="B362" s="107" t="str">
        <f ca="1">_xlfn.LET(_xlpm.CAPS,0,_xlpm.Style,_xlfn.XLOOKUP($A362,Строчный!$A:$A,Строчный!B:B,"ERR",0),IF(_xlpm.CAPS=0,_xlpm.Style,LOWER(_xlpm.Style)))</f>
        <v>81650 SALEM</v>
      </c>
      <c r="C362" s="81" t="str">
        <f ca="1">PROPER(_xlfn.XLOOKUP($A362,Строчный!$A:$A,Строчный!C:C,"ERR",0))</f>
        <v>Шляпы</v>
      </c>
      <c r="D362" s="81" t="str">
        <f ca="1">_xlfn.LET(_xlpm.DATA,(_xlfn.XLOOKUP($A362,Строчный!$A:$A,Строчный!D:D,"ERR",0)),UPPER(MID(_xlpm.DATA,1,1))&amp;LOWER(MID(_xlpm.DATA,2,LEN(_xlpm.DATA)-1)))</f>
        <v>Шляпа хомбург</v>
      </c>
      <c r="E362" s="81" t="str">
        <f ca="1">PROPER(_xlfn.XLOOKUP($A362,Строчный!$A:$A,Строчный!E:E,"ERR",0))</f>
        <v>The Hollywood</v>
      </c>
      <c r="F362" s="81" t="str">
        <f ca="1">LOWER(_xlfn.XLOOKUP($A362,Строчный!$A:$A,Строчный!F:F,"ERR",0))</f>
        <v>летний</v>
      </c>
      <c r="G362" s="81" t="str">
        <f ca="1">UPPER(_xlfn.XLOOKUP($A362,Строчный!$A:$A,Строчный!G:G,"ERR",0))</f>
        <v>BAILEY</v>
      </c>
      <c r="H362" s="81" t="str">
        <f ca="1">LOWER(_xlfn.XLOOKUP($A362,Строчный!$A:$A,Строчный!H:H,"ERR",0))</f>
        <v>natural</v>
      </c>
      <c r="I362" s="81" t="str">
        <f ca="1">LOWER(_xlfn.XLOOKUP($A362,Строчный!$A:$A,Строчный!I:I,"ERR",0))</f>
        <v>кремовый</v>
      </c>
      <c r="J362" s="81" t="str">
        <f ca="1">SUBSTITUTE(LOWER(_xlfn.XLOOKUP($A362,Строчный!$A:$A,Строчный!J:J,"ERR",0)),"подклад","Подклад")</f>
        <v>55% бумага - 45% полиэстер</v>
      </c>
      <c r="K362" s="81" t="str">
        <f ca="1">LOWER(_xlfn.XLOOKUP($A362,Строчный!$A:$A,Строчный!K:K,"ERR",0))</f>
        <v>бумажные</v>
      </c>
      <c r="L362" s="81" t="str">
        <f ca="1">PROPER(_xlfn.XLOOKUP($A362,Строчный!$A:$A,Строчный!L:L,"ERR",0))</f>
        <v>Унисекс</v>
      </c>
      <c r="M362" s="113" t="str">
        <f ca="1">PROPER(_xlfn.XLOOKUP($A362,Строчный!$A:$A,Строчный!M:M,"ERR",0))</f>
        <v>Китай</v>
      </c>
      <c r="N362" s="81" t="str">
        <f ca="1">UPPER(_xlfn.XLOOKUP($A362,Строчный!$A:$A,Строчный!O:O,"ERR",0))</f>
        <v/>
      </c>
      <c r="O362" s="107" t="str">
        <f ca="1">PROPER(_xlfn.XLOOKUP($A362,Строчный!$A:$A,Строчный!P:P,"ERR",0))</f>
        <v/>
      </c>
      <c r="P362" s="90">
        <f ca="1">VALUE(_xlfn.XLOOKUP($A362,Строчный!$A:$A,Строчный!N:N,"ERR",0))</f>
        <v>2094.3000000000002</v>
      </c>
      <c r="Q362" s="89" t="str">
        <f ca="1">_xlfn.XLOOKUP($G362,Фабрика!A:A,Фабрика!B:B,"ERR",0)</f>
        <v>Bollman Headwear Europe Ltd; 2 Merchants drive, Caelisle, Cumbria CA3 0JW, United Kingdom</v>
      </c>
      <c r="R362" s="80" t="str">
        <f ca="1">_xlfn.XLOOKUP(RIGHT(Z362,2),Размеры!D:D,Размеры!A:A,"ERR",0)</f>
        <v>57</v>
      </c>
      <c r="S362" s="80">
        <f ca="1">VALUE(_xlfn.XLOOKUP($Z362,Строчный!$R:$R,Строчный!T:T,"ERR",0))</f>
        <v>7</v>
      </c>
      <c r="T362" s="14" t="s">
        <v>265</v>
      </c>
      <c r="U362" s="101" t="str">
        <f t="shared" ca="1" si="33"/>
        <v>Шляпа BAILEY арт. 81650 SALEM (кремовый)</v>
      </c>
      <c r="V362" s="100" t="str">
        <f t="shared" ca="1" si="34"/>
        <v>Шляпа BAILEY арт. 81650 SALEM (кремовый) {natural}</v>
      </c>
      <c r="W362" s="18" t="str">
        <f t="shared" ca="1" si="35"/>
        <v>кремовый</v>
      </c>
      <c r="X362" s="18" t="str">
        <f t="shared" ca="1" si="36"/>
        <v>кремовый</v>
      </c>
      <c r="Y362" s="117" t="str">
        <f ca="1">_xlfn.LET(_xlpm.FormColors,_xlfn.XLOOKUP(A362,Строчный!A:A,Строчный!Q:Q,"",0),IF(_xlpm.FormColors=0,IFERROR(MID(I362,FIND("-",I362)+1,LEN(I362)),IFERROR(MID(I362,1,FIND("/",I362)-2),I362)),_xlpm.FormColors))</f>
        <v>кремовый</v>
      </c>
      <c r="Z362" s="73" t="str">
        <f ca="1"/>
        <v>21-089-36-57</v>
      </c>
      <c r="AA362" s="75" t="str">
        <f ca="1">VLOOKUP(C362,Группа!A:B,2,FALSE)</f>
        <v>Шляпа</v>
      </c>
      <c r="AB362" s="97" t="str">
        <f ca="1">IFERROR(VLOOKUP(R362,Размеры!A:C,3,FALSE),"")</f>
        <v>57 M</v>
      </c>
      <c r="AC362" s="97" t="str">
        <f ca="1">VLOOKUP(I362,ЦветПолный!A:B,2,FALSE)</f>
        <v>36</v>
      </c>
      <c r="AD362" s="97" t="str">
        <f ca="1">IFERROR(VLOOKUP(R362,Размеры!A:D,4,FALSE),"")</f>
        <v>57</v>
      </c>
      <c r="AE362" s="97">
        <f ca="1">IF(LEFT(IFERROR(VLOOKUP(LOOKUP(2,1/SEARCH(B362,Товары!A:A),Товары!A:A),Товары!A:B,2,0),""),6)=MID(Z362,1,6),1,0)</f>
        <v>1</v>
      </c>
      <c r="AG362" s="97">
        <f ca="1">SUMIF(Группа!A:A,C362,Группа!C:C)</f>
        <v>1</v>
      </c>
      <c r="AH362" s="97">
        <f ca="1">SUMIF(Группа!B:B,AA362,Группа!C:C)</f>
        <v>1</v>
      </c>
      <c r="AI362" s="97">
        <f ca="1">SUMIF(Формы!A:A,D362,Формы!B:B)</f>
        <v>1</v>
      </c>
      <c r="AJ362" s="97">
        <f ca="1">SUMIF(Материал!A:A,K362,Материал!B:B)</f>
        <v>1</v>
      </c>
      <c r="AK362" s="97">
        <f ca="1">SUMIF(Размеры!A:A,R362,Размеры!E:E)</f>
        <v>1</v>
      </c>
      <c r="AL362" s="97">
        <f ca="1">SUMIF(Сезон!A:A,F362,Сезон!B:B)</f>
        <v>1</v>
      </c>
      <c r="AM362" s="97">
        <f ca="1">SUMIF(Состав!A:A,J362,Состав!B:B)</f>
        <v>1</v>
      </c>
      <c r="AN362" s="97">
        <f ca="1">VLOOKUP(I362,ЦветПолный!A:C,3,0)</f>
        <v>1</v>
      </c>
      <c r="AO362" s="97">
        <f ca="1">SUMIF(Цвет!A:A,Y362,Цвет!B:B)</f>
        <v>1</v>
      </c>
      <c r="AP362" s="97">
        <f ca="1">_xlfn.XLOOKUP(L362,Пол!A:A,Пол!B:B,0,0)</f>
        <v>1</v>
      </c>
      <c r="AQ362" s="97">
        <f ca="1">SUMIF(Марка!A:A,G362,Марка!B:B)</f>
        <v>1</v>
      </c>
      <c r="AR362" s="97">
        <f ca="1">SUMIF(Страна!A:A,M362,Страна!B:B)</f>
        <v>1</v>
      </c>
      <c r="AS362" s="64" t="str">
        <f ca="1">IF(VLOOKUP(V362,Товары!A:B,2,FALSE)=A362,"Есть в 1С","ERR")</f>
        <v>Есть в 1С</v>
      </c>
      <c r="AT362" s="65" t="str">
        <f ca="1">IF(VLOOKUP(A362,Товары!B:B,1,FALSE)=A362,"Есть в 1С","ERR")</f>
        <v>Есть в 1С</v>
      </c>
      <c r="AU362" s="96" t="str">
        <f ca="1">VLOOKUP(V362,Товары!A:B,2,FALSE)</f>
        <v>21-089-36</v>
      </c>
      <c r="AV362" s="94" t="str">
        <f ca="1">VLOOKUP(V362,Товары!A:B,1,FALSE)</f>
        <v>Шляпа BAILEY арт. 81650 SALEM (кремовый) {natural}</v>
      </c>
    </row>
    <row r="363" spans="1:48" x14ac:dyDescent="0.25">
      <c r="A363" s="110" t="str">
        <f t="shared" ca="1" si="37"/>
        <v>21-089-36</v>
      </c>
      <c r="B363" s="107" t="str">
        <f ca="1">_xlfn.LET(_xlpm.CAPS,0,_xlpm.Style,_xlfn.XLOOKUP($A363,Строчный!$A:$A,Строчный!B:B,"ERR",0),IF(_xlpm.CAPS=0,_xlpm.Style,LOWER(_xlpm.Style)))</f>
        <v>81650 SALEM</v>
      </c>
      <c r="C363" s="81" t="str">
        <f ca="1">PROPER(_xlfn.XLOOKUP($A363,Строчный!$A:$A,Строчный!C:C,"ERR",0))</f>
        <v>Шляпы</v>
      </c>
      <c r="D363" s="81" t="str">
        <f ca="1">_xlfn.LET(_xlpm.DATA,(_xlfn.XLOOKUP($A363,Строчный!$A:$A,Строчный!D:D,"ERR",0)),UPPER(MID(_xlpm.DATA,1,1))&amp;LOWER(MID(_xlpm.DATA,2,LEN(_xlpm.DATA)-1)))</f>
        <v>Шляпа хомбург</v>
      </c>
      <c r="E363" s="81" t="str">
        <f ca="1">PROPER(_xlfn.XLOOKUP($A363,Строчный!$A:$A,Строчный!E:E,"ERR",0))</f>
        <v>The Hollywood</v>
      </c>
      <c r="F363" s="81" t="str">
        <f ca="1">LOWER(_xlfn.XLOOKUP($A363,Строчный!$A:$A,Строчный!F:F,"ERR",0))</f>
        <v>летний</v>
      </c>
      <c r="G363" s="81" t="str">
        <f ca="1">UPPER(_xlfn.XLOOKUP($A363,Строчный!$A:$A,Строчный!G:G,"ERR",0))</f>
        <v>BAILEY</v>
      </c>
      <c r="H363" s="81" t="str">
        <f ca="1">LOWER(_xlfn.XLOOKUP($A363,Строчный!$A:$A,Строчный!H:H,"ERR",0))</f>
        <v>natural</v>
      </c>
      <c r="I363" s="81" t="str">
        <f ca="1">LOWER(_xlfn.XLOOKUP($A363,Строчный!$A:$A,Строчный!I:I,"ERR",0))</f>
        <v>кремовый</v>
      </c>
      <c r="J363" s="81" t="str">
        <f ca="1">SUBSTITUTE(LOWER(_xlfn.XLOOKUP($A363,Строчный!$A:$A,Строчный!J:J,"ERR",0)),"подклад","Подклад")</f>
        <v>55% бумага - 45% полиэстер</v>
      </c>
      <c r="K363" s="81" t="str">
        <f ca="1">LOWER(_xlfn.XLOOKUP($A363,Строчный!$A:$A,Строчный!K:K,"ERR",0))</f>
        <v>бумажные</v>
      </c>
      <c r="L363" s="81" t="str">
        <f ca="1">PROPER(_xlfn.XLOOKUP($A363,Строчный!$A:$A,Строчный!L:L,"ERR",0))</f>
        <v>Унисекс</v>
      </c>
      <c r="M363" s="113" t="str">
        <f ca="1">PROPER(_xlfn.XLOOKUP($A363,Строчный!$A:$A,Строчный!M:M,"ERR",0))</f>
        <v>Китай</v>
      </c>
      <c r="N363" s="81" t="str">
        <f ca="1">UPPER(_xlfn.XLOOKUP($A363,Строчный!$A:$A,Строчный!O:O,"ERR",0))</f>
        <v/>
      </c>
      <c r="O363" s="107" t="str">
        <f ca="1">PROPER(_xlfn.XLOOKUP($A363,Строчный!$A:$A,Строчный!P:P,"ERR",0))</f>
        <v/>
      </c>
      <c r="P363" s="90">
        <f ca="1">VALUE(_xlfn.XLOOKUP($A363,Строчный!$A:$A,Строчный!N:N,"ERR",0))</f>
        <v>2094.3000000000002</v>
      </c>
      <c r="Q363" s="89" t="str">
        <f ca="1">_xlfn.XLOOKUP($G363,Фабрика!A:A,Фабрика!B:B,"ERR",0)</f>
        <v>Bollman Headwear Europe Ltd; 2 Merchants drive, Caelisle, Cumbria CA3 0JW, United Kingdom</v>
      </c>
      <c r="R363" s="80" t="str">
        <f ca="1">_xlfn.XLOOKUP(RIGHT(Z363,2),Размеры!D:D,Размеры!A:A,"ERR",0)</f>
        <v>55</v>
      </c>
      <c r="S363" s="80">
        <f ca="1">VALUE(_xlfn.XLOOKUP($Z363,Строчный!$R:$R,Строчный!T:T,"ERR",0))</f>
        <v>2</v>
      </c>
      <c r="T363" s="14" t="s">
        <v>265</v>
      </c>
      <c r="U363" s="101" t="str">
        <f t="shared" ca="1" si="33"/>
        <v>Шляпа BAILEY арт. 81650 SALEM (кремовый)</v>
      </c>
      <c r="V363" s="100" t="str">
        <f t="shared" ca="1" si="34"/>
        <v>Шляпа BAILEY арт. 81650 SALEM (кремовый) {natural}</v>
      </c>
      <c r="W363" s="18" t="str">
        <f t="shared" ca="1" si="35"/>
        <v>кремовый</v>
      </c>
      <c r="X363" s="18" t="str">
        <f t="shared" ca="1" si="36"/>
        <v>кремовый</v>
      </c>
      <c r="Y363" s="117" t="str">
        <f ca="1">_xlfn.LET(_xlpm.FormColors,_xlfn.XLOOKUP(A363,Строчный!A:A,Строчный!Q:Q,"",0),IF(_xlpm.FormColors=0,IFERROR(MID(I363,FIND("-",I363)+1,LEN(I363)),IFERROR(MID(I363,1,FIND("/",I363)-2),I363)),_xlpm.FormColors))</f>
        <v>кремовый</v>
      </c>
      <c r="Z363" s="73" t="str">
        <f ca="1"/>
        <v>21-089-36-55</v>
      </c>
      <c r="AA363" s="75" t="str">
        <f ca="1">VLOOKUP(C363,Группа!A:B,2,FALSE)</f>
        <v>Шляпа</v>
      </c>
      <c r="AB363" s="97" t="str">
        <f ca="1">IFERROR(VLOOKUP(R363,Размеры!A:C,3,FALSE),"")</f>
        <v>55 S</v>
      </c>
      <c r="AC363" s="97" t="str">
        <f ca="1">VLOOKUP(I363,ЦветПолный!A:B,2,FALSE)</f>
        <v>36</v>
      </c>
      <c r="AD363" s="97" t="str">
        <f ca="1">IFERROR(VLOOKUP(R363,Размеры!A:D,4,FALSE),"")</f>
        <v>55</v>
      </c>
      <c r="AE363" s="97">
        <f ca="1">IF(LEFT(IFERROR(VLOOKUP(LOOKUP(2,1/SEARCH(B363,Товары!A:A),Товары!A:A),Товары!A:B,2,0),""),6)=MID(Z363,1,6),1,0)</f>
        <v>1</v>
      </c>
      <c r="AG363" s="97">
        <f ca="1">SUMIF(Группа!A:A,C363,Группа!C:C)</f>
        <v>1</v>
      </c>
      <c r="AH363" s="97">
        <f ca="1">SUMIF(Группа!B:B,AA363,Группа!C:C)</f>
        <v>1</v>
      </c>
      <c r="AI363" s="97">
        <f ca="1">SUMIF(Формы!A:A,D363,Формы!B:B)</f>
        <v>1</v>
      </c>
      <c r="AJ363" s="97">
        <f ca="1">SUMIF(Материал!A:A,K363,Материал!B:B)</f>
        <v>1</v>
      </c>
      <c r="AK363" s="97">
        <f ca="1">SUMIF(Размеры!A:A,R363,Размеры!E:E)</f>
        <v>1</v>
      </c>
      <c r="AL363" s="97">
        <f ca="1">SUMIF(Сезон!A:A,F363,Сезон!B:B)</f>
        <v>1</v>
      </c>
      <c r="AM363" s="97">
        <f ca="1">SUMIF(Состав!A:A,J363,Состав!B:B)</f>
        <v>1</v>
      </c>
      <c r="AN363" s="97">
        <f ca="1">VLOOKUP(I363,ЦветПолный!A:C,3,0)</f>
        <v>1</v>
      </c>
      <c r="AO363" s="97">
        <f ca="1">SUMIF(Цвет!A:A,Y363,Цвет!B:B)</f>
        <v>1</v>
      </c>
      <c r="AP363" s="97">
        <f ca="1">_xlfn.XLOOKUP(L363,Пол!A:A,Пол!B:B,0,0)</f>
        <v>1</v>
      </c>
      <c r="AQ363" s="97">
        <f ca="1">SUMIF(Марка!A:A,G363,Марка!B:B)</f>
        <v>1</v>
      </c>
      <c r="AR363" s="97">
        <f ca="1">SUMIF(Страна!A:A,M363,Страна!B:B)</f>
        <v>1</v>
      </c>
      <c r="AS363" s="64" t="str">
        <f ca="1">IF(VLOOKUP(V363,Товары!A:B,2,FALSE)=A363,"Есть в 1С","ERR")</f>
        <v>Есть в 1С</v>
      </c>
      <c r="AT363" s="65" t="str">
        <f ca="1">IF(VLOOKUP(A363,Товары!B:B,1,FALSE)=A363,"Есть в 1С","ERR")</f>
        <v>Есть в 1С</v>
      </c>
      <c r="AU363" s="96" t="str">
        <f ca="1">VLOOKUP(V363,Товары!A:B,2,FALSE)</f>
        <v>21-089-36</v>
      </c>
      <c r="AV363" s="94" t="str">
        <f ca="1">VLOOKUP(V363,Товары!A:B,1,FALSE)</f>
        <v>Шляпа BAILEY арт. 81650 SALEM (кремовый) {natural}</v>
      </c>
    </row>
    <row r="364" spans="1:48" x14ac:dyDescent="0.25">
      <c r="A364" s="110" t="str">
        <f t="shared" ca="1" si="37"/>
        <v>21-089-17</v>
      </c>
      <c r="B364" s="107" t="str">
        <f ca="1">_xlfn.LET(_xlpm.CAPS,0,_xlpm.Style,_xlfn.XLOOKUP($A364,Строчный!$A:$A,Строчный!B:B,"ERR",0),IF(_xlpm.CAPS=0,_xlpm.Style,LOWER(_xlpm.Style)))</f>
        <v>81650 SALEM</v>
      </c>
      <c r="C364" s="81" t="str">
        <f ca="1">PROPER(_xlfn.XLOOKUP($A364,Строчный!$A:$A,Строчный!C:C,"ERR",0))</f>
        <v>Шляпы</v>
      </c>
      <c r="D364" s="81" t="str">
        <f ca="1">_xlfn.LET(_xlpm.DATA,(_xlfn.XLOOKUP($A364,Строчный!$A:$A,Строчный!D:D,"ERR",0)),UPPER(MID(_xlpm.DATA,1,1))&amp;LOWER(MID(_xlpm.DATA,2,LEN(_xlpm.DATA)-1)))</f>
        <v>Шляпа хомбург</v>
      </c>
      <c r="E364" s="81" t="str">
        <f ca="1">PROPER(_xlfn.XLOOKUP($A364,Строчный!$A:$A,Строчный!E:E,"ERR",0))</f>
        <v>The Hollywood</v>
      </c>
      <c r="F364" s="81" t="str">
        <f ca="1">LOWER(_xlfn.XLOOKUP($A364,Строчный!$A:$A,Строчный!F:F,"ERR",0))</f>
        <v>летний</v>
      </c>
      <c r="G364" s="81" t="str">
        <f ca="1">UPPER(_xlfn.XLOOKUP($A364,Строчный!$A:$A,Строчный!G:G,"ERR",0))</f>
        <v>BAILEY</v>
      </c>
      <c r="H364" s="81" t="str">
        <f ca="1">LOWER(_xlfn.XLOOKUP($A364,Строчный!$A:$A,Строчный!H:H,"ERR",0))</f>
        <v>white</v>
      </c>
      <c r="I364" s="81" t="str">
        <f ca="1">LOWER(_xlfn.XLOOKUP($A364,Строчный!$A:$A,Строчный!I:I,"ERR",0))</f>
        <v>белый</v>
      </c>
      <c r="J364" s="81" t="str">
        <f ca="1">SUBSTITUTE(LOWER(_xlfn.XLOOKUP($A364,Строчный!$A:$A,Строчный!J:J,"ERR",0)),"подклад","Подклад")</f>
        <v>55% бумага - 45% полиэстер</v>
      </c>
      <c r="K364" s="81" t="str">
        <f ca="1">LOWER(_xlfn.XLOOKUP($A364,Строчный!$A:$A,Строчный!K:K,"ERR",0))</f>
        <v>бумажные</v>
      </c>
      <c r="L364" s="81" t="str">
        <f ca="1">PROPER(_xlfn.XLOOKUP($A364,Строчный!$A:$A,Строчный!L:L,"ERR",0))</f>
        <v>Унисекс</v>
      </c>
      <c r="M364" s="113" t="str">
        <f ca="1">PROPER(_xlfn.XLOOKUP($A364,Строчный!$A:$A,Строчный!M:M,"ERR",0))</f>
        <v>Китай</v>
      </c>
      <c r="N364" s="81" t="str">
        <f ca="1">UPPER(_xlfn.XLOOKUP($A364,Строчный!$A:$A,Строчный!O:O,"ERR",0))</f>
        <v/>
      </c>
      <c r="O364" s="107" t="str">
        <f ca="1">PROPER(_xlfn.XLOOKUP($A364,Строчный!$A:$A,Строчный!P:P,"ERR",0))</f>
        <v/>
      </c>
      <c r="P364" s="90">
        <f ca="1">VALUE(_xlfn.XLOOKUP($A364,Строчный!$A:$A,Строчный!N:N,"ERR",0))</f>
        <v>2094.3000000000002</v>
      </c>
      <c r="Q364" s="89" t="str">
        <f ca="1">_xlfn.XLOOKUP($G364,Фабрика!A:A,Фабрика!B:B,"ERR",0)</f>
        <v>Bollman Headwear Europe Ltd; 2 Merchants drive, Caelisle, Cumbria CA3 0JW, United Kingdom</v>
      </c>
      <c r="R364" s="80" t="str">
        <f ca="1">_xlfn.XLOOKUP(RIGHT(Z364,2),Размеры!D:D,Размеры!A:A,"ERR",0)</f>
        <v>63</v>
      </c>
      <c r="S364" s="80">
        <f ca="1">VALUE(_xlfn.XLOOKUP($Z364,Строчный!$R:$R,Строчный!T:T,"ERR",0))</f>
        <v>2</v>
      </c>
      <c r="T364" s="14" t="s">
        <v>265</v>
      </c>
      <c r="U364" s="101" t="str">
        <f t="shared" ca="1" si="33"/>
        <v>Шляпа BAILEY арт. 81650 SALEM (белый)</v>
      </c>
      <c r="V364" s="100" t="str">
        <f t="shared" ca="1" si="34"/>
        <v>Шляпа BAILEY арт. 81650 SALEM (белый) {white}</v>
      </c>
      <c r="W364" s="18" t="str">
        <f t="shared" ca="1" si="35"/>
        <v>белый</v>
      </c>
      <c r="X364" s="18" t="str">
        <f t="shared" ca="1" si="36"/>
        <v>белый</v>
      </c>
      <c r="Y364" s="117" t="str">
        <f ca="1">_xlfn.LET(_xlpm.FormColors,_xlfn.XLOOKUP(A364,Строчный!A:A,Строчный!Q:Q,"",0),IF(_xlpm.FormColors=0,IFERROR(MID(I364,FIND("-",I364)+1,LEN(I364)),IFERROR(MID(I364,1,FIND("/",I364)-2),I364)),_xlpm.FormColors))</f>
        <v>белый</v>
      </c>
      <c r="Z364" s="73" t="str">
        <f ca="1"/>
        <v>21-089-17-63</v>
      </c>
      <c r="AA364" s="75" t="str">
        <f ca="1">VLOOKUP(C364,Группа!A:B,2,FALSE)</f>
        <v>Шляпа</v>
      </c>
      <c r="AB364" s="97" t="str">
        <f ca="1">IFERROR(VLOOKUP(R364,Размеры!A:C,3,FALSE),"")</f>
        <v>63 XXL</v>
      </c>
      <c r="AC364" s="97" t="str">
        <f ca="1">VLOOKUP(I364,ЦветПолный!A:B,2,FALSE)</f>
        <v>17</v>
      </c>
      <c r="AD364" s="97" t="str">
        <f ca="1">IFERROR(VLOOKUP(R364,Размеры!A:D,4,FALSE),"")</f>
        <v>63</v>
      </c>
      <c r="AE364" s="97">
        <f ca="1">IF(LEFT(IFERROR(VLOOKUP(LOOKUP(2,1/SEARCH(B364,Товары!A:A),Товары!A:A),Товары!A:B,2,0),""),6)=MID(Z364,1,6),1,0)</f>
        <v>1</v>
      </c>
      <c r="AG364" s="97">
        <f ca="1">SUMIF(Группа!A:A,C364,Группа!C:C)</f>
        <v>1</v>
      </c>
      <c r="AH364" s="97">
        <f ca="1">SUMIF(Группа!B:B,AA364,Группа!C:C)</f>
        <v>1</v>
      </c>
      <c r="AI364" s="97">
        <f ca="1">SUMIF(Формы!A:A,D364,Формы!B:B)</f>
        <v>1</v>
      </c>
      <c r="AJ364" s="97">
        <f ca="1">SUMIF(Материал!A:A,K364,Материал!B:B)</f>
        <v>1</v>
      </c>
      <c r="AK364" s="97">
        <f ca="1">SUMIF(Размеры!A:A,R364,Размеры!E:E)</f>
        <v>1</v>
      </c>
      <c r="AL364" s="97">
        <f ca="1">SUMIF(Сезон!A:A,F364,Сезон!B:B)</f>
        <v>1</v>
      </c>
      <c r="AM364" s="97">
        <f ca="1">SUMIF(Состав!A:A,J364,Состав!B:B)</f>
        <v>1</v>
      </c>
      <c r="AN364" s="97">
        <f ca="1">VLOOKUP(I364,ЦветПолный!A:C,3,0)</f>
        <v>1</v>
      </c>
      <c r="AO364" s="97">
        <f ca="1">SUMIF(Цвет!A:A,Y364,Цвет!B:B)</f>
        <v>1</v>
      </c>
      <c r="AP364" s="97">
        <f ca="1">_xlfn.XLOOKUP(L364,Пол!A:A,Пол!B:B,0,0)</f>
        <v>1</v>
      </c>
      <c r="AQ364" s="97">
        <f ca="1">SUMIF(Марка!A:A,G364,Марка!B:B)</f>
        <v>1</v>
      </c>
      <c r="AR364" s="97">
        <f ca="1">SUMIF(Страна!A:A,M364,Страна!B:B)</f>
        <v>1</v>
      </c>
      <c r="AS364" s="64" t="str">
        <f ca="1">IF(VLOOKUP(V364,Товары!A:B,2,FALSE)=A364,"Есть в 1С","ERR")</f>
        <v>Есть в 1С</v>
      </c>
      <c r="AT364" s="65" t="str">
        <f ca="1">IF(VLOOKUP(A364,Товары!B:B,1,FALSE)=A364,"Есть в 1С","ERR")</f>
        <v>Есть в 1С</v>
      </c>
      <c r="AU364" s="96" t="str">
        <f ca="1">VLOOKUP(V364,Товары!A:B,2,FALSE)</f>
        <v>21-089-17</v>
      </c>
      <c r="AV364" s="94" t="str">
        <f ca="1">VLOOKUP(V364,Товары!A:B,1,FALSE)</f>
        <v>Шляпа BAILEY арт. 81650 SALEM (белый) {white}</v>
      </c>
    </row>
    <row r="365" spans="1:48" x14ac:dyDescent="0.25">
      <c r="A365" s="110" t="str">
        <f t="shared" ca="1" si="37"/>
        <v>21-089-17</v>
      </c>
      <c r="B365" s="107" t="str">
        <f ca="1">_xlfn.LET(_xlpm.CAPS,0,_xlpm.Style,_xlfn.XLOOKUP($A365,Строчный!$A:$A,Строчный!B:B,"ERR",0),IF(_xlpm.CAPS=0,_xlpm.Style,LOWER(_xlpm.Style)))</f>
        <v>81650 SALEM</v>
      </c>
      <c r="C365" s="81" t="str">
        <f ca="1">PROPER(_xlfn.XLOOKUP($A365,Строчный!$A:$A,Строчный!C:C,"ERR",0))</f>
        <v>Шляпы</v>
      </c>
      <c r="D365" s="81" t="str">
        <f ca="1">_xlfn.LET(_xlpm.DATA,(_xlfn.XLOOKUP($A365,Строчный!$A:$A,Строчный!D:D,"ERR",0)),UPPER(MID(_xlpm.DATA,1,1))&amp;LOWER(MID(_xlpm.DATA,2,LEN(_xlpm.DATA)-1)))</f>
        <v>Шляпа хомбург</v>
      </c>
      <c r="E365" s="81" t="str">
        <f ca="1">PROPER(_xlfn.XLOOKUP($A365,Строчный!$A:$A,Строчный!E:E,"ERR",0))</f>
        <v>The Hollywood</v>
      </c>
      <c r="F365" s="81" t="str">
        <f ca="1">LOWER(_xlfn.XLOOKUP($A365,Строчный!$A:$A,Строчный!F:F,"ERR",0))</f>
        <v>летний</v>
      </c>
      <c r="G365" s="81" t="str">
        <f ca="1">UPPER(_xlfn.XLOOKUP($A365,Строчный!$A:$A,Строчный!G:G,"ERR",0))</f>
        <v>BAILEY</v>
      </c>
      <c r="H365" s="81" t="str">
        <f ca="1">LOWER(_xlfn.XLOOKUP($A365,Строчный!$A:$A,Строчный!H:H,"ERR",0))</f>
        <v>white</v>
      </c>
      <c r="I365" s="81" t="str">
        <f ca="1">LOWER(_xlfn.XLOOKUP($A365,Строчный!$A:$A,Строчный!I:I,"ERR",0))</f>
        <v>белый</v>
      </c>
      <c r="J365" s="81" t="str">
        <f ca="1">SUBSTITUTE(LOWER(_xlfn.XLOOKUP($A365,Строчный!$A:$A,Строчный!J:J,"ERR",0)),"подклад","Подклад")</f>
        <v>55% бумага - 45% полиэстер</v>
      </c>
      <c r="K365" s="81" t="str">
        <f ca="1">LOWER(_xlfn.XLOOKUP($A365,Строчный!$A:$A,Строчный!K:K,"ERR",0))</f>
        <v>бумажные</v>
      </c>
      <c r="L365" s="81" t="str">
        <f ca="1">PROPER(_xlfn.XLOOKUP($A365,Строчный!$A:$A,Строчный!L:L,"ERR",0))</f>
        <v>Унисекс</v>
      </c>
      <c r="M365" s="113" t="str">
        <f ca="1">PROPER(_xlfn.XLOOKUP($A365,Строчный!$A:$A,Строчный!M:M,"ERR",0))</f>
        <v>Китай</v>
      </c>
      <c r="N365" s="81" t="str">
        <f ca="1">UPPER(_xlfn.XLOOKUP($A365,Строчный!$A:$A,Строчный!O:O,"ERR",0))</f>
        <v/>
      </c>
      <c r="O365" s="107" t="str">
        <f ca="1">PROPER(_xlfn.XLOOKUP($A365,Строчный!$A:$A,Строчный!P:P,"ERR",0))</f>
        <v/>
      </c>
      <c r="P365" s="90">
        <f ca="1">VALUE(_xlfn.XLOOKUP($A365,Строчный!$A:$A,Строчный!N:N,"ERR",0))</f>
        <v>2094.3000000000002</v>
      </c>
      <c r="Q365" s="89" t="str">
        <f ca="1">_xlfn.XLOOKUP($G365,Фабрика!A:A,Фабрика!B:B,"ERR",0)</f>
        <v>Bollman Headwear Europe Ltd; 2 Merchants drive, Caelisle, Cumbria CA3 0JW, United Kingdom</v>
      </c>
      <c r="R365" s="80" t="str">
        <f ca="1">_xlfn.XLOOKUP(RIGHT(Z365,2),Размеры!D:D,Размеры!A:A,"ERR",0)</f>
        <v>61</v>
      </c>
      <c r="S365" s="80">
        <f ca="1">VALUE(_xlfn.XLOOKUP($Z365,Строчный!$R:$R,Строчный!T:T,"ERR",0))</f>
        <v>7</v>
      </c>
      <c r="T365" s="14" t="s">
        <v>265</v>
      </c>
      <c r="U365" s="101" t="str">
        <f t="shared" ca="1" si="33"/>
        <v>Шляпа BAILEY арт. 81650 SALEM (белый)</v>
      </c>
      <c r="V365" s="100" t="str">
        <f t="shared" ca="1" si="34"/>
        <v>Шляпа BAILEY арт. 81650 SALEM (белый) {white}</v>
      </c>
      <c r="W365" s="18" t="str">
        <f t="shared" ca="1" si="35"/>
        <v>белый</v>
      </c>
      <c r="X365" s="18" t="str">
        <f t="shared" ca="1" si="36"/>
        <v>белый</v>
      </c>
      <c r="Y365" s="117" t="str">
        <f ca="1">_xlfn.LET(_xlpm.FormColors,_xlfn.XLOOKUP(A365,Строчный!A:A,Строчный!Q:Q,"",0),IF(_xlpm.FormColors=0,IFERROR(MID(I365,FIND("-",I365)+1,LEN(I365)),IFERROR(MID(I365,1,FIND("/",I365)-2),I365)),_xlpm.FormColors))</f>
        <v>белый</v>
      </c>
      <c r="Z365" s="73" t="str">
        <f ca="1"/>
        <v>21-089-17-61</v>
      </c>
      <c r="AA365" s="75" t="str">
        <f ca="1">VLOOKUP(C365,Группа!A:B,2,FALSE)</f>
        <v>Шляпа</v>
      </c>
      <c r="AB365" s="97" t="str">
        <f ca="1">IFERROR(VLOOKUP(R365,Размеры!A:C,3,FALSE),"")</f>
        <v>61 XL</v>
      </c>
      <c r="AC365" s="97" t="str">
        <f ca="1">VLOOKUP(I365,ЦветПолный!A:B,2,FALSE)</f>
        <v>17</v>
      </c>
      <c r="AD365" s="97" t="str">
        <f ca="1">IFERROR(VLOOKUP(R365,Размеры!A:D,4,FALSE),"")</f>
        <v>61</v>
      </c>
      <c r="AE365" s="97">
        <f ca="1">IF(LEFT(IFERROR(VLOOKUP(LOOKUP(2,1/SEARCH(B365,Товары!A:A),Товары!A:A),Товары!A:B,2,0),""),6)=MID(Z365,1,6),1,0)</f>
        <v>1</v>
      </c>
      <c r="AG365" s="97">
        <f ca="1">SUMIF(Группа!A:A,C365,Группа!C:C)</f>
        <v>1</v>
      </c>
      <c r="AH365" s="97">
        <f ca="1">SUMIF(Группа!B:B,AA365,Группа!C:C)</f>
        <v>1</v>
      </c>
      <c r="AI365" s="97">
        <f ca="1">SUMIF(Формы!A:A,D365,Формы!B:B)</f>
        <v>1</v>
      </c>
      <c r="AJ365" s="97">
        <f ca="1">SUMIF(Материал!A:A,K365,Материал!B:B)</f>
        <v>1</v>
      </c>
      <c r="AK365" s="97">
        <f ca="1">SUMIF(Размеры!A:A,R365,Размеры!E:E)</f>
        <v>1</v>
      </c>
      <c r="AL365" s="97">
        <f ca="1">SUMIF(Сезон!A:A,F365,Сезон!B:B)</f>
        <v>1</v>
      </c>
      <c r="AM365" s="97">
        <f ca="1">SUMIF(Состав!A:A,J365,Состав!B:B)</f>
        <v>1</v>
      </c>
      <c r="AN365" s="97">
        <f ca="1">VLOOKUP(I365,ЦветПолный!A:C,3,0)</f>
        <v>1</v>
      </c>
      <c r="AO365" s="97">
        <f ca="1">SUMIF(Цвет!A:A,Y365,Цвет!B:B)</f>
        <v>1</v>
      </c>
      <c r="AP365" s="97">
        <f ca="1">_xlfn.XLOOKUP(L365,Пол!A:A,Пол!B:B,0,0)</f>
        <v>1</v>
      </c>
      <c r="AQ365" s="97">
        <f ca="1">SUMIF(Марка!A:A,G365,Марка!B:B)</f>
        <v>1</v>
      </c>
      <c r="AR365" s="97">
        <f ca="1">SUMIF(Страна!A:A,M365,Страна!B:B)</f>
        <v>1</v>
      </c>
      <c r="AS365" s="64" t="str">
        <f ca="1">IF(VLOOKUP(V365,Товары!A:B,2,FALSE)=A365,"Есть в 1С","ERR")</f>
        <v>Есть в 1С</v>
      </c>
      <c r="AT365" s="65" t="str">
        <f ca="1">IF(VLOOKUP(A365,Товары!B:B,1,FALSE)=A365,"Есть в 1С","ERR")</f>
        <v>Есть в 1С</v>
      </c>
      <c r="AU365" s="96" t="str">
        <f ca="1">VLOOKUP(V365,Товары!A:B,2,FALSE)</f>
        <v>21-089-17</v>
      </c>
      <c r="AV365" s="94" t="str">
        <f ca="1">VLOOKUP(V365,Товары!A:B,1,FALSE)</f>
        <v>Шляпа BAILEY арт. 81650 SALEM (белый) {white}</v>
      </c>
    </row>
    <row r="366" spans="1:48" x14ac:dyDescent="0.25">
      <c r="A366" s="110" t="str">
        <f t="shared" ca="1" si="37"/>
        <v>21-089-17</v>
      </c>
      <c r="B366" s="107" t="str">
        <f ca="1">_xlfn.LET(_xlpm.CAPS,0,_xlpm.Style,_xlfn.XLOOKUP($A366,Строчный!$A:$A,Строчный!B:B,"ERR",0),IF(_xlpm.CAPS=0,_xlpm.Style,LOWER(_xlpm.Style)))</f>
        <v>81650 SALEM</v>
      </c>
      <c r="C366" s="81" t="str">
        <f ca="1">PROPER(_xlfn.XLOOKUP($A366,Строчный!$A:$A,Строчный!C:C,"ERR",0))</f>
        <v>Шляпы</v>
      </c>
      <c r="D366" s="81" t="str">
        <f ca="1">_xlfn.LET(_xlpm.DATA,(_xlfn.XLOOKUP($A366,Строчный!$A:$A,Строчный!D:D,"ERR",0)),UPPER(MID(_xlpm.DATA,1,1))&amp;LOWER(MID(_xlpm.DATA,2,LEN(_xlpm.DATA)-1)))</f>
        <v>Шляпа хомбург</v>
      </c>
      <c r="E366" s="81" t="str">
        <f ca="1">PROPER(_xlfn.XLOOKUP($A366,Строчный!$A:$A,Строчный!E:E,"ERR",0))</f>
        <v>The Hollywood</v>
      </c>
      <c r="F366" s="81" t="str">
        <f ca="1">LOWER(_xlfn.XLOOKUP($A366,Строчный!$A:$A,Строчный!F:F,"ERR",0))</f>
        <v>летний</v>
      </c>
      <c r="G366" s="81" t="str">
        <f ca="1">UPPER(_xlfn.XLOOKUP($A366,Строчный!$A:$A,Строчный!G:G,"ERR",0))</f>
        <v>BAILEY</v>
      </c>
      <c r="H366" s="81" t="str">
        <f ca="1">LOWER(_xlfn.XLOOKUP($A366,Строчный!$A:$A,Строчный!H:H,"ERR",0))</f>
        <v>white</v>
      </c>
      <c r="I366" s="81" t="str">
        <f ca="1">LOWER(_xlfn.XLOOKUP($A366,Строчный!$A:$A,Строчный!I:I,"ERR",0))</f>
        <v>белый</v>
      </c>
      <c r="J366" s="81" t="str">
        <f ca="1">SUBSTITUTE(LOWER(_xlfn.XLOOKUP($A366,Строчный!$A:$A,Строчный!J:J,"ERR",0)),"подклад","Подклад")</f>
        <v>55% бумага - 45% полиэстер</v>
      </c>
      <c r="K366" s="81" t="str">
        <f ca="1">LOWER(_xlfn.XLOOKUP($A366,Строчный!$A:$A,Строчный!K:K,"ERR",0))</f>
        <v>бумажные</v>
      </c>
      <c r="L366" s="81" t="str">
        <f ca="1">PROPER(_xlfn.XLOOKUP($A366,Строчный!$A:$A,Строчный!L:L,"ERR",0))</f>
        <v>Унисекс</v>
      </c>
      <c r="M366" s="113" t="str">
        <f ca="1">PROPER(_xlfn.XLOOKUP($A366,Строчный!$A:$A,Строчный!M:M,"ERR",0))</f>
        <v>Китай</v>
      </c>
      <c r="N366" s="81" t="str">
        <f ca="1">UPPER(_xlfn.XLOOKUP($A366,Строчный!$A:$A,Строчный!O:O,"ERR",0))</f>
        <v/>
      </c>
      <c r="O366" s="107" t="str">
        <f ca="1">PROPER(_xlfn.XLOOKUP($A366,Строчный!$A:$A,Строчный!P:P,"ERR",0))</f>
        <v/>
      </c>
      <c r="P366" s="90">
        <f ca="1">VALUE(_xlfn.XLOOKUP($A366,Строчный!$A:$A,Строчный!N:N,"ERR",0))</f>
        <v>2094.3000000000002</v>
      </c>
      <c r="Q366" s="89" t="str">
        <f ca="1">_xlfn.XLOOKUP($G366,Фабрика!A:A,Фабрика!B:B,"ERR",0)</f>
        <v>Bollman Headwear Europe Ltd; 2 Merchants drive, Caelisle, Cumbria CA3 0JW, United Kingdom</v>
      </c>
      <c r="R366" s="80" t="str">
        <f ca="1">_xlfn.XLOOKUP(RIGHT(Z366,2),Размеры!D:D,Размеры!A:A,"ERR",0)</f>
        <v>59</v>
      </c>
      <c r="S366" s="80">
        <f ca="1">VALUE(_xlfn.XLOOKUP($Z366,Строчный!$R:$R,Строчный!T:T,"ERR",0))</f>
        <v>9</v>
      </c>
      <c r="T366" s="14" t="s">
        <v>265</v>
      </c>
      <c r="U366" s="101" t="str">
        <f t="shared" ca="1" si="33"/>
        <v>Шляпа BAILEY арт. 81650 SALEM (белый)</v>
      </c>
      <c r="V366" s="100" t="str">
        <f t="shared" ca="1" si="34"/>
        <v>Шляпа BAILEY арт. 81650 SALEM (белый) {white}</v>
      </c>
      <c r="W366" s="18" t="str">
        <f t="shared" ca="1" si="35"/>
        <v>белый</v>
      </c>
      <c r="X366" s="18" t="str">
        <f t="shared" ca="1" si="36"/>
        <v>белый</v>
      </c>
      <c r="Y366" s="117" t="str">
        <f ca="1">_xlfn.LET(_xlpm.FormColors,_xlfn.XLOOKUP(A366,Строчный!A:A,Строчный!Q:Q,"",0),IF(_xlpm.FormColors=0,IFERROR(MID(I366,FIND("-",I366)+1,LEN(I366)),IFERROR(MID(I366,1,FIND("/",I366)-2),I366)),_xlpm.FormColors))</f>
        <v>белый</v>
      </c>
      <c r="Z366" s="73" t="str">
        <f ca="1"/>
        <v>21-089-17-59</v>
      </c>
      <c r="AA366" s="75" t="str">
        <f ca="1">VLOOKUP(C366,Группа!A:B,2,FALSE)</f>
        <v>Шляпа</v>
      </c>
      <c r="AB366" s="97" t="str">
        <f ca="1">IFERROR(VLOOKUP(R366,Размеры!A:C,3,FALSE),"")</f>
        <v>59 L</v>
      </c>
      <c r="AC366" s="97" t="str">
        <f ca="1">VLOOKUP(I366,ЦветПолный!A:B,2,FALSE)</f>
        <v>17</v>
      </c>
      <c r="AD366" s="97" t="str">
        <f ca="1">IFERROR(VLOOKUP(R366,Размеры!A:D,4,FALSE),"")</f>
        <v>59</v>
      </c>
      <c r="AE366" s="97">
        <f ca="1">IF(LEFT(IFERROR(VLOOKUP(LOOKUP(2,1/SEARCH(B366,Товары!A:A),Товары!A:A),Товары!A:B,2,0),""),6)=MID(Z366,1,6),1,0)</f>
        <v>1</v>
      </c>
      <c r="AG366" s="97">
        <f ca="1">SUMIF(Группа!A:A,C366,Группа!C:C)</f>
        <v>1</v>
      </c>
      <c r="AH366" s="97">
        <f ca="1">SUMIF(Группа!B:B,AA366,Группа!C:C)</f>
        <v>1</v>
      </c>
      <c r="AI366" s="97">
        <f ca="1">SUMIF(Формы!A:A,D366,Формы!B:B)</f>
        <v>1</v>
      </c>
      <c r="AJ366" s="97">
        <f ca="1">SUMIF(Материал!A:A,K366,Материал!B:B)</f>
        <v>1</v>
      </c>
      <c r="AK366" s="97">
        <f ca="1">SUMIF(Размеры!A:A,R366,Размеры!E:E)</f>
        <v>1</v>
      </c>
      <c r="AL366" s="97">
        <f ca="1">SUMIF(Сезон!A:A,F366,Сезон!B:B)</f>
        <v>1</v>
      </c>
      <c r="AM366" s="97">
        <f ca="1">SUMIF(Состав!A:A,J366,Состав!B:B)</f>
        <v>1</v>
      </c>
      <c r="AN366" s="97">
        <f ca="1">VLOOKUP(I366,ЦветПолный!A:C,3,0)</f>
        <v>1</v>
      </c>
      <c r="AO366" s="97">
        <f ca="1">SUMIF(Цвет!A:A,Y366,Цвет!B:B)</f>
        <v>1</v>
      </c>
      <c r="AP366" s="97">
        <f ca="1">_xlfn.XLOOKUP(L366,Пол!A:A,Пол!B:B,0,0)</f>
        <v>1</v>
      </c>
      <c r="AQ366" s="97">
        <f ca="1">SUMIF(Марка!A:A,G366,Марка!B:B)</f>
        <v>1</v>
      </c>
      <c r="AR366" s="97">
        <f ca="1">SUMIF(Страна!A:A,M366,Страна!B:B)</f>
        <v>1</v>
      </c>
      <c r="AS366" s="64" t="str">
        <f ca="1">IF(VLOOKUP(V366,Товары!A:B,2,FALSE)=A366,"Есть в 1С","ERR")</f>
        <v>Есть в 1С</v>
      </c>
      <c r="AT366" s="65" t="str">
        <f ca="1">IF(VLOOKUP(A366,Товары!B:B,1,FALSE)=A366,"Есть в 1С","ERR")</f>
        <v>Есть в 1С</v>
      </c>
      <c r="AU366" s="96" t="str">
        <f ca="1">VLOOKUP(V366,Товары!A:B,2,FALSE)</f>
        <v>21-089-17</v>
      </c>
      <c r="AV366" s="94" t="str">
        <f ca="1">VLOOKUP(V366,Товары!A:B,1,FALSE)</f>
        <v>Шляпа BAILEY арт. 81650 SALEM (белый) {white}</v>
      </c>
    </row>
    <row r="367" spans="1:48" x14ac:dyDescent="0.25">
      <c r="A367" s="110" t="str">
        <f t="shared" ca="1" si="37"/>
        <v>21-089-17</v>
      </c>
      <c r="B367" s="107" t="str">
        <f ca="1">_xlfn.LET(_xlpm.CAPS,0,_xlpm.Style,_xlfn.XLOOKUP($A367,Строчный!$A:$A,Строчный!B:B,"ERR",0),IF(_xlpm.CAPS=0,_xlpm.Style,LOWER(_xlpm.Style)))</f>
        <v>81650 SALEM</v>
      </c>
      <c r="C367" s="81" t="str">
        <f ca="1">PROPER(_xlfn.XLOOKUP($A367,Строчный!$A:$A,Строчный!C:C,"ERR",0))</f>
        <v>Шляпы</v>
      </c>
      <c r="D367" s="81" t="str">
        <f ca="1">_xlfn.LET(_xlpm.DATA,(_xlfn.XLOOKUP($A367,Строчный!$A:$A,Строчный!D:D,"ERR",0)),UPPER(MID(_xlpm.DATA,1,1))&amp;LOWER(MID(_xlpm.DATA,2,LEN(_xlpm.DATA)-1)))</f>
        <v>Шляпа хомбург</v>
      </c>
      <c r="E367" s="81" t="str">
        <f ca="1">PROPER(_xlfn.XLOOKUP($A367,Строчный!$A:$A,Строчный!E:E,"ERR",0))</f>
        <v>The Hollywood</v>
      </c>
      <c r="F367" s="81" t="str">
        <f ca="1">LOWER(_xlfn.XLOOKUP($A367,Строчный!$A:$A,Строчный!F:F,"ERR",0))</f>
        <v>летний</v>
      </c>
      <c r="G367" s="81" t="str">
        <f ca="1">UPPER(_xlfn.XLOOKUP($A367,Строчный!$A:$A,Строчный!G:G,"ERR",0))</f>
        <v>BAILEY</v>
      </c>
      <c r="H367" s="81" t="str">
        <f ca="1">LOWER(_xlfn.XLOOKUP($A367,Строчный!$A:$A,Строчный!H:H,"ERR",0))</f>
        <v>white</v>
      </c>
      <c r="I367" s="81" t="str">
        <f ca="1">LOWER(_xlfn.XLOOKUP($A367,Строчный!$A:$A,Строчный!I:I,"ERR",0))</f>
        <v>белый</v>
      </c>
      <c r="J367" s="81" t="str">
        <f ca="1">SUBSTITUTE(LOWER(_xlfn.XLOOKUP($A367,Строчный!$A:$A,Строчный!J:J,"ERR",0)),"подклад","Подклад")</f>
        <v>55% бумага - 45% полиэстер</v>
      </c>
      <c r="K367" s="81" t="str">
        <f ca="1">LOWER(_xlfn.XLOOKUP($A367,Строчный!$A:$A,Строчный!K:K,"ERR",0))</f>
        <v>бумажные</v>
      </c>
      <c r="L367" s="81" t="str">
        <f ca="1">PROPER(_xlfn.XLOOKUP($A367,Строчный!$A:$A,Строчный!L:L,"ERR",0))</f>
        <v>Унисекс</v>
      </c>
      <c r="M367" s="113" t="str">
        <f ca="1">PROPER(_xlfn.XLOOKUP($A367,Строчный!$A:$A,Строчный!M:M,"ERR",0))</f>
        <v>Китай</v>
      </c>
      <c r="N367" s="81" t="str">
        <f ca="1">UPPER(_xlfn.XLOOKUP($A367,Строчный!$A:$A,Строчный!O:O,"ERR",0))</f>
        <v/>
      </c>
      <c r="O367" s="107" t="str">
        <f ca="1">PROPER(_xlfn.XLOOKUP($A367,Строчный!$A:$A,Строчный!P:P,"ERR",0))</f>
        <v/>
      </c>
      <c r="P367" s="90">
        <f ca="1">VALUE(_xlfn.XLOOKUP($A367,Строчный!$A:$A,Строчный!N:N,"ERR",0))</f>
        <v>2094.3000000000002</v>
      </c>
      <c r="Q367" s="89" t="str">
        <f ca="1">_xlfn.XLOOKUP($G367,Фабрика!A:A,Фабрика!B:B,"ERR",0)</f>
        <v>Bollman Headwear Europe Ltd; 2 Merchants drive, Caelisle, Cumbria CA3 0JW, United Kingdom</v>
      </c>
      <c r="R367" s="80" t="str">
        <f ca="1">_xlfn.XLOOKUP(RIGHT(Z367,2),Размеры!D:D,Размеры!A:A,"ERR",0)</f>
        <v>57</v>
      </c>
      <c r="S367" s="80">
        <f ca="1">VALUE(_xlfn.XLOOKUP($Z367,Строчный!$R:$R,Строчный!T:T,"ERR",0))</f>
        <v>6</v>
      </c>
      <c r="T367" s="14" t="s">
        <v>265</v>
      </c>
      <c r="U367" s="101" t="str">
        <f t="shared" ca="1" si="33"/>
        <v>Шляпа BAILEY арт. 81650 SALEM (белый)</v>
      </c>
      <c r="V367" s="100" t="str">
        <f t="shared" ca="1" si="34"/>
        <v>Шляпа BAILEY арт. 81650 SALEM (белый) {white}</v>
      </c>
      <c r="W367" s="18" t="str">
        <f t="shared" ca="1" si="35"/>
        <v>белый</v>
      </c>
      <c r="X367" s="18" t="str">
        <f t="shared" ca="1" si="36"/>
        <v>белый</v>
      </c>
      <c r="Y367" s="117" t="str">
        <f ca="1">_xlfn.LET(_xlpm.FormColors,_xlfn.XLOOKUP(A367,Строчный!A:A,Строчный!Q:Q,"",0),IF(_xlpm.FormColors=0,IFERROR(MID(I367,FIND("-",I367)+1,LEN(I367)),IFERROR(MID(I367,1,FIND("/",I367)-2),I367)),_xlpm.FormColors))</f>
        <v>белый</v>
      </c>
      <c r="Z367" s="73" t="str">
        <f ca="1"/>
        <v>21-089-17-57</v>
      </c>
      <c r="AA367" s="75" t="str">
        <f ca="1">VLOOKUP(C367,Группа!A:B,2,FALSE)</f>
        <v>Шляпа</v>
      </c>
      <c r="AB367" s="97" t="str">
        <f ca="1">IFERROR(VLOOKUP(R367,Размеры!A:C,3,FALSE),"")</f>
        <v>57 M</v>
      </c>
      <c r="AC367" s="97" t="str">
        <f ca="1">VLOOKUP(I367,ЦветПолный!A:B,2,FALSE)</f>
        <v>17</v>
      </c>
      <c r="AD367" s="97" t="str">
        <f ca="1">IFERROR(VLOOKUP(R367,Размеры!A:D,4,FALSE),"")</f>
        <v>57</v>
      </c>
      <c r="AE367" s="97">
        <f ca="1">IF(LEFT(IFERROR(VLOOKUP(LOOKUP(2,1/SEARCH(B367,Товары!A:A),Товары!A:A),Товары!A:B,2,0),""),6)=MID(Z367,1,6),1,0)</f>
        <v>1</v>
      </c>
      <c r="AG367" s="97">
        <f ca="1">SUMIF(Группа!A:A,C367,Группа!C:C)</f>
        <v>1</v>
      </c>
      <c r="AH367" s="97">
        <f ca="1">SUMIF(Группа!B:B,AA367,Группа!C:C)</f>
        <v>1</v>
      </c>
      <c r="AI367" s="97">
        <f ca="1">SUMIF(Формы!A:A,D367,Формы!B:B)</f>
        <v>1</v>
      </c>
      <c r="AJ367" s="97">
        <f ca="1">SUMIF(Материал!A:A,K367,Материал!B:B)</f>
        <v>1</v>
      </c>
      <c r="AK367" s="97">
        <f ca="1">SUMIF(Размеры!A:A,R367,Размеры!E:E)</f>
        <v>1</v>
      </c>
      <c r="AL367" s="97">
        <f ca="1">SUMIF(Сезон!A:A,F367,Сезон!B:B)</f>
        <v>1</v>
      </c>
      <c r="AM367" s="97">
        <f ca="1">SUMIF(Состав!A:A,J367,Состав!B:B)</f>
        <v>1</v>
      </c>
      <c r="AN367" s="97">
        <f ca="1">VLOOKUP(I367,ЦветПолный!A:C,3,0)</f>
        <v>1</v>
      </c>
      <c r="AO367" s="97">
        <f ca="1">SUMIF(Цвет!A:A,Y367,Цвет!B:B)</f>
        <v>1</v>
      </c>
      <c r="AP367" s="97">
        <f ca="1">_xlfn.XLOOKUP(L367,Пол!A:A,Пол!B:B,0,0)</f>
        <v>1</v>
      </c>
      <c r="AQ367" s="97">
        <f ca="1">SUMIF(Марка!A:A,G367,Марка!B:B)</f>
        <v>1</v>
      </c>
      <c r="AR367" s="97">
        <f ca="1">SUMIF(Страна!A:A,M367,Страна!B:B)</f>
        <v>1</v>
      </c>
      <c r="AS367" s="64" t="str">
        <f ca="1">IF(VLOOKUP(V367,Товары!A:B,2,FALSE)=A367,"Есть в 1С","ERR")</f>
        <v>Есть в 1С</v>
      </c>
      <c r="AT367" s="65" t="str">
        <f ca="1">IF(VLOOKUP(A367,Товары!B:B,1,FALSE)=A367,"Есть в 1С","ERR")</f>
        <v>Есть в 1С</v>
      </c>
      <c r="AU367" s="96" t="str">
        <f ca="1">VLOOKUP(V367,Товары!A:B,2,FALSE)</f>
        <v>21-089-17</v>
      </c>
      <c r="AV367" s="94" t="str">
        <f ca="1">VLOOKUP(V367,Товары!A:B,1,FALSE)</f>
        <v>Шляпа BAILEY арт. 81650 SALEM (белый) {white}</v>
      </c>
    </row>
    <row r="368" spans="1:48" x14ac:dyDescent="0.25">
      <c r="A368" s="110" t="str">
        <f t="shared" ca="1" si="37"/>
        <v>21-089-17</v>
      </c>
      <c r="B368" s="107" t="str">
        <f ca="1">_xlfn.LET(_xlpm.CAPS,0,_xlpm.Style,_xlfn.XLOOKUP($A368,Строчный!$A:$A,Строчный!B:B,"ERR",0),IF(_xlpm.CAPS=0,_xlpm.Style,LOWER(_xlpm.Style)))</f>
        <v>81650 SALEM</v>
      </c>
      <c r="C368" s="81" t="str">
        <f ca="1">PROPER(_xlfn.XLOOKUP($A368,Строчный!$A:$A,Строчный!C:C,"ERR",0))</f>
        <v>Шляпы</v>
      </c>
      <c r="D368" s="81" t="str">
        <f ca="1">_xlfn.LET(_xlpm.DATA,(_xlfn.XLOOKUP($A368,Строчный!$A:$A,Строчный!D:D,"ERR",0)),UPPER(MID(_xlpm.DATA,1,1))&amp;LOWER(MID(_xlpm.DATA,2,LEN(_xlpm.DATA)-1)))</f>
        <v>Шляпа хомбург</v>
      </c>
      <c r="E368" s="81" t="str">
        <f ca="1">PROPER(_xlfn.XLOOKUP($A368,Строчный!$A:$A,Строчный!E:E,"ERR",0))</f>
        <v>The Hollywood</v>
      </c>
      <c r="F368" s="81" t="str">
        <f ca="1">LOWER(_xlfn.XLOOKUP($A368,Строчный!$A:$A,Строчный!F:F,"ERR",0))</f>
        <v>летний</v>
      </c>
      <c r="G368" s="81" t="str">
        <f ca="1">UPPER(_xlfn.XLOOKUP($A368,Строчный!$A:$A,Строчный!G:G,"ERR",0))</f>
        <v>BAILEY</v>
      </c>
      <c r="H368" s="81" t="str">
        <f ca="1">LOWER(_xlfn.XLOOKUP($A368,Строчный!$A:$A,Строчный!H:H,"ERR",0))</f>
        <v>white</v>
      </c>
      <c r="I368" s="81" t="str">
        <f ca="1">LOWER(_xlfn.XLOOKUP($A368,Строчный!$A:$A,Строчный!I:I,"ERR",0))</f>
        <v>белый</v>
      </c>
      <c r="J368" s="81" t="str">
        <f ca="1">SUBSTITUTE(LOWER(_xlfn.XLOOKUP($A368,Строчный!$A:$A,Строчный!J:J,"ERR",0)),"подклад","Подклад")</f>
        <v>55% бумага - 45% полиэстер</v>
      </c>
      <c r="K368" s="81" t="str">
        <f ca="1">LOWER(_xlfn.XLOOKUP($A368,Строчный!$A:$A,Строчный!K:K,"ERR",0))</f>
        <v>бумажные</v>
      </c>
      <c r="L368" s="81" t="str">
        <f ca="1">PROPER(_xlfn.XLOOKUP($A368,Строчный!$A:$A,Строчный!L:L,"ERR",0))</f>
        <v>Унисекс</v>
      </c>
      <c r="M368" s="113" t="str">
        <f ca="1">PROPER(_xlfn.XLOOKUP($A368,Строчный!$A:$A,Строчный!M:M,"ERR",0))</f>
        <v>Китай</v>
      </c>
      <c r="N368" s="81" t="str">
        <f ca="1">UPPER(_xlfn.XLOOKUP($A368,Строчный!$A:$A,Строчный!O:O,"ERR",0))</f>
        <v/>
      </c>
      <c r="O368" s="107" t="str">
        <f ca="1">PROPER(_xlfn.XLOOKUP($A368,Строчный!$A:$A,Строчный!P:P,"ERR",0))</f>
        <v/>
      </c>
      <c r="P368" s="90">
        <f ca="1">VALUE(_xlfn.XLOOKUP($A368,Строчный!$A:$A,Строчный!N:N,"ERR",0))</f>
        <v>2094.3000000000002</v>
      </c>
      <c r="Q368" s="89" t="str">
        <f ca="1">_xlfn.XLOOKUP($G368,Фабрика!A:A,Фабрика!B:B,"ERR",0)</f>
        <v>Bollman Headwear Europe Ltd; 2 Merchants drive, Caelisle, Cumbria CA3 0JW, United Kingdom</v>
      </c>
      <c r="R368" s="80" t="str">
        <f ca="1">_xlfn.XLOOKUP(RIGHT(Z368,2),Размеры!D:D,Размеры!A:A,"ERR",0)</f>
        <v>55</v>
      </c>
      <c r="S368" s="80">
        <f ca="1">VALUE(_xlfn.XLOOKUP($Z368,Строчный!$R:$R,Строчный!T:T,"ERR",0))</f>
        <v>2</v>
      </c>
      <c r="T368" s="14" t="s">
        <v>265</v>
      </c>
      <c r="U368" s="101" t="str">
        <f t="shared" ca="1" si="33"/>
        <v>Шляпа BAILEY арт. 81650 SALEM (белый)</v>
      </c>
      <c r="V368" s="100" t="str">
        <f t="shared" ca="1" si="34"/>
        <v>Шляпа BAILEY арт. 81650 SALEM (белый) {white}</v>
      </c>
      <c r="W368" s="18" t="str">
        <f t="shared" ca="1" si="35"/>
        <v>белый</v>
      </c>
      <c r="X368" s="18" t="str">
        <f t="shared" ca="1" si="36"/>
        <v>белый</v>
      </c>
      <c r="Y368" s="117" t="str">
        <f ca="1">_xlfn.LET(_xlpm.FormColors,_xlfn.XLOOKUP(A368,Строчный!A:A,Строчный!Q:Q,"",0),IF(_xlpm.FormColors=0,IFERROR(MID(I368,FIND("-",I368)+1,LEN(I368)),IFERROR(MID(I368,1,FIND("/",I368)-2),I368)),_xlpm.FormColors))</f>
        <v>белый</v>
      </c>
      <c r="Z368" s="73" t="str">
        <f ca="1"/>
        <v>21-089-17-55</v>
      </c>
      <c r="AA368" s="75" t="str">
        <f ca="1">VLOOKUP(C368,Группа!A:B,2,FALSE)</f>
        <v>Шляпа</v>
      </c>
      <c r="AB368" s="97" t="str">
        <f ca="1">IFERROR(VLOOKUP(R368,Размеры!A:C,3,FALSE),"")</f>
        <v>55 S</v>
      </c>
      <c r="AC368" s="97" t="str">
        <f ca="1">VLOOKUP(I368,ЦветПолный!A:B,2,FALSE)</f>
        <v>17</v>
      </c>
      <c r="AD368" s="97" t="str">
        <f ca="1">IFERROR(VLOOKUP(R368,Размеры!A:D,4,FALSE),"")</f>
        <v>55</v>
      </c>
      <c r="AE368" s="97">
        <f ca="1">IF(LEFT(IFERROR(VLOOKUP(LOOKUP(2,1/SEARCH(B368,Товары!A:A),Товары!A:A),Товары!A:B,2,0),""),6)=MID(Z368,1,6),1,0)</f>
        <v>1</v>
      </c>
      <c r="AG368" s="97">
        <f ca="1">SUMIF(Группа!A:A,C368,Группа!C:C)</f>
        <v>1</v>
      </c>
      <c r="AH368" s="97">
        <f ca="1">SUMIF(Группа!B:B,AA368,Группа!C:C)</f>
        <v>1</v>
      </c>
      <c r="AI368" s="97">
        <f ca="1">SUMIF(Формы!A:A,D368,Формы!B:B)</f>
        <v>1</v>
      </c>
      <c r="AJ368" s="97">
        <f ca="1">SUMIF(Материал!A:A,K368,Материал!B:B)</f>
        <v>1</v>
      </c>
      <c r="AK368" s="97">
        <f ca="1">SUMIF(Размеры!A:A,R368,Размеры!E:E)</f>
        <v>1</v>
      </c>
      <c r="AL368" s="97">
        <f ca="1">SUMIF(Сезон!A:A,F368,Сезон!B:B)</f>
        <v>1</v>
      </c>
      <c r="AM368" s="97">
        <f ca="1">SUMIF(Состав!A:A,J368,Состав!B:B)</f>
        <v>1</v>
      </c>
      <c r="AN368" s="97">
        <f ca="1">VLOOKUP(I368,ЦветПолный!A:C,3,0)</f>
        <v>1</v>
      </c>
      <c r="AO368" s="97">
        <f ca="1">SUMIF(Цвет!A:A,Y368,Цвет!B:B)</f>
        <v>1</v>
      </c>
      <c r="AP368" s="97">
        <f ca="1">_xlfn.XLOOKUP(L368,Пол!A:A,Пол!B:B,0,0)</f>
        <v>1</v>
      </c>
      <c r="AQ368" s="97">
        <f ca="1">SUMIF(Марка!A:A,G368,Марка!B:B)</f>
        <v>1</v>
      </c>
      <c r="AR368" s="97">
        <f ca="1">SUMIF(Страна!A:A,M368,Страна!B:B)</f>
        <v>1</v>
      </c>
      <c r="AS368" s="64" t="str">
        <f ca="1">IF(VLOOKUP(V368,Товары!A:B,2,FALSE)=A368,"Есть в 1С","ERR")</f>
        <v>Есть в 1С</v>
      </c>
      <c r="AT368" s="65" t="str">
        <f ca="1">IF(VLOOKUP(A368,Товары!B:B,1,FALSE)=A368,"Есть в 1С","ERR")</f>
        <v>Есть в 1С</v>
      </c>
      <c r="AU368" s="96" t="str">
        <f ca="1">VLOOKUP(V368,Товары!A:B,2,FALSE)</f>
        <v>21-089-17</v>
      </c>
      <c r="AV368" s="94" t="str">
        <f ca="1">VLOOKUP(V368,Товары!A:B,1,FALSE)</f>
        <v>Шляпа BAILEY арт. 81650 SALEM (белый) {white}</v>
      </c>
    </row>
    <row r="369" spans="1:48" x14ac:dyDescent="0.25">
      <c r="A369" s="110" t="str">
        <f t="shared" ca="1" si="37"/>
        <v>21-089-15</v>
      </c>
      <c r="B369" s="107" t="str">
        <f ca="1">_xlfn.LET(_xlpm.CAPS,0,_xlpm.Style,_xlfn.XLOOKUP($A369,Строчный!$A:$A,Строчный!B:B,"ERR",0),IF(_xlpm.CAPS=0,_xlpm.Style,LOWER(_xlpm.Style)))</f>
        <v>81650 SALEM</v>
      </c>
      <c r="C369" s="81" t="str">
        <f ca="1">PROPER(_xlfn.XLOOKUP($A369,Строчный!$A:$A,Строчный!C:C,"ERR",0))</f>
        <v>Шляпы</v>
      </c>
      <c r="D369" s="81" t="str">
        <f ca="1">_xlfn.LET(_xlpm.DATA,(_xlfn.XLOOKUP($A369,Строчный!$A:$A,Строчный!D:D,"ERR",0)),UPPER(MID(_xlpm.DATA,1,1))&amp;LOWER(MID(_xlpm.DATA,2,LEN(_xlpm.DATA)-1)))</f>
        <v>Шляпа хомбург</v>
      </c>
      <c r="E369" s="81" t="str">
        <f ca="1">PROPER(_xlfn.XLOOKUP($A369,Строчный!$A:$A,Строчный!E:E,"ERR",0))</f>
        <v>The Hollywood</v>
      </c>
      <c r="F369" s="81" t="str">
        <f ca="1">LOWER(_xlfn.XLOOKUP($A369,Строчный!$A:$A,Строчный!F:F,"ERR",0))</f>
        <v>летний</v>
      </c>
      <c r="G369" s="81" t="str">
        <f ca="1">UPPER(_xlfn.XLOOKUP($A369,Строчный!$A:$A,Строчный!G:G,"ERR",0))</f>
        <v>BAILEY</v>
      </c>
      <c r="H369" s="81" t="str">
        <f ca="1">LOWER(_xlfn.XLOOKUP($A369,Строчный!$A:$A,Строчный!H:H,"ERR",0))</f>
        <v>driftwood</v>
      </c>
      <c r="I369" s="81" t="str">
        <f ca="1">LOWER(_xlfn.XLOOKUP($A369,Строчный!$A:$A,Строчный!I:I,"ERR",0))</f>
        <v>темно-бежевый</v>
      </c>
      <c r="J369" s="81" t="str">
        <f ca="1">SUBSTITUTE(LOWER(_xlfn.XLOOKUP($A369,Строчный!$A:$A,Строчный!J:J,"ERR",0)),"подклад","Подклад")</f>
        <v>55% бумага - 45% полиэстер</v>
      </c>
      <c r="K369" s="81" t="str">
        <f ca="1">LOWER(_xlfn.XLOOKUP($A369,Строчный!$A:$A,Строчный!K:K,"ERR",0))</f>
        <v>бумажные</v>
      </c>
      <c r="L369" s="81" t="str">
        <f ca="1">PROPER(_xlfn.XLOOKUP($A369,Строчный!$A:$A,Строчный!L:L,"ERR",0))</f>
        <v>Унисекс</v>
      </c>
      <c r="M369" s="113" t="str">
        <f ca="1">PROPER(_xlfn.XLOOKUP($A369,Строчный!$A:$A,Строчный!M:M,"ERR",0))</f>
        <v>Китай</v>
      </c>
      <c r="N369" s="81" t="str">
        <f ca="1">UPPER(_xlfn.XLOOKUP($A369,Строчный!$A:$A,Строчный!O:O,"ERR",0))</f>
        <v/>
      </c>
      <c r="O369" s="107" t="str">
        <f ca="1">PROPER(_xlfn.XLOOKUP($A369,Строчный!$A:$A,Строчный!P:P,"ERR",0))</f>
        <v/>
      </c>
      <c r="P369" s="90">
        <f ca="1">VALUE(_xlfn.XLOOKUP($A369,Строчный!$A:$A,Строчный!N:N,"ERR",0))</f>
        <v>2094.3000000000002</v>
      </c>
      <c r="Q369" s="89" t="str">
        <f ca="1">_xlfn.XLOOKUP($G369,Фабрика!A:A,Фабрика!B:B,"ERR",0)</f>
        <v>Bollman Headwear Europe Ltd; 2 Merchants drive, Caelisle, Cumbria CA3 0JW, United Kingdom</v>
      </c>
      <c r="R369" s="80" t="str">
        <f ca="1">_xlfn.XLOOKUP(RIGHT(Z369,2),Размеры!D:D,Размеры!A:A,"ERR",0)</f>
        <v>61</v>
      </c>
      <c r="S369" s="80">
        <f ca="1">VALUE(_xlfn.XLOOKUP($Z369,Строчный!$R:$R,Строчный!T:T,"ERR",0))</f>
        <v>4</v>
      </c>
      <c r="T369" s="14" t="s">
        <v>265</v>
      </c>
      <c r="U369" s="101" t="str">
        <f t="shared" ca="1" si="33"/>
        <v>Шляпа BAILEY арт. 81650 SALEM (темно-бежевый)</v>
      </c>
      <c r="V369" s="100" t="str">
        <f t="shared" ca="1" si="34"/>
        <v>Шляпа BAILEY арт. 81650 SALEM (темно-бежевый) {driftwood}</v>
      </c>
      <c r="W369" s="18" t="str">
        <f t="shared" ca="1" si="35"/>
        <v>бежевый</v>
      </c>
      <c r="X369" s="18" t="str">
        <f t="shared" ca="1" si="36"/>
        <v>бежевый</v>
      </c>
      <c r="Y369" s="117" t="str">
        <f ca="1">_xlfn.LET(_xlpm.FormColors,_xlfn.XLOOKUP(A369,Строчный!A:A,Строчный!Q:Q,"",0),IF(_xlpm.FormColors=0,IFERROR(MID(I369,FIND("-",I369)+1,LEN(I369)),IFERROR(MID(I369,1,FIND("/",I369)-2),I369)),_xlpm.FormColors))</f>
        <v>бежевый</v>
      </c>
      <c r="Z369" s="73" t="str">
        <f ca="1"/>
        <v>21-089-15-61</v>
      </c>
      <c r="AA369" s="75" t="str">
        <f ca="1">VLOOKUP(C369,Группа!A:B,2,FALSE)</f>
        <v>Шляпа</v>
      </c>
      <c r="AB369" s="97" t="str">
        <f ca="1">IFERROR(VLOOKUP(R369,Размеры!A:C,3,FALSE),"")</f>
        <v>61 XL</v>
      </c>
      <c r="AC369" s="97" t="str">
        <f ca="1">VLOOKUP(I369,ЦветПолный!A:B,2,FALSE)</f>
        <v>00</v>
      </c>
      <c r="AD369" s="97" t="str">
        <f ca="1">IFERROR(VLOOKUP(R369,Размеры!A:D,4,FALSE),"")</f>
        <v>61</v>
      </c>
      <c r="AE369" s="97">
        <f ca="1">IF(LEFT(IFERROR(VLOOKUP(LOOKUP(2,1/SEARCH(B369,Товары!A:A),Товары!A:A),Товары!A:B,2,0),""),6)=MID(Z369,1,6),1,0)</f>
        <v>1</v>
      </c>
      <c r="AG369" s="97">
        <f ca="1">SUMIF(Группа!A:A,C369,Группа!C:C)</f>
        <v>1</v>
      </c>
      <c r="AH369" s="97">
        <f ca="1">SUMIF(Группа!B:B,AA369,Группа!C:C)</f>
        <v>1</v>
      </c>
      <c r="AI369" s="97">
        <f ca="1">SUMIF(Формы!A:A,D369,Формы!B:B)</f>
        <v>1</v>
      </c>
      <c r="AJ369" s="97">
        <f ca="1">SUMIF(Материал!A:A,K369,Материал!B:B)</f>
        <v>1</v>
      </c>
      <c r="AK369" s="97">
        <f ca="1">SUMIF(Размеры!A:A,R369,Размеры!E:E)</f>
        <v>1</v>
      </c>
      <c r="AL369" s="97">
        <f ca="1">SUMIF(Сезон!A:A,F369,Сезон!B:B)</f>
        <v>1</v>
      </c>
      <c r="AM369" s="97">
        <f ca="1">SUMIF(Состав!A:A,J369,Состав!B:B)</f>
        <v>1</v>
      </c>
      <c r="AN369" s="97">
        <f ca="1">VLOOKUP(I369,ЦветПолный!A:C,3,0)</f>
        <v>1</v>
      </c>
      <c r="AO369" s="97">
        <f ca="1">SUMIF(Цвет!A:A,Y369,Цвет!B:B)</f>
        <v>1</v>
      </c>
      <c r="AP369" s="97">
        <f ca="1">_xlfn.XLOOKUP(L369,Пол!A:A,Пол!B:B,0,0)</f>
        <v>1</v>
      </c>
      <c r="AQ369" s="97">
        <f ca="1">SUMIF(Марка!A:A,G369,Марка!B:B)</f>
        <v>1</v>
      </c>
      <c r="AR369" s="97">
        <f ca="1">SUMIF(Страна!A:A,M369,Страна!B:B)</f>
        <v>1</v>
      </c>
      <c r="AS369" s="64" t="str">
        <f ca="1">IF(VLOOKUP(V369,Товары!A:B,2,FALSE)=A369,"Есть в 1С","ERR")</f>
        <v>Есть в 1С</v>
      </c>
      <c r="AT369" s="65" t="str">
        <f ca="1">IF(VLOOKUP(A369,Товары!B:B,1,FALSE)=A369,"Есть в 1С","ERR")</f>
        <v>Есть в 1С</v>
      </c>
      <c r="AU369" s="96" t="str">
        <f ca="1">VLOOKUP(V369,Товары!A:B,2,FALSE)</f>
        <v>21-089-15</v>
      </c>
      <c r="AV369" s="94" t="str">
        <f ca="1">VLOOKUP(V369,Товары!A:B,1,FALSE)</f>
        <v>Шляпа BAILEY арт. 81650 SALEM (темно-бежевый) {driftwood}</v>
      </c>
    </row>
    <row r="370" spans="1:48" x14ac:dyDescent="0.25">
      <c r="A370" s="110" t="str">
        <f t="shared" ca="1" si="37"/>
        <v>21-089-15</v>
      </c>
      <c r="B370" s="107" t="str">
        <f ca="1">_xlfn.LET(_xlpm.CAPS,0,_xlpm.Style,_xlfn.XLOOKUP($A370,Строчный!$A:$A,Строчный!B:B,"ERR",0),IF(_xlpm.CAPS=0,_xlpm.Style,LOWER(_xlpm.Style)))</f>
        <v>81650 SALEM</v>
      </c>
      <c r="C370" s="81" t="str">
        <f ca="1">PROPER(_xlfn.XLOOKUP($A370,Строчный!$A:$A,Строчный!C:C,"ERR",0))</f>
        <v>Шляпы</v>
      </c>
      <c r="D370" s="81" t="str">
        <f ca="1">_xlfn.LET(_xlpm.DATA,(_xlfn.XLOOKUP($A370,Строчный!$A:$A,Строчный!D:D,"ERR",0)),UPPER(MID(_xlpm.DATA,1,1))&amp;LOWER(MID(_xlpm.DATA,2,LEN(_xlpm.DATA)-1)))</f>
        <v>Шляпа хомбург</v>
      </c>
      <c r="E370" s="81" t="str">
        <f ca="1">PROPER(_xlfn.XLOOKUP($A370,Строчный!$A:$A,Строчный!E:E,"ERR",0))</f>
        <v>The Hollywood</v>
      </c>
      <c r="F370" s="81" t="str">
        <f ca="1">LOWER(_xlfn.XLOOKUP($A370,Строчный!$A:$A,Строчный!F:F,"ERR",0))</f>
        <v>летний</v>
      </c>
      <c r="G370" s="81" t="str">
        <f ca="1">UPPER(_xlfn.XLOOKUP($A370,Строчный!$A:$A,Строчный!G:G,"ERR",0))</f>
        <v>BAILEY</v>
      </c>
      <c r="H370" s="81" t="str">
        <f ca="1">LOWER(_xlfn.XLOOKUP($A370,Строчный!$A:$A,Строчный!H:H,"ERR",0))</f>
        <v>driftwood</v>
      </c>
      <c r="I370" s="81" t="str">
        <f ca="1">LOWER(_xlfn.XLOOKUP($A370,Строчный!$A:$A,Строчный!I:I,"ERR",0))</f>
        <v>темно-бежевый</v>
      </c>
      <c r="J370" s="81" t="str">
        <f ca="1">SUBSTITUTE(LOWER(_xlfn.XLOOKUP($A370,Строчный!$A:$A,Строчный!J:J,"ERR",0)),"подклад","Подклад")</f>
        <v>55% бумага - 45% полиэстер</v>
      </c>
      <c r="K370" s="81" t="str">
        <f ca="1">LOWER(_xlfn.XLOOKUP($A370,Строчный!$A:$A,Строчный!K:K,"ERR",0))</f>
        <v>бумажные</v>
      </c>
      <c r="L370" s="81" t="str">
        <f ca="1">PROPER(_xlfn.XLOOKUP($A370,Строчный!$A:$A,Строчный!L:L,"ERR",0))</f>
        <v>Унисекс</v>
      </c>
      <c r="M370" s="113" t="str">
        <f ca="1">PROPER(_xlfn.XLOOKUP($A370,Строчный!$A:$A,Строчный!M:M,"ERR",0))</f>
        <v>Китай</v>
      </c>
      <c r="N370" s="81" t="str">
        <f ca="1">UPPER(_xlfn.XLOOKUP($A370,Строчный!$A:$A,Строчный!O:O,"ERR",0))</f>
        <v/>
      </c>
      <c r="O370" s="107" t="str">
        <f ca="1">PROPER(_xlfn.XLOOKUP($A370,Строчный!$A:$A,Строчный!P:P,"ERR",0))</f>
        <v/>
      </c>
      <c r="P370" s="90">
        <f ca="1">VALUE(_xlfn.XLOOKUP($A370,Строчный!$A:$A,Строчный!N:N,"ERR",0))</f>
        <v>2094.3000000000002</v>
      </c>
      <c r="Q370" s="89" t="str">
        <f ca="1">_xlfn.XLOOKUP($G370,Фабрика!A:A,Фабрика!B:B,"ERR",0)</f>
        <v>Bollman Headwear Europe Ltd; 2 Merchants drive, Caelisle, Cumbria CA3 0JW, United Kingdom</v>
      </c>
      <c r="R370" s="80" t="str">
        <f ca="1">_xlfn.XLOOKUP(RIGHT(Z370,2),Размеры!D:D,Размеры!A:A,"ERR",0)</f>
        <v>59</v>
      </c>
      <c r="S370" s="80">
        <f ca="1">VALUE(_xlfn.XLOOKUP($Z370,Строчный!$R:$R,Строчный!T:T,"ERR",0))</f>
        <v>6</v>
      </c>
      <c r="T370" s="14" t="s">
        <v>265</v>
      </c>
      <c r="U370" s="101" t="str">
        <f t="shared" ca="1" si="33"/>
        <v>Шляпа BAILEY арт. 81650 SALEM (темно-бежевый)</v>
      </c>
      <c r="V370" s="100" t="str">
        <f t="shared" ca="1" si="34"/>
        <v>Шляпа BAILEY арт. 81650 SALEM (темно-бежевый) {driftwood}</v>
      </c>
      <c r="W370" s="18" t="str">
        <f t="shared" ca="1" si="35"/>
        <v>бежевый</v>
      </c>
      <c r="X370" s="18" t="str">
        <f t="shared" ca="1" si="36"/>
        <v>бежевый</v>
      </c>
      <c r="Y370" s="117" t="str">
        <f ca="1">_xlfn.LET(_xlpm.FormColors,_xlfn.XLOOKUP(A370,Строчный!A:A,Строчный!Q:Q,"",0),IF(_xlpm.FormColors=0,IFERROR(MID(I370,FIND("-",I370)+1,LEN(I370)),IFERROR(MID(I370,1,FIND("/",I370)-2),I370)),_xlpm.FormColors))</f>
        <v>бежевый</v>
      </c>
      <c r="Z370" s="73" t="str">
        <f ca="1"/>
        <v>21-089-15-59</v>
      </c>
      <c r="AA370" s="75" t="str">
        <f ca="1">VLOOKUP(C370,Группа!A:B,2,FALSE)</f>
        <v>Шляпа</v>
      </c>
      <c r="AB370" s="97" t="str">
        <f ca="1">IFERROR(VLOOKUP(R370,Размеры!A:C,3,FALSE),"")</f>
        <v>59 L</v>
      </c>
      <c r="AC370" s="97" t="str">
        <f ca="1">VLOOKUP(I370,ЦветПолный!A:B,2,FALSE)</f>
        <v>00</v>
      </c>
      <c r="AD370" s="97" t="str">
        <f ca="1">IFERROR(VLOOKUP(R370,Размеры!A:D,4,FALSE),"")</f>
        <v>59</v>
      </c>
      <c r="AE370" s="97">
        <f ca="1">IF(LEFT(IFERROR(VLOOKUP(LOOKUP(2,1/SEARCH(B370,Товары!A:A),Товары!A:A),Товары!A:B,2,0),""),6)=MID(Z370,1,6),1,0)</f>
        <v>1</v>
      </c>
      <c r="AG370" s="97">
        <f ca="1">SUMIF(Группа!A:A,C370,Группа!C:C)</f>
        <v>1</v>
      </c>
      <c r="AH370" s="97">
        <f ca="1">SUMIF(Группа!B:B,AA370,Группа!C:C)</f>
        <v>1</v>
      </c>
      <c r="AI370" s="97">
        <f ca="1">SUMIF(Формы!A:A,D370,Формы!B:B)</f>
        <v>1</v>
      </c>
      <c r="AJ370" s="97">
        <f ca="1">SUMIF(Материал!A:A,K370,Материал!B:B)</f>
        <v>1</v>
      </c>
      <c r="AK370" s="97">
        <f ca="1">SUMIF(Размеры!A:A,R370,Размеры!E:E)</f>
        <v>1</v>
      </c>
      <c r="AL370" s="97">
        <f ca="1">SUMIF(Сезон!A:A,F370,Сезон!B:B)</f>
        <v>1</v>
      </c>
      <c r="AM370" s="97">
        <f ca="1">SUMIF(Состав!A:A,J370,Состав!B:B)</f>
        <v>1</v>
      </c>
      <c r="AN370" s="97">
        <f ca="1">VLOOKUP(I370,ЦветПолный!A:C,3,0)</f>
        <v>1</v>
      </c>
      <c r="AO370" s="97">
        <f ca="1">SUMIF(Цвет!A:A,Y370,Цвет!B:B)</f>
        <v>1</v>
      </c>
      <c r="AP370" s="97">
        <f ca="1">_xlfn.XLOOKUP(L370,Пол!A:A,Пол!B:B,0,0)</f>
        <v>1</v>
      </c>
      <c r="AQ370" s="97">
        <f ca="1">SUMIF(Марка!A:A,G370,Марка!B:B)</f>
        <v>1</v>
      </c>
      <c r="AR370" s="97">
        <f ca="1">SUMIF(Страна!A:A,M370,Страна!B:B)</f>
        <v>1</v>
      </c>
      <c r="AS370" s="64" t="str">
        <f ca="1">IF(VLOOKUP(V370,Товары!A:B,2,FALSE)=A370,"Есть в 1С","ERR")</f>
        <v>Есть в 1С</v>
      </c>
      <c r="AT370" s="65" t="str">
        <f ca="1">IF(VLOOKUP(A370,Товары!B:B,1,FALSE)=A370,"Есть в 1С","ERR")</f>
        <v>Есть в 1С</v>
      </c>
      <c r="AU370" s="96" t="str">
        <f ca="1">VLOOKUP(V370,Товары!A:B,2,FALSE)</f>
        <v>21-089-15</v>
      </c>
      <c r="AV370" s="94" t="str">
        <f ca="1">VLOOKUP(V370,Товары!A:B,1,FALSE)</f>
        <v>Шляпа BAILEY арт. 81650 SALEM (темно-бежевый) {driftwood}</v>
      </c>
    </row>
    <row r="371" spans="1:48" x14ac:dyDescent="0.25">
      <c r="A371" s="110" t="str">
        <f t="shared" ca="1" si="37"/>
        <v>21-089-15</v>
      </c>
      <c r="B371" s="107" t="str">
        <f ca="1">_xlfn.LET(_xlpm.CAPS,0,_xlpm.Style,_xlfn.XLOOKUP($A371,Строчный!$A:$A,Строчный!B:B,"ERR",0),IF(_xlpm.CAPS=0,_xlpm.Style,LOWER(_xlpm.Style)))</f>
        <v>81650 SALEM</v>
      </c>
      <c r="C371" s="81" t="str">
        <f ca="1">PROPER(_xlfn.XLOOKUP($A371,Строчный!$A:$A,Строчный!C:C,"ERR",0))</f>
        <v>Шляпы</v>
      </c>
      <c r="D371" s="81" t="str">
        <f ca="1">_xlfn.LET(_xlpm.DATA,(_xlfn.XLOOKUP($A371,Строчный!$A:$A,Строчный!D:D,"ERR",0)),UPPER(MID(_xlpm.DATA,1,1))&amp;LOWER(MID(_xlpm.DATA,2,LEN(_xlpm.DATA)-1)))</f>
        <v>Шляпа хомбург</v>
      </c>
      <c r="E371" s="81" t="str">
        <f ca="1">PROPER(_xlfn.XLOOKUP($A371,Строчный!$A:$A,Строчный!E:E,"ERR",0))</f>
        <v>The Hollywood</v>
      </c>
      <c r="F371" s="81" t="str">
        <f ca="1">LOWER(_xlfn.XLOOKUP($A371,Строчный!$A:$A,Строчный!F:F,"ERR",0))</f>
        <v>летний</v>
      </c>
      <c r="G371" s="81" t="str">
        <f ca="1">UPPER(_xlfn.XLOOKUP($A371,Строчный!$A:$A,Строчный!G:G,"ERR",0))</f>
        <v>BAILEY</v>
      </c>
      <c r="H371" s="81" t="str">
        <f ca="1">LOWER(_xlfn.XLOOKUP($A371,Строчный!$A:$A,Строчный!H:H,"ERR",0))</f>
        <v>driftwood</v>
      </c>
      <c r="I371" s="81" t="str">
        <f ca="1">LOWER(_xlfn.XLOOKUP($A371,Строчный!$A:$A,Строчный!I:I,"ERR",0))</f>
        <v>темно-бежевый</v>
      </c>
      <c r="J371" s="81" t="str">
        <f ca="1">SUBSTITUTE(LOWER(_xlfn.XLOOKUP($A371,Строчный!$A:$A,Строчный!J:J,"ERR",0)),"подклад","Подклад")</f>
        <v>55% бумага - 45% полиэстер</v>
      </c>
      <c r="K371" s="81" t="str">
        <f ca="1">LOWER(_xlfn.XLOOKUP($A371,Строчный!$A:$A,Строчный!K:K,"ERR",0))</f>
        <v>бумажные</v>
      </c>
      <c r="L371" s="81" t="str">
        <f ca="1">PROPER(_xlfn.XLOOKUP($A371,Строчный!$A:$A,Строчный!L:L,"ERR",0))</f>
        <v>Унисекс</v>
      </c>
      <c r="M371" s="113" t="str">
        <f ca="1">PROPER(_xlfn.XLOOKUP($A371,Строчный!$A:$A,Строчный!M:M,"ERR",0))</f>
        <v>Китай</v>
      </c>
      <c r="N371" s="81" t="str">
        <f ca="1">UPPER(_xlfn.XLOOKUP($A371,Строчный!$A:$A,Строчный!O:O,"ERR",0))</f>
        <v/>
      </c>
      <c r="O371" s="107" t="str">
        <f ca="1">PROPER(_xlfn.XLOOKUP($A371,Строчный!$A:$A,Строчный!P:P,"ERR",0))</f>
        <v/>
      </c>
      <c r="P371" s="90">
        <f ca="1">VALUE(_xlfn.XLOOKUP($A371,Строчный!$A:$A,Строчный!N:N,"ERR",0))</f>
        <v>2094.3000000000002</v>
      </c>
      <c r="Q371" s="89" t="str">
        <f ca="1">_xlfn.XLOOKUP($G371,Фабрика!A:A,Фабрика!B:B,"ERR",0)</f>
        <v>Bollman Headwear Europe Ltd; 2 Merchants drive, Caelisle, Cumbria CA3 0JW, United Kingdom</v>
      </c>
      <c r="R371" s="80" t="str">
        <f ca="1">_xlfn.XLOOKUP(RIGHT(Z371,2),Размеры!D:D,Размеры!A:A,"ERR",0)</f>
        <v>57</v>
      </c>
      <c r="S371" s="80">
        <f ca="1">VALUE(_xlfn.XLOOKUP($Z371,Строчный!$R:$R,Строчный!T:T,"ERR",0))</f>
        <v>4</v>
      </c>
      <c r="T371" s="14" t="s">
        <v>265</v>
      </c>
      <c r="U371" s="101" t="str">
        <f t="shared" ca="1" si="33"/>
        <v>Шляпа BAILEY арт. 81650 SALEM (темно-бежевый)</v>
      </c>
      <c r="V371" s="100" t="str">
        <f t="shared" ca="1" si="34"/>
        <v>Шляпа BAILEY арт. 81650 SALEM (темно-бежевый) {driftwood}</v>
      </c>
      <c r="W371" s="18" t="str">
        <f t="shared" ca="1" si="35"/>
        <v>бежевый</v>
      </c>
      <c r="X371" s="18" t="str">
        <f t="shared" ca="1" si="36"/>
        <v>бежевый</v>
      </c>
      <c r="Y371" s="117" t="str">
        <f ca="1">_xlfn.LET(_xlpm.FormColors,_xlfn.XLOOKUP(A371,Строчный!A:A,Строчный!Q:Q,"",0),IF(_xlpm.FormColors=0,IFERROR(MID(I371,FIND("-",I371)+1,LEN(I371)),IFERROR(MID(I371,1,FIND("/",I371)-2),I371)),_xlpm.FormColors))</f>
        <v>бежевый</v>
      </c>
      <c r="Z371" s="73" t="str">
        <f ca="1"/>
        <v>21-089-15-57</v>
      </c>
      <c r="AA371" s="75" t="str">
        <f ca="1">VLOOKUP(C371,Группа!A:B,2,FALSE)</f>
        <v>Шляпа</v>
      </c>
      <c r="AB371" s="97" t="str">
        <f ca="1">IFERROR(VLOOKUP(R371,Размеры!A:C,3,FALSE),"")</f>
        <v>57 M</v>
      </c>
      <c r="AC371" s="97" t="str">
        <f ca="1">VLOOKUP(I371,ЦветПолный!A:B,2,FALSE)</f>
        <v>00</v>
      </c>
      <c r="AD371" s="97" t="str">
        <f ca="1">IFERROR(VLOOKUP(R371,Размеры!A:D,4,FALSE),"")</f>
        <v>57</v>
      </c>
      <c r="AE371" s="97">
        <f ca="1">IF(LEFT(IFERROR(VLOOKUP(LOOKUP(2,1/SEARCH(B371,Товары!A:A),Товары!A:A),Товары!A:B,2,0),""),6)=MID(Z371,1,6),1,0)</f>
        <v>1</v>
      </c>
      <c r="AG371" s="97">
        <f ca="1">SUMIF(Группа!A:A,C371,Группа!C:C)</f>
        <v>1</v>
      </c>
      <c r="AH371" s="97">
        <f ca="1">SUMIF(Группа!B:B,AA371,Группа!C:C)</f>
        <v>1</v>
      </c>
      <c r="AI371" s="97">
        <f ca="1">SUMIF(Формы!A:A,D371,Формы!B:B)</f>
        <v>1</v>
      </c>
      <c r="AJ371" s="97">
        <f ca="1">SUMIF(Материал!A:A,K371,Материал!B:B)</f>
        <v>1</v>
      </c>
      <c r="AK371" s="97">
        <f ca="1">SUMIF(Размеры!A:A,R371,Размеры!E:E)</f>
        <v>1</v>
      </c>
      <c r="AL371" s="97">
        <f ca="1">SUMIF(Сезон!A:A,F371,Сезон!B:B)</f>
        <v>1</v>
      </c>
      <c r="AM371" s="97">
        <f ca="1">SUMIF(Состав!A:A,J371,Состав!B:B)</f>
        <v>1</v>
      </c>
      <c r="AN371" s="97">
        <f ca="1">VLOOKUP(I371,ЦветПолный!A:C,3,0)</f>
        <v>1</v>
      </c>
      <c r="AO371" s="97">
        <f ca="1">SUMIF(Цвет!A:A,Y371,Цвет!B:B)</f>
        <v>1</v>
      </c>
      <c r="AP371" s="97">
        <f ca="1">_xlfn.XLOOKUP(L371,Пол!A:A,Пол!B:B,0,0)</f>
        <v>1</v>
      </c>
      <c r="AQ371" s="97">
        <f ca="1">SUMIF(Марка!A:A,G371,Марка!B:B)</f>
        <v>1</v>
      </c>
      <c r="AR371" s="97">
        <f ca="1">SUMIF(Страна!A:A,M371,Страна!B:B)</f>
        <v>1</v>
      </c>
      <c r="AS371" s="64" t="str">
        <f ca="1">IF(VLOOKUP(V371,Товары!A:B,2,FALSE)=A371,"Есть в 1С","ERR")</f>
        <v>Есть в 1С</v>
      </c>
      <c r="AT371" s="65" t="str">
        <f ca="1">IF(VLOOKUP(A371,Товары!B:B,1,FALSE)=A371,"Есть в 1С","ERR")</f>
        <v>Есть в 1С</v>
      </c>
      <c r="AU371" s="96" t="str">
        <f ca="1">VLOOKUP(V371,Товары!A:B,2,FALSE)</f>
        <v>21-089-15</v>
      </c>
      <c r="AV371" s="94" t="str">
        <f ca="1">VLOOKUP(V371,Товары!A:B,1,FALSE)</f>
        <v>Шляпа BAILEY арт. 81650 SALEM (темно-бежевый) {driftwood}</v>
      </c>
    </row>
    <row r="372" spans="1:48" x14ac:dyDescent="0.25">
      <c r="A372" s="110" t="str">
        <f t="shared" ca="1" si="37"/>
        <v>21-089-13</v>
      </c>
      <c r="B372" s="107" t="str">
        <f ca="1">_xlfn.LET(_xlpm.CAPS,0,_xlpm.Style,_xlfn.XLOOKUP($A372,Строчный!$A:$A,Строчный!B:B,"ERR",0),IF(_xlpm.CAPS=0,_xlpm.Style,LOWER(_xlpm.Style)))</f>
        <v>81650 SALEM</v>
      </c>
      <c r="C372" s="81" t="str">
        <f ca="1">PROPER(_xlfn.XLOOKUP($A372,Строчный!$A:$A,Строчный!C:C,"ERR",0))</f>
        <v>Шляпы</v>
      </c>
      <c r="D372" s="81" t="str">
        <f ca="1">_xlfn.LET(_xlpm.DATA,(_xlfn.XLOOKUP($A372,Строчный!$A:$A,Строчный!D:D,"ERR",0)),UPPER(MID(_xlpm.DATA,1,1))&amp;LOWER(MID(_xlpm.DATA,2,LEN(_xlpm.DATA)-1)))</f>
        <v>Шляпа хомбург</v>
      </c>
      <c r="E372" s="81" t="str">
        <f ca="1">PROPER(_xlfn.XLOOKUP($A372,Строчный!$A:$A,Строчный!E:E,"ERR",0))</f>
        <v>The Hollywood</v>
      </c>
      <c r="F372" s="81" t="str">
        <f ca="1">LOWER(_xlfn.XLOOKUP($A372,Строчный!$A:$A,Строчный!F:F,"ERR",0))</f>
        <v>летний</v>
      </c>
      <c r="G372" s="81" t="str">
        <f ca="1">UPPER(_xlfn.XLOOKUP($A372,Строчный!$A:$A,Строчный!G:G,"ERR",0))</f>
        <v>BAILEY</v>
      </c>
      <c r="H372" s="81" t="str">
        <f ca="1">LOWER(_xlfn.XLOOKUP($A372,Строчный!$A:$A,Строчный!H:H,"ERR",0))</f>
        <v>rust</v>
      </c>
      <c r="I372" s="81" t="str">
        <f ca="1">LOWER(_xlfn.XLOOKUP($A372,Строчный!$A:$A,Строчный!I:I,"ERR",0))</f>
        <v>рыжий</v>
      </c>
      <c r="J372" s="81" t="str">
        <f ca="1">SUBSTITUTE(LOWER(_xlfn.XLOOKUP($A372,Строчный!$A:$A,Строчный!J:J,"ERR",0)),"подклад","Подклад")</f>
        <v>55% бумага - 45% полиэстер</v>
      </c>
      <c r="K372" s="81" t="str">
        <f ca="1">LOWER(_xlfn.XLOOKUP($A372,Строчный!$A:$A,Строчный!K:K,"ERR",0))</f>
        <v>бумажные</v>
      </c>
      <c r="L372" s="81" t="str">
        <f ca="1">PROPER(_xlfn.XLOOKUP($A372,Строчный!$A:$A,Строчный!L:L,"ERR",0))</f>
        <v>Унисекс</v>
      </c>
      <c r="M372" s="113" t="str">
        <f ca="1">PROPER(_xlfn.XLOOKUP($A372,Строчный!$A:$A,Строчный!M:M,"ERR",0))</f>
        <v>Китай</v>
      </c>
      <c r="N372" s="81" t="str">
        <f ca="1">UPPER(_xlfn.XLOOKUP($A372,Строчный!$A:$A,Строчный!O:O,"ERR",0))</f>
        <v/>
      </c>
      <c r="O372" s="107" t="str">
        <f ca="1">PROPER(_xlfn.XLOOKUP($A372,Строчный!$A:$A,Строчный!P:P,"ERR",0))</f>
        <v/>
      </c>
      <c r="P372" s="90">
        <f ca="1">VALUE(_xlfn.XLOOKUP($A372,Строчный!$A:$A,Строчный!N:N,"ERR",0))</f>
        <v>2094.3000000000002</v>
      </c>
      <c r="Q372" s="89" t="str">
        <f ca="1">_xlfn.XLOOKUP($G372,Фабрика!A:A,Фабрика!B:B,"ERR",0)</f>
        <v>Bollman Headwear Europe Ltd; 2 Merchants drive, Caelisle, Cumbria CA3 0JW, United Kingdom</v>
      </c>
      <c r="R372" s="80" t="str">
        <f ca="1">_xlfn.XLOOKUP(RIGHT(Z372,2),Размеры!D:D,Размеры!A:A,"ERR",0)</f>
        <v>63</v>
      </c>
      <c r="S372" s="80">
        <f ca="1">VALUE(_xlfn.XLOOKUP($Z372,Строчный!$R:$R,Строчный!T:T,"ERR",0))</f>
        <v>1</v>
      </c>
      <c r="T372" s="14" t="s">
        <v>265</v>
      </c>
      <c r="U372" s="101" t="str">
        <f t="shared" ca="1" si="33"/>
        <v>Шляпа BAILEY арт. 81650 SALEM (рыжий)</v>
      </c>
      <c r="V372" s="100" t="str">
        <f t="shared" ca="1" si="34"/>
        <v>Шляпа BAILEY арт. 81650 SALEM (рыжий) {rust}</v>
      </c>
      <c r="W372" s="18" t="str">
        <f t="shared" ca="1" si="35"/>
        <v>рыжий</v>
      </c>
      <c r="X372" s="18" t="str">
        <f t="shared" ca="1" si="36"/>
        <v>рыжий</v>
      </c>
      <c r="Y372" s="117" t="str">
        <f ca="1">_xlfn.LET(_xlpm.FormColors,_xlfn.XLOOKUP(A372,Строчный!A:A,Строчный!Q:Q,"",0),IF(_xlpm.FormColors=0,IFERROR(MID(I372,FIND("-",I372)+1,LEN(I372)),IFERROR(MID(I372,1,FIND("/",I372)-2),I372)),_xlpm.FormColors))</f>
        <v>рыжий</v>
      </c>
      <c r="Z372" s="73" t="str">
        <f ca="1"/>
        <v>21-089-13-63</v>
      </c>
      <c r="AA372" s="75" t="str">
        <f ca="1">VLOOKUP(C372,Группа!A:B,2,FALSE)</f>
        <v>Шляпа</v>
      </c>
      <c r="AB372" s="97" t="str">
        <f ca="1">IFERROR(VLOOKUP(R372,Размеры!A:C,3,FALSE),"")</f>
        <v>63 XXL</v>
      </c>
      <c r="AC372" s="97" t="str">
        <f ca="1">VLOOKUP(I372,ЦветПолный!A:B,2,FALSE)</f>
        <v>13</v>
      </c>
      <c r="AD372" s="97" t="str">
        <f ca="1">IFERROR(VLOOKUP(R372,Размеры!A:D,4,FALSE),"")</f>
        <v>63</v>
      </c>
      <c r="AE372" s="97">
        <f ca="1">IF(LEFT(IFERROR(VLOOKUP(LOOKUP(2,1/SEARCH(B372,Товары!A:A),Товары!A:A),Товары!A:B,2,0),""),6)=MID(Z372,1,6),1,0)</f>
        <v>1</v>
      </c>
      <c r="AG372" s="97">
        <f ca="1">SUMIF(Группа!A:A,C372,Группа!C:C)</f>
        <v>1</v>
      </c>
      <c r="AH372" s="97">
        <f ca="1">SUMIF(Группа!B:B,AA372,Группа!C:C)</f>
        <v>1</v>
      </c>
      <c r="AI372" s="97">
        <f ca="1">SUMIF(Формы!A:A,D372,Формы!B:B)</f>
        <v>1</v>
      </c>
      <c r="AJ372" s="97">
        <f ca="1">SUMIF(Материал!A:A,K372,Материал!B:B)</f>
        <v>1</v>
      </c>
      <c r="AK372" s="97">
        <f ca="1">SUMIF(Размеры!A:A,R372,Размеры!E:E)</f>
        <v>1</v>
      </c>
      <c r="AL372" s="97">
        <f ca="1">SUMIF(Сезон!A:A,F372,Сезон!B:B)</f>
        <v>1</v>
      </c>
      <c r="AM372" s="97">
        <f ca="1">SUMIF(Состав!A:A,J372,Состав!B:B)</f>
        <v>1</v>
      </c>
      <c r="AN372" s="97">
        <f ca="1">VLOOKUP(I372,ЦветПолный!A:C,3,0)</f>
        <v>1</v>
      </c>
      <c r="AO372" s="97">
        <f ca="1">SUMIF(Цвет!A:A,Y372,Цвет!B:B)</f>
        <v>1</v>
      </c>
      <c r="AP372" s="97">
        <f ca="1">_xlfn.XLOOKUP(L372,Пол!A:A,Пол!B:B,0,0)</f>
        <v>1</v>
      </c>
      <c r="AQ372" s="97">
        <f ca="1">SUMIF(Марка!A:A,G372,Марка!B:B)</f>
        <v>1</v>
      </c>
      <c r="AR372" s="97">
        <f ca="1">SUMIF(Страна!A:A,M372,Страна!B:B)</f>
        <v>1</v>
      </c>
      <c r="AS372" s="64" t="str">
        <f ca="1">IF(VLOOKUP(V372,Товары!A:B,2,FALSE)=A372,"Есть в 1С","ERR")</f>
        <v>Есть в 1С</v>
      </c>
      <c r="AT372" s="65" t="str">
        <f ca="1">IF(VLOOKUP(A372,Товары!B:B,1,FALSE)=A372,"Есть в 1С","ERR")</f>
        <v>Есть в 1С</v>
      </c>
      <c r="AU372" s="96" t="str">
        <f ca="1">VLOOKUP(V372,Товары!A:B,2,FALSE)</f>
        <v>21-089-13</v>
      </c>
      <c r="AV372" s="94" t="str">
        <f ca="1">VLOOKUP(V372,Товары!A:B,1,FALSE)</f>
        <v>Шляпа BAILEY арт. 81650 SALEM (рыжий) {rust}</v>
      </c>
    </row>
    <row r="373" spans="1:48" x14ac:dyDescent="0.25">
      <c r="A373" s="110" t="str">
        <f t="shared" ca="1" si="37"/>
        <v>21-089-13</v>
      </c>
      <c r="B373" s="107" t="str">
        <f ca="1">_xlfn.LET(_xlpm.CAPS,0,_xlpm.Style,_xlfn.XLOOKUP($A373,Строчный!$A:$A,Строчный!B:B,"ERR",0),IF(_xlpm.CAPS=0,_xlpm.Style,LOWER(_xlpm.Style)))</f>
        <v>81650 SALEM</v>
      </c>
      <c r="C373" s="81" t="str">
        <f ca="1">PROPER(_xlfn.XLOOKUP($A373,Строчный!$A:$A,Строчный!C:C,"ERR",0))</f>
        <v>Шляпы</v>
      </c>
      <c r="D373" s="81" t="str">
        <f ca="1">_xlfn.LET(_xlpm.DATA,(_xlfn.XLOOKUP($A373,Строчный!$A:$A,Строчный!D:D,"ERR",0)),UPPER(MID(_xlpm.DATA,1,1))&amp;LOWER(MID(_xlpm.DATA,2,LEN(_xlpm.DATA)-1)))</f>
        <v>Шляпа хомбург</v>
      </c>
      <c r="E373" s="81" t="str">
        <f ca="1">PROPER(_xlfn.XLOOKUP($A373,Строчный!$A:$A,Строчный!E:E,"ERR",0))</f>
        <v>The Hollywood</v>
      </c>
      <c r="F373" s="81" t="str">
        <f ca="1">LOWER(_xlfn.XLOOKUP($A373,Строчный!$A:$A,Строчный!F:F,"ERR",0))</f>
        <v>летний</v>
      </c>
      <c r="G373" s="81" t="str">
        <f ca="1">UPPER(_xlfn.XLOOKUP($A373,Строчный!$A:$A,Строчный!G:G,"ERR",0))</f>
        <v>BAILEY</v>
      </c>
      <c r="H373" s="81" t="str">
        <f ca="1">LOWER(_xlfn.XLOOKUP($A373,Строчный!$A:$A,Строчный!H:H,"ERR",0))</f>
        <v>rust</v>
      </c>
      <c r="I373" s="81" t="str">
        <f ca="1">LOWER(_xlfn.XLOOKUP($A373,Строчный!$A:$A,Строчный!I:I,"ERR",0))</f>
        <v>рыжий</v>
      </c>
      <c r="J373" s="81" t="str">
        <f ca="1">SUBSTITUTE(LOWER(_xlfn.XLOOKUP($A373,Строчный!$A:$A,Строчный!J:J,"ERR",0)),"подклад","Подклад")</f>
        <v>55% бумага - 45% полиэстер</v>
      </c>
      <c r="K373" s="81" t="str">
        <f ca="1">LOWER(_xlfn.XLOOKUP($A373,Строчный!$A:$A,Строчный!K:K,"ERR",0))</f>
        <v>бумажные</v>
      </c>
      <c r="L373" s="81" t="str">
        <f ca="1">PROPER(_xlfn.XLOOKUP($A373,Строчный!$A:$A,Строчный!L:L,"ERR",0))</f>
        <v>Унисекс</v>
      </c>
      <c r="M373" s="113" t="str">
        <f ca="1">PROPER(_xlfn.XLOOKUP($A373,Строчный!$A:$A,Строчный!M:M,"ERR",0))</f>
        <v>Китай</v>
      </c>
      <c r="N373" s="81" t="str">
        <f ca="1">UPPER(_xlfn.XLOOKUP($A373,Строчный!$A:$A,Строчный!O:O,"ERR",0))</f>
        <v/>
      </c>
      <c r="O373" s="107" t="str">
        <f ca="1">PROPER(_xlfn.XLOOKUP($A373,Строчный!$A:$A,Строчный!P:P,"ERR",0))</f>
        <v/>
      </c>
      <c r="P373" s="90">
        <f ca="1">VALUE(_xlfn.XLOOKUP($A373,Строчный!$A:$A,Строчный!N:N,"ERR",0))</f>
        <v>2094.3000000000002</v>
      </c>
      <c r="Q373" s="89" t="str">
        <f ca="1">_xlfn.XLOOKUP($G373,Фабрика!A:A,Фабрика!B:B,"ERR",0)</f>
        <v>Bollman Headwear Europe Ltd; 2 Merchants drive, Caelisle, Cumbria CA3 0JW, United Kingdom</v>
      </c>
      <c r="R373" s="80" t="str">
        <f ca="1">_xlfn.XLOOKUP(RIGHT(Z373,2),Размеры!D:D,Размеры!A:A,"ERR",0)</f>
        <v>61</v>
      </c>
      <c r="S373" s="80">
        <f ca="1">VALUE(_xlfn.XLOOKUP($Z373,Строчный!$R:$R,Строчный!T:T,"ERR",0))</f>
        <v>4</v>
      </c>
      <c r="T373" s="14" t="s">
        <v>265</v>
      </c>
      <c r="U373" s="101" t="str">
        <f t="shared" ca="1" si="33"/>
        <v>Шляпа BAILEY арт. 81650 SALEM (рыжий)</v>
      </c>
      <c r="V373" s="100" t="str">
        <f t="shared" ca="1" si="34"/>
        <v>Шляпа BAILEY арт. 81650 SALEM (рыжий) {rust}</v>
      </c>
      <c r="W373" s="18" t="str">
        <f t="shared" ca="1" si="35"/>
        <v>рыжий</v>
      </c>
      <c r="X373" s="18" t="str">
        <f t="shared" ca="1" si="36"/>
        <v>рыжий</v>
      </c>
      <c r="Y373" s="117" t="str">
        <f ca="1">_xlfn.LET(_xlpm.FormColors,_xlfn.XLOOKUP(A373,Строчный!A:A,Строчный!Q:Q,"",0),IF(_xlpm.FormColors=0,IFERROR(MID(I373,FIND("-",I373)+1,LEN(I373)),IFERROR(MID(I373,1,FIND("/",I373)-2),I373)),_xlpm.FormColors))</f>
        <v>рыжий</v>
      </c>
      <c r="Z373" s="73" t="str">
        <f ca="1"/>
        <v>21-089-13-61</v>
      </c>
      <c r="AA373" s="75" t="str">
        <f ca="1">VLOOKUP(C373,Группа!A:B,2,FALSE)</f>
        <v>Шляпа</v>
      </c>
      <c r="AB373" s="97" t="str">
        <f ca="1">IFERROR(VLOOKUP(R373,Размеры!A:C,3,FALSE),"")</f>
        <v>61 XL</v>
      </c>
      <c r="AC373" s="97" t="str">
        <f ca="1">VLOOKUP(I373,ЦветПолный!A:B,2,FALSE)</f>
        <v>13</v>
      </c>
      <c r="AD373" s="97" t="str">
        <f ca="1">IFERROR(VLOOKUP(R373,Размеры!A:D,4,FALSE),"")</f>
        <v>61</v>
      </c>
      <c r="AE373" s="97">
        <f ca="1">IF(LEFT(IFERROR(VLOOKUP(LOOKUP(2,1/SEARCH(B373,Товары!A:A),Товары!A:A),Товары!A:B,2,0),""),6)=MID(Z373,1,6),1,0)</f>
        <v>1</v>
      </c>
      <c r="AG373" s="97">
        <f ca="1">SUMIF(Группа!A:A,C373,Группа!C:C)</f>
        <v>1</v>
      </c>
      <c r="AH373" s="97">
        <f ca="1">SUMIF(Группа!B:B,AA373,Группа!C:C)</f>
        <v>1</v>
      </c>
      <c r="AI373" s="97">
        <f ca="1">SUMIF(Формы!A:A,D373,Формы!B:B)</f>
        <v>1</v>
      </c>
      <c r="AJ373" s="97">
        <f ca="1">SUMIF(Материал!A:A,K373,Материал!B:B)</f>
        <v>1</v>
      </c>
      <c r="AK373" s="97">
        <f ca="1">SUMIF(Размеры!A:A,R373,Размеры!E:E)</f>
        <v>1</v>
      </c>
      <c r="AL373" s="97">
        <f ca="1">SUMIF(Сезон!A:A,F373,Сезон!B:B)</f>
        <v>1</v>
      </c>
      <c r="AM373" s="97">
        <f ca="1">SUMIF(Состав!A:A,J373,Состав!B:B)</f>
        <v>1</v>
      </c>
      <c r="AN373" s="97">
        <f ca="1">VLOOKUP(I373,ЦветПолный!A:C,3,0)</f>
        <v>1</v>
      </c>
      <c r="AO373" s="97">
        <f ca="1">SUMIF(Цвет!A:A,Y373,Цвет!B:B)</f>
        <v>1</v>
      </c>
      <c r="AP373" s="97">
        <f ca="1">_xlfn.XLOOKUP(L373,Пол!A:A,Пол!B:B,0,0)</f>
        <v>1</v>
      </c>
      <c r="AQ373" s="97">
        <f ca="1">SUMIF(Марка!A:A,G373,Марка!B:B)</f>
        <v>1</v>
      </c>
      <c r="AR373" s="97">
        <f ca="1">SUMIF(Страна!A:A,M373,Страна!B:B)</f>
        <v>1</v>
      </c>
      <c r="AS373" s="64" t="str">
        <f ca="1">IF(VLOOKUP(V373,Товары!A:B,2,FALSE)=A373,"Есть в 1С","ERR")</f>
        <v>Есть в 1С</v>
      </c>
      <c r="AT373" s="65" t="str">
        <f ca="1">IF(VLOOKUP(A373,Товары!B:B,1,FALSE)=A373,"Есть в 1С","ERR")</f>
        <v>Есть в 1С</v>
      </c>
      <c r="AU373" s="96" t="str">
        <f ca="1">VLOOKUP(V373,Товары!A:B,2,FALSE)</f>
        <v>21-089-13</v>
      </c>
      <c r="AV373" s="94" t="str">
        <f ca="1">VLOOKUP(V373,Товары!A:B,1,FALSE)</f>
        <v>Шляпа BAILEY арт. 81650 SALEM (рыжий) {rust}</v>
      </c>
    </row>
    <row r="374" spans="1:48" x14ac:dyDescent="0.25">
      <c r="A374" s="110" t="str">
        <f t="shared" ca="1" si="37"/>
        <v>21-089-13</v>
      </c>
      <c r="B374" s="107" t="str">
        <f ca="1">_xlfn.LET(_xlpm.CAPS,0,_xlpm.Style,_xlfn.XLOOKUP($A374,Строчный!$A:$A,Строчный!B:B,"ERR",0),IF(_xlpm.CAPS=0,_xlpm.Style,LOWER(_xlpm.Style)))</f>
        <v>81650 SALEM</v>
      </c>
      <c r="C374" s="81" t="str">
        <f ca="1">PROPER(_xlfn.XLOOKUP($A374,Строчный!$A:$A,Строчный!C:C,"ERR",0))</f>
        <v>Шляпы</v>
      </c>
      <c r="D374" s="81" t="str">
        <f ca="1">_xlfn.LET(_xlpm.DATA,(_xlfn.XLOOKUP($A374,Строчный!$A:$A,Строчный!D:D,"ERR",0)),UPPER(MID(_xlpm.DATA,1,1))&amp;LOWER(MID(_xlpm.DATA,2,LEN(_xlpm.DATA)-1)))</f>
        <v>Шляпа хомбург</v>
      </c>
      <c r="E374" s="81" t="str">
        <f ca="1">PROPER(_xlfn.XLOOKUP($A374,Строчный!$A:$A,Строчный!E:E,"ERR",0))</f>
        <v>The Hollywood</v>
      </c>
      <c r="F374" s="81" t="str">
        <f ca="1">LOWER(_xlfn.XLOOKUP($A374,Строчный!$A:$A,Строчный!F:F,"ERR",0))</f>
        <v>летний</v>
      </c>
      <c r="G374" s="81" t="str">
        <f ca="1">UPPER(_xlfn.XLOOKUP($A374,Строчный!$A:$A,Строчный!G:G,"ERR",0))</f>
        <v>BAILEY</v>
      </c>
      <c r="H374" s="81" t="str">
        <f ca="1">LOWER(_xlfn.XLOOKUP($A374,Строчный!$A:$A,Строчный!H:H,"ERR",0))</f>
        <v>rust</v>
      </c>
      <c r="I374" s="81" t="str">
        <f ca="1">LOWER(_xlfn.XLOOKUP($A374,Строчный!$A:$A,Строчный!I:I,"ERR",0))</f>
        <v>рыжий</v>
      </c>
      <c r="J374" s="81" t="str">
        <f ca="1">SUBSTITUTE(LOWER(_xlfn.XLOOKUP($A374,Строчный!$A:$A,Строчный!J:J,"ERR",0)),"подклад","Подклад")</f>
        <v>55% бумага - 45% полиэстер</v>
      </c>
      <c r="K374" s="81" t="str">
        <f ca="1">LOWER(_xlfn.XLOOKUP($A374,Строчный!$A:$A,Строчный!K:K,"ERR",0))</f>
        <v>бумажные</v>
      </c>
      <c r="L374" s="81" t="str">
        <f ca="1">PROPER(_xlfn.XLOOKUP($A374,Строчный!$A:$A,Строчный!L:L,"ERR",0))</f>
        <v>Унисекс</v>
      </c>
      <c r="M374" s="113" t="str">
        <f ca="1">PROPER(_xlfn.XLOOKUP($A374,Строчный!$A:$A,Строчный!M:M,"ERR",0))</f>
        <v>Китай</v>
      </c>
      <c r="N374" s="81" t="str">
        <f ca="1">UPPER(_xlfn.XLOOKUP($A374,Строчный!$A:$A,Строчный!O:O,"ERR",0))</f>
        <v/>
      </c>
      <c r="O374" s="107" t="str">
        <f ca="1">PROPER(_xlfn.XLOOKUP($A374,Строчный!$A:$A,Строчный!P:P,"ERR",0))</f>
        <v/>
      </c>
      <c r="P374" s="90">
        <f ca="1">VALUE(_xlfn.XLOOKUP($A374,Строчный!$A:$A,Строчный!N:N,"ERR",0))</f>
        <v>2094.3000000000002</v>
      </c>
      <c r="Q374" s="89" t="str">
        <f ca="1">_xlfn.XLOOKUP($G374,Фабрика!A:A,Фабрика!B:B,"ERR",0)</f>
        <v>Bollman Headwear Europe Ltd; 2 Merchants drive, Caelisle, Cumbria CA3 0JW, United Kingdom</v>
      </c>
      <c r="R374" s="80" t="str">
        <f ca="1">_xlfn.XLOOKUP(RIGHT(Z374,2),Размеры!D:D,Размеры!A:A,"ERR",0)</f>
        <v>59</v>
      </c>
      <c r="S374" s="80">
        <f ca="1">VALUE(_xlfn.XLOOKUP($Z374,Строчный!$R:$R,Строчный!T:T,"ERR",0))</f>
        <v>6</v>
      </c>
      <c r="T374" s="14" t="s">
        <v>265</v>
      </c>
      <c r="U374" s="101" t="str">
        <f t="shared" ref="U374:U401" ca="1" si="38">CONCATENATE(AA374," ",G374," арт. ",B374," (",I374,")")</f>
        <v>Шляпа BAILEY арт. 81650 SALEM (рыжий)</v>
      </c>
      <c r="V374" s="100" t="str">
        <f t="shared" ref="V374:V401" ca="1" si="39">CONCATENATE(AA374," ",G374," арт. ",B374," (",I374,") {",H374,"}")</f>
        <v>Шляпа BAILEY арт. 81650 SALEM (рыжий) {rust}</v>
      </c>
      <c r="W374" s="18" t="str">
        <f t="shared" ref="W374:W401" ca="1" si="40">IFERROR(MID(I374,FIND("-",I374)+1,LEN(I374)),IFERROR(MID(I374,1,FIND("/",I374)-2),I374))</f>
        <v>рыжий</v>
      </c>
      <c r="X374" s="18" t="str">
        <f t="shared" ref="X374:X401" ca="1" si="41">IFERROR(MID(I374,FIND("-",I374)+1,LEN(I374)),IFERROR(MID(I374,FIND("/",I374)+2,LEN(I374)),I374))</f>
        <v>рыжий</v>
      </c>
      <c r="Y374" s="117" t="str">
        <f ca="1">_xlfn.LET(_xlpm.FormColors,_xlfn.XLOOKUP(A374,Строчный!A:A,Строчный!Q:Q,"",0),IF(_xlpm.FormColors=0,IFERROR(MID(I374,FIND("-",I374)+1,LEN(I374)),IFERROR(MID(I374,1,FIND("/",I374)-2),I374)),_xlpm.FormColors))</f>
        <v>рыжий</v>
      </c>
      <c r="Z374" s="73" t="str">
        <f ca="1"/>
        <v>21-089-13-59</v>
      </c>
      <c r="AA374" s="75" t="str">
        <f ca="1">VLOOKUP(C374,Группа!A:B,2,FALSE)</f>
        <v>Шляпа</v>
      </c>
      <c r="AB374" s="97" t="str">
        <f ca="1">IFERROR(VLOOKUP(R374,Размеры!A:C,3,FALSE),"")</f>
        <v>59 L</v>
      </c>
      <c r="AC374" s="97" t="str">
        <f ca="1">VLOOKUP(I374,ЦветПолный!A:B,2,FALSE)</f>
        <v>13</v>
      </c>
      <c r="AD374" s="97" t="str">
        <f ca="1">IFERROR(VLOOKUP(R374,Размеры!A:D,4,FALSE),"")</f>
        <v>59</v>
      </c>
      <c r="AE374" s="97">
        <f ca="1">IF(LEFT(IFERROR(VLOOKUP(LOOKUP(2,1/SEARCH(B374,Товары!A:A),Товары!A:A),Товары!A:B,2,0),""),6)=MID(Z374,1,6),1,0)</f>
        <v>1</v>
      </c>
      <c r="AG374" s="97">
        <f ca="1">SUMIF(Группа!A:A,C374,Группа!C:C)</f>
        <v>1</v>
      </c>
      <c r="AH374" s="97">
        <f ca="1">SUMIF(Группа!B:B,AA374,Группа!C:C)</f>
        <v>1</v>
      </c>
      <c r="AI374" s="97">
        <f ca="1">SUMIF(Формы!A:A,D374,Формы!B:B)</f>
        <v>1</v>
      </c>
      <c r="AJ374" s="97">
        <f ca="1">SUMIF(Материал!A:A,K374,Материал!B:B)</f>
        <v>1</v>
      </c>
      <c r="AK374" s="97">
        <f ca="1">SUMIF(Размеры!A:A,R374,Размеры!E:E)</f>
        <v>1</v>
      </c>
      <c r="AL374" s="97">
        <f ca="1">SUMIF(Сезон!A:A,F374,Сезон!B:B)</f>
        <v>1</v>
      </c>
      <c r="AM374" s="97">
        <f ca="1">SUMIF(Состав!A:A,J374,Состав!B:B)</f>
        <v>1</v>
      </c>
      <c r="AN374" s="97">
        <f ca="1">VLOOKUP(I374,ЦветПолный!A:C,3,0)</f>
        <v>1</v>
      </c>
      <c r="AO374" s="97">
        <f ca="1">SUMIF(Цвет!A:A,Y374,Цвет!B:B)</f>
        <v>1</v>
      </c>
      <c r="AP374" s="97">
        <f ca="1">_xlfn.XLOOKUP(L374,Пол!A:A,Пол!B:B,0,0)</f>
        <v>1</v>
      </c>
      <c r="AQ374" s="97">
        <f ca="1">SUMIF(Марка!A:A,G374,Марка!B:B)</f>
        <v>1</v>
      </c>
      <c r="AR374" s="97">
        <f ca="1">SUMIF(Страна!A:A,M374,Страна!B:B)</f>
        <v>1</v>
      </c>
      <c r="AS374" s="64" t="str">
        <f ca="1">IF(VLOOKUP(V374,Товары!A:B,2,FALSE)=A374,"Есть в 1С","ERR")</f>
        <v>Есть в 1С</v>
      </c>
      <c r="AT374" s="65" t="str">
        <f ca="1">IF(VLOOKUP(A374,Товары!B:B,1,FALSE)=A374,"Есть в 1С","ERR")</f>
        <v>Есть в 1С</v>
      </c>
      <c r="AU374" s="96" t="str">
        <f ca="1">VLOOKUP(V374,Товары!A:B,2,FALSE)</f>
        <v>21-089-13</v>
      </c>
      <c r="AV374" s="94" t="str">
        <f ca="1">VLOOKUP(V374,Товары!A:B,1,FALSE)</f>
        <v>Шляпа BAILEY арт. 81650 SALEM (рыжий) {rust}</v>
      </c>
    </row>
    <row r="375" spans="1:48" x14ac:dyDescent="0.25">
      <c r="A375" s="110" t="str">
        <f t="shared" ca="1" si="37"/>
        <v>21-089-13</v>
      </c>
      <c r="B375" s="107" t="str">
        <f ca="1">_xlfn.LET(_xlpm.CAPS,0,_xlpm.Style,_xlfn.XLOOKUP($A375,Строчный!$A:$A,Строчный!B:B,"ERR",0),IF(_xlpm.CAPS=0,_xlpm.Style,LOWER(_xlpm.Style)))</f>
        <v>81650 SALEM</v>
      </c>
      <c r="C375" s="81" t="str">
        <f ca="1">PROPER(_xlfn.XLOOKUP($A375,Строчный!$A:$A,Строчный!C:C,"ERR",0))</f>
        <v>Шляпы</v>
      </c>
      <c r="D375" s="81" t="str">
        <f ca="1">_xlfn.LET(_xlpm.DATA,(_xlfn.XLOOKUP($A375,Строчный!$A:$A,Строчный!D:D,"ERR",0)),UPPER(MID(_xlpm.DATA,1,1))&amp;LOWER(MID(_xlpm.DATA,2,LEN(_xlpm.DATA)-1)))</f>
        <v>Шляпа хомбург</v>
      </c>
      <c r="E375" s="81" t="str">
        <f ca="1">PROPER(_xlfn.XLOOKUP($A375,Строчный!$A:$A,Строчный!E:E,"ERR",0))</f>
        <v>The Hollywood</v>
      </c>
      <c r="F375" s="81" t="str">
        <f ca="1">LOWER(_xlfn.XLOOKUP($A375,Строчный!$A:$A,Строчный!F:F,"ERR",0))</f>
        <v>летний</v>
      </c>
      <c r="G375" s="81" t="str">
        <f ca="1">UPPER(_xlfn.XLOOKUP($A375,Строчный!$A:$A,Строчный!G:G,"ERR",0))</f>
        <v>BAILEY</v>
      </c>
      <c r="H375" s="81" t="str">
        <f ca="1">LOWER(_xlfn.XLOOKUP($A375,Строчный!$A:$A,Строчный!H:H,"ERR",0))</f>
        <v>rust</v>
      </c>
      <c r="I375" s="81" t="str">
        <f ca="1">LOWER(_xlfn.XLOOKUP($A375,Строчный!$A:$A,Строчный!I:I,"ERR",0))</f>
        <v>рыжий</v>
      </c>
      <c r="J375" s="81" t="str">
        <f ca="1">SUBSTITUTE(LOWER(_xlfn.XLOOKUP($A375,Строчный!$A:$A,Строчный!J:J,"ERR",0)),"подклад","Подклад")</f>
        <v>55% бумага - 45% полиэстер</v>
      </c>
      <c r="K375" s="81" t="str">
        <f ca="1">LOWER(_xlfn.XLOOKUP($A375,Строчный!$A:$A,Строчный!K:K,"ERR",0))</f>
        <v>бумажные</v>
      </c>
      <c r="L375" s="81" t="str">
        <f ca="1">PROPER(_xlfn.XLOOKUP($A375,Строчный!$A:$A,Строчный!L:L,"ERR",0))</f>
        <v>Унисекс</v>
      </c>
      <c r="M375" s="113" t="str">
        <f ca="1">PROPER(_xlfn.XLOOKUP($A375,Строчный!$A:$A,Строчный!M:M,"ERR",0))</f>
        <v>Китай</v>
      </c>
      <c r="N375" s="81" t="str">
        <f ca="1">UPPER(_xlfn.XLOOKUP($A375,Строчный!$A:$A,Строчный!O:O,"ERR",0))</f>
        <v/>
      </c>
      <c r="O375" s="107" t="str">
        <f ca="1">PROPER(_xlfn.XLOOKUP($A375,Строчный!$A:$A,Строчный!P:P,"ERR",0))</f>
        <v/>
      </c>
      <c r="P375" s="90">
        <f ca="1">VALUE(_xlfn.XLOOKUP($A375,Строчный!$A:$A,Строчный!N:N,"ERR",0))</f>
        <v>2094.3000000000002</v>
      </c>
      <c r="Q375" s="89" t="str">
        <f ca="1">_xlfn.XLOOKUP($G375,Фабрика!A:A,Фабрика!B:B,"ERR",0)</f>
        <v>Bollman Headwear Europe Ltd; 2 Merchants drive, Caelisle, Cumbria CA3 0JW, United Kingdom</v>
      </c>
      <c r="R375" s="80" t="str">
        <f ca="1">_xlfn.XLOOKUP(RIGHT(Z375,2),Размеры!D:D,Размеры!A:A,"ERR",0)</f>
        <v>57</v>
      </c>
      <c r="S375" s="80">
        <f ca="1">VALUE(_xlfn.XLOOKUP($Z375,Строчный!$R:$R,Строчный!T:T,"ERR",0))</f>
        <v>4</v>
      </c>
      <c r="T375" s="14" t="s">
        <v>265</v>
      </c>
      <c r="U375" s="101" t="str">
        <f t="shared" ca="1" si="38"/>
        <v>Шляпа BAILEY арт. 81650 SALEM (рыжий)</v>
      </c>
      <c r="V375" s="100" t="str">
        <f t="shared" ca="1" si="39"/>
        <v>Шляпа BAILEY арт. 81650 SALEM (рыжий) {rust}</v>
      </c>
      <c r="W375" s="18" t="str">
        <f t="shared" ca="1" si="40"/>
        <v>рыжий</v>
      </c>
      <c r="X375" s="18" t="str">
        <f t="shared" ca="1" si="41"/>
        <v>рыжий</v>
      </c>
      <c r="Y375" s="117" t="str">
        <f ca="1">_xlfn.LET(_xlpm.FormColors,_xlfn.XLOOKUP(A375,Строчный!A:A,Строчный!Q:Q,"",0),IF(_xlpm.FormColors=0,IFERROR(MID(I375,FIND("-",I375)+1,LEN(I375)),IFERROR(MID(I375,1,FIND("/",I375)-2),I375)),_xlpm.FormColors))</f>
        <v>рыжий</v>
      </c>
      <c r="Z375" s="73" t="str">
        <f ca="1"/>
        <v>21-089-13-57</v>
      </c>
      <c r="AA375" s="75" t="str">
        <f ca="1">VLOOKUP(C375,Группа!A:B,2,FALSE)</f>
        <v>Шляпа</v>
      </c>
      <c r="AB375" s="97" t="str">
        <f ca="1">IFERROR(VLOOKUP(R375,Размеры!A:C,3,FALSE),"")</f>
        <v>57 M</v>
      </c>
      <c r="AC375" s="97" t="str">
        <f ca="1">VLOOKUP(I375,ЦветПолный!A:B,2,FALSE)</f>
        <v>13</v>
      </c>
      <c r="AD375" s="97" t="str">
        <f ca="1">IFERROR(VLOOKUP(R375,Размеры!A:D,4,FALSE),"")</f>
        <v>57</v>
      </c>
      <c r="AE375" s="97">
        <f ca="1">IF(LEFT(IFERROR(VLOOKUP(LOOKUP(2,1/SEARCH(B375,Товары!A:A),Товары!A:A),Товары!A:B,2,0),""),6)=MID(Z375,1,6),1,0)</f>
        <v>1</v>
      </c>
      <c r="AG375" s="97">
        <f ca="1">SUMIF(Группа!A:A,C375,Группа!C:C)</f>
        <v>1</v>
      </c>
      <c r="AH375" s="97">
        <f ca="1">SUMIF(Группа!B:B,AA375,Группа!C:C)</f>
        <v>1</v>
      </c>
      <c r="AI375" s="97">
        <f ca="1">SUMIF(Формы!A:A,D375,Формы!B:B)</f>
        <v>1</v>
      </c>
      <c r="AJ375" s="97">
        <f ca="1">SUMIF(Материал!A:A,K375,Материал!B:B)</f>
        <v>1</v>
      </c>
      <c r="AK375" s="97">
        <f ca="1">SUMIF(Размеры!A:A,R375,Размеры!E:E)</f>
        <v>1</v>
      </c>
      <c r="AL375" s="97">
        <f ca="1">SUMIF(Сезон!A:A,F375,Сезон!B:B)</f>
        <v>1</v>
      </c>
      <c r="AM375" s="97">
        <f ca="1">SUMIF(Состав!A:A,J375,Состав!B:B)</f>
        <v>1</v>
      </c>
      <c r="AN375" s="97">
        <f ca="1">VLOOKUP(I375,ЦветПолный!A:C,3,0)</f>
        <v>1</v>
      </c>
      <c r="AO375" s="97">
        <f ca="1">SUMIF(Цвет!A:A,Y375,Цвет!B:B)</f>
        <v>1</v>
      </c>
      <c r="AP375" s="97">
        <f ca="1">_xlfn.XLOOKUP(L375,Пол!A:A,Пол!B:B,0,0)</f>
        <v>1</v>
      </c>
      <c r="AQ375" s="97">
        <f ca="1">SUMIF(Марка!A:A,G375,Марка!B:B)</f>
        <v>1</v>
      </c>
      <c r="AR375" s="97">
        <f ca="1">SUMIF(Страна!A:A,M375,Страна!B:B)</f>
        <v>1</v>
      </c>
      <c r="AS375" s="64" t="str">
        <f ca="1">IF(VLOOKUP(V375,Товары!A:B,2,FALSE)=A375,"Есть в 1С","ERR")</f>
        <v>Есть в 1С</v>
      </c>
      <c r="AT375" s="65" t="str">
        <f ca="1">IF(VLOOKUP(A375,Товары!B:B,1,FALSE)=A375,"Есть в 1С","ERR")</f>
        <v>Есть в 1С</v>
      </c>
      <c r="AU375" s="96" t="str">
        <f ca="1">VLOOKUP(V375,Товары!A:B,2,FALSE)</f>
        <v>21-089-13</v>
      </c>
      <c r="AV375" s="94" t="str">
        <f ca="1">VLOOKUP(V375,Товары!A:B,1,FALSE)</f>
        <v>Шляпа BAILEY арт. 81650 SALEM (рыжий) {rust}</v>
      </c>
    </row>
    <row r="376" spans="1:48" x14ac:dyDescent="0.25">
      <c r="A376" s="110" t="str">
        <f t="shared" ca="1" si="37"/>
        <v>21-089-09</v>
      </c>
      <c r="B376" s="107" t="str">
        <f ca="1">_xlfn.LET(_xlpm.CAPS,0,_xlpm.Style,_xlfn.XLOOKUP($A376,Строчный!$A:$A,Строчный!B:B,"ERR",0),IF(_xlpm.CAPS=0,_xlpm.Style,LOWER(_xlpm.Style)))</f>
        <v>81650 SALEM</v>
      </c>
      <c r="C376" s="81" t="str">
        <f ca="1">PROPER(_xlfn.XLOOKUP($A376,Строчный!$A:$A,Строчный!C:C,"ERR",0))</f>
        <v>Шляпы</v>
      </c>
      <c r="D376" s="81" t="str">
        <f ca="1">_xlfn.LET(_xlpm.DATA,(_xlfn.XLOOKUP($A376,Строчный!$A:$A,Строчный!D:D,"ERR",0)),UPPER(MID(_xlpm.DATA,1,1))&amp;LOWER(MID(_xlpm.DATA,2,LEN(_xlpm.DATA)-1)))</f>
        <v>Шляпа хомбург</v>
      </c>
      <c r="E376" s="81" t="str">
        <f ca="1">PROPER(_xlfn.XLOOKUP($A376,Строчный!$A:$A,Строчный!E:E,"ERR",0))</f>
        <v>The Hollywood</v>
      </c>
      <c r="F376" s="81" t="str">
        <f ca="1">LOWER(_xlfn.XLOOKUP($A376,Строчный!$A:$A,Строчный!F:F,"ERR",0))</f>
        <v>летний</v>
      </c>
      <c r="G376" s="81" t="str">
        <f ca="1">UPPER(_xlfn.XLOOKUP($A376,Строчный!$A:$A,Строчный!G:G,"ERR",0))</f>
        <v>BAILEY</v>
      </c>
      <c r="H376" s="81" t="str">
        <f ca="1">LOWER(_xlfn.XLOOKUP($A376,Строчный!$A:$A,Строчный!H:H,"ERR",0))</f>
        <v>black</v>
      </c>
      <c r="I376" s="81" t="str">
        <f ca="1">LOWER(_xlfn.XLOOKUP($A376,Строчный!$A:$A,Строчный!I:I,"ERR",0))</f>
        <v>черный</v>
      </c>
      <c r="J376" s="81" t="str">
        <f ca="1">SUBSTITUTE(LOWER(_xlfn.XLOOKUP($A376,Строчный!$A:$A,Строчный!J:J,"ERR",0)),"подклад","Подклад")</f>
        <v>55% полиэстер - 45% бумага</v>
      </c>
      <c r="K376" s="81" t="str">
        <f ca="1">LOWER(_xlfn.XLOOKUP($A376,Строчный!$A:$A,Строчный!K:K,"ERR",0))</f>
        <v>бумажные</v>
      </c>
      <c r="L376" s="81" t="str">
        <f ca="1">PROPER(_xlfn.XLOOKUP($A376,Строчный!$A:$A,Строчный!L:L,"ERR",0))</f>
        <v>Унисекс</v>
      </c>
      <c r="M376" s="113" t="str">
        <f ca="1">PROPER(_xlfn.XLOOKUP($A376,Строчный!$A:$A,Строчный!M:M,"ERR",0))</f>
        <v>Китай</v>
      </c>
      <c r="N376" s="81" t="str">
        <f ca="1">UPPER(_xlfn.XLOOKUP($A376,Строчный!$A:$A,Строчный!O:O,"ERR",0))</f>
        <v/>
      </c>
      <c r="O376" s="107" t="str">
        <f ca="1">PROPER(_xlfn.XLOOKUP($A376,Строчный!$A:$A,Строчный!P:P,"ERR",0))</f>
        <v/>
      </c>
      <c r="P376" s="90">
        <f ca="1">VALUE(_xlfn.XLOOKUP($A376,Строчный!$A:$A,Строчный!N:N,"ERR",0))</f>
        <v>2094.3000000000002</v>
      </c>
      <c r="Q376" s="89" t="str">
        <f ca="1">_xlfn.XLOOKUP($G376,Фабрика!A:A,Фабрика!B:B,"ERR",0)</f>
        <v>Bollman Headwear Europe Ltd; 2 Merchants drive, Caelisle, Cumbria CA3 0JW, United Kingdom</v>
      </c>
      <c r="R376" s="80" t="str">
        <f ca="1">_xlfn.XLOOKUP(RIGHT(Z376,2),Размеры!D:D,Размеры!A:A,"ERR",0)</f>
        <v>63</v>
      </c>
      <c r="S376" s="80">
        <f ca="1">VALUE(_xlfn.XLOOKUP($Z376,Строчный!$R:$R,Строчный!T:T,"ERR",0))</f>
        <v>1</v>
      </c>
      <c r="T376" s="14" t="s">
        <v>265</v>
      </c>
      <c r="U376" s="101" t="str">
        <f t="shared" ca="1" si="38"/>
        <v>Шляпа BAILEY арт. 81650 SALEM (черный)</v>
      </c>
      <c r="V376" s="100" t="str">
        <f t="shared" ca="1" si="39"/>
        <v>Шляпа BAILEY арт. 81650 SALEM (черный) {black}</v>
      </c>
      <c r="W376" s="18" t="str">
        <f t="shared" ca="1" si="40"/>
        <v>черный</v>
      </c>
      <c r="X376" s="18" t="str">
        <f t="shared" ca="1" si="41"/>
        <v>черный</v>
      </c>
      <c r="Y376" s="117" t="str">
        <f ca="1">_xlfn.LET(_xlpm.FormColors,_xlfn.XLOOKUP(A376,Строчный!A:A,Строчный!Q:Q,"",0),IF(_xlpm.FormColors=0,IFERROR(MID(I376,FIND("-",I376)+1,LEN(I376)),IFERROR(MID(I376,1,FIND("/",I376)-2),I376)),_xlpm.FormColors))</f>
        <v>черный</v>
      </c>
      <c r="Z376" s="73" t="str">
        <f ca="1"/>
        <v>21-089-09-63</v>
      </c>
      <c r="AA376" s="75" t="str">
        <f ca="1">VLOOKUP(C376,Группа!A:B,2,FALSE)</f>
        <v>Шляпа</v>
      </c>
      <c r="AB376" s="97" t="str">
        <f ca="1">IFERROR(VLOOKUP(R376,Размеры!A:C,3,FALSE),"")</f>
        <v>63 XXL</v>
      </c>
      <c r="AC376" s="97" t="str">
        <f ca="1">VLOOKUP(I376,ЦветПолный!A:B,2,FALSE)</f>
        <v>09</v>
      </c>
      <c r="AD376" s="97" t="str">
        <f ca="1">IFERROR(VLOOKUP(R376,Размеры!A:D,4,FALSE),"")</f>
        <v>63</v>
      </c>
      <c r="AE376" s="97">
        <f ca="1">IF(LEFT(IFERROR(VLOOKUP(LOOKUP(2,1/SEARCH(B376,Товары!A:A),Товары!A:A),Товары!A:B,2,0),""),6)=MID(Z376,1,6),1,0)</f>
        <v>1</v>
      </c>
      <c r="AG376" s="97">
        <f ca="1">SUMIF(Группа!A:A,C376,Группа!C:C)</f>
        <v>1</v>
      </c>
      <c r="AH376" s="97">
        <f ca="1">SUMIF(Группа!B:B,AA376,Группа!C:C)</f>
        <v>1</v>
      </c>
      <c r="AI376" s="97">
        <f ca="1">SUMIF(Формы!A:A,D376,Формы!B:B)</f>
        <v>1</v>
      </c>
      <c r="AJ376" s="97">
        <f ca="1">SUMIF(Материал!A:A,K376,Материал!B:B)</f>
        <v>1</v>
      </c>
      <c r="AK376" s="97">
        <f ca="1">SUMIF(Размеры!A:A,R376,Размеры!E:E)</f>
        <v>1</v>
      </c>
      <c r="AL376" s="97">
        <f ca="1">SUMIF(Сезон!A:A,F376,Сезон!B:B)</f>
        <v>1</v>
      </c>
      <c r="AM376" s="97">
        <f ca="1">SUMIF(Состав!A:A,J376,Состав!B:B)</f>
        <v>1</v>
      </c>
      <c r="AN376" s="97">
        <f ca="1">VLOOKUP(I376,ЦветПолный!A:C,3,0)</f>
        <v>1</v>
      </c>
      <c r="AO376" s="97">
        <f ca="1">SUMIF(Цвет!A:A,Y376,Цвет!B:B)</f>
        <v>1</v>
      </c>
      <c r="AP376" s="97">
        <f ca="1">_xlfn.XLOOKUP(L376,Пол!A:A,Пол!B:B,0,0)</f>
        <v>1</v>
      </c>
      <c r="AQ376" s="97">
        <f ca="1">SUMIF(Марка!A:A,G376,Марка!B:B)</f>
        <v>1</v>
      </c>
      <c r="AR376" s="97">
        <f ca="1">SUMIF(Страна!A:A,M376,Страна!B:B)</f>
        <v>1</v>
      </c>
      <c r="AS376" s="64" t="e">
        <f ca="1">IF(VLOOKUP(V376,Товары!A:B,2,FALSE)=A376,"Есть в 1С","ERR")</f>
        <v>#N/A</v>
      </c>
      <c r="AT376" s="65" t="str">
        <f ca="1">IF(VLOOKUP(A376,Товары!B:B,1,FALSE)=A376,"Есть в 1С","ERR")</f>
        <v>Есть в 1С</v>
      </c>
      <c r="AU376" s="96" t="e">
        <f ca="1">VLOOKUP(V376,Товары!A:B,2,FALSE)</f>
        <v>#N/A</v>
      </c>
      <c r="AV376" s="94" t="e">
        <f ca="1">VLOOKUP(V376,Товары!A:B,1,FALSE)</f>
        <v>#N/A</v>
      </c>
    </row>
    <row r="377" spans="1:48" x14ac:dyDescent="0.25">
      <c r="A377" s="110" t="str">
        <f t="shared" ca="1" si="37"/>
        <v>21-089-09</v>
      </c>
      <c r="B377" s="107" t="str">
        <f ca="1">_xlfn.LET(_xlpm.CAPS,0,_xlpm.Style,_xlfn.XLOOKUP($A377,Строчный!$A:$A,Строчный!B:B,"ERR",0),IF(_xlpm.CAPS=0,_xlpm.Style,LOWER(_xlpm.Style)))</f>
        <v>81650 SALEM</v>
      </c>
      <c r="C377" s="81" t="str">
        <f ca="1">PROPER(_xlfn.XLOOKUP($A377,Строчный!$A:$A,Строчный!C:C,"ERR",0))</f>
        <v>Шляпы</v>
      </c>
      <c r="D377" s="81" t="str">
        <f ca="1">_xlfn.LET(_xlpm.DATA,(_xlfn.XLOOKUP($A377,Строчный!$A:$A,Строчный!D:D,"ERR",0)),UPPER(MID(_xlpm.DATA,1,1))&amp;LOWER(MID(_xlpm.DATA,2,LEN(_xlpm.DATA)-1)))</f>
        <v>Шляпа хомбург</v>
      </c>
      <c r="E377" s="81" t="str">
        <f ca="1">PROPER(_xlfn.XLOOKUP($A377,Строчный!$A:$A,Строчный!E:E,"ERR",0))</f>
        <v>The Hollywood</v>
      </c>
      <c r="F377" s="81" t="str">
        <f ca="1">LOWER(_xlfn.XLOOKUP($A377,Строчный!$A:$A,Строчный!F:F,"ERR",0))</f>
        <v>летний</v>
      </c>
      <c r="G377" s="81" t="str">
        <f ca="1">UPPER(_xlfn.XLOOKUP($A377,Строчный!$A:$A,Строчный!G:G,"ERR",0))</f>
        <v>BAILEY</v>
      </c>
      <c r="H377" s="81" t="str">
        <f ca="1">LOWER(_xlfn.XLOOKUP($A377,Строчный!$A:$A,Строчный!H:H,"ERR",0))</f>
        <v>black</v>
      </c>
      <c r="I377" s="81" t="str">
        <f ca="1">LOWER(_xlfn.XLOOKUP($A377,Строчный!$A:$A,Строчный!I:I,"ERR",0))</f>
        <v>черный</v>
      </c>
      <c r="J377" s="81" t="str">
        <f ca="1">SUBSTITUTE(LOWER(_xlfn.XLOOKUP($A377,Строчный!$A:$A,Строчный!J:J,"ERR",0)),"подклад","Подклад")</f>
        <v>55% полиэстер - 45% бумага</v>
      </c>
      <c r="K377" s="81" t="str">
        <f ca="1">LOWER(_xlfn.XLOOKUP($A377,Строчный!$A:$A,Строчный!K:K,"ERR",0))</f>
        <v>бумажные</v>
      </c>
      <c r="L377" s="81" t="str">
        <f ca="1">PROPER(_xlfn.XLOOKUP($A377,Строчный!$A:$A,Строчный!L:L,"ERR",0))</f>
        <v>Унисекс</v>
      </c>
      <c r="M377" s="113" t="str">
        <f ca="1">PROPER(_xlfn.XLOOKUP($A377,Строчный!$A:$A,Строчный!M:M,"ERR",0))</f>
        <v>Китай</v>
      </c>
      <c r="N377" s="81" t="str">
        <f ca="1">UPPER(_xlfn.XLOOKUP($A377,Строчный!$A:$A,Строчный!O:O,"ERR",0))</f>
        <v/>
      </c>
      <c r="O377" s="107" t="str">
        <f ca="1">PROPER(_xlfn.XLOOKUP($A377,Строчный!$A:$A,Строчный!P:P,"ERR",0))</f>
        <v/>
      </c>
      <c r="P377" s="90">
        <f ca="1">VALUE(_xlfn.XLOOKUP($A377,Строчный!$A:$A,Строчный!N:N,"ERR",0))</f>
        <v>2094.3000000000002</v>
      </c>
      <c r="Q377" s="89" t="str">
        <f ca="1">_xlfn.XLOOKUP($G377,Фабрика!A:A,Фабрика!B:B,"ERR",0)</f>
        <v>Bollman Headwear Europe Ltd; 2 Merchants drive, Caelisle, Cumbria CA3 0JW, United Kingdom</v>
      </c>
      <c r="R377" s="80" t="str">
        <f ca="1">_xlfn.XLOOKUP(RIGHT(Z377,2),Размеры!D:D,Размеры!A:A,"ERR",0)</f>
        <v>61</v>
      </c>
      <c r="S377" s="80">
        <f ca="1">VALUE(_xlfn.XLOOKUP($Z377,Строчный!$R:$R,Строчный!T:T,"ERR",0))</f>
        <v>4</v>
      </c>
      <c r="T377" s="14" t="s">
        <v>265</v>
      </c>
      <c r="U377" s="101" t="str">
        <f t="shared" ca="1" si="38"/>
        <v>Шляпа BAILEY арт. 81650 SALEM (черный)</v>
      </c>
      <c r="V377" s="100" t="str">
        <f t="shared" ca="1" si="39"/>
        <v>Шляпа BAILEY арт. 81650 SALEM (черный) {black}</v>
      </c>
      <c r="W377" s="18" t="str">
        <f t="shared" ca="1" si="40"/>
        <v>черный</v>
      </c>
      <c r="X377" s="18" t="str">
        <f t="shared" ca="1" si="41"/>
        <v>черный</v>
      </c>
      <c r="Y377" s="117" t="str">
        <f ca="1">_xlfn.LET(_xlpm.FormColors,_xlfn.XLOOKUP(A377,Строчный!A:A,Строчный!Q:Q,"",0),IF(_xlpm.FormColors=0,IFERROR(MID(I377,FIND("-",I377)+1,LEN(I377)),IFERROR(MID(I377,1,FIND("/",I377)-2),I377)),_xlpm.FormColors))</f>
        <v>черный</v>
      </c>
      <c r="Z377" s="73" t="str">
        <f ca="1"/>
        <v>21-089-09-61</v>
      </c>
      <c r="AA377" s="75" t="str">
        <f ca="1">VLOOKUP(C377,Группа!A:B,2,FALSE)</f>
        <v>Шляпа</v>
      </c>
      <c r="AB377" s="97" t="str">
        <f ca="1">IFERROR(VLOOKUP(R377,Размеры!A:C,3,FALSE),"")</f>
        <v>61 XL</v>
      </c>
      <c r="AC377" s="97" t="str">
        <f ca="1">VLOOKUP(I377,ЦветПолный!A:B,2,FALSE)</f>
        <v>09</v>
      </c>
      <c r="AD377" s="97" t="str">
        <f ca="1">IFERROR(VLOOKUP(R377,Размеры!A:D,4,FALSE),"")</f>
        <v>61</v>
      </c>
      <c r="AE377" s="97">
        <f ca="1">IF(LEFT(IFERROR(VLOOKUP(LOOKUP(2,1/SEARCH(B377,Товары!A:A),Товары!A:A),Товары!A:B,2,0),""),6)=MID(Z377,1,6),1,0)</f>
        <v>1</v>
      </c>
      <c r="AG377" s="97">
        <f ca="1">SUMIF(Группа!A:A,C377,Группа!C:C)</f>
        <v>1</v>
      </c>
      <c r="AH377" s="97">
        <f ca="1">SUMIF(Группа!B:B,AA377,Группа!C:C)</f>
        <v>1</v>
      </c>
      <c r="AI377" s="97">
        <f ca="1">SUMIF(Формы!A:A,D377,Формы!B:B)</f>
        <v>1</v>
      </c>
      <c r="AJ377" s="97">
        <f ca="1">SUMIF(Материал!A:A,K377,Материал!B:B)</f>
        <v>1</v>
      </c>
      <c r="AK377" s="97">
        <f ca="1">SUMIF(Размеры!A:A,R377,Размеры!E:E)</f>
        <v>1</v>
      </c>
      <c r="AL377" s="97">
        <f ca="1">SUMIF(Сезон!A:A,F377,Сезон!B:B)</f>
        <v>1</v>
      </c>
      <c r="AM377" s="97">
        <f ca="1">SUMIF(Состав!A:A,J377,Состав!B:B)</f>
        <v>1</v>
      </c>
      <c r="AN377" s="97">
        <f ca="1">VLOOKUP(I377,ЦветПолный!A:C,3,0)</f>
        <v>1</v>
      </c>
      <c r="AO377" s="97">
        <f ca="1">SUMIF(Цвет!A:A,Y377,Цвет!B:B)</f>
        <v>1</v>
      </c>
      <c r="AP377" s="97">
        <f ca="1">_xlfn.XLOOKUP(L377,Пол!A:A,Пол!B:B,0,0)</f>
        <v>1</v>
      </c>
      <c r="AQ377" s="97">
        <f ca="1">SUMIF(Марка!A:A,G377,Марка!B:B)</f>
        <v>1</v>
      </c>
      <c r="AR377" s="97">
        <f ca="1">SUMIF(Страна!A:A,M377,Страна!B:B)</f>
        <v>1</v>
      </c>
      <c r="AS377" s="64" t="e">
        <f ca="1">IF(VLOOKUP(V377,Товары!A:B,2,FALSE)=A377,"Есть в 1С","ERR")</f>
        <v>#N/A</v>
      </c>
      <c r="AT377" s="65" t="str">
        <f ca="1">IF(VLOOKUP(A377,Товары!B:B,1,FALSE)=A377,"Есть в 1С","ERR")</f>
        <v>Есть в 1С</v>
      </c>
      <c r="AU377" s="96" t="e">
        <f ca="1">VLOOKUP(V377,Товары!A:B,2,FALSE)</f>
        <v>#N/A</v>
      </c>
      <c r="AV377" s="94" t="e">
        <f ca="1">VLOOKUP(V377,Товары!A:B,1,FALSE)</f>
        <v>#N/A</v>
      </c>
    </row>
    <row r="378" spans="1:48" x14ac:dyDescent="0.25">
      <c r="A378" s="110" t="str">
        <f t="shared" ca="1" si="37"/>
        <v>21-089-09</v>
      </c>
      <c r="B378" s="107" t="str">
        <f ca="1">_xlfn.LET(_xlpm.CAPS,0,_xlpm.Style,_xlfn.XLOOKUP($A378,Строчный!$A:$A,Строчный!B:B,"ERR",0),IF(_xlpm.CAPS=0,_xlpm.Style,LOWER(_xlpm.Style)))</f>
        <v>81650 SALEM</v>
      </c>
      <c r="C378" s="81" t="str">
        <f ca="1">PROPER(_xlfn.XLOOKUP($A378,Строчный!$A:$A,Строчный!C:C,"ERR",0))</f>
        <v>Шляпы</v>
      </c>
      <c r="D378" s="81" t="str">
        <f ca="1">_xlfn.LET(_xlpm.DATA,(_xlfn.XLOOKUP($A378,Строчный!$A:$A,Строчный!D:D,"ERR",0)),UPPER(MID(_xlpm.DATA,1,1))&amp;LOWER(MID(_xlpm.DATA,2,LEN(_xlpm.DATA)-1)))</f>
        <v>Шляпа хомбург</v>
      </c>
      <c r="E378" s="81" t="str">
        <f ca="1">PROPER(_xlfn.XLOOKUP($A378,Строчный!$A:$A,Строчный!E:E,"ERR",0))</f>
        <v>The Hollywood</v>
      </c>
      <c r="F378" s="81" t="str">
        <f ca="1">LOWER(_xlfn.XLOOKUP($A378,Строчный!$A:$A,Строчный!F:F,"ERR",0))</f>
        <v>летний</v>
      </c>
      <c r="G378" s="81" t="str">
        <f ca="1">UPPER(_xlfn.XLOOKUP($A378,Строчный!$A:$A,Строчный!G:G,"ERR",0))</f>
        <v>BAILEY</v>
      </c>
      <c r="H378" s="81" t="str">
        <f ca="1">LOWER(_xlfn.XLOOKUP($A378,Строчный!$A:$A,Строчный!H:H,"ERR",0))</f>
        <v>black</v>
      </c>
      <c r="I378" s="81" t="str">
        <f ca="1">LOWER(_xlfn.XLOOKUP($A378,Строчный!$A:$A,Строчный!I:I,"ERR",0))</f>
        <v>черный</v>
      </c>
      <c r="J378" s="81" t="str">
        <f ca="1">SUBSTITUTE(LOWER(_xlfn.XLOOKUP($A378,Строчный!$A:$A,Строчный!J:J,"ERR",0)),"подклад","Подклад")</f>
        <v>55% полиэстер - 45% бумага</v>
      </c>
      <c r="K378" s="81" t="str">
        <f ca="1">LOWER(_xlfn.XLOOKUP($A378,Строчный!$A:$A,Строчный!K:K,"ERR",0))</f>
        <v>бумажные</v>
      </c>
      <c r="L378" s="81" t="str">
        <f ca="1">PROPER(_xlfn.XLOOKUP($A378,Строчный!$A:$A,Строчный!L:L,"ERR",0))</f>
        <v>Унисекс</v>
      </c>
      <c r="M378" s="113" t="str">
        <f ca="1">PROPER(_xlfn.XLOOKUP($A378,Строчный!$A:$A,Строчный!M:M,"ERR",0))</f>
        <v>Китай</v>
      </c>
      <c r="N378" s="81" t="str">
        <f ca="1">UPPER(_xlfn.XLOOKUP($A378,Строчный!$A:$A,Строчный!O:O,"ERR",0))</f>
        <v/>
      </c>
      <c r="O378" s="107" t="str">
        <f ca="1">PROPER(_xlfn.XLOOKUP($A378,Строчный!$A:$A,Строчный!P:P,"ERR",0))</f>
        <v/>
      </c>
      <c r="P378" s="90">
        <f ca="1">VALUE(_xlfn.XLOOKUP($A378,Строчный!$A:$A,Строчный!N:N,"ERR",0))</f>
        <v>2094.3000000000002</v>
      </c>
      <c r="Q378" s="89" t="str">
        <f ca="1">_xlfn.XLOOKUP($G378,Фабрика!A:A,Фабрика!B:B,"ERR",0)</f>
        <v>Bollman Headwear Europe Ltd; 2 Merchants drive, Caelisle, Cumbria CA3 0JW, United Kingdom</v>
      </c>
      <c r="R378" s="80" t="str">
        <f ca="1">_xlfn.XLOOKUP(RIGHT(Z378,2),Размеры!D:D,Размеры!A:A,"ERR",0)</f>
        <v>59</v>
      </c>
      <c r="S378" s="80">
        <f ca="1">VALUE(_xlfn.XLOOKUP($Z378,Строчный!$R:$R,Строчный!T:T,"ERR",0))</f>
        <v>6</v>
      </c>
      <c r="T378" s="14" t="s">
        <v>265</v>
      </c>
      <c r="U378" s="101" t="str">
        <f t="shared" ca="1" si="38"/>
        <v>Шляпа BAILEY арт. 81650 SALEM (черный)</v>
      </c>
      <c r="V378" s="100" t="str">
        <f t="shared" ca="1" si="39"/>
        <v>Шляпа BAILEY арт. 81650 SALEM (черный) {black}</v>
      </c>
      <c r="W378" s="18" t="str">
        <f t="shared" ca="1" si="40"/>
        <v>черный</v>
      </c>
      <c r="X378" s="18" t="str">
        <f t="shared" ca="1" si="41"/>
        <v>черный</v>
      </c>
      <c r="Y378" s="117" t="str">
        <f ca="1">_xlfn.LET(_xlpm.FormColors,_xlfn.XLOOKUP(A378,Строчный!A:A,Строчный!Q:Q,"",0),IF(_xlpm.FormColors=0,IFERROR(MID(I378,FIND("-",I378)+1,LEN(I378)),IFERROR(MID(I378,1,FIND("/",I378)-2),I378)),_xlpm.FormColors))</f>
        <v>черный</v>
      </c>
      <c r="Z378" s="73" t="str">
        <f ca="1"/>
        <v>21-089-09-59</v>
      </c>
      <c r="AA378" s="75" t="str">
        <f ca="1">VLOOKUP(C378,Группа!A:B,2,FALSE)</f>
        <v>Шляпа</v>
      </c>
      <c r="AB378" s="97" t="str">
        <f ca="1">IFERROR(VLOOKUP(R378,Размеры!A:C,3,FALSE),"")</f>
        <v>59 L</v>
      </c>
      <c r="AC378" s="97" t="str">
        <f ca="1">VLOOKUP(I378,ЦветПолный!A:B,2,FALSE)</f>
        <v>09</v>
      </c>
      <c r="AD378" s="97" t="str">
        <f ca="1">IFERROR(VLOOKUP(R378,Размеры!A:D,4,FALSE),"")</f>
        <v>59</v>
      </c>
      <c r="AE378" s="97">
        <f ca="1">IF(LEFT(IFERROR(VLOOKUP(LOOKUP(2,1/SEARCH(B378,Товары!A:A),Товары!A:A),Товары!A:B,2,0),""),6)=MID(Z378,1,6),1,0)</f>
        <v>1</v>
      </c>
      <c r="AG378" s="97">
        <f ca="1">SUMIF(Группа!A:A,C378,Группа!C:C)</f>
        <v>1</v>
      </c>
      <c r="AH378" s="97">
        <f ca="1">SUMIF(Группа!B:B,AA378,Группа!C:C)</f>
        <v>1</v>
      </c>
      <c r="AI378" s="97">
        <f ca="1">SUMIF(Формы!A:A,D378,Формы!B:B)</f>
        <v>1</v>
      </c>
      <c r="AJ378" s="97">
        <f ca="1">SUMIF(Материал!A:A,K378,Материал!B:B)</f>
        <v>1</v>
      </c>
      <c r="AK378" s="97">
        <f ca="1">SUMIF(Размеры!A:A,R378,Размеры!E:E)</f>
        <v>1</v>
      </c>
      <c r="AL378" s="97">
        <f ca="1">SUMIF(Сезон!A:A,F378,Сезон!B:B)</f>
        <v>1</v>
      </c>
      <c r="AM378" s="97">
        <f ca="1">SUMIF(Состав!A:A,J378,Состав!B:B)</f>
        <v>1</v>
      </c>
      <c r="AN378" s="97">
        <f ca="1">VLOOKUP(I378,ЦветПолный!A:C,3,0)</f>
        <v>1</v>
      </c>
      <c r="AO378" s="97">
        <f ca="1">SUMIF(Цвет!A:A,Y378,Цвет!B:B)</f>
        <v>1</v>
      </c>
      <c r="AP378" s="97">
        <f ca="1">_xlfn.XLOOKUP(L378,Пол!A:A,Пол!B:B,0,0)</f>
        <v>1</v>
      </c>
      <c r="AQ378" s="97">
        <f ca="1">SUMIF(Марка!A:A,G378,Марка!B:B)</f>
        <v>1</v>
      </c>
      <c r="AR378" s="97">
        <f ca="1">SUMIF(Страна!A:A,M378,Страна!B:B)</f>
        <v>1</v>
      </c>
      <c r="AS378" s="64" t="e">
        <f ca="1">IF(VLOOKUP(V378,Товары!A:B,2,FALSE)=A378,"Есть в 1С","ERR")</f>
        <v>#N/A</v>
      </c>
      <c r="AT378" s="65" t="str">
        <f ca="1">IF(VLOOKUP(A378,Товары!B:B,1,FALSE)=A378,"Есть в 1С","ERR")</f>
        <v>Есть в 1С</v>
      </c>
      <c r="AU378" s="96" t="e">
        <f ca="1">VLOOKUP(V378,Товары!A:B,2,FALSE)</f>
        <v>#N/A</v>
      </c>
      <c r="AV378" s="94" t="e">
        <f ca="1">VLOOKUP(V378,Товары!A:B,1,FALSE)</f>
        <v>#N/A</v>
      </c>
    </row>
    <row r="379" spans="1:48" x14ac:dyDescent="0.25">
      <c r="A379" s="110" t="str">
        <f t="shared" ca="1" si="37"/>
        <v>21-089-09</v>
      </c>
      <c r="B379" s="107" t="str">
        <f ca="1">_xlfn.LET(_xlpm.CAPS,0,_xlpm.Style,_xlfn.XLOOKUP($A379,Строчный!$A:$A,Строчный!B:B,"ERR",0),IF(_xlpm.CAPS=0,_xlpm.Style,LOWER(_xlpm.Style)))</f>
        <v>81650 SALEM</v>
      </c>
      <c r="C379" s="81" t="str">
        <f ca="1">PROPER(_xlfn.XLOOKUP($A379,Строчный!$A:$A,Строчный!C:C,"ERR",0))</f>
        <v>Шляпы</v>
      </c>
      <c r="D379" s="81" t="str">
        <f ca="1">_xlfn.LET(_xlpm.DATA,(_xlfn.XLOOKUP($A379,Строчный!$A:$A,Строчный!D:D,"ERR",0)),UPPER(MID(_xlpm.DATA,1,1))&amp;LOWER(MID(_xlpm.DATA,2,LEN(_xlpm.DATA)-1)))</f>
        <v>Шляпа хомбург</v>
      </c>
      <c r="E379" s="81" t="str">
        <f ca="1">PROPER(_xlfn.XLOOKUP($A379,Строчный!$A:$A,Строчный!E:E,"ERR",0))</f>
        <v>The Hollywood</v>
      </c>
      <c r="F379" s="81" t="str">
        <f ca="1">LOWER(_xlfn.XLOOKUP($A379,Строчный!$A:$A,Строчный!F:F,"ERR",0))</f>
        <v>летний</v>
      </c>
      <c r="G379" s="81" t="str">
        <f ca="1">UPPER(_xlfn.XLOOKUP($A379,Строчный!$A:$A,Строчный!G:G,"ERR",0))</f>
        <v>BAILEY</v>
      </c>
      <c r="H379" s="81" t="str">
        <f ca="1">LOWER(_xlfn.XLOOKUP($A379,Строчный!$A:$A,Строчный!H:H,"ERR",0))</f>
        <v>black</v>
      </c>
      <c r="I379" s="81" t="str">
        <f ca="1">LOWER(_xlfn.XLOOKUP($A379,Строчный!$A:$A,Строчный!I:I,"ERR",0))</f>
        <v>черный</v>
      </c>
      <c r="J379" s="81" t="str">
        <f ca="1">SUBSTITUTE(LOWER(_xlfn.XLOOKUP($A379,Строчный!$A:$A,Строчный!J:J,"ERR",0)),"подклад","Подклад")</f>
        <v>55% полиэстер - 45% бумага</v>
      </c>
      <c r="K379" s="81" t="str">
        <f ca="1">LOWER(_xlfn.XLOOKUP($A379,Строчный!$A:$A,Строчный!K:K,"ERR",0))</f>
        <v>бумажные</v>
      </c>
      <c r="L379" s="81" t="str">
        <f ca="1">PROPER(_xlfn.XLOOKUP($A379,Строчный!$A:$A,Строчный!L:L,"ERR",0))</f>
        <v>Унисекс</v>
      </c>
      <c r="M379" s="113" t="str">
        <f ca="1">PROPER(_xlfn.XLOOKUP($A379,Строчный!$A:$A,Строчный!M:M,"ERR",0))</f>
        <v>Китай</v>
      </c>
      <c r="N379" s="81" t="str">
        <f ca="1">UPPER(_xlfn.XLOOKUP($A379,Строчный!$A:$A,Строчный!O:O,"ERR",0))</f>
        <v/>
      </c>
      <c r="O379" s="107" t="str">
        <f ca="1">PROPER(_xlfn.XLOOKUP($A379,Строчный!$A:$A,Строчный!P:P,"ERR",0))</f>
        <v/>
      </c>
      <c r="P379" s="90">
        <f ca="1">VALUE(_xlfn.XLOOKUP($A379,Строчный!$A:$A,Строчный!N:N,"ERR",0))</f>
        <v>2094.3000000000002</v>
      </c>
      <c r="Q379" s="89" t="str">
        <f ca="1">_xlfn.XLOOKUP($G379,Фабрика!A:A,Фабрика!B:B,"ERR",0)</f>
        <v>Bollman Headwear Europe Ltd; 2 Merchants drive, Caelisle, Cumbria CA3 0JW, United Kingdom</v>
      </c>
      <c r="R379" s="80" t="str">
        <f ca="1">_xlfn.XLOOKUP(RIGHT(Z379,2),Размеры!D:D,Размеры!A:A,"ERR",0)</f>
        <v>57</v>
      </c>
      <c r="S379" s="80">
        <f ca="1">VALUE(_xlfn.XLOOKUP($Z379,Строчный!$R:$R,Строчный!T:T,"ERR",0))</f>
        <v>4</v>
      </c>
      <c r="T379" s="14" t="s">
        <v>265</v>
      </c>
      <c r="U379" s="101" t="str">
        <f t="shared" ca="1" si="38"/>
        <v>Шляпа BAILEY арт. 81650 SALEM (черный)</v>
      </c>
      <c r="V379" s="100" t="str">
        <f t="shared" ca="1" si="39"/>
        <v>Шляпа BAILEY арт. 81650 SALEM (черный) {black}</v>
      </c>
      <c r="W379" s="18" t="str">
        <f t="shared" ca="1" si="40"/>
        <v>черный</v>
      </c>
      <c r="X379" s="18" t="str">
        <f t="shared" ca="1" si="41"/>
        <v>черный</v>
      </c>
      <c r="Y379" s="117" t="str">
        <f ca="1">_xlfn.LET(_xlpm.FormColors,_xlfn.XLOOKUP(A379,Строчный!A:A,Строчный!Q:Q,"",0),IF(_xlpm.FormColors=0,IFERROR(MID(I379,FIND("-",I379)+1,LEN(I379)),IFERROR(MID(I379,1,FIND("/",I379)-2),I379)),_xlpm.FormColors))</f>
        <v>черный</v>
      </c>
      <c r="Z379" s="73" t="str">
        <f ca="1"/>
        <v>21-089-09-57</v>
      </c>
      <c r="AA379" s="75" t="str">
        <f ca="1">VLOOKUP(C379,Группа!A:B,2,FALSE)</f>
        <v>Шляпа</v>
      </c>
      <c r="AB379" s="97" t="str">
        <f ca="1">IFERROR(VLOOKUP(R379,Размеры!A:C,3,FALSE),"")</f>
        <v>57 M</v>
      </c>
      <c r="AC379" s="97" t="str">
        <f ca="1">VLOOKUP(I379,ЦветПолный!A:B,2,FALSE)</f>
        <v>09</v>
      </c>
      <c r="AD379" s="97" t="str">
        <f ca="1">IFERROR(VLOOKUP(R379,Размеры!A:D,4,FALSE),"")</f>
        <v>57</v>
      </c>
      <c r="AE379" s="97">
        <f ca="1">IF(LEFT(IFERROR(VLOOKUP(LOOKUP(2,1/SEARCH(B379,Товары!A:A),Товары!A:A),Товары!A:B,2,0),""),6)=MID(Z379,1,6),1,0)</f>
        <v>1</v>
      </c>
      <c r="AG379" s="97">
        <f ca="1">SUMIF(Группа!A:A,C379,Группа!C:C)</f>
        <v>1</v>
      </c>
      <c r="AH379" s="97">
        <f ca="1">SUMIF(Группа!B:B,AA379,Группа!C:C)</f>
        <v>1</v>
      </c>
      <c r="AI379" s="97">
        <f ca="1">SUMIF(Формы!A:A,D379,Формы!B:B)</f>
        <v>1</v>
      </c>
      <c r="AJ379" s="97">
        <f ca="1">SUMIF(Материал!A:A,K379,Материал!B:B)</f>
        <v>1</v>
      </c>
      <c r="AK379" s="97">
        <f ca="1">SUMIF(Размеры!A:A,R379,Размеры!E:E)</f>
        <v>1</v>
      </c>
      <c r="AL379" s="97">
        <f ca="1">SUMIF(Сезон!A:A,F379,Сезон!B:B)</f>
        <v>1</v>
      </c>
      <c r="AM379" s="97">
        <f ca="1">SUMIF(Состав!A:A,J379,Состав!B:B)</f>
        <v>1</v>
      </c>
      <c r="AN379" s="97">
        <f ca="1">VLOOKUP(I379,ЦветПолный!A:C,3,0)</f>
        <v>1</v>
      </c>
      <c r="AO379" s="97">
        <f ca="1">SUMIF(Цвет!A:A,Y379,Цвет!B:B)</f>
        <v>1</v>
      </c>
      <c r="AP379" s="97">
        <f ca="1">_xlfn.XLOOKUP(L379,Пол!A:A,Пол!B:B,0,0)</f>
        <v>1</v>
      </c>
      <c r="AQ379" s="97">
        <f ca="1">SUMIF(Марка!A:A,G379,Марка!B:B)</f>
        <v>1</v>
      </c>
      <c r="AR379" s="97">
        <f ca="1">SUMIF(Страна!A:A,M379,Страна!B:B)</f>
        <v>1</v>
      </c>
      <c r="AS379" s="64" t="e">
        <f ca="1">IF(VLOOKUP(V379,Товары!A:B,2,FALSE)=A379,"Есть в 1С","ERR")</f>
        <v>#N/A</v>
      </c>
      <c r="AT379" s="65" t="str">
        <f ca="1">IF(VLOOKUP(A379,Товары!B:B,1,FALSE)=A379,"Есть в 1С","ERR")</f>
        <v>Есть в 1С</v>
      </c>
      <c r="AU379" s="96" t="e">
        <f ca="1">VLOOKUP(V379,Товары!A:B,2,FALSE)</f>
        <v>#N/A</v>
      </c>
      <c r="AV379" s="94" t="e">
        <f ca="1">VLOOKUP(V379,Товары!A:B,1,FALSE)</f>
        <v>#N/A</v>
      </c>
    </row>
    <row r="380" spans="1:48" x14ac:dyDescent="0.25">
      <c r="A380" s="110" t="str">
        <f t="shared" ca="1" si="37"/>
        <v>21-089-05</v>
      </c>
      <c r="B380" s="107" t="str">
        <f ca="1">_xlfn.LET(_xlpm.CAPS,0,_xlpm.Style,_xlfn.XLOOKUP($A380,Строчный!$A:$A,Строчный!B:B,"ERR",0),IF(_xlpm.CAPS=0,_xlpm.Style,LOWER(_xlpm.Style)))</f>
        <v>81650 SALEM</v>
      </c>
      <c r="C380" s="81" t="str">
        <f ca="1">PROPER(_xlfn.XLOOKUP($A380,Строчный!$A:$A,Строчный!C:C,"ERR",0))</f>
        <v>Шляпы</v>
      </c>
      <c r="D380" s="81" t="str">
        <f ca="1">_xlfn.LET(_xlpm.DATA,(_xlfn.XLOOKUP($A380,Строчный!$A:$A,Строчный!D:D,"ERR",0)),UPPER(MID(_xlpm.DATA,1,1))&amp;LOWER(MID(_xlpm.DATA,2,LEN(_xlpm.DATA)-1)))</f>
        <v>Шляпа хомбург</v>
      </c>
      <c r="E380" s="81" t="str">
        <f ca="1">PROPER(_xlfn.XLOOKUP($A380,Строчный!$A:$A,Строчный!E:E,"ERR",0))</f>
        <v>The Hollywood</v>
      </c>
      <c r="F380" s="81" t="str">
        <f ca="1">LOWER(_xlfn.XLOOKUP($A380,Строчный!$A:$A,Строчный!F:F,"ERR",0))</f>
        <v>летний</v>
      </c>
      <c r="G380" s="81" t="str">
        <f ca="1">UPPER(_xlfn.XLOOKUP($A380,Строчный!$A:$A,Строчный!G:G,"ERR",0))</f>
        <v>BAILEY</v>
      </c>
      <c r="H380" s="81" t="str">
        <f ca="1">LOWER(_xlfn.XLOOKUP($A380,Строчный!$A:$A,Строчный!H:H,"ERR",0))</f>
        <v>static</v>
      </c>
      <c r="I380" s="81" t="str">
        <f ca="1">LOWER(_xlfn.XLOOKUP($A380,Строчный!$A:$A,Строчный!I:I,"ERR",0))</f>
        <v>темно-серый</v>
      </c>
      <c r="J380" s="81" t="str">
        <f ca="1">SUBSTITUTE(LOWER(_xlfn.XLOOKUP($A380,Строчный!$A:$A,Строчный!J:J,"ERR",0)),"подклад","Подклад")</f>
        <v>55% полиэстер - 45% бумага</v>
      </c>
      <c r="K380" s="81" t="str">
        <f ca="1">LOWER(_xlfn.XLOOKUP($A380,Строчный!$A:$A,Строчный!K:K,"ERR",0))</f>
        <v>бумажные</v>
      </c>
      <c r="L380" s="81" t="str">
        <f ca="1">PROPER(_xlfn.XLOOKUP($A380,Строчный!$A:$A,Строчный!L:L,"ERR",0))</f>
        <v>Унисекс</v>
      </c>
      <c r="M380" s="113" t="str">
        <f ca="1">PROPER(_xlfn.XLOOKUP($A380,Строчный!$A:$A,Строчный!M:M,"ERR",0))</f>
        <v>Китай</v>
      </c>
      <c r="N380" s="81" t="str">
        <f ca="1">UPPER(_xlfn.XLOOKUP($A380,Строчный!$A:$A,Строчный!O:O,"ERR",0))</f>
        <v/>
      </c>
      <c r="O380" s="107" t="str">
        <f ca="1">PROPER(_xlfn.XLOOKUP($A380,Строчный!$A:$A,Строчный!P:P,"ERR",0))</f>
        <v/>
      </c>
      <c r="P380" s="90">
        <f ca="1">VALUE(_xlfn.XLOOKUP($A380,Строчный!$A:$A,Строчный!N:N,"ERR",0))</f>
        <v>2094.3000000000002</v>
      </c>
      <c r="Q380" s="89" t="str">
        <f ca="1">_xlfn.XLOOKUP($G380,Фабрика!A:A,Фабрика!B:B,"ERR",0)</f>
        <v>Bollman Headwear Europe Ltd; 2 Merchants drive, Caelisle, Cumbria CA3 0JW, United Kingdom</v>
      </c>
      <c r="R380" s="80" t="str">
        <f ca="1">_xlfn.XLOOKUP(RIGHT(Z380,2),Размеры!D:D,Размеры!A:A,"ERR",0)</f>
        <v>63</v>
      </c>
      <c r="S380" s="80">
        <f ca="1">VALUE(_xlfn.XLOOKUP($Z380,Строчный!$R:$R,Строчный!T:T,"ERR",0))</f>
        <v>1</v>
      </c>
      <c r="T380" s="14" t="s">
        <v>265</v>
      </c>
      <c r="U380" s="101" t="str">
        <f t="shared" ca="1" si="38"/>
        <v>Шляпа BAILEY арт. 81650 SALEM (темно-серый)</v>
      </c>
      <c r="V380" s="100" t="str">
        <f t="shared" ca="1" si="39"/>
        <v>Шляпа BAILEY арт. 81650 SALEM (темно-серый) {static}</v>
      </c>
      <c r="W380" s="18" t="str">
        <f t="shared" ca="1" si="40"/>
        <v>серый</v>
      </c>
      <c r="X380" s="18" t="str">
        <f t="shared" ca="1" si="41"/>
        <v>серый</v>
      </c>
      <c r="Y380" s="117" t="str">
        <f ca="1">_xlfn.LET(_xlpm.FormColors,_xlfn.XLOOKUP(A380,Строчный!A:A,Строчный!Q:Q,"",0),IF(_xlpm.FormColors=0,IFERROR(MID(I380,FIND("-",I380)+1,LEN(I380)),IFERROR(MID(I380,1,FIND("/",I380)-2),I380)),_xlpm.FormColors))</f>
        <v>серый</v>
      </c>
      <c r="Z380" s="73" t="str">
        <f ca="1"/>
        <v>21-089-05-63</v>
      </c>
      <c r="AA380" s="75" t="str">
        <f ca="1">VLOOKUP(C380,Группа!A:B,2,FALSE)</f>
        <v>Шляпа</v>
      </c>
      <c r="AB380" s="97" t="str">
        <f ca="1">IFERROR(VLOOKUP(R380,Размеры!A:C,3,FALSE),"")</f>
        <v>63 XXL</v>
      </c>
      <c r="AC380" s="97" t="str">
        <f ca="1">VLOOKUP(I380,ЦветПолный!A:B,2,FALSE)</f>
        <v>05</v>
      </c>
      <c r="AD380" s="97" t="str">
        <f ca="1">IFERROR(VLOOKUP(R380,Размеры!A:D,4,FALSE),"")</f>
        <v>63</v>
      </c>
      <c r="AE380" s="97">
        <f ca="1">IF(LEFT(IFERROR(VLOOKUP(LOOKUP(2,1/SEARCH(B380,Товары!A:A),Товары!A:A),Товары!A:B,2,0),""),6)=MID(Z380,1,6),1,0)</f>
        <v>1</v>
      </c>
      <c r="AG380" s="97">
        <f ca="1">SUMIF(Группа!A:A,C380,Группа!C:C)</f>
        <v>1</v>
      </c>
      <c r="AH380" s="97">
        <f ca="1">SUMIF(Группа!B:B,AA380,Группа!C:C)</f>
        <v>1</v>
      </c>
      <c r="AI380" s="97">
        <f ca="1">SUMIF(Формы!A:A,D380,Формы!B:B)</f>
        <v>1</v>
      </c>
      <c r="AJ380" s="97">
        <f ca="1">SUMIF(Материал!A:A,K380,Материал!B:B)</f>
        <v>1</v>
      </c>
      <c r="AK380" s="97">
        <f ca="1">SUMIF(Размеры!A:A,R380,Размеры!E:E)</f>
        <v>1</v>
      </c>
      <c r="AL380" s="97">
        <f ca="1">SUMIF(Сезон!A:A,F380,Сезон!B:B)</f>
        <v>1</v>
      </c>
      <c r="AM380" s="97">
        <f ca="1">SUMIF(Состав!A:A,J380,Состав!B:B)</f>
        <v>1</v>
      </c>
      <c r="AN380" s="97">
        <f ca="1">VLOOKUP(I380,ЦветПолный!A:C,3,0)</f>
        <v>1</v>
      </c>
      <c r="AO380" s="97">
        <f ca="1">SUMIF(Цвет!A:A,Y380,Цвет!B:B)</f>
        <v>1</v>
      </c>
      <c r="AP380" s="97">
        <f ca="1">_xlfn.XLOOKUP(L380,Пол!A:A,Пол!B:B,0,0)</f>
        <v>1</v>
      </c>
      <c r="AQ380" s="97">
        <f ca="1">SUMIF(Марка!A:A,G380,Марка!B:B)</f>
        <v>1</v>
      </c>
      <c r="AR380" s="97">
        <f ca="1">SUMIF(Страна!A:A,M380,Страна!B:B)</f>
        <v>1</v>
      </c>
      <c r="AS380" s="64" t="e">
        <f ca="1">IF(VLOOKUP(V380,Товары!A:B,2,FALSE)=A380,"Есть в 1С","ERR")</f>
        <v>#N/A</v>
      </c>
      <c r="AT380" s="65" t="e">
        <f ca="1">IF(VLOOKUP(A380,Товары!B:B,1,FALSE)=A380,"Есть в 1С","ERR")</f>
        <v>#N/A</v>
      </c>
      <c r="AU380" s="96" t="e">
        <f ca="1">VLOOKUP(V380,Товары!A:B,2,FALSE)</f>
        <v>#N/A</v>
      </c>
      <c r="AV380" s="94" t="e">
        <f ca="1">VLOOKUP(V380,Товары!A:B,1,FALSE)</f>
        <v>#N/A</v>
      </c>
    </row>
    <row r="381" spans="1:48" x14ac:dyDescent="0.25">
      <c r="A381" s="110" t="str">
        <f t="shared" ca="1" si="37"/>
        <v>21-089-05</v>
      </c>
      <c r="B381" s="107" t="str">
        <f ca="1">_xlfn.LET(_xlpm.CAPS,0,_xlpm.Style,_xlfn.XLOOKUP($A381,Строчный!$A:$A,Строчный!B:B,"ERR",0),IF(_xlpm.CAPS=0,_xlpm.Style,LOWER(_xlpm.Style)))</f>
        <v>81650 SALEM</v>
      </c>
      <c r="C381" s="81" t="str">
        <f ca="1">PROPER(_xlfn.XLOOKUP($A381,Строчный!$A:$A,Строчный!C:C,"ERR",0))</f>
        <v>Шляпы</v>
      </c>
      <c r="D381" s="81" t="str">
        <f ca="1">_xlfn.LET(_xlpm.DATA,(_xlfn.XLOOKUP($A381,Строчный!$A:$A,Строчный!D:D,"ERR",0)),UPPER(MID(_xlpm.DATA,1,1))&amp;LOWER(MID(_xlpm.DATA,2,LEN(_xlpm.DATA)-1)))</f>
        <v>Шляпа хомбург</v>
      </c>
      <c r="E381" s="81" t="str">
        <f ca="1">PROPER(_xlfn.XLOOKUP($A381,Строчный!$A:$A,Строчный!E:E,"ERR",0))</f>
        <v>The Hollywood</v>
      </c>
      <c r="F381" s="81" t="str">
        <f ca="1">LOWER(_xlfn.XLOOKUP($A381,Строчный!$A:$A,Строчный!F:F,"ERR",0))</f>
        <v>летний</v>
      </c>
      <c r="G381" s="81" t="str">
        <f ca="1">UPPER(_xlfn.XLOOKUP($A381,Строчный!$A:$A,Строчный!G:G,"ERR",0))</f>
        <v>BAILEY</v>
      </c>
      <c r="H381" s="81" t="str">
        <f ca="1">LOWER(_xlfn.XLOOKUP($A381,Строчный!$A:$A,Строчный!H:H,"ERR",0))</f>
        <v>static</v>
      </c>
      <c r="I381" s="81" t="str">
        <f ca="1">LOWER(_xlfn.XLOOKUP($A381,Строчный!$A:$A,Строчный!I:I,"ERR",0))</f>
        <v>темно-серый</v>
      </c>
      <c r="J381" s="81" t="str">
        <f ca="1">SUBSTITUTE(LOWER(_xlfn.XLOOKUP($A381,Строчный!$A:$A,Строчный!J:J,"ERR",0)),"подклад","Подклад")</f>
        <v>55% полиэстер - 45% бумага</v>
      </c>
      <c r="K381" s="81" t="str">
        <f ca="1">LOWER(_xlfn.XLOOKUP($A381,Строчный!$A:$A,Строчный!K:K,"ERR",0))</f>
        <v>бумажные</v>
      </c>
      <c r="L381" s="81" t="str">
        <f ca="1">PROPER(_xlfn.XLOOKUP($A381,Строчный!$A:$A,Строчный!L:L,"ERR",0))</f>
        <v>Унисекс</v>
      </c>
      <c r="M381" s="113" t="str">
        <f ca="1">PROPER(_xlfn.XLOOKUP($A381,Строчный!$A:$A,Строчный!M:M,"ERR",0))</f>
        <v>Китай</v>
      </c>
      <c r="N381" s="81" t="str">
        <f ca="1">UPPER(_xlfn.XLOOKUP($A381,Строчный!$A:$A,Строчный!O:O,"ERR",0))</f>
        <v/>
      </c>
      <c r="O381" s="107" t="str">
        <f ca="1">PROPER(_xlfn.XLOOKUP($A381,Строчный!$A:$A,Строчный!P:P,"ERR",0))</f>
        <v/>
      </c>
      <c r="P381" s="90">
        <f ca="1">VALUE(_xlfn.XLOOKUP($A381,Строчный!$A:$A,Строчный!N:N,"ERR",0))</f>
        <v>2094.3000000000002</v>
      </c>
      <c r="Q381" s="89" t="str">
        <f ca="1">_xlfn.XLOOKUP($G381,Фабрика!A:A,Фабрика!B:B,"ERR",0)</f>
        <v>Bollman Headwear Europe Ltd; 2 Merchants drive, Caelisle, Cumbria CA3 0JW, United Kingdom</v>
      </c>
      <c r="R381" s="80" t="str">
        <f ca="1">_xlfn.XLOOKUP(RIGHT(Z381,2),Размеры!D:D,Размеры!A:A,"ERR",0)</f>
        <v>61</v>
      </c>
      <c r="S381" s="80">
        <f ca="1">VALUE(_xlfn.XLOOKUP($Z381,Строчный!$R:$R,Строчный!T:T,"ERR",0))</f>
        <v>4</v>
      </c>
      <c r="T381" s="14" t="s">
        <v>265</v>
      </c>
      <c r="U381" s="101" t="str">
        <f t="shared" ca="1" si="38"/>
        <v>Шляпа BAILEY арт. 81650 SALEM (темно-серый)</v>
      </c>
      <c r="V381" s="100" t="str">
        <f t="shared" ca="1" si="39"/>
        <v>Шляпа BAILEY арт. 81650 SALEM (темно-серый) {static}</v>
      </c>
      <c r="W381" s="18" t="str">
        <f t="shared" ca="1" si="40"/>
        <v>серый</v>
      </c>
      <c r="X381" s="18" t="str">
        <f t="shared" ca="1" si="41"/>
        <v>серый</v>
      </c>
      <c r="Y381" s="117" t="str">
        <f ca="1">_xlfn.LET(_xlpm.FormColors,_xlfn.XLOOKUP(A381,Строчный!A:A,Строчный!Q:Q,"",0),IF(_xlpm.FormColors=0,IFERROR(MID(I381,FIND("-",I381)+1,LEN(I381)),IFERROR(MID(I381,1,FIND("/",I381)-2),I381)),_xlpm.FormColors))</f>
        <v>серый</v>
      </c>
      <c r="Z381" s="73" t="str">
        <f ca="1"/>
        <v>21-089-05-61</v>
      </c>
      <c r="AA381" s="75" t="str">
        <f ca="1">VLOOKUP(C381,Группа!A:B,2,FALSE)</f>
        <v>Шляпа</v>
      </c>
      <c r="AB381" s="97" t="str">
        <f ca="1">IFERROR(VLOOKUP(R381,Размеры!A:C,3,FALSE),"")</f>
        <v>61 XL</v>
      </c>
      <c r="AC381" s="97" t="str">
        <f ca="1">VLOOKUP(I381,ЦветПолный!A:B,2,FALSE)</f>
        <v>05</v>
      </c>
      <c r="AD381" s="97" t="str">
        <f ca="1">IFERROR(VLOOKUP(R381,Размеры!A:D,4,FALSE),"")</f>
        <v>61</v>
      </c>
      <c r="AE381" s="97">
        <f ca="1">IF(LEFT(IFERROR(VLOOKUP(LOOKUP(2,1/SEARCH(B381,Товары!A:A),Товары!A:A),Товары!A:B,2,0),""),6)=MID(Z381,1,6),1,0)</f>
        <v>1</v>
      </c>
      <c r="AG381" s="97">
        <f ca="1">SUMIF(Группа!A:A,C381,Группа!C:C)</f>
        <v>1</v>
      </c>
      <c r="AH381" s="97">
        <f ca="1">SUMIF(Группа!B:B,AA381,Группа!C:C)</f>
        <v>1</v>
      </c>
      <c r="AI381" s="97">
        <f ca="1">SUMIF(Формы!A:A,D381,Формы!B:B)</f>
        <v>1</v>
      </c>
      <c r="AJ381" s="97">
        <f ca="1">SUMIF(Материал!A:A,K381,Материал!B:B)</f>
        <v>1</v>
      </c>
      <c r="AK381" s="97">
        <f ca="1">SUMIF(Размеры!A:A,R381,Размеры!E:E)</f>
        <v>1</v>
      </c>
      <c r="AL381" s="97">
        <f ca="1">SUMIF(Сезон!A:A,F381,Сезон!B:B)</f>
        <v>1</v>
      </c>
      <c r="AM381" s="97">
        <f ca="1">SUMIF(Состав!A:A,J381,Состав!B:B)</f>
        <v>1</v>
      </c>
      <c r="AN381" s="97">
        <f ca="1">VLOOKUP(I381,ЦветПолный!A:C,3,0)</f>
        <v>1</v>
      </c>
      <c r="AO381" s="97">
        <f ca="1">SUMIF(Цвет!A:A,Y381,Цвет!B:B)</f>
        <v>1</v>
      </c>
      <c r="AP381" s="97">
        <f ca="1">_xlfn.XLOOKUP(L381,Пол!A:A,Пол!B:B,0,0)</f>
        <v>1</v>
      </c>
      <c r="AQ381" s="97">
        <f ca="1">SUMIF(Марка!A:A,G381,Марка!B:B)</f>
        <v>1</v>
      </c>
      <c r="AR381" s="97">
        <f ca="1">SUMIF(Страна!A:A,M381,Страна!B:B)</f>
        <v>1</v>
      </c>
      <c r="AS381" s="64" t="e">
        <f ca="1">IF(VLOOKUP(V381,Товары!A:B,2,FALSE)=A381,"Есть в 1С","ERR")</f>
        <v>#N/A</v>
      </c>
      <c r="AT381" s="65" t="e">
        <f ca="1">IF(VLOOKUP(A381,Товары!B:B,1,FALSE)=A381,"Есть в 1С","ERR")</f>
        <v>#N/A</v>
      </c>
      <c r="AU381" s="96" t="e">
        <f ca="1">VLOOKUP(V381,Товары!A:B,2,FALSE)</f>
        <v>#N/A</v>
      </c>
      <c r="AV381" s="94" t="e">
        <f ca="1">VLOOKUP(V381,Товары!A:B,1,FALSE)</f>
        <v>#N/A</v>
      </c>
    </row>
    <row r="382" spans="1:48" x14ac:dyDescent="0.25">
      <c r="A382" s="110" t="str">
        <f t="shared" ca="1" si="37"/>
        <v>21-089-05</v>
      </c>
      <c r="B382" s="107" t="str">
        <f ca="1">_xlfn.LET(_xlpm.CAPS,0,_xlpm.Style,_xlfn.XLOOKUP($A382,Строчный!$A:$A,Строчный!B:B,"ERR",0),IF(_xlpm.CAPS=0,_xlpm.Style,LOWER(_xlpm.Style)))</f>
        <v>81650 SALEM</v>
      </c>
      <c r="C382" s="81" t="str">
        <f ca="1">PROPER(_xlfn.XLOOKUP($A382,Строчный!$A:$A,Строчный!C:C,"ERR",0))</f>
        <v>Шляпы</v>
      </c>
      <c r="D382" s="81" t="str">
        <f ca="1">_xlfn.LET(_xlpm.DATA,(_xlfn.XLOOKUP($A382,Строчный!$A:$A,Строчный!D:D,"ERR",0)),UPPER(MID(_xlpm.DATA,1,1))&amp;LOWER(MID(_xlpm.DATA,2,LEN(_xlpm.DATA)-1)))</f>
        <v>Шляпа хомбург</v>
      </c>
      <c r="E382" s="81" t="str">
        <f ca="1">PROPER(_xlfn.XLOOKUP($A382,Строчный!$A:$A,Строчный!E:E,"ERR",0))</f>
        <v>The Hollywood</v>
      </c>
      <c r="F382" s="81" t="str">
        <f ca="1">LOWER(_xlfn.XLOOKUP($A382,Строчный!$A:$A,Строчный!F:F,"ERR",0))</f>
        <v>летний</v>
      </c>
      <c r="G382" s="81" t="str">
        <f ca="1">UPPER(_xlfn.XLOOKUP($A382,Строчный!$A:$A,Строчный!G:G,"ERR",0))</f>
        <v>BAILEY</v>
      </c>
      <c r="H382" s="81" t="str">
        <f ca="1">LOWER(_xlfn.XLOOKUP($A382,Строчный!$A:$A,Строчный!H:H,"ERR",0))</f>
        <v>static</v>
      </c>
      <c r="I382" s="81" t="str">
        <f ca="1">LOWER(_xlfn.XLOOKUP($A382,Строчный!$A:$A,Строчный!I:I,"ERR",0))</f>
        <v>темно-серый</v>
      </c>
      <c r="J382" s="81" t="str">
        <f ca="1">SUBSTITUTE(LOWER(_xlfn.XLOOKUP($A382,Строчный!$A:$A,Строчный!J:J,"ERR",0)),"подклад","Подклад")</f>
        <v>55% полиэстер - 45% бумага</v>
      </c>
      <c r="K382" s="81" t="str">
        <f ca="1">LOWER(_xlfn.XLOOKUP($A382,Строчный!$A:$A,Строчный!K:K,"ERR",0))</f>
        <v>бумажные</v>
      </c>
      <c r="L382" s="81" t="str">
        <f ca="1">PROPER(_xlfn.XLOOKUP($A382,Строчный!$A:$A,Строчный!L:L,"ERR",0))</f>
        <v>Унисекс</v>
      </c>
      <c r="M382" s="113" t="str">
        <f ca="1">PROPER(_xlfn.XLOOKUP($A382,Строчный!$A:$A,Строчный!M:M,"ERR",0))</f>
        <v>Китай</v>
      </c>
      <c r="N382" s="81" t="str">
        <f ca="1">UPPER(_xlfn.XLOOKUP($A382,Строчный!$A:$A,Строчный!O:O,"ERR",0))</f>
        <v/>
      </c>
      <c r="O382" s="107" t="str">
        <f ca="1">PROPER(_xlfn.XLOOKUP($A382,Строчный!$A:$A,Строчный!P:P,"ERR",0))</f>
        <v/>
      </c>
      <c r="P382" s="90">
        <f ca="1">VALUE(_xlfn.XLOOKUP($A382,Строчный!$A:$A,Строчный!N:N,"ERR",0))</f>
        <v>2094.3000000000002</v>
      </c>
      <c r="Q382" s="89" t="str">
        <f ca="1">_xlfn.XLOOKUP($G382,Фабрика!A:A,Фабрика!B:B,"ERR",0)</f>
        <v>Bollman Headwear Europe Ltd; 2 Merchants drive, Caelisle, Cumbria CA3 0JW, United Kingdom</v>
      </c>
      <c r="R382" s="80" t="str">
        <f ca="1">_xlfn.XLOOKUP(RIGHT(Z382,2),Размеры!D:D,Размеры!A:A,"ERR",0)</f>
        <v>59</v>
      </c>
      <c r="S382" s="80">
        <f ca="1">VALUE(_xlfn.XLOOKUP($Z382,Строчный!$R:$R,Строчный!T:T,"ERR",0))</f>
        <v>6</v>
      </c>
      <c r="T382" s="14" t="s">
        <v>265</v>
      </c>
      <c r="U382" s="101" t="str">
        <f t="shared" ca="1" si="38"/>
        <v>Шляпа BAILEY арт. 81650 SALEM (темно-серый)</v>
      </c>
      <c r="V382" s="100" t="str">
        <f t="shared" ca="1" si="39"/>
        <v>Шляпа BAILEY арт. 81650 SALEM (темно-серый) {static}</v>
      </c>
      <c r="W382" s="18" t="str">
        <f t="shared" ca="1" si="40"/>
        <v>серый</v>
      </c>
      <c r="X382" s="18" t="str">
        <f t="shared" ca="1" si="41"/>
        <v>серый</v>
      </c>
      <c r="Y382" s="117" t="str">
        <f ca="1">_xlfn.LET(_xlpm.FormColors,_xlfn.XLOOKUP(A382,Строчный!A:A,Строчный!Q:Q,"",0),IF(_xlpm.FormColors=0,IFERROR(MID(I382,FIND("-",I382)+1,LEN(I382)),IFERROR(MID(I382,1,FIND("/",I382)-2),I382)),_xlpm.FormColors))</f>
        <v>серый</v>
      </c>
      <c r="Z382" s="73" t="str">
        <f ca="1"/>
        <v>21-089-05-59</v>
      </c>
      <c r="AA382" s="75" t="str">
        <f ca="1">VLOOKUP(C382,Группа!A:B,2,FALSE)</f>
        <v>Шляпа</v>
      </c>
      <c r="AB382" s="97" t="str">
        <f ca="1">IFERROR(VLOOKUP(R382,Размеры!A:C,3,FALSE),"")</f>
        <v>59 L</v>
      </c>
      <c r="AC382" s="97" t="str">
        <f ca="1">VLOOKUP(I382,ЦветПолный!A:B,2,FALSE)</f>
        <v>05</v>
      </c>
      <c r="AD382" s="97" t="str">
        <f ca="1">IFERROR(VLOOKUP(R382,Размеры!A:D,4,FALSE),"")</f>
        <v>59</v>
      </c>
      <c r="AE382" s="97">
        <f ca="1">IF(LEFT(IFERROR(VLOOKUP(LOOKUP(2,1/SEARCH(B382,Товары!A:A),Товары!A:A),Товары!A:B,2,0),""),6)=MID(Z382,1,6),1,0)</f>
        <v>1</v>
      </c>
      <c r="AG382" s="97">
        <f ca="1">SUMIF(Группа!A:A,C382,Группа!C:C)</f>
        <v>1</v>
      </c>
      <c r="AH382" s="97">
        <f ca="1">SUMIF(Группа!B:B,AA382,Группа!C:C)</f>
        <v>1</v>
      </c>
      <c r="AI382" s="97">
        <f ca="1">SUMIF(Формы!A:A,D382,Формы!B:B)</f>
        <v>1</v>
      </c>
      <c r="AJ382" s="97">
        <f ca="1">SUMIF(Материал!A:A,K382,Материал!B:B)</f>
        <v>1</v>
      </c>
      <c r="AK382" s="97">
        <f ca="1">SUMIF(Размеры!A:A,R382,Размеры!E:E)</f>
        <v>1</v>
      </c>
      <c r="AL382" s="97">
        <f ca="1">SUMIF(Сезон!A:A,F382,Сезон!B:B)</f>
        <v>1</v>
      </c>
      <c r="AM382" s="97">
        <f ca="1">SUMIF(Состав!A:A,J382,Состав!B:B)</f>
        <v>1</v>
      </c>
      <c r="AN382" s="97">
        <f ca="1">VLOOKUP(I382,ЦветПолный!A:C,3,0)</f>
        <v>1</v>
      </c>
      <c r="AO382" s="97">
        <f ca="1">SUMIF(Цвет!A:A,Y382,Цвет!B:B)</f>
        <v>1</v>
      </c>
      <c r="AP382" s="97">
        <f ca="1">_xlfn.XLOOKUP(L382,Пол!A:A,Пол!B:B,0,0)</f>
        <v>1</v>
      </c>
      <c r="AQ382" s="97">
        <f ca="1">SUMIF(Марка!A:A,G382,Марка!B:B)</f>
        <v>1</v>
      </c>
      <c r="AR382" s="97">
        <f ca="1">SUMIF(Страна!A:A,M382,Страна!B:B)</f>
        <v>1</v>
      </c>
      <c r="AS382" s="64" t="e">
        <f ca="1">IF(VLOOKUP(V382,Товары!A:B,2,FALSE)=A382,"Есть в 1С","ERR")</f>
        <v>#N/A</v>
      </c>
      <c r="AT382" s="65" t="e">
        <f ca="1">IF(VLOOKUP(A382,Товары!B:B,1,FALSE)=A382,"Есть в 1С","ERR")</f>
        <v>#N/A</v>
      </c>
      <c r="AU382" s="96" t="e">
        <f ca="1">VLOOKUP(V382,Товары!A:B,2,FALSE)</f>
        <v>#N/A</v>
      </c>
      <c r="AV382" s="94" t="e">
        <f ca="1">VLOOKUP(V382,Товары!A:B,1,FALSE)</f>
        <v>#N/A</v>
      </c>
    </row>
    <row r="383" spans="1:48" x14ac:dyDescent="0.25">
      <c r="A383" s="110" t="str">
        <f t="shared" ca="1" si="37"/>
        <v>21-089-05</v>
      </c>
      <c r="B383" s="107" t="str">
        <f ca="1">_xlfn.LET(_xlpm.CAPS,0,_xlpm.Style,_xlfn.XLOOKUP($A383,Строчный!$A:$A,Строчный!B:B,"ERR",0),IF(_xlpm.CAPS=0,_xlpm.Style,LOWER(_xlpm.Style)))</f>
        <v>81650 SALEM</v>
      </c>
      <c r="C383" s="81" t="str">
        <f ca="1">PROPER(_xlfn.XLOOKUP($A383,Строчный!$A:$A,Строчный!C:C,"ERR",0))</f>
        <v>Шляпы</v>
      </c>
      <c r="D383" s="81" t="str">
        <f ca="1">_xlfn.LET(_xlpm.DATA,(_xlfn.XLOOKUP($A383,Строчный!$A:$A,Строчный!D:D,"ERR",0)),UPPER(MID(_xlpm.DATA,1,1))&amp;LOWER(MID(_xlpm.DATA,2,LEN(_xlpm.DATA)-1)))</f>
        <v>Шляпа хомбург</v>
      </c>
      <c r="E383" s="81" t="str">
        <f ca="1">PROPER(_xlfn.XLOOKUP($A383,Строчный!$A:$A,Строчный!E:E,"ERR",0))</f>
        <v>The Hollywood</v>
      </c>
      <c r="F383" s="81" t="str">
        <f ca="1">LOWER(_xlfn.XLOOKUP($A383,Строчный!$A:$A,Строчный!F:F,"ERR",0))</f>
        <v>летний</v>
      </c>
      <c r="G383" s="81" t="str">
        <f ca="1">UPPER(_xlfn.XLOOKUP($A383,Строчный!$A:$A,Строчный!G:G,"ERR",0))</f>
        <v>BAILEY</v>
      </c>
      <c r="H383" s="81" t="str">
        <f ca="1">LOWER(_xlfn.XLOOKUP($A383,Строчный!$A:$A,Строчный!H:H,"ERR",0))</f>
        <v>static</v>
      </c>
      <c r="I383" s="81" t="str">
        <f ca="1">LOWER(_xlfn.XLOOKUP($A383,Строчный!$A:$A,Строчный!I:I,"ERR",0))</f>
        <v>темно-серый</v>
      </c>
      <c r="J383" s="81" t="str">
        <f ca="1">SUBSTITUTE(LOWER(_xlfn.XLOOKUP($A383,Строчный!$A:$A,Строчный!J:J,"ERR",0)),"подклад","Подклад")</f>
        <v>55% полиэстер - 45% бумага</v>
      </c>
      <c r="K383" s="81" t="str">
        <f ca="1">LOWER(_xlfn.XLOOKUP($A383,Строчный!$A:$A,Строчный!K:K,"ERR",0))</f>
        <v>бумажные</v>
      </c>
      <c r="L383" s="81" t="str">
        <f ca="1">PROPER(_xlfn.XLOOKUP($A383,Строчный!$A:$A,Строчный!L:L,"ERR",0))</f>
        <v>Унисекс</v>
      </c>
      <c r="M383" s="113" t="str">
        <f ca="1">PROPER(_xlfn.XLOOKUP($A383,Строчный!$A:$A,Строчный!M:M,"ERR",0))</f>
        <v>Китай</v>
      </c>
      <c r="N383" s="81" t="str">
        <f ca="1">UPPER(_xlfn.XLOOKUP($A383,Строчный!$A:$A,Строчный!O:O,"ERR",0))</f>
        <v/>
      </c>
      <c r="O383" s="107" t="str">
        <f ca="1">PROPER(_xlfn.XLOOKUP($A383,Строчный!$A:$A,Строчный!P:P,"ERR",0))</f>
        <v/>
      </c>
      <c r="P383" s="90">
        <f ca="1">VALUE(_xlfn.XLOOKUP($A383,Строчный!$A:$A,Строчный!N:N,"ERR",0))</f>
        <v>2094.3000000000002</v>
      </c>
      <c r="Q383" s="89" t="str">
        <f ca="1">_xlfn.XLOOKUP($G383,Фабрика!A:A,Фабрика!B:B,"ERR",0)</f>
        <v>Bollman Headwear Europe Ltd; 2 Merchants drive, Caelisle, Cumbria CA3 0JW, United Kingdom</v>
      </c>
      <c r="R383" s="80" t="str">
        <f ca="1">_xlfn.XLOOKUP(RIGHT(Z383,2),Размеры!D:D,Размеры!A:A,"ERR",0)</f>
        <v>57</v>
      </c>
      <c r="S383" s="80">
        <f ca="1">VALUE(_xlfn.XLOOKUP($Z383,Строчный!$R:$R,Строчный!T:T,"ERR",0))</f>
        <v>4</v>
      </c>
      <c r="T383" s="14" t="s">
        <v>265</v>
      </c>
      <c r="U383" s="101" t="str">
        <f t="shared" ca="1" si="38"/>
        <v>Шляпа BAILEY арт. 81650 SALEM (темно-серый)</v>
      </c>
      <c r="V383" s="100" t="str">
        <f t="shared" ca="1" si="39"/>
        <v>Шляпа BAILEY арт. 81650 SALEM (темно-серый) {static}</v>
      </c>
      <c r="W383" s="18" t="str">
        <f t="shared" ca="1" si="40"/>
        <v>серый</v>
      </c>
      <c r="X383" s="18" t="str">
        <f t="shared" ca="1" si="41"/>
        <v>серый</v>
      </c>
      <c r="Y383" s="117" t="str">
        <f ca="1">_xlfn.LET(_xlpm.FormColors,_xlfn.XLOOKUP(A383,Строчный!A:A,Строчный!Q:Q,"",0),IF(_xlpm.FormColors=0,IFERROR(MID(I383,FIND("-",I383)+1,LEN(I383)),IFERROR(MID(I383,1,FIND("/",I383)-2),I383)),_xlpm.FormColors))</f>
        <v>серый</v>
      </c>
      <c r="Z383" s="73" t="str">
        <f ca="1"/>
        <v>21-089-05-57</v>
      </c>
      <c r="AA383" s="75" t="str">
        <f ca="1">VLOOKUP(C383,Группа!A:B,2,FALSE)</f>
        <v>Шляпа</v>
      </c>
      <c r="AB383" s="97" t="str">
        <f ca="1">IFERROR(VLOOKUP(R383,Размеры!A:C,3,FALSE),"")</f>
        <v>57 M</v>
      </c>
      <c r="AC383" s="97" t="str">
        <f ca="1">VLOOKUP(I383,ЦветПолный!A:B,2,FALSE)</f>
        <v>05</v>
      </c>
      <c r="AD383" s="97" t="str">
        <f ca="1">IFERROR(VLOOKUP(R383,Размеры!A:D,4,FALSE),"")</f>
        <v>57</v>
      </c>
      <c r="AE383" s="97">
        <f ca="1">IF(LEFT(IFERROR(VLOOKUP(LOOKUP(2,1/SEARCH(B383,Товары!A:A),Товары!A:A),Товары!A:B,2,0),""),6)=MID(Z383,1,6),1,0)</f>
        <v>1</v>
      </c>
      <c r="AG383" s="97">
        <f ca="1">SUMIF(Группа!A:A,C383,Группа!C:C)</f>
        <v>1</v>
      </c>
      <c r="AH383" s="97">
        <f ca="1">SUMIF(Группа!B:B,AA383,Группа!C:C)</f>
        <v>1</v>
      </c>
      <c r="AI383" s="97">
        <f ca="1">SUMIF(Формы!A:A,D383,Формы!B:B)</f>
        <v>1</v>
      </c>
      <c r="AJ383" s="97">
        <f ca="1">SUMIF(Материал!A:A,K383,Материал!B:B)</f>
        <v>1</v>
      </c>
      <c r="AK383" s="97">
        <f ca="1">SUMIF(Размеры!A:A,R383,Размеры!E:E)</f>
        <v>1</v>
      </c>
      <c r="AL383" s="97">
        <f ca="1">SUMIF(Сезон!A:A,F383,Сезон!B:B)</f>
        <v>1</v>
      </c>
      <c r="AM383" s="97">
        <f ca="1">SUMIF(Состав!A:A,J383,Состав!B:B)</f>
        <v>1</v>
      </c>
      <c r="AN383" s="97">
        <f ca="1">VLOOKUP(I383,ЦветПолный!A:C,3,0)</f>
        <v>1</v>
      </c>
      <c r="AO383" s="97">
        <f ca="1">SUMIF(Цвет!A:A,Y383,Цвет!B:B)</f>
        <v>1</v>
      </c>
      <c r="AP383" s="97">
        <f ca="1">_xlfn.XLOOKUP(L383,Пол!A:A,Пол!B:B,0,0)</f>
        <v>1</v>
      </c>
      <c r="AQ383" s="97">
        <f ca="1">SUMIF(Марка!A:A,G383,Марка!B:B)</f>
        <v>1</v>
      </c>
      <c r="AR383" s="97">
        <f ca="1">SUMIF(Страна!A:A,M383,Страна!B:B)</f>
        <v>1</v>
      </c>
      <c r="AS383" s="64" t="e">
        <f ca="1">IF(VLOOKUP(V383,Товары!A:B,2,FALSE)=A383,"Есть в 1С","ERR")</f>
        <v>#N/A</v>
      </c>
      <c r="AT383" s="65" t="e">
        <f ca="1">IF(VLOOKUP(A383,Товары!B:B,1,FALSE)=A383,"Есть в 1С","ERR")</f>
        <v>#N/A</v>
      </c>
      <c r="AU383" s="96" t="e">
        <f ca="1">VLOOKUP(V383,Товары!A:B,2,FALSE)</f>
        <v>#N/A</v>
      </c>
      <c r="AV383" s="94" t="e">
        <f ca="1">VLOOKUP(V383,Товары!A:B,1,FALSE)</f>
        <v>#N/A</v>
      </c>
    </row>
    <row r="384" spans="1:48" x14ac:dyDescent="0.25">
      <c r="A384" s="110" t="str">
        <f t="shared" ca="1" si="37"/>
        <v>21-077-06</v>
      </c>
      <c r="B384" s="107" t="str">
        <f ca="1">_xlfn.LET(_xlpm.CAPS,0,_xlpm.Style,_xlfn.XLOOKUP($A384,Строчный!$A:$A,Строчный!B:B,"ERR",0),IF(_xlpm.CAPS=0,_xlpm.Style,LOWER(_xlpm.Style)))</f>
        <v>7100 RIFF</v>
      </c>
      <c r="C384" s="81" t="str">
        <f ca="1">PROPER(_xlfn.XLOOKUP($A384,Строчный!$A:$A,Строчный!C:C,"ERR",0))</f>
        <v>Шляпы</v>
      </c>
      <c r="D384" s="81" t="str">
        <f ca="1">_xlfn.LET(_xlpm.DATA,(_xlfn.XLOOKUP($A384,Строчный!$A:$A,Строчный!D:D,"ERR",0)),UPPER(MID(_xlpm.DATA,1,1))&amp;LOWER(MID(_xlpm.DATA,2,LEN(_xlpm.DATA)-1)))</f>
        <v>Шляпа трилби</v>
      </c>
      <c r="E384" s="81" t="str">
        <f ca="1">PROPER(_xlfn.XLOOKUP($A384,Строчный!$A:$A,Строчный!E:E,"ERR",0))</f>
        <v>The Hollywood</v>
      </c>
      <c r="F384" s="81" t="str">
        <f ca="1">LOWER(_xlfn.XLOOKUP($A384,Строчный!$A:$A,Строчный!F:F,"ERR",0))</f>
        <v>всесезон</v>
      </c>
      <c r="G384" s="81" t="str">
        <f ca="1">UPPER(_xlfn.XLOOKUP($A384,Строчный!$A:$A,Строчный!G:G,"ERR",0))</f>
        <v>BAILEY</v>
      </c>
      <c r="H384" s="81" t="str">
        <f ca="1">LOWER(_xlfn.XLOOKUP($A384,Строчный!$A:$A,Строчный!H:H,"ERR",0))</f>
        <v>lazuli blue</v>
      </c>
      <c r="I384" s="81" t="str">
        <f ca="1">LOWER(_xlfn.XLOOKUP($A384,Строчный!$A:$A,Строчный!I:I,"ERR",0))</f>
        <v>синий</v>
      </c>
      <c r="J384" s="81" t="str">
        <f ca="1">SUBSTITUTE(LOWER(_xlfn.XLOOKUP($A384,Строчный!$A:$A,Строчный!J:J,"ERR",0)),"подклад","Подклад")</f>
        <v>100% шерсть</v>
      </c>
      <c r="K384" s="81" t="str">
        <f ca="1">LOWER(_xlfn.XLOOKUP($A384,Строчный!$A:$A,Строчный!K:K,"ERR",0))</f>
        <v>фетровые</v>
      </c>
      <c r="L384" s="81" t="str">
        <f ca="1">PROPER(_xlfn.XLOOKUP($A384,Строчный!$A:$A,Строчный!L:L,"ERR",0))</f>
        <v>Унисекс</v>
      </c>
      <c r="M384" s="113" t="str">
        <f ca="1">PROPER(_xlfn.XLOOKUP($A384,Строчный!$A:$A,Строчный!M:M,"ERR",0))</f>
        <v>Соединенные Штаты</v>
      </c>
      <c r="N384" s="81" t="str">
        <f ca="1">UPPER(_xlfn.XLOOKUP($A384,Строчный!$A:$A,Строчный!O:O,"ERR",0))</f>
        <v/>
      </c>
      <c r="O384" s="107" t="str">
        <f ca="1">PROPER(_xlfn.XLOOKUP($A384,Строчный!$A:$A,Строчный!P:P,"ERR",0))</f>
        <v/>
      </c>
      <c r="P384" s="90">
        <f ca="1">VALUE(_xlfn.XLOOKUP($A384,Строчный!$A:$A,Строчный!N:N,"ERR",0))</f>
        <v>702.00000000000011</v>
      </c>
      <c r="Q384" s="89" t="str">
        <f ca="1">_xlfn.XLOOKUP($G384,Фабрика!A:A,Фабрика!B:B,"ERR",0)</f>
        <v>Bollman Headwear Europe Ltd; 2 Merchants drive, Caelisle, Cumbria CA3 0JW, United Kingdom</v>
      </c>
      <c r="R384" s="80" t="str">
        <f ca="1">_xlfn.XLOOKUP(RIGHT(Z384,2),Размеры!D:D,Размеры!A:A,"ERR",0)</f>
        <v>59</v>
      </c>
      <c r="S384" s="80">
        <f ca="1">VALUE(_xlfn.XLOOKUP($Z384,Строчный!$R:$R,Строчный!T:T,"ERR",0))</f>
        <v>1</v>
      </c>
      <c r="T384" s="14" t="s">
        <v>265</v>
      </c>
      <c r="U384" s="101" t="str">
        <f t="shared" ca="1" si="38"/>
        <v>Шляпа BAILEY арт. 7100 RIFF (синий)</v>
      </c>
      <c r="V384" s="100" t="str">
        <f t="shared" ca="1" si="39"/>
        <v>Шляпа BAILEY арт. 7100 RIFF (синий) {lazuli blue}</v>
      </c>
      <c r="W384" s="18" t="str">
        <f t="shared" ca="1" si="40"/>
        <v>синий</v>
      </c>
      <c r="X384" s="18" t="str">
        <f t="shared" ca="1" si="41"/>
        <v>синий</v>
      </c>
      <c r="Y384" s="117" t="str">
        <f ca="1">_xlfn.LET(_xlpm.FormColors,_xlfn.XLOOKUP(A384,Строчный!A:A,Строчный!Q:Q,"",0),IF(_xlpm.FormColors=0,IFERROR(MID(I384,FIND("-",I384)+1,LEN(I384)),IFERROR(MID(I384,1,FIND("/",I384)-2),I384)),_xlpm.FormColors))</f>
        <v>синий</v>
      </c>
      <c r="Z384" s="73" t="str">
        <f ca="1"/>
        <v>21-077-06-59</v>
      </c>
      <c r="AA384" s="75" t="str">
        <f ca="1">VLOOKUP(C384,Группа!A:B,2,FALSE)</f>
        <v>Шляпа</v>
      </c>
      <c r="AB384" s="97" t="str">
        <f ca="1">IFERROR(VLOOKUP(R384,Размеры!A:C,3,FALSE),"")</f>
        <v>59 L</v>
      </c>
      <c r="AC384" s="97" t="str">
        <f ca="1">VLOOKUP(I384,ЦветПолный!A:B,2,FALSE)</f>
        <v>06</v>
      </c>
      <c r="AD384" s="97" t="str">
        <f ca="1">IFERROR(VLOOKUP(R384,Размеры!A:D,4,FALSE),"")</f>
        <v>59</v>
      </c>
      <c r="AE384" s="97">
        <f ca="1">IF(LEFT(IFERROR(VLOOKUP(LOOKUP(2,1/SEARCH(B384,Товары!A:A),Товары!A:A),Товары!A:B,2,0),""),6)=MID(Z384,1,6),1,0)</f>
        <v>1</v>
      </c>
      <c r="AG384" s="97">
        <f ca="1">SUMIF(Группа!A:A,C384,Группа!C:C)</f>
        <v>1</v>
      </c>
      <c r="AH384" s="97">
        <f ca="1">SUMIF(Группа!B:B,AA384,Группа!C:C)</f>
        <v>1</v>
      </c>
      <c r="AI384" s="97">
        <f ca="1">SUMIF(Формы!A:A,D384,Формы!B:B)</f>
        <v>1</v>
      </c>
      <c r="AJ384" s="97">
        <f ca="1">SUMIF(Материал!A:A,K384,Материал!B:B)</f>
        <v>1</v>
      </c>
      <c r="AK384" s="97">
        <f ca="1">SUMIF(Размеры!A:A,R384,Размеры!E:E)</f>
        <v>1</v>
      </c>
      <c r="AL384" s="97">
        <f ca="1">SUMIF(Сезон!A:A,F384,Сезон!B:B)</f>
        <v>1</v>
      </c>
      <c r="AM384" s="97">
        <f ca="1">SUMIF(Состав!A:A,J384,Состав!B:B)</f>
        <v>1</v>
      </c>
      <c r="AN384" s="97">
        <f ca="1">VLOOKUP(I384,ЦветПолный!A:C,3,0)</f>
        <v>1</v>
      </c>
      <c r="AO384" s="97">
        <f ca="1">SUMIF(Цвет!A:A,Y384,Цвет!B:B)</f>
        <v>1</v>
      </c>
      <c r="AP384" s="97">
        <f ca="1">_xlfn.XLOOKUP(L384,Пол!A:A,Пол!B:B,0,0)</f>
        <v>1</v>
      </c>
      <c r="AQ384" s="97">
        <f ca="1">SUMIF(Марка!A:A,G384,Марка!B:B)</f>
        <v>1</v>
      </c>
      <c r="AR384" s="97">
        <f ca="1">SUMIF(Страна!A:A,M384,Страна!B:B)</f>
        <v>1</v>
      </c>
      <c r="AS384" s="64" t="e">
        <f ca="1">IF(VLOOKUP(V384,Товары!A:B,2,FALSE)=A384,"Есть в 1С","ERR")</f>
        <v>#N/A</v>
      </c>
      <c r="AT384" s="65" t="str">
        <f ca="1">IF(VLOOKUP(A384,Товары!B:B,1,FALSE)=A384,"Есть в 1С","ERR")</f>
        <v>Есть в 1С</v>
      </c>
      <c r="AU384" s="96" t="e">
        <f ca="1">VLOOKUP(V384,Товары!A:B,2,FALSE)</f>
        <v>#N/A</v>
      </c>
      <c r="AV384" s="94" t="e">
        <f ca="1">VLOOKUP(V384,Товары!A:B,1,FALSE)</f>
        <v>#N/A</v>
      </c>
    </row>
    <row r="385" spans="1:48" x14ac:dyDescent="0.25">
      <c r="A385" s="110" t="str">
        <f t="shared" ca="1" si="37"/>
        <v>21-074-08</v>
      </c>
      <c r="B385" s="107" t="str">
        <f ca="1">_xlfn.LET(_xlpm.CAPS,0,_xlpm.Style,_xlfn.XLOOKUP($A385,Строчный!$A:$A,Строчный!B:B,"ERR",0),IF(_xlpm.CAPS=0,_xlpm.Style,LOWER(_xlpm.Style)))</f>
        <v>7034 BLIXEN</v>
      </c>
      <c r="C385" s="81" t="str">
        <f ca="1">PROPER(_xlfn.XLOOKUP($A385,Строчный!$A:$A,Строчный!C:C,"ERR",0))</f>
        <v>Шляпы</v>
      </c>
      <c r="D385" s="81" t="str">
        <f ca="1">_xlfn.LET(_xlpm.DATA,(_xlfn.XLOOKUP($A385,Строчный!$A:$A,Строчный!D:D,"ERR",0)),UPPER(MID(_xlpm.DATA,1,1))&amp;LOWER(MID(_xlpm.DATA,2,LEN(_xlpm.DATA)-1)))</f>
        <v>Шляпа федора</v>
      </c>
      <c r="E385" s="81" t="str">
        <f ca="1">PROPER(_xlfn.XLOOKUP($A385,Строчный!$A:$A,Строчный!E:E,"ERR",0))</f>
        <v>The Hollywood</v>
      </c>
      <c r="F385" s="81" t="str">
        <f ca="1">LOWER(_xlfn.XLOOKUP($A385,Строчный!$A:$A,Строчный!F:F,"ERR",0))</f>
        <v>всесезон</v>
      </c>
      <c r="G385" s="81" t="str">
        <f ca="1">UPPER(_xlfn.XLOOKUP($A385,Строчный!$A:$A,Строчный!G:G,"ERR",0))</f>
        <v>BAILEY</v>
      </c>
      <c r="H385" s="81" t="str">
        <f ca="1">LOWER(_xlfn.XLOOKUP($A385,Строчный!$A:$A,Строчный!H:H,"ERR",0))</f>
        <v>avion</v>
      </c>
      <c r="I385" s="81" t="str">
        <f ca="1">LOWER(_xlfn.XLOOKUP($A385,Строчный!$A:$A,Строчный!I:I,"ERR",0))</f>
        <v>серый</v>
      </c>
      <c r="J385" s="81" t="str">
        <f ca="1">SUBSTITUTE(LOWER(_xlfn.XLOOKUP($A385,Строчный!$A:$A,Строчный!J:J,"ERR",0)),"подклад","Подклад")</f>
        <v>100% шерсть</v>
      </c>
      <c r="K385" s="81" t="str">
        <f ca="1">LOWER(_xlfn.XLOOKUP($A385,Строчный!$A:$A,Строчный!K:K,"ERR",0))</f>
        <v>фетровые</v>
      </c>
      <c r="L385" s="81" t="str">
        <f ca="1">PROPER(_xlfn.XLOOKUP($A385,Строчный!$A:$A,Строчный!L:L,"ERR",0))</f>
        <v>Унисекс</v>
      </c>
      <c r="M385" s="113" t="str">
        <f ca="1">PROPER(_xlfn.XLOOKUP($A385,Строчный!$A:$A,Строчный!M:M,"ERR",0))</f>
        <v>Соединенные Штаты</v>
      </c>
      <c r="N385" s="81" t="str">
        <f ca="1">UPPER(_xlfn.XLOOKUP($A385,Строчный!$A:$A,Строчный!O:O,"ERR",0))</f>
        <v/>
      </c>
      <c r="O385" s="107" t="str">
        <f ca="1">PROPER(_xlfn.XLOOKUP($A385,Строчный!$A:$A,Строчный!P:P,"ERR",0))</f>
        <v/>
      </c>
      <c r="P385" s="90">
        <f ca="1">VALUE(_xlfn.XLOOKUP($A385,Строчный!$A:$A,Строчный!N:N,"ERR",0))</f>
        <v>702.00000000000011</v>
      </c>
      <c r="Q385" s="89" t="str">
        <f ca="1">_xlfn.XLOOKUP($G385,Фабрика!A:A,Фабрика!B:B,"ERR",0)</f>
        <v>Bollman Headwear Europe Ltd; 2 Merchants drive, Caelisle, Cumbria CA3 0JW, United Kingdom</v>
      </c>
      <c r="R385" s="80" t="str">
        <f ca="1">_xlfn.XLOOKUP(RIGHT(Z385,2),Размеры!D:D,Размеры!A:A,"ERR",0)</f>
        <v>57</v>
      </c>
      <c r="S385" s="80">
        <f ca="1">VALUE(_xlfn.XLOOKUP($Z385,Строчный!$R:$R,Строчный!T:T,"ERR",0))</f>
        <v>1</v>
      </c>
      <c r="T385" s="14" t="s">
        <v>265</v>
      </c>
      <c r="U385" s="101" t="str">
        <f t="shared" ca="1" si="38"/>
        <v>Шляпа BAILEY арт. 7034 BLIXEN (серый)</v>
      </c>
      <c r="V385" s="100" t="str">
        <f t="shared" ca="1" si="39"/>
        <v>Шляпа BAILEY арт. 7034 BLIXEN (серый) {avion}</v>
      </c>
      <c r="W385" s="18" t="str">
        <f t="shared" ca="1" si="40"/>
        <v>серый</v>
      </c>
      <c r="X385" s="18" t="str">
        <f t="shared" ca="1" si="41"/>
        <v>серый</v>
      </c>
      <c r="Y385" s="117" t="str">
        <f ca="1">_xlfn.LET(_xlpm.FormColors,_xlfn.XLOOKUP(A385,Строчный!A:A,Строчный!Q:Q,"",0),IF(_xlpm.FormColors=0,IFERROR(MID(I385,FIND("-",I385)+1,LEN(I385)),IFERROR(MID(I385,1,FIND("/",I385)-2),I385)),_xlpm.FormColors))</f>
        <v>серый</v>
      </c>
      <c r="Z385" s="73" t="str">
        <f ca="1"/>
        <v>21-074-08-57</v>
      </c>
      <c r="AA385" s="75" t="str">
        <f ca="1">VLOOKUP(C385,Группа!A:B,2,FALSE)</f>
        <v>Шляпа</v>
      </c>
      <c r="AB385" s="97" t="str">
        <f ca="1">IFERROR(VLOOKUP(R385,Размеры!A:C,3,FALSE),"")</f>
        <v>57 M</v>
      </c>
      <c r="AC385" s="97" t="str">
        <f ca="1">VLOOKUP(I385,ЦветПолный!A:B,2,FALSE)</f>
        <v>08</v>
      </c>
      <c r="AD385" s="97" t="str">
        <f ca="1">IFERROR(VLOOKUP(R385,Размеры!A:D,4,FALSE),"")</f>
        <v>57</v>
      </c>
      <c r="AE385" s="97">
        <f ca="1">IF(LEFT(IFERROR(VLOOKUP(LOOKUP(2,1/SEARCH(B385,Товары!A:A),Товары!A:A),Товары!A:B,2,0),""),6)=MID(Z385,1,6),1,0)</f>
        <v>1</v>
      </c>
      <c r="AG385" s="97">
        <f ca="1">SUMIF(Группа!A:A,C385,Группа!C:C)</f>
        <v>1</v>
      </c>
      <c r="AH385" s="97">
        <f ca="1">SUMIF(Группа!B:B,AA385,Группа!C:C)</f>
        <v>1</v>
      </c>
      <c r="AI385" s="97">
        <f ca="1">SUMIF(Формы!A:A,D385,Формы!B:B)</f>
        <v>1</v>
      </c>
      <c r="AJ385" s="97">
        <f ca="1">SUMIF(Материал!A:A,K385,Материал!B:B)</f>
        <v>1</v>
      </c>
      <c r="AK385" s="97">
        <f ca="1">SUMIF(Размеры!A:A,R385,Размеры!E:E)</f>
        <v>1</v>
      </c>
      <c r="AL385" s="97">
        <f ca="1">SUMIF(Сезон!A:A,F385,Сезон!B:B)</f>
        <v>1</v>
      </c>
      <c r="AM385" s="97">
        <f ca="1">SUMIF(Состав!A:A,J385,Состав!B:B)</f>
        <v>1</v>
      </c>
      <c r="AN385" s="97">
        <f ca="1">VLOOKUP(I385,ЦветПолный!A:C,3,0)</f>
        <v>1</v>
      </c>
      <c r="AO385" s="97">
        <f ca="1">SUMIF(Цвет!A:A,Y385,Цвет!B:B)</f>
        <v>1</v>
      </c>
      <c r="AP385" s="97">
        <f ca="1">_xlfn.XLOOKUP(L385,Пол!A:A,Пол!B:B,0,0)</f>
        <v>1</v>
      </c>
      <c r="AQ385" s="97">
        <f ca="1">SUMIF(Марка!A:A,G385,Марка!B:B)</f>
        <v>1</v>
      </c>
      <c r="AR385" s="97">
        <f ca="1">SUMIF(Страна!A:A,M385,Страна!B:B)</f>
        <v>1</v>
      </c>
      <c r="AS385" s="64" t="e">
        <f ca="1">IF(VLOOKUP(V385,Товары!A:B,2,FALSE)=A385,"Есть в 1С","ERR")</f>
        <v>#N/A</v>
      </c>
      <c r="AT385" s="65" t="e">
        <f ca="1">IF(VLOOKUP(A385,Товары!B:B,1,FALSE)=A385,"Есть в 1С","ERR")</f>
        <v>#N/A</v>
      </c>
      <c r="AU385" s="96" t="e">
        <f ca="1">VLOOKUP(V385,Товары!A:B,2,FALSE)</f>
        <v>#N/A</v>
      </c>
      <c r="AV385" s="94" t="e">
        <f ca="1">VLOOKUP(V385,Товары!A:B,1,FALSE)</f>
        <v>#N/A</v>
      </c>
    </row>
    <row r="386" spans="1:48" x14ac:dyDescent="0.25">
      <c r="A386" s="110" t="str">
        <f t="shared" ca="1" si="37"/>
        <v>21-072-20</v>
      </c>
      <c r="B386" s="107" t="str">
        <f ca="1">_xlfn.LET(_xlpm.CAPS,0,_xlpm.Style,_xlfn.XLOOKUP($A386,Строчный!$A:$A,Строчный!B:B,"ERR",0),IF(_xlpm.CAPS=0,_xlpm.Style,LOWER(_xlpm.Style)))</f>
        <v>7021 DARRON</v>
      </c>
      <c r="C386" s="81" t="str">
        <f ca="1">PROPER(_xlfn.XLOOKUP($A386,Строчный!$A:$A,Строчный!C:C,"ERR",0))</f>
        <v>Шляпы</v>
      </c>
      <c r="D386" s="81" t="str">
        <f ca="1">_xlfn.LET(_xlpm.DATA,(_xlfn.XLOOKUP($A386,Строчный!$A:$A,Строчный!D:D,"ERR",0)),UPPER(MID(_xlpm.DATA,1,1))&amp;LOWER(MID(_xlpm.DATA,2,LEN(_xlpm.DATA)-1)))</f>
        <v>Шляпа поркпай</v>
      </c>
      <c r="E386" s="81" t="str">
        <f ca="1">PROPER(_xlfn.XLOOKUP($A386,Строчный!$A:$A,Строчный!E:E,"ERR",0))</f>
        <v>The Hollywood</v>
      </c>
      <c r="F386" s="81" t="str">
        <f ca="1">LOWER(_xlfn.XLOOKUP($A386,Строчный!$A:$A,Строчный!F:F,"ERR",0))</f>
        <v>всесезон</v>
      </c>
      <c r="G386" s="81" t="str">
        <f ca="1">UPPER(_xlfn.XLOOKUP($A386,Строчный!$A:$A,Строчный!G:G,"ERR",0))</f>
        <v>BAILEY</v>
      </c>
      <c r="H386" s="81" t="str">
        <f ca="1">LOWER(_xlfn.XLOOKUP($A386,Строчный!$A:$A,Строчный!H:H,"ERR",0))</f>
        <v>satin brass</v>
      </c>
      <c r="I386" s="81" t="str">
        <f ca="1">LOWER(_xlfn.XLOOKUP($A386,Строчный!$A:$A,Строчный!I:I,"ERR",0))</f>
        <v>желтый</v>
      </c>
      <c r="J386" s="81" t="str">
        <f ca="1">SUBSTITUTE(LOWER(_xlfn.XLOOKUP($A386,Строчный!$A:$A,Строчный!J:J,"ERR",0)),"подклад","Подклад")</f>
        <v>100% шерсть</v>
      </c>
      <c r="K386" s="81" t="str">
        <f ca="1">LOWER(_xlfn.XLOOKUP($A386,Строчный!$A:$A,Строчный!K:K,"ERR",0))</f>
        <v>фетровые</v>
      </c>
      <c r="L386" s="81" t="str">
        <f ca="1">PROPER(_xlfn.XLOOKUP($A386,Строчный!$A:$A,Строчный!L:L,"ERR",0))</f>
        <v>Унисекс</v>
      </c>
      <c r="M386" s="113" t="str">
        <f ca="1">PROPER(_xlfn.XLOOKUP($A386,Строчный!$A:$A,Строчный!M:M,"ERR",0))</f>
        <v>Соединенные Штаты</v>
      </c>
      <c r="N386" s="81" t="str">
        <f ca="1">UPPER(_xlfn.XLOOKUP($A386,Строчный!$A:$A,Строчный!O:O,"ERR",0))</f>
        <v/>
      </c>
      <c r="O386" s="107" t="str">
        <f ca="1">PROPER(_xlfn.XLOOKUP($A386,Строчный!$A:$A,Строчный!P:P,"ERR",0))</f>
        <v/>
      </c>
      <c r="P386" s="90">
        <f ca="1">VALUE(_xlfn.XLOOKUP($A386,Строчный!$A:$A,Строчный!N:N,"ERR",0))</f>
        <v>702.00000000000011</v>
      </c>
      <c r="Q386" s="89" t="str">
        <f ca="1">_xlfn.XLOOKUP($G386,Фабрика!A:A,Фабрика!B:B,"ERR",0)</f>
        <v>Bollman Headwear Europe Ltd; 2 Merchants drive, Caelisle, Cumbria CA3 0JW, United Kingdom</v>
      </c>
      <c r="R386" s="80" t="str">
        <f ca="1">_xlfn.XLOOKUP(RIGHT(Z386,2),Размеры!D:D,Размеры!A:A,"ERR",0)</f>
        <v>59</v>
      </c>
      <c r="S386" s="80">
        <f ca="1">VALUE(_xlfn.XLOOKUP($Z386,Строчный!$R:$R,Строчный!T:T,"ERR",0))</f>
        <v>1</v>
      </c>
      <c r="T386" s="14" t="s">
        <v>265</v>
      </c>
      <c r="U386" s="101" t="str">
        <f t="shared" ca="1" si="38"/>
        <v>Шляпа BAILEY арт. 7021 DARRON (желтый)</v>
      </c>
      <c r="V386" s="100" t="str">
        <f t="shared" ca="1" si="39"/>
        <v>Шляпа BAILEY арт. 7021 DARRON (желтый) {satin brass}</v>
      </c>
      <c r="W386" s="18" t="str">
        <f t="shared" ca="1" si="40"/>
        <v>желтый</v>
      </c>
      <c r="X386" s="18" t="str">
        <f t="shared" ca="1" si="41"/>
        <v>желтый</v>
      </c>
      <c r="Y386" s="117" t="str">
        <f ca="1">_xlfn.LET(_xlpm.FormColors,_xlfn.XLOOKUP(A386,Строчный!A:A,Строчный!Q:Q,"",0),IF(_xlpm.FormColors=0,IFERROR(MID(I386,FIND("-",I386)+1,LEN(I386)),IFERROR(MID(I386,1,FIND("/",I386)-2),I386)),_xlpm.FormColors))</f>
        <v>желтый</v>
      </c>
      <c r="Z386" s="73" t="str">
        <f ca="1"/>
        <v>21-072-20-59</v>
      </c>
      <c r="AA386" s="75" t="str">
        <f ca="1">VLOOKUP(C386,Группа!A:B,2,FALSE)</f>
        <v>Шляпа</v>
      </c>
      <c r="AB386" s="97" t="str">
        <f ca="1">IFERROR(VLOOKUP(R386,Размеры!A:C,3,FALSE),"")</f>
        <v>59 L</v>
      </c>
      <c r="AC386" s="97" t="str">
        <f ca="1">VLOOKUP(I386,ЦветПолный!A:B,2,FALSE)</f>
        <v>20</v>
      </c>
      <c r="AD386" s="97" t="str">
        <f ca="1">IFERROR(VLOOKUP(R386,Размеры!A:D,4,FALSE),"")</f>
        <v>59</v>
      </c>
      <c r="AE386" s="97">
        <f ca="1">IF(LEFT(IFERROR(VLOOKUP(LOOKUP(2,1/SEARCH(B386,Товары!A:A),Товары!A:A),Товары!A:B,2,0),""),6)=MID(Z386,1,6),1,0)</f>
        <v>1</v>
      </c>
      <c r="AG386" s="97">
        <f ca="1">SUMIF(Группа!A:A,C386,Группа!C:C)</f>
        <v>1</v>
      </c>
      <c r="AH386" s="97">
        <f ca="1">SUMIF(Группа!B:B,AA386,Группа!C:C)</f>
        <v>1</v>
      </c>
      <c r="AI386" s="97">
        <f ca="1">SUMIF(Формы!A:A,D386,Формы!B:B)</f>
        <v>1</v>
      </c>
      <c r="AJ386" s="97">
        <f ca="1">SUMIF(Материал!A:A,K386,Материал!B:B)</f>
        <v>1</v>
      </c>
      <c r="AK386" s="97">
        <f ca="1">SUMIF(Размеры!A:A,R386,Размеры!E:E)</f>
        <v>1</v>
      </c>
      <c r="AL386" s="97">
        <f ca="1">SUMIF(Сезон!A:A,F386,Сезон!B:B)</f>
        <v>1</v>
      </c>
      <c r="AM386" s="97">
        <f ca="1">SUMIF(Состав!A:A,J386,Состав!B:B)</f>
        <v>1</v>
      </c>
      <c r="AN386" s="97">
        <f ca="1">VLOOKUP(I386,ЦветПолный!A:C,3,0)</f>
        <v>1</v>
      </c>
      <c r="AO386" s="97">
        <f ca="1">SUMIF(Цвет!A:A,Y386,Цвет!B:B)</f>
        <v>1</v>
      </c>
      <c r="AP386" s="97">
        <f ca="1">_xlfn.XLOOKUP(L386,Пол!A:A,Пол!B:B,0,0)</f>
        <v>1</v>
      </c>
      <c r="AQ386" s="97">
        <f ca="1">SUMIF(Марка!A:A,G386,Марка!B:B)</f>
        <v>1</v>
      </c>
      <c r="AR386" s="97">
        <f ca="1">SUMIF(Страна!A:A,M386,Страна!B:B)</f>
        <v>1</v>
      </c>
      <c r="AS386" s="64" t="e">
        <f ca="1">IF(VLOOKUP(V386,Товары!A:B,2,FALSE)=A386,"Есть в 1С","ERR")</f>
        <v>#N/A</v>
      </c>
      <c r="AT386" s="65" t="e">
        <f ca="1">IF(VLOOKUP(A386,Товары!B:B,1,FALSE)=A386,"Есть в 1С","ERR")</f>
        <v>#N/A</v>
      </c>
      <c r="AU386" s="96" t="e">
        <f ca="1">VLOOKUP(V386,Товары!A:B,2,FALSE)</f>
        <v>#N/A</v>
      </c>
      <c r="AV386" s="94" t="e">
        <f ca="1">VLOOKUP(V386,Товары!A:B,1,FALSE)</f>
        <v>#N/A</v>
      </c>
    </row>
    <row r="387" spans="1:48" x14ac:dyDescent="0.25">
      <c r="A387" s="110" t="str">
        <f t="shared" ref="A387:A401" ca="1" si="42">LEFT(Z387,9)</f>
        <v>21-068-17</v>
      </c>
      <c r="B387" s="107" t="str">
        <f ca="1">_xlfn.LET(_xlpm.CAPS,0,_xlpm.Style,_xlfn.XLOOKUP($A387,Строчный!$A:$A,Строчный!B:B,"ERR",0),IF(_xlpm.CAPS=0,_xlpm.Style,LOWER(_xlpm.Style)))</f>
        <v>7002 FEDORA</v>
      </c>
      <c r="C387" s="81" t="str">
        <f ca="1">PROPER(_xlfn.XLOOKUP($A387,Строчный!$A:$A,Строчный!C:C,"ERR",0))</f>
        <v>Шляпы</v>
      </c>
      <c r="D387" s="81" t="str">
        <f ca="1">_xlfn.LET(_xlpm.DATA,(_xlfn.XLOOKUP($A387,Строчный!$A:$A,Строчный!D:D,"ERR",0)),UPPER(MID(_xlpm.DATA,1,1))&amp;LOWER(MID(_xlpm.DATA,2,LEN(_xlpm.DATA)-1)))</f>
        <v>Шляпа федора</v>
      </c>
      <c r="E387" s="81" t="str">
        <f ca="1">PROPER(_xlfn.XLOOKUP($A387,Строчный!$A:$A,Строчный!E:E,"ERR",0))</f>
        <v>The Hollywood</v>
      </c>
      <c r="F387" s="81" t="str">
        <f ca="1">LOWER(_xlfn.XLOOKUP($A387,Строчный!$A:$A,Строчный!F:F,"ERR",0))</f>
        <v>всесезон</v>
      </c>
      <c r="G387" s="81" t="str">
        <f ca="1">UPPER(_xlfn.XLOOKUP($A387,Строчный!$A:$A,Строчный!G:G,"ERR",0))</f>
        <v>BAILEY</v>
      </c>
      <c r="H387" s="81" t="str">
        <f ca="1">LOWER(_xlfn.XLOOKUP($A387,Строчный!$A:$A,Строчный!H:H,"ERR",0))</f>
        <v>nickel</v>
      </c>
      <c r="I387" s="81" t="str">
        <f ca="1">LOWER(_xlfn.XLOOKUP($A387,Строчный!$A:$A,Строчный!I:I,"ERR",0))</f>
        <v>белый</v>
      </c>
      <c r="J387" s="81" t="str">
        <f ca="1">SUBSTITUTE(LOWER(_xlfn.XLOOKUP($A387,Строчный!$A:$A,Строчный!J:J,"ERR",0)),"подклад","Подклад")</f>
        <v>100% шерсть</v>
      </c>
      <c r="K387" s="81" t="str">
        <f ca="1">LOWER(_xlfn.XLOOKUP($A387,Строчный!$A:$A,Строчный!K:K,"ERR",0))</f>
        <v>фетровые</v>
      </c>
      <c r="L387" s="81" t="str">
        <f ca="1">PROPER(_xlfn.XLOOKUP($A387,Строчный!$A:$A,Строчный!L:L,"ERR",0))</f>
        <v>Унисекс</v>
      </c>
      <c r="M387" s="113" t="str">
        <f ca="1">PROPER(_xlfn.XLOOKUP($A387,Строчный!$A:$A,Строчный!M:M,"ERR",0))</f>
        <v>Соединенные Штаты</v>
      </c>
      <c r="N387" s="81" t="str">
        <f ca="1">UPPER(_xlfn.XLOOKUP($A387,Строчный!$A:$A,Строчный!O:O,"ERR",0))</f>
        <v/>
      </c>
      <c r="O387" s="107" t="str">
        <f ca="1">PROPER(_xlfn.XLOOKUP($A387,Строчный!$A:$A,Строчный!P:P,"ERR",0))</f>
        <v/>
      </c>
      <c r="P387" s="90">
        <f ca="1">VALUE(_xlfn.XLOOKUP($A387,Строчный!$A:$A,Строчный!N:N,"ERR",0))</f>
        <v>702.00000000000011</v>
      </c>
      <c r="Q387" s="89" t="str">
        <f ca="1">_xlfn.XLOOKUP($G387,Фабрика!A:A,Фабрика!B:B,"ERR",0)</f>
        <v>Bollman Headwear Europe Ltd; 2 Merchants drive, Caelisle, Cumbria CA3 0JW, United Kingdom</v>
      </c>
      <c r="R387" s="80" t="str">
        <f ca="1">_xlfn.XLOOKUP(RIGHT(Z387,2),Размеры!D:D,Размеры!A:A,"ERR",0)</f>
        <v>59</v>
      </c>
      <c r="S387" s="80">
        <f ca="1">VALUE(_xlfn.XLOOKUP($Z387,Строчный!$R:$R,Строчный!T:T,"ERR",0))</f>
        <v>1</v>
      </c>
      <c r="T387" s="14" t="s">
        <v>265</v>
      </c>
      <c r="U387" s="101" t="str">
        <f t="shared" ca="1" si="38"/>
        <v>Шляпа BAILEY арт. 7002 FEDORA (белый)</v>
      </c>
      <c r="V387" s="100" t="str">
        <f t="shared" ca="1" si="39"/>
        <v>Шляпа BAILEY арт. 7002 FEDORA (белый) {nickel}</v>
      </c>
      <c r="W387" s="18" t="str">
        <f t="shared" ca="1" si="40"/>
        <v>белый</v>
      </c>
      <c r="X387" s="18" t="str">
        <f t="shared" ca="1" si="41"/>
        <v>белый</v>
      </c>
      <c r="Y387" s="117" t="str">
        <f ca="1">_xlfn.LET(_xlpm.FormColors,_xlfn.XLOOKUP(A387,Строчный!A:A,Строчный!Q:Q,"",0),IF(_xlpm.FormColors=0,IFERROR(MID(I387,FIND("-",I387)+1,LEN(I387)),IFERROR(MID(I387,1,FIND("/",I387)-2),I387)),_xlpm.FormColors))</f>
        <v>белый</v>
      </c>
      <c r="Z387" s="73" t="str">
        <f ca="1"/>
        <v>21-068-17-59</v>
      </c>
      <c r="AA387" s="75" t="str">
        <f ca="1">VLOOKUP(C387,Группа!A:B,2,FALSE)</f>
        <v>Шляпа</v>
      </c>
      <c r="AB387" s="97" t="str">
        <f ca="1">IFERROR(VLOOKUP(R387,Размеры!A:C,3,FALSE),"")</f>
        <v>59 L</v>
      </c>
      <c r="AC387" s="97" t="str">
        <f ca="1">VLOOKUP(I387,ЦветПолный!A:B,2,FALSE)</f>
        <v>17</v>
      </c>
      <c r="AD387" s="97" t="str">
        <f ca="1">IFERROR(VLOOKUP(R387,Размеры!A:D,4,FALSE),"")</f>
        <v>59</v>
      </c>
      <c r="AE387" s="97">
        <f ca="1">IF(LEFT(IFERROR(VLOOKUP(LOOKUP(2,1/SEARCH(B387,Товары!A:A),Товары!A:A),Товары!A:B,2,0),""),6)=MID(Z387,1,6),1,0)</f>
        <v>1</v>
      </c>
      <c r="AG387" s="97">
        <f ca="1">SUMIF(Группа!A:A,C387,Группа!C:C)</f>
        <v>1</v>
      </c>
      <c r="AH387" s="97">
        <f ca="1">SUMIF(Группа!B:B,AA387,Группа!C:C)</f>
        <v>1</v>
      </c>
      <c r="AI387" s="97">
        <f ca="1">SUMIF(Формы!A:A,D387,Формы!B:B)</f>
        <v>1</v>
      </c>
      <c r="AJ387" s="97">
        <f ca="1">SUMIF(Материал!A:A,K387,Материал!B:B)</f>
        <v>1</v>
      </c>
      <c r="AK387" s="97">
        <f ca="1">SUMIF(Размеры!A:A,R387,Размеры!E:E)</f>
        <v>1</v>
      </c>
      <c r="AL387" s="97">
        <f ca="1">SUMIF(Сезон!A:A,F387,Сезон!B:B)</f>
        <v>1</v>
      </c>
      <c r="AM387" s="97">
        <f ca="1">SUMIF(Состав!A:A,J387,Состав!B:B)</f>
        <v>1</v>
      </c>
      <c r="AN387" s="97">
        <f ca="1">VLOOKUP(I387,ЦветПолный!A:C,3,0)</f>
        <v>1</v>
      </c>
      <c r="AO387" s="97">
        <f ca="1">SUMIF(Цвет!A:A,Y387,Цвет!B:B)</f>
        <v>1</v>
      </c>
      <c r="AP387" s="97">
        <f ca="1">_xlfn.XLOOKUP(L387,Пол!A:A,Пол!B:B,0,0)</f>
        <v>1</v>
      </c>
      <c r="AQ387" s="97">
        <f ca="1">SUMIF(Марка!A:A,G387,Марка!B:B)</f>
        <v>1</v>
      </c>
      <c r="AR387" s="97">
        <f ca="1">SUMIF(Страна!A:A,M387,Страна!B:B)</f>
        <v>1</v>
      </c>
      <c r="AS387" s="64" t="e">
        <f ca="1">IF(VLOOKUP(V387,Товары!A:B,2,FALSE)=A387,"Есть в 1С","ERR")</f>
        <v>#N/A</v>
      </c>
      <c r="AT387" s="65" t="e">
        <f ca="1">IF(VLOOKUP(A387,Товары!B:B,1,FALSE)=A387,"Есть в 1С","ERR")</f>
        <v>#N/A</v>
      </c>
      <c r="AU387" s="96" t="e">
        <f ca="1">VLOOKUP(V387,Товары!A:B,2,FALSE)</f>
        <v>#N/A</v>
      </c>
      <c r="AV387" s="94" t="e">
        <f ca="1">VLOOKUP(V387,Товары!A:B,1,FALSE)</f>
        <v>#N/A</v>
      </c>
    </row>
    <row r="388" spans="1:48" x14ac:dyDescent="0.25">
      <c r="A388" s="110" t="str">
        <f t="shared" ca="1" si="42"/>
        <v>21-018-36</v>
      </c>
      <c r="B388" s="107" t="str">
        <f ca="1">_xlfn.LET(_xlpm.CAPS,0,_xlpm.Style,_xlfn.XLOOKUP($A388,Строчный!$A:$A,Строчный!B:B,"ERR",0),IF(_xlpm.CAPS=0,_xlpm.Style,LOWER(_xlpm.Style)))</f>
        <v>1365 GRAHAM</v>
      </c>
      <c r="C388" s="81" t="str">
        <f ca="1">PROPER(_xlfn.XLOOKUP($A388,Строчный!$A:$A,Строчный!C:C,"ERR",0))</f>
        <v>Кепки</v>
      </c>
      <c r="D388" s="81" t="str">
        <f ca="1">_xlfn.LET(_xlpm.DATA,(_xlfn.XLOOKUP($A388,Строчный!$A:$A,Строчный!D:D,"ERR",0)),UPPER(MID(_xlpm.DATA,1,1))&amp;LOWER(MID(_xlpm.DATA,2,LEN(_xlpm.DATA)-1)))</f>
        <v>Кепка уточка</v>
      </c>
      <c r="E388" s="81" t="str">
        <f ca="1">PROPER(_xlfn.XLOOKUP($A388,Строчный!$A:$A,Строчный!E:E,"ERR",0))</f>
        <v>The Hollywood</v>
      </c>
      <c r="F388" s="81" t="str">
        <f ca="1">LOWER(_xlfn.XLOOKUP($A388,Строчный!$A:$A,Строчный!F:F,"ERR",0))</f>
        <v>летний</v>
      </c>
      <c r="G388" s="81" t="str">
        <f ca="1">UPPER(_xlfn.XLOOKUP($A388,Строчный!$A:$A,Строчный!G:G,"ERR",0))</f>
        <v>BAILEY</v>
      </c>
      <c r="H388" s="81" t="str">
        <f ca="1">LOWER(_xlfn.XLOOKUP($A388,Строчный!$A:$A,Строчный!H:H,"ERR",0))</f>
        <v>chino</v>
      </c>
      <c r="I388" s="81" t="str">
        <f ca="1">LOWER(_xlfn.XLOOKUP($A388,Строчный!$A:$A,Строчный!I:I,"ERR",0))</f>
        <v>кремовый</v>
      </c>
      <c r="J388" s="81" t="str">
        <f ca="1">SUBSTITUTE(LOWER(_xlfn.XLOOKUP($A388,Строчный!$A:$A,Строчный!J:J,"ERR",0)),"подклад","Подклад")</f>
        <v>65% полиэстер - 35% хлопок / Подклад: 100% полиэстер</v>
      </c>
      <c r="K388" s="81" t="str">
        <f ca="1">LOWER(_xlfn.XLOOKUP($A388,Строчный!$A:$A,Строчный!K:K,"ERR",0))</f>
        <v>хлопковые</v>
      </c>
      <c r="L388" s="81" t="str">
        <f ca="1">PROPER(_xlfn.XLOOKUP($A388,Строчный!$A:$A,Строчный!L:L,"ERR",0))</f>
        <v>Унисекс</v>
      </c>
      <c r="M388" s="113" t="str">
        <f ca="1">PROPER(_xlfn.XLOOKUP($A388,Строчный!$A:$A,Строчный!M:M,"ERR",0))</f>
        <v>Китай</v>
      </c>
      <c r="N388" s="81" t="str">
        <f ca="1">UPPER(_xlfn.XLOOKUP($A388,Строчный!$A:$A,Строчный!O:O,"ERR",0))</f>
        <v/>
      </c>
      <c r="O388" s="107" t="str">
        <f ca="1">PROPER(_xlfn.XLOOKUP($A388,Строчный!$A:$A,Строчный!P:P,"ERR",0))</f>
        <v/>
      </c>
      <c r="P388" s="90">
        <f ca="1">VALUE(_xlfn.XLOOKUP($A388,Строчный!$A:$A,Строчный!N:N,"ERR",0))</f>
        <v>1649.7000000000003</v>
      </c>
      <c r="Q388" s="89" t="str">
        <f ca="1">_xlfn.XLOOKUP($G388,Фабрика!A:A,Фабрика!B:B,"ERR",0)</f>
        <v>Bollman Headwear Europe Ltd; 2 Merchants drive, Caelisle, Cumbria CA3 0JW, United Kingdom</v>
      </c>
      <c r="R388" s="80" t="str">
        <f ca="1">_xlfn.XLOOKUP(RIGHT(Z388,2),Размеры!D:D,Размеры!A:A,"ERR",0)</f>
        <v>63</v>
      </c>
      <c r="S388" s="80">
        <f ca="1">VALUE(_xlfn.XLOOKUP($Z388,Строчный!$R:$R,Строчный!T:T,"ERR",0))</f>
        <v>2</v>
      </c>
      <c r="T388" s="14" t="s">
        <v>265</v>
      </c>
      <c r="U388" s="101" t="str">
        <f t="shared" ca="1" si="38"/>
        <v>Кепка BAILEY арт. 1365 GRAHAM (кремовый)</v>
      </c>
      <c r="V388" s="100" t="str">
        <f t="shared" ca="1" si="39"/>
        <v>Кепка BAILEY арт. 1365 GRAHAM (кремовый) {chino}</v>
      </c>
      <c r="W388" s="18" t="str">
        <f t="shared" ca="1" si="40"/>
        <v>кремовый</v>
      </c>
      <c r="X388" s="18" t="str">
        <f t="shared" ca="1" si="41"/>
        <v>кремовый</v>
      </c>
      <c r="Y388" s="117" t="str">
        <f ca="1">_xlfn.LET(_xlpm.FormColors,_xlfn.XLOOKUP(A388,Строчный!A:A,Строчный!Q:Q,"",0),IF(_xlpm.FormColors=0,IFERROR(MID(I388,FIND("-",I388)+1,LEN(I388)),IFERROR(MID(I388,1,FIND("/",I388)-2),I388)),_xlpm.FormColors))</f>
        <v>кремовый</v>
      </c>
      <c r="Z388" s="73" t="str">
        <f ca="1"/>
        <v>21-018-36-63</v>
      </c>
      <c r="AA388" s="75" t="str">
        <f ca="1">VLOOKUP(C388,Группа!A:B,2,FALSE)</f>
        <v>Кепка</v>
      </c>
      <c r="AB388" s="97" t="str">
        <f ca="1">IFERROR(VLOOKUP(R388,Размеры!A:C,3,FALSE),"")</f>
        <v>63 XXL</v>
      </c>
      <c r="AC388" s="97" t="str">
        <f ca="1">VLOOKUP(I388,ЦветПолный!A:B,2,FALSE)</f>
        <v>36</v>
      </c>
      <c r="AD388" s="97" t="str">
        <f ca="1">IFERROR(VLOOKUP(R388,Размеры!A:D,4,FALSE),"")</f>
        <v>63</v>
      </c>
      <c r="AE388" s="97">
        <f ca="1">IF(LEFT(IFERROR(VLOOKUP(LOOKUP(2,1/SEARCH(B388,Товары!A:A),Товары!A:A),Товары!A:B,2,0),""),6)=MID(Z388,1,6),1,0)</f>
        <v>1</v>
      </c>
      <c r="AG388" s="97">
        <f ca="1">SUMIF(Группа!A:A,C388,Группа!C:C)</f>
        <v>1</v>
      </c>
      <c r="AH388" s="97">
        <f ca="1">SUMIF(Группа!B:B,AA388,Группа!C:C)</f>
        <v>1</v>
      </c>
      <c r="AI388" s="97">
        <f ca="1">SUMIF(Формы!A:A,D388,Формы!B:B)</f>
        <v>1</v>
      </c>
      <c r="AJ388" s="97">
        <f ca="1">SUMIF(Материал!A:A,K388,Материал!B:B)</f>
        <v>1</v>
      </c>
      <c r="AK388" s="97">
        <f ca="1">SUMIF(Размеры!A:A,R388,Размеры!E:E)</f>
        <v>1</v>
      </c>
      <c r="AL388" s="97">
        <f ca="1">SUMIF(Сезон!A:A,F388,Сезон!B:B)</f>
        <v>1</v>
      </c>
      <c r="AM388" s="97">
        <f ca="1">SUMIF(Состав!A:A,J388,Состав!B:B)</f>
        <v>0</v>
      </c>
      <c r="AN388" s="97">
        <f ca="1">VLOOKUP(I388,ЦветПолный!A:C,3,0)</f>
        <v>1</v>
      </c>
      <c r="AO388" s="97">
        <f ca="1">SUMIF(Цвет!A:A,Y388,Цвет!B:B)</f>
        <v>1</v>
      </c>
      <c r="AP388" s="97">
        <f ca="1">_xlfn.XLOOKUP(L388,Пол!A:A,Пол!B:B,0,0)</f>
        <v>1</v>
      </c>
      <c r="AQ388" s="97">
        <f ca="1">SUMIF(Марка!A:A,G388,Марка!B:B)</f>
        <v>1</v>
      </c>
      <c r="AR388" s="97">
        <f ca="1">SUMIF(Страна!A:A,M388,Страна!B:B)</f>
        <v>1</v>
      </c>
      <c r="AS388" s="64" t="str">
        <f ca="1">IF(VLOOKUP(V388,Товары!A:B,2,FALSE)=A388,"Есть в 1С","ERR")</f>
        <v>Есть в 1С</v>
      </c>
      <c r="AT388" s="65" t="str">
        <f ca="1">IF(VLOOKUP(A388,Товары!B:B,1,FALSE)=A388,"Есть в 1С","ERR")</f>
        <v>Есть в 1С</v>
      </c>
      <c r="AU388" s="96" t="str">
        <f ca="1">VLOOKUP(V388,Товары!A:B,2,FALSE)</f>
        <v>21-018-36</v>
      </c>
      <c r="AV388" s="94" t="str">
        <f ca="1">VLOOKUP(V388,Товары!A:B,1,FALSE)</f>
        <v>Кепка BAILEY арт. 1365 GRAHAM (кремовый) {chino}</v>
      </c>
    </row>
    <row r="389" spans="1:48" x14ac:dyDescent="0.25">
      <c r="A389" s="110" t="str">
        <f t="shared" ca="1" si="42"/>
        <v>21-018-36</v>
      </c>
      <c r="B389" s="107" t="str">
        <f ca="1">_xlfn.LET(_xlpm.CAPS,0,_xlpm.Style,_xlfn.XLOOKUP($A389,Строчный!$A:$A,Строчный!B:B,"ERR",0),IF(_xlpm.CAPS=0,_xlpm.Style,LOWER(_xlpm.Style)))</f>
        <v>1365 GRAHAM</v>
      </c>
      <c r="C389" s="81" t="str">
        <f ca="1">PROPER(_xlfn.XLOOKUP($A389,Строчный!$A:$A,Строчный!C:C,"ERR",0))</f>
        <v>Кепки</v>
      </c>
      <c r="D389" s="81" t="str">
        <f ca="1">_xlfn.LET(_xlpm.DATA,(_xlfn.XLOOKUP($A389,Строчный!$A:$A,Строчный!D:D,"ERR",0)),UPPER(MID(_xlpm.DATA,1,1))&amp;LOWER(MID(_xlpm.DATA,2,LEN(_xlpm.DATA)-1)))</f>
        <v>Кепка уточка</v>
      </c>
      <c r="E389" s="81" t="str">
        <f ca="1">PROPER(_xlfn.XLOOKUP($A389,Строчный!$A:$A,Строчный!E:E,"ERR",0))</f>
        <v>The Hollywood</v>
      </c>
      <c r="F389" s="81" t="str">
        <f ca="1">LOWER(_xlfn.XLOOKUP($A389,Строчный!$A:$A,Строчный!F:F,"ERR",0))</f>
        <v>летний</v>
      </c>
      <c r="G389" s="81" t="str">
        <f ca="1">UPPER(_xlfn.XLOOKUP($A389,Строчный!$A:$A,Строчный!G:G,"ERR",0))</f>
        <v>BAILEY</v>
      </c>
      <c r="H389" s="81" t="str">
        <f ca="1">LOWER(_xlfn.XLOOKUP($A389,Строчный!$A:$A,Строчный!H:H,"ERR",0))</f>
        <v>chino</v>
      </c>
      <c r="I389" s="81" t="str">
        <f ca="1">LOWER(_xlfn.XLOOKUP($A389,Строчный!$A:$A,Строчный!I:I,"ERR",0))</f>
        <v>кремовый</v>
      </c>
      <c r="J389" s="81" t="str">
        <f ca="1">SUBSTITUTE(LOWER(_xlfn.XLOOKUP($A389,Строчный!$A:$A,Строчный!J:J,"ERR",0)),"подклад","Подклад")</f>
        <v>65% полиэстер - 35% хлопок / Подклад: 100% полиэстер</v>
      </c>
      <c r="K389" s="81" t="str">
        <f ca="1">LOWER(_xlfn.XLOOKUP($A389,Строчный!$A:$A,Строчный!K:K,"ERR",0))</f>
        <v>хлопковые</v>
      </c>
      <c r="L389" s="81" t="str">
        <f ca="1">PROPER(_xlfn.XLOOKUP($A389,Строчный!$A:$A,Строчный!L:L,"ERR",0))</f>
        <v>Унисекс</v>
      </c>
      <c r="M389" s="113" t="str">
        <f ca="1">PROPER(_xlfn.XLOOKUP($A389,Строчный!$A:$A,Строчный!M:M,"ERR",0))</f>
        <v>Китай</v>
      </c>
      <c r="N389" s="81" t="str">
        <f ca="1">UPPER(_xlfn.XLOOKUP($A389,Строчный!$A:$A,Строчный!O:O,"ERR",0))</f>
        <v/>
      </c>
      <c r="O389" s="107" t="str">
        <f ca="1">PROPER(_xlfn.XLOOKUP($A389,Строчный!$A:$A,Строчный!P:P,"ERR",0))</f>
        <v/>
      </c>
      <c r="P389" s="90">
        <f ca="1">VALUE(_xlfn.XLOOKUP($A389,Строчный!$A:$A,Строчный!N:N,"ERR",0))</f>
        <v>1649.7000000000003</v>
      </c>
      <c r="Q389" s="89" t="str">
        <f ca="1">_xlfn.XLOOKUP($G389,Фабрика!A:A,Фабрика!B:B,"ERR",0)</f>
        <v>Bollman Headwear Europe Ltd; 2 Merchants drive, Caelisle, Cumbria CA3 0JW, United Kingdom</v>
      </c>
      <c r="R389" s="80" t="str">
        <f ca="1">_xlfn.XLOOKUP(RIGHT(Z389,2),Размеры!D:D,Размеры!A:A,"ERR",0)</f>
        <v>61</v>
      </c>
      <c r="S389" s="80">
        <f ca="1">VALUE(_xlfn.XLOOKUP($Z389,Строчный!$R:$R,Строчный!T:T,"ERR",0))</f>
        <v>3</v>
      </c>
      <c r="T389" s="14" t="s">
        <v>265</v>
      </c>
      <c r="U389" s="101" t="str">
        <f t="shared" ca="1" si="38"/>
        <v>Кепка BAILEY арт. 1365 GRAHAM (кремовый)</v>
      </c>
      <c r="V389" s="100" t="str">
        <f t="shared" ca="1" si="39"/>
        <v>Кепка BAILEY арт. 1365 GRAHAM (кремовый) {chino}</v>
      </c>
      <c r="W389" s="18" t="str">
        <f t="shared" ca="1" si="40"/>
        <v>кремовый</v>
      </c>
      <c r="X389" s="18" t="str">
        <f t="shared" ca="1" si="41"/>
        <v>кремовый</v>
      </c>
      <c r="Y389" s="117" t="str">
        <f ca="1">_xlfn.LET(_xlpm.FormColors,_xlfn.XLOOKUP(A389,Строчный!A:A,Строчный!Q:Q,"",0),IF(_xlpm.FormColors=0,IFERROR(MID(I389,FIND("-",I389)+1,LEN(I389)),IFERROR(MID(I389,1,FIND("/",I389)-2),I389)),_xlpm.FormColors))</f>
        <v>кремовый</v>
      </c>
      <c r="Z389" s="73" t="str">
        <f ca="1"/>
        <v>21-018-36-61</v>
      </c>
      <c r="AA389" s="75" t="str">
        <f ca="1">VLOOKUP(C389,Группа!A:B,2,FALSE)</f>
        <v>Кепка</v>
      </c>
      <c r="AB389" s="97" t="str">
        <f ca="1">IFERROR(VLOOKUP(R389,Размеры!A:C,3,FALSE),"")</f>
        <v>61 XL</v>
      </c>
      <c r="AC389" s="97" t="str">
        <f ca="1">VLOOKUP(I389,ЦветПолный!A:B,2,FALSE)</f>
        <v>36</v>
      </c>
      <c r="AD389" s="97" t="str">
        <f ca="1">IFERROR(VLOOKUP(R389,Размеры!A:D,4,FALSE),"")</f>
        <v>61</v>
      </c>
      <c r="AE389" s="97">
        <f ca="1">IF(LEFT(IFERROR(VLOOKUP(LOOKUP(2,1/SEARCH(B389,Товары!A:A),Товары!A:A),Товары!A:B,2,0),""),6)=MID(Z389,1,6),1,0)</f>
        <v>1</v>
      </c>
      <c r="AG389" s="97">
        <f ca="1">SUMIF(Группа!A:A,C389,Группа!C:C)</f>
        <v>1</v>
      </c>
      <c r="AH389" s="97">
        <f ca="1">SUMIF(Группа!B:B,AA389,Группа!C:C)</f>
        <v>1</v>
      </c>
      <c r="AI389" s="97">
        <f ca="1">SUMIF(Формы!A:A,D389,Формы!B:B)</f>
        <v>1</v>
      </c>
      <c r="AJ389" s="97">
        <f ca="1">SUMIF(Материал!A:A,K389,Материал!B:B)</f>
        <v>1</v>
      </c>
      <c r="AK389" s="97">
        <f ca="1">SUMIF(Размеры!A:A,R389,Размеры!E:E)</f>
        <v>1</v>
      </c>
      <c r="AL389" s="97">
        <f ca="1">SUMIF(Сезон!A:A,F389,Сезон!B:B)</f>
        <v>1</v>
      </c>
      <c r="AM389" s="97">
        <f ca="1">SUMIF(Состав!A:A,J389,Состав!B:B)</f>
        <v>0</v>
      </c>
      <c r="AN389" s="97">
        <f ca="1">VLOOKUP(I389,ЦветПолный!A:C,3,0)</f>
        <v>1</v>
      </c>
      <c r="AO389" s="97">
        <f ca="1">SUMIF(Цвет!A:A,Y389,Цвет!B:B)</f>
        <v>1</v>
      </c>
      <c r="AP389" s="97">
        <f ca="1">_xlfn.XLOOKUP(L389,Пол!A:A,Пол!B:B,0,0)</f>
        <v>1</v>
      </c>
      <c r="AQ389" s="97">
        <f ca="1">SUMIF(Марка!A:A,G389,Марка!B:B)</f>
        <v>1</v>
      </c>
      <c r="AR389" s="97">
        <f ca="1">SUMIF(Страна!A:A,M389,Страна!B:B)</f>
        <v>1</v>
      </c>
      <c r="AS389" s="64" t="str">
        <f ca="1">IF(VLOOKUP(V389,Товары!A:B,2,FALSE)=A389,"Есть в 1С","ERR")</f>
        <v>Есть в 1С</v>
      </c>
      <c r="AT389" s="65" t="str">
        <f ca="1">IF(VLOOKUP(A389,Товары!B:B,1,FALSE)=A389,"Есть в 1С","ERR")</f>
        <v>Есть в 1С</v>
      </c>
      <c r="AU389" s="96" t="str">
        <f ca="1">VLOOKUP(V389,Товары!A:B,2,FALSE)</f>
        <v>21-018-36</v>
      </c>
      <c r="AV389" s="94" t="str">
        <f ca="1">VLOOKUP(V389,Товары!A:B,1,FALSE)</f>
        <v>Кепка BAILEY арт. 1365 GRAHAM (кремовый) {chino}</v>
      </c>
    </row>
    <row r="390" spans="1:48" x14ac:dyDescent="0.25">
      <c r="A390" s="110" t="str">
        <f t="shared" ca="1" si="42"/>
        <v>21-018-36</v>
      </c>
      <c r="B390" s="107" t="str">
        <f ca="1">_xlfn.LET(_xlpm.CAPS,0,_xlpm.Style,_xlfn.XLOOKUP($A390,Строчный!$A:$A,Строчный!B:B,"ERR",0),IF(_xlpm.CAPS=0,_xlpm.Style,LOWER(_xlpm.Style)))</f>
        <v>1365 GRAHAM</v>
      </c>
      <c r="C390" s="81" t="str">
        <f ca="1">PROPER(_xlfn.XLOOKUP($A390,Строчный!$A:$A,Строчный!C:C,"ERR",0))</f>
        <v>Кепки</v>
      </c>
      <c r="D390" s="81" t="str">
        <f ca="1">_xlfn.LET(_xlpm.DATA,(_xlfn.XLOOKUP($A390,Строчный!$A:$A,Строчный!D:D,"ERR",0)),UPPER(MID(_xlpm.DATA,1,1))&amp;LOWER(MID(_xlpm.DATA,2,LEN(_xlpm.DATA)-1)))</f>
        <v>Кепка уточка</v>
      </c>
      <c r="E390" s="81" t="str">
        <f ca="1">PROPER(_xlfn.XLOOKUP($A390,Строчный!$A:$A,Строчный!E:E,"ERR",0))</f>
        <v>The Hollywood</v>
      </c>
      <c r="F390" s="81" t="str">
        <f ca="1">LOWER(_xlfn.XLOOKUP($A390,Строчный!$A:$A,Строчный!F:F,"ERR",0))</f>
        <v>летний</v>
      </c>
      <c r="G390" s="81" t="str">
        <f ca="1">UPPER(_xlfn.XLOOKUP($A390,Строчный!$A:$A,Строчный!G:G,"ERR",0))</f>
        <v>BAILEY</v>
      </c>
      <c r="H390" s="81" t="str">
        <f ca="1">LOWER(_xlfn.XLOOKUP($A390,Строчный!$A:$A,Строчный!H:H,"ERR",0))</f>
        <v>chino</v>
      </c>
      <c r="I390" s="81" t="str">
        <f ca="1">LOWER(_xlfn.XLOOKUP($A390,Строчный!$A:$A,Строчный!I:I,"ERR",0))</f>
        <v>кремовый</v>
      </c>
      <c r="J390" s="81" t="str">
        <f ca="1">SUBSTITUTE(LOWER(_xlfn.XLOOKUP($A390,Строчный!$A:$A,Строчный!J:J,"ERR",0)),"подклад","Подклад")</f>
        <v>65% полиэстер - 35% хлопок / Подклад: 100% полиэстер</v>
      </c>
      <c r="K390" s="81" t="str">
        <f ca="1">LOWER(_xlfn.XLOOKUP($A390,Строчный!$A:$A,Строчный!K:K,"ERR",0))</f>
        <v>хлопковые</v>
      </c>
      <c r="L390" s="81" t="str">
        <f ca="1">PROPER(_xlfn.XLOOKUP($A390,Строчный!$A:$A,Строчный!L:L,"ERR",0))</f>
        <v>Унисекс</v>
      </c>
      <c r="M390" s="113" t="str">
        <f ca="1">PROPER(_xlfn.XLOOKUP($A390,Строчный!$A:$A,Строчный!M:M,"ERR",0))</f>
        <v>Китай</v>
      </c>
      <c r="N390" s="81" t="str">
        <f ca="1">UPPER(_xlfn.XLOOKUP($A390,Строчный!$A:$A,Строчный!O:O,"ERR",0))</f>
        <v/>
      </c>
      <c r="O390" s="107" t="str">
        <f ca="1">PROPER(_xlfn.XLOOKUP($A390,Строчный!$A:$A,Строчный!P:P,"ERR",0))</f>
        <v/>
      </c>
      <c r="P390" s="90">
        <f ca="1">VALUE(_xlfn.XLOOKUP($A390,Строчный!$A:$A,Строчный!N:N,"ERR",0))</f>
        <v>1649.7000000000003</v>
      </c>
      <c r="Q390" s="89" t="str">
        <f ca="1">_xlfn.XLOOKUP($G390,Фабрика!A:A,Фабрика!B:B,"ERR",0)</f>
        <v>Bollman Headwear Europe Ltd; 2 Merchants drive, Caelisle, Cumbria CA3 0JW, United Kingdom</v>
      </c>
      <c r="R390" s="80" t="str">
        <f ca="1">_xlfn.XLOOKUP(RIGHT(Z390,2),Размеры!D:D,Размеры!A:A,"ERR",0)</f>
        <v>59</v>
      </c>
      <c r="S390" s="80">
        <f ca="1">VALUE(_xlfn.XLOOKUP($Z390,Строчный!$R:$R,Строчный!T:T,"ERR",0))</f>
        <v>6</v>
      </c>
      <c r="T390" s="14" t="s">
        <v>265</v>
      </c>
      <c r="U390" s="101" t="str">
        <f t="shared" ca="1" si="38"/>
        <v>Кепка BAILEY арт. 1365 GRAHAM (кремовый)</v>
      </c>
      <c r="V390" s="100" t="str">
        <f t="shared" ca="1" si="39"/>
        <v>Кепка BAILEY арт. 1365 GRAHAM (кремовый) {chino}</v>
      </c>
      <c r="W390" s="18" t="str">
        <f t="shared" ca="1" si="40"/>
        <v>кремовый</v>
      </c>
      <c r="X390" s="18" t="str">
        <f t="shared" ca="1" si="41"/>
        <v>кремовый</v>
      </c>
      <c r="Y390" s="117" t="str">
        <f ca="1">_xlfn.LET(_xlpm.FormColors,_xlfn.XLOOKUP(A390,Строчный!A:A,Строчный!Q:Q,"",0),IF(_xlpm.FormColors=0,IFERROR(MID(I390,FIND("-",I390)+1,LEN(I390)),IFERROR(MID(I390,1,FIND("/",I390)-2),I390)),_xlpm.FormColors))</f>
        <v>кремовый</v>
      </c>
      <c r="Z390" s="73" t="str">
        <f ca="1"/>
        <v>21-018-36-59</v>
      </c>
      <c r="AA390" s="75" t="str">
        <f ca="1">VLOOKUP(C390,Группа!A:B,2,FALSE)</f>
        <v>Кепка</v>
      </c>
      <c r="AB390" s="97" t="str">
        <f ca="1">IFERROR(VLOOKUP(R390,Размеры!A:C,3,FALSE),"")</f>
        <v>59 L</v>
      </c>
      <c r="AC390" s="97" t="str">
        <f ca="1">VLOOKUP(I390,ЦветПолный!A:B,2,FALSE)</f>
        <v>36</v>
      </c>
      <c r="AD390" s="97" t="str">
        <f ca="1">IFERROR(VLOOKUP(R390,Размеры!A:D,4,FALSE),"")</f>
        <v>59</v>
      </c>
      <c r="AE390" s="97">
        <f ca="1">IF(LEFT(IFERROR(VLOOKUP(LOOKUP(2,1/SEARCH(B390,Товары!A:A),Товары!A:A),Товары!A:B,2,0),""),6)=MID(Z390,1,6),1,0)</f>
        <v>1</v>
      </c>
      <c r="AG390" s="97">
        <f ca="1">SUMIF(Группа!A:A,C390,Группа!C:C)</f>
        <v>1</v>
      </c>
      <c r="AH390" s="97">
        <f ca="1">SUMIF(Группа!B:B,AA390,Группа!C:C)</f>
        <v>1</v>
      </c>
      <c r="AI390" s="97">
        <f ca="1">SUMIF(Формы!A:A,D390,Формы!B:B)</f>
        <v>1</v>
      </c>
      <c r="AJ390" s="97">
        <f ca="1">SUMIF(Материал!A:A,K390,Материал!B:B)</f>
        <v>1</v>
      </c>
      <c r="AK390" s="97">
        <f ca="1">SUMIF(Размеры!A:A,R390,Размеры!E:E)</f>
        <v>1</v>
      </c>
      <c r="AL390" s="97">
        <f ca="1">SUMIF(Сезон!A:A,F390,Сезон!B:B)</f>
        <v>1</v>
      </c>
      <c r="AM390" s="97">
        <f ca="1">SUMIF(Состав!A:A,J390,Состав!B:B)</f>
        <v>0</v>
      </c>
      <c r="AN390" s="97">
        <f ca="1">VLOOKUP(I390,ЦветПолный!A:C,3,0)</f>
        <v>1</v>
      </c>
      <c r="AO390" s="97">
        <f ca="1">SUMIF(Цвет!A:A,Y390,Цвет!B:B)</f>
        <v>1</v>
      </c>
      <c r="AP390" s="97">
        <f ca="1">_xlfn.XLOOKUP(L390,Пол!A:A,Пол!B:B,0,0)</f>
        <v>1</v>
      </c>
      <c r="AQ390" s="97">
        <f ca="1">SUMIF(Марка!A:A,G390,Марка!B:B)</f>
        <v>1</v>
      </c>
      <c r="AR390" s="97">
        <f ca="1">SUMIF(Страна!A:A,M390,Страна!B:B)</f>
        <v>1</v>
      </c>
      <c r="AS390" s="64" t="str">
        <f ca="1">IF(VLOOKUP(V390,Товары!A:B,2,FALSE)=A390,"Есть в 1С","ERR")</f>
        <v>Есть в 1С</v>
      </c>
      <c r="AT390" s="65" t="str">
        <f ca="1">IF(VLOOKUP(A390,Товары!B:B,1,FALSE)=A390,"Есть в 1С","ERR")</f>
        <v>Есть в 1С</v>
      </c>
      <c r="AU390" s="96" t="str">
        <f ca="1">VLOOKUP(V390,Товары!A:B,2,FALSE)</f>
        <v>21-018-36</v>
      </c>
      <c r="AV390" s="94" t="str">
        <f ca="1">VLOOKUP(V390,Товары!A:B,1,FALSE)</f>
        <v>Кепка BAILEY арт. 1365 GRAHAM (кремовый) {chino}</v>
      </c>
    </row>
    <row r="391" spans="1:48" x14ac:dyDescent="0.25">
      <c r="A391" s="110" t="str">
        <f t="shared" ca="1" si="42"/>
        <v>21-018-36</v>
      </c>
      <c r="B391" s="107" t="str">
        <f ca="1">_xlfn.LET(_xlpm.CAPS,0,_xlpm.Style,_xlfn.XLOOKUP($A391,Строчный!$A:$A,Строчный!B:B,"ERR",0),IF(_xlpm.CAPS=0,_xlpm.Style,LOWER(_xlpm.Style)))</f>
        <v>1365 GRAHAM</v>
      </c>
      <c r="C391" s="81" t="str">
        <f ca="1">PROPER(_xlfn.XLOOKUP($A391,Строчный!$A:$A,Строчный!C:C,"ERR",0))</f>
        <v>Кепки</v>
      </c>
      <c r="D391" s="81" t="str">
        <f ca="1">_xlfn.LET(_xlpm.DATA,(_xlfn.XLOOKUP($A391,Строчный!$A:$A,Строчный!D:D,"ERR",0)),UPPER(MID(_xlpm.DATA,1,1))&amp;LOWER(MID(_xlpm.DATA,2,LEN(_xlpm.DATA)-1)))</f>
        <v>Кепка уточка</v>
      </c>
      <c r="E391" s="81" t="str">
        <f ca="1">PROPER(_xlfn.XLOOKUP($A391,Строчный!$A:$A,Строчный!E:E,"ERR",0))</f>
        <v>The Hollywood</v>
      </c>
      <c r="F391" s="81" t="str">
        <f ca="1">LOWER(_xlfn.XLOOKUP($A391,Строчный!$A:$A,Строчный!F:F,"ERR",0))</f>
        <v>летний</v>
      </c>
      <c r="G391" s="81" t="str">
        <f ca="1">UPPER(_xlfn.XLOOKUP($A391,Строчный!$A:$A,Строчный!G:G,"ERR",0))</f>
        <v>BAILEY</v>
      </c>
      <c r="H391" s="81" t="str">
        <f ca="1">LOWER(_xlfn.XLOOKUP($A391,Строчный!$A:$A,Строчный!H:H,"ERR",0))</f>
        <v>chino</v>
      </c>
      <c r="I391" s="81" t="str">
        <f ca="1">LOWER(_xlfn.XLOOKUP($A391,Строчный!$A:$A,Строчный!I:I,"ERR",0))</f>
        <v>кремовый</v>
      </c>
      <c r="J391" s="81" t="str">
        <f ca="1">SUBSTITUTE(LOWER(_xlfn.XLOOKUP($A391,Строчный!$A:$A,Строчный!J:J,"ERR",0)),"подклад","Подклад")</f>
        <v>65% полиэстер - 35% хлопок / Подклад: 100% полиэстер</v>
      </c>
      <c r="K391" s="81" t="str">
        <f ca="1">LOWER(_xlfn.XLOOKUP($A391,Строчный!$A:$A,Строчный!K:K,"ERR",0))</f>
        <v>хлопковые</v>
      </c>
      <c r="L391" s="81" t="str">
        <f ca="1">PROPER(_xlfn.XLOOKUP($A391,Строчный!$A:$A,Строчный!L:L,"ERR",0))</f>
        <v>Унисекс</v>
      </c>
      <c r="M391" s="113" t="str">
        <f ca="1">PROPER(_xlfn.XLOOKUP($A391,Строчный!$A:$A,Строчный!M:M,"ERR",0))</f>
        <v>Китай</v>
      </c>
      <c r="N391" s="81" t="str">
        <f ca="1">UPPER(_xlfn.XLOOKUP($A391,Строчный!$A:$A,Строчный!O:O,"ERR",0))</f>
        <v/>
      </c>
      <c r="O391" s="107" t="str">
        <f ca="1">PROPER(_xlfn.XLOOKUP($A391,Строчный!$A:$A,Строчный!P:P,"ERR",0))</f>
        <v/>
      </c>
      <c r="P391" s="90">
        <f ca="1">VALUE(_xlfn.XLOOKUP($A391,Строчный!$A:$A,Строчный!N:N,"ERR",0))</f>
        <v>1649.7000000000003</v>
      </c>
      <c r="Q391" s="89" t="str">
        <f ca="1">_xlfn.XLOOKUP($G391,Фабрика!A:A,Фабрика!B:B,"ERR",0)</f>
        <v>Bollman Headwear Europe Ltd; 2 Merchants drive, Caelisle, Cumbria CA3 0JW, United Kingdom</v>
      </c>
      <c r="R391" s="80" t="str">
        <f ca="1">_xlfn.XLOOKUP(RIGHT(Z391,2),Размеры!D:D,Размеры!A:A,"ERR",0)</f>
        <v>57</v>
      </c>
      <c r="S391" s="80">
        <f ca="1">VALUE(_xlfn.XLOOKUP($Z391,Строчный!$R:$R,Строчный!T:T,"ERR",0))</f>
        <v>4</v>
      </c>
      <c r="T391" s="14" t="s">
        <v>265</v>
      </c>
      <c r="U391" s="101" t="str">
        <f t="shared" ca="1" si="38"/>
        <v>Кепка BAILEY арт. 1365 GRAHAM (кремовый)</v>
      </c>
      <c r="V391" s="100" t="str">
        <f t="shared" ca="1" si="39"/>
        <v>Кепка BAILEY арт. 1365 GRAHAM (кремовый) {chino}</v>
      </c>
      <c r="W391" s="18" t="str">
        <f t="shared" ca="1" si="40"/>
        <v>кремовый</v>
      </c>
      <c r="X391" s="18" t="str">
        <f t="shared" ca="1" si="41"/>
        <v>кремовый</v>
      </c>
      <c r="Y391" s="117" t="str">
        <f ca="1">_xlfn.LET(_xlpm.FormColors,_xlfn.XLOOKUP(A391,Строчный!A:A,Строчный!Q:Q,"",0),IF(_xlpm.FormColors=0,IFERROR(MID(I391,FIND("-",I391)+1,LEN(I391)),IFERROR(MID(I391,1,FIND("/",I391)-2),I391)),_xlpm.FormColors))</f>
        <v>кремовый</v>
      </c>
      <c r="Z391" s="73" t="str">
        <f ca="1"/>
        <v>21-018-36-57</v>
      </c>
      <c r="AA391" s="75" t="str">
        <f ca="1">VLOOKUP(C391,Группа!A:B,2,FALSE)</f>
        <v>Кепка</v>
      </c>
      <c r="AB391" s="97" t="str">
        <f ca="1">IFERROR(VLOOKUP(R391,Размеры!A:C,3,FALSE),"")</f>
        <v>57 M</v>
      </c>
      <c r="AC391" s="97" t="str">
        <f ca="1">VLOOKUP(I391,ЦветПолный!A:B,2,FALSE)</f>
        <v>36</v>
      </c>
      <c r="AD391" s="97" t="str">
        <f ca="1">IFERROR(VLOOKUP(R391,Размеры!A:D,4,FALSE),"")</f>
        <v>57</v>
      </c>
      <c r="AE391" s="97">
        <f ca="1">IF(LEFT(IFERROR(VLOOKUP(LOOKUP(2,1/SEARCH(B391,Товары!A:A),Товары!A:A),Товары!A:B,2,0),""),6)=MID(Z391,1,6),1,0)</f>
        <v>1</v>
      </c>
      <c r="AG391" s="97">
        <f ca="1">SUMIF(Группа!A:A,C391,Группа!C:C)</f>
        <v>1</v>
      </c>
      <c r="AH391" s="97">
        <f ca="1">SUMIF(Группа!B:B,AA391,Группа!C:C)</f>
        <v>1</v>
      </c>
      <c r="AI391" s="97">
        <f ca="1">SUMIF(Формы!A:A,D391,Формы!B:B)</f>
        <v>1</v>
      </c>
      <c r="AJ391" s="97">
        <f ca="1">SUMIF(Материал!A:A,K391,Материал!B:B)</f>
        <v>1</v>
      </c>
      <c r="AK391" s="97">
        <f ca="1">SUMIF(Размеры!A:A,R391,Размеры!E:E)</f>
        <v>1</v>
      </c>
      <c r="AL391" s="97">
        <f ca="1">SUMIF(Сезон!A:A,F391,Сезон!B:B)</f>
        <v>1</v>
      </c>
      <c r="AM391" s="97">
        <f ca="1">SUMIF(Состав!A:A,J391,Состав!B:B)</f>
        <v>0</v>
      </c>
      <c r="AN391" s="97">
        <f ca="1">VLOOKUP(I391,ЦветПолный!A:C,3,0)</f>
        <v>1</v>
      </c>
      <c r="AO391" s="97">
        <f ca="1">SUMIF(Цвет!A:A,Y391,Цвет!B:B)</f>
        <v>1</v>
      </c>
      <c r="AP391" s="97">
        <f ca="1">_xlfn.XLOOKUP(L391,Пол!A:A,Пол!B:B,0,0)</f>
        <v>1</v>
      </c>
      <c r="AQ391" s="97">
        <f ca="1">SUMIF(Марка!A:A,G391,Марка!B:B)</f>
        <v>1</v>
      </c>
      <c r="AR391" s="97">
        <f ca="1">SUMIF(Страна!A:A,M391,Страна!B:B)</f>
        <v>1</v>
      </c>
      <c r="AS391" s="64" t="str">
        <f ca="1">IF(VLOOKUP(V391,Товары!A:B,2,FALSE)=A391,"Есть в 1С","ERR")</f>
        <v>Есть в 1С</v>
      </c>
      <c r="AT391" s="65" t="str">
        <f ca="1">IF(VLOOKUP(A391,Товары!B:B,1,FALSE)=A391,"Есть в 1С","ERR")</f>
        <v>Есть в 1С</v>
      </c>
      <c r="AU391" s="96" t="str">
        <f ca="1">VLOOKUP(V391,Товары!A:B,2,FALSE)</f>
        <v>21-018-36</v>
      </c>
      <c r="AV391" s="94" t="str">
        <f ca="1">VLOOKUP(V391,Товары!A:B,1,FALSE)</f>
        <v>Кепка BAILEY арт. 1365 GRAHAM (кремовый) {chino}</v>
      </c>
    </row>
    <row r="392" spans="1:48" x14ac:dyDescent="0.25">
      <c r="A392" s="110" t="str">
        <f t="shared" ca="1" si="42"/>
        <v>21-018-36</v>
      </c>
      <c r="B392" s="107" t="str">
        <f ca="1">_xlfn.LET(_xlpm.CAPS,0,_xlpm.Style,_xlfn.XLOOKUP($A392,Строчный!$A:$A,Строчный!B:B,"ERR",0),IF(_xlpm.CAPS=0,_xlpm.Style,LOWER(_xlpm.Style)))</f>
        <v>1365 GRAHAM</v>
      </c>
      <c r="C392" s="81" t="str">
        <f ca="1">PROPER(_xlfn.XLOOKUP($A392,Строчный!$A:$A,Строчный!C:C,"ERR",0))</f>
        <v>Кепки</v>
      </c>
      <c r="D392" s="81" t="str">
        <f ca="1">_xlfn.LET(_xlpm.DATA,(_xlfn.XLOOKUP($A392,Строчный!$A:$A,Строчный!D:D,"ERR",0)),UPPER(MID(_xlpm.DATA,1,1))&amp;LOWER(MID(_xlpm.DATA,2,LEN(_xlpm.DATA)-1)))</f>
        <v>Кепка уточка</v>
      </c>
      <c r="E392" s="81" t="str">
        <f ca="1">PROPER(_xlfn.XLOOKUP($A392,Строчный!$A:$A,Строчный!E:E,"ERR",0))</f>
        <v>The Hollywood</v>
      </c>
      <c r="F392" s="81" t="str">
        <f ca="1">LOWER(_xlfn.XLOOKUP($A392,Строчный!$A:$A,Строчный!F:F,"ERR",0))</f>
        <v>летний</v>
      </c>
      <c r="G392" s="81" t="str">
        <f ca="1">UPPER(_xlfn.XLOOKUP($A392,Строчный!$A:$A,Строчный!G:G,"ERR",0))</f>
        <v>BAILEY</v>
      </c>
      <c r="H392" s="81" t="str">
        <f ca="1">LOWER(_xlfn.XLOOKUP($A392,Строчный!$A:$A,Строчный!H:H,"ERR",0))</f>
        <v>chino</v>
      </c>
      <c r="I392" s="81" t="str">
        <f ca="1">LOWER(_xlfn.XLOOKUP($A392,Строчный!$A:$A,Строчный!I:I,"ERR",0))</f>
        <v>кремовый</v>
      </c>
      <c r="J392" s="81" t="str">
        <f ca="1">SUBSTITUTE(LOWER(_xlfn.XLOOKUP($A392,Строчный!$A:$A,Строчный!J:J,"ERR",0)),"подклад","Подклад")</f>
        <v>65% полиэстер - 35% хлопок / Подклад: 100% полиэстер</v>
      </c>
      <c r="K392" s="81" t="str">
        <f ca="1">LOWER(_xlfn.XLOOKUP($A392,Строчный!$A:$A,Строчный!K:K,"ERR",0))</f>
        <v>хлопковые</v>
      </c>
      <c r="L392" s="81" t="str">
        <f ca="1">PROPER(_xlfn.XLOOKUP($A392,Строчный!$A:$A,Строчный!L:L,"ERR",0))</f>
        <v>Унисекс</v>
      </c>
      <c r="M392" s="113" t="str">
        <f ca="1">PROPER(_xlfn.XLOOKUP($A392,Строчный!$A:$A,Строчный!M:M,"ERR",0))</f>
        <v>Китай</v>
      </c>
      <c r="N392" s="81" t="str">
        <f ca="1">UPPER(_xlfn.XLOOKUP($A392,Строчный!$A:$A,Строчный!O:O,"ERR",0))</f>
        <v/>
      </c>
      <c r="O392" s="107" t="str">
        <f ca="1">PROPER(_xlfn.XLOOKUP($A392,Строчный!$A:$A,Строчный!P:P,"ERR",0))</f>
        <v/>
      </c>
      <c r="P392" s="90">
        <f ca="1">VALUE(_xlfn.XLOOKUP($A392,Строчный!$A:$A,Строчный!N:N,"ERR",0))</f>
        <v>1649.7000000000003</v>
      </c>
      <c r="Q392" s="89" t="str">
        <f ca="1">_xlfn.XLOOKUP($G392,Фабрика!A:A,Фабрика!B:B,"ERR",0)</f>
        <v>Bollman Headwear Europe Ltd; 2 Merchants drive, Caelisle, Cumbria CA3 0JW, United Kingdom</v>
      </c>
      <c r="R392" s="80" t="str">
        <f ca="1">_xlfn.XLOOKUP(RIGHT(Z392,2),Размеры!D:D,Размеры!A:A,"ERR",0)</f>
        <v>55</v>
      </c>
      <c r="S392" s="80">
        <f ca="1">VALUE(_xlfn.XLOOKUP($Z392,Строчный!$R:$R,Строчный!T:T,"ERR",0))</f>
        <v>1</v>
      </c>
      <c r="T392" s="14" t="s">
        <v>265</v>
      </c>
      <c r="U392" s="101" t="str">
        <f t="shared" ca="1" si="38"/>
        <v>Кепка BAILEY арт. 1365 GRAHAM (кремовый)</v>
      </c>
      <c r="V392" s="100" t="str">
        <f t="shared" ca="1" si="39"/>
        <v>Кепка BAILEY арт. 1365 GRAHAM (кремовый) {chino}</v>
      </c>
      <c r="W392" s="18" t="str">
        <f t="shared" ca="1" si="40"/>
        <v>кремовый</v>
      </c>
      <c r="X392" s="18" t="str">
        <f t="shared" ca="1" si="41"/>
        <v>кремовый</v>
      </c>
      <c r="Y392" s="117" t="str">
        <f ca="1">_xlfn.LET(_xlpm.FormColors,_xlfn.XLOOKUP(A392,Строчный!A:A,Строчный!Q:Q,"",0),IF(_xlpm.FormColors=0,IFERROR(MID(I392,FIND("-",I392)+1,LEN(I392)),IFERROR(MID(I392,1,FIND("/",I392)-2),I392)),_xlpm.FormColors))</f>
        <v>кремовый</v>
      </c>
      <c r="Z392" s="73" t="str">
        <f ca="1"/>
        <v>21-018-36-55</v>
      </c>
      <c r="AA392" s="75" t="str">
        <f ca="1">VLOOKUP(C392,Группа!A:B,2,FALSE)</f>
        <v>Кепка</v>
      </c>
      <c r="AB392" s="97" t="str">
        <f ca="1">IFERROR(VLOOKUP(R392,Размеры!A:C,3,FALSE),"")</f>
        <v>55 S</v>
      </c>
      <c r="AC392" s="97" t="str">
        <f ca="1">VLOOKUP(I392,ЦветПолный!A:B,2,FALSE)</f>
        <v>36</v>
      </c>
      <c r="AD392" s="97" t="str">
        <f ca="1">IFERROR(VLOOKUP(R392,Размеры!A:D,4,FALSE),"")</f>
        <v>55</v>
      </c>
      <c r="AE392" s="97">
        <f ca="1">IF(LEFT(IFERROR(VLOOKUP(LOOKUP(2,1/SEARCH(B392,Товары!A:A),Товары!A:A),Товары!A:B,2,0),""),6)=MID(Z392,1,6),1,0)</f>
        <v>1</v>
      </c>
      <c r="AG392" s="97">
        <f ca="1">SUMIF(Группа!A:A,C392,Группа!C:C)</f>
        <v>1</v>
      </c>
      <c r="AH392" s="97">
        <f ca="1">SUMIF(Группа!B:B,AA392,Группа!C:C)</f>
        <v>1</v>
      </c>
      <c r="AI392" s="97">
        <f ca="1">SUMIF(Формы!A:A,D392,Формы!B:B)</f>
        <v>1</v>
      </c>
      <c r="AJ392" s="97">
        <f ca="1">SUMIF(Материал!A:A,K392,Материал!B:B)</f>
        <v>1</v>
      </c>
      <c r="AK392" s="97">
        <f ca="1">SUMIF(Размеры!A:A,R392,Размеры!E:E)</f>
        <v>1</v>
      </c>
      <c r="AL392" s="97">
        <f ca="1">SUMIF(Сезон!A:A,F392,Сезон!B:B)</f>
        <v>1</v>
      </c>
      <c r="AM392" s="97">
        <f ca="1">SUMIF(Состав!A:A,J392,Состав!B:B)</f>
        <v>0</v>
      </c>
      <c r="AN392" s="97">
        <f ca="1">VLOOKUP(I392,ЦветПолный!A:C,3,0)</f>
        <v>1</v>
      </c>
      <c r="AO392" s="97">
        <f ca="1">SUMIF(Цвет!A:A,Y392,Цвет!B:B)</f>
        <v>1</v>
      </c>
      <c r="AP392" s="97">
        <f ca="1">_xlfn.XLOOKUP(L392,Пол!A:A,Пол!B:B,0,0)</f>
        <v>1</v>
      </c>
      <c r="AQ392" s="97">
        <f ca="1">SUMIF(Марка!A:A,G392,Марка!B:B)</f>
        <v>1</v>
      </c>
      <c r="AR392" s="97">
        <f ca="1">SUMIF(Страна!A:A,M392,Страна!B:B)</f>
        <v>1</v>
      </c>
      <c r="AS392" s="64" t="str">
        <f ca="1">IF(VLOOKUP(V392,Товары!A:B,2,FALSE)=A392,"Есть в 1С","ERR")</f>
        <v>Есть в 1С</v>
      </c>
      <c r="AT392" s="65" t="str">
        <f ca="1">IF(VLOOKUP(A392,Товары!B:B,1,FALSE)=A392,"Есть в 1С","ERR")</f>
        <v>Есть в 1С</v>
      </c>
      <c r="AU392" s="96" t="str">
        <f ca="1">VLOOKUP(V392,Товары!A:B,2,FALSE)</f>
        <v>21-018-36</v>
      </c>
      <c r="AV392" s="94" t="str">
        <f ca="1">VLOOKUP(V392,Товары!A:B,1,FALSE)</f>
        <v>Кепка BAILEY арт. 1365 GRAHAM (кремовый) {chino}</v>
      </c>
    </row>
    <row r="393" spans="1:48" x14ac:dyDescent="0.25">
      <c r="A393" s="110" t="str">
        <f t="shared" ca="1" si="42"/>
        <v>21-018-09</v>
      </c>
      <c r="B393" s="107" t="str">
        <f ca="1">_xlfn.LET(_xlpm.CAPS,0,_xlpm.Style,_xlfn.XLOOKUP($A393,Строчный!$A:$A,Строчный!B:B,"ERR",0),IF(_xlpm.CAPS=0,_xlpm.Style,LOWER(_xlpm.Style)))</f>
        <v>1365 GRAHAM</v>
      </c>
      <c r="C393" s="81" t="str">
        <f ca="1">PROPER(_xlfn.XLOOKUP($A393,Строчный!$A:$A,Строчный!C:C,"ERR",0))</f>
        <v>Кепки</v>
      </c>
      <c r="D393" s="81" t="str">
        <f ca="1">_xlfn.LET(_xlpm.DATA,(_xlfn.XLOOKUP($A393,Строчный!$A:$A,Строчный!D:D,"ERR",0)),UPPER(MID(_xlpm.DATA,1,1))&amp;LOWER(MID(_xlpm.DATA,2,LEN(_xlpm.DATA)-1)))</f>
        <v>Кепка уточка</v>
      </c>
      <c r="E393" s="81" t="str">
        <f ca="1">PROPER(_xlfn.XLOOKUP($A393,Строчный!$A:$A,Строчный!E:E,"ERR",0))</f>
        <v>The Hollywood</v>
      </c>
      <c r="F393" s="81" t="str">
        <f ca="1">LOWER(_xlfn.XLOOKUP($A393,Строчный!$A:$A,Строчный!F:F,"ERR",0))</f>
        <v>летний</v>
      </c>
      <c r="G393" s="81" t="str">
        <f ca="1">UPPER(_xlfn.XLOOKUP($A393,Строчный!$A:$A,Строчный!G:G,"ERR",0))</f>
        <v>BAILEY</v>
      </c>
      <c r="H393" s="81" t="str">
        <f ca="1">LOWER(_xlfn.XLOOKUP($A393,Строчный!$A:$A,Строчный!H:H,"ERR",0))</f>
        <v>black</v>
      </c>
      <c r="I393" s="81" t="str">
        <f ca="1">LOWER(_xlfn.XLOOKUP($A393,Строчный!$A:$A,Строчный!I:I,"ERR",0))</f>
        <v>черный</v>
      </c>
      <c r="J393" s="81" t="str">
        <f ca="1">SUBSTITUTE(LOWER(_xlfn.XLOOKUP($A393,Строчный!$A:$A,Строчный!J:J,"ERR",0)),"подклад","Подклад")</f>
        <v>65% полиэстер - 35% хлопок / Подклад: 100% полиэстер</v>
      </c>
      <c r="K393" s="81" t="str">
        <f ca="1">LOWER(_xlfn.XLOOKUP($A393,Строчный!$A:$A,Строчный!K:K,"ERR",0))</f>
        <v>хлопковые</v>
      </c>
      <c r="L393" s="81" t="str">
        <f ca="1">PROPER(_xlfn.XLOOKUP($A393,Строчный!$A:$A,Строчный!L:L,"ERR",0))</f>
        <v>Унисекс</v>
      </c>
      <c r="M393" s="113" t="str">
        <f ca="1">PROPER(_xlfn.XLOOKUP($A393,Строчный!$A:$A,Строчный!M:M,"ERR",0))</f>
        <v>Китай</v>
      </c>
      <c r="N393" s="81" t="str">
        <f ca="1">UPPER(_xlfn.XLOOKUP($A393,Строчный!$A:$A,Строчный!O:O,"ERR",0))</f>
        <v/>
      </c>
      <c r="O393" s="107" t="str">
        <f ca="1">PROPER(_xlfn.XLOOKUP($A393,Строчный!$A:$A,Строчный!P:P,"ERR",0))</f>
        <v/>
      </c>
      <c r="P393" s="90">
        <f ca="1">VALUE(_xlfn.XLOOKUP($A393,Строчный!$A:$A,Строчный!N:N,"ERR",0))</f>
        <v>1649.7000000000003</v>
      </c>
      <c r="Q393" s="89" t="str">
        <f ca="1">_xlfn.XLOOKUP($G393,Фабрика!A:A,Фабрика!B:B,"ERR",0)</f>
        <v>Bollman Headwear Europe Ltd; 2 Merchants drive, Caelisle, Cumbria CA3 0JW, United Kingdom</v>
      </c>
      <c r="R393" s="80" t="str">
        <f ca="1">_xlfn.XLOOKUP(RIGHT(Z393,2),Размеры!D:D,Размеры!A:A,"ERR",0)</f>
        <v>63</v>
      </c>
      <c r="S393" s="80">
        <f ca="1">VALUE(_xlfn.XLOOKUP($Z393,Строчный!$R:$R,Строчный!T:T,"ERR",0))</f>
        <v>1</v>
      </c>
      <c r="T393" s="14" t="s">
        <v>265</v>
      </c>
      <c r="U393" s="101" t="str">
        <f t="shared" ca="1" si="38"/>
        <v>Кепка BAILEY арт. 1365 GRAHAM (черный)</v>
      </c>
      <c r="V393" s="100" t="str">
        <f t="shared" ca="1" si="39"/>
        <v>Кепка BAILEY арт. 1365 GRAHAM (черный) {black}</v>
      </c>
      <c r="W393" s="18" t="str">
        <f t="shared" ca="1" si="40"/>
        <v>черный</v>
      </c>
      <c r="X393" s="18" t="str">
        <f t="shared" ca="1" si="41"/>
        <v>черный</v>
      </c>
      <c r="Y393" s="117" t="str">
        <f ca="1">_xlfn.LET(_xlpm.FormColors,_xlfn.XLOOKUP(A393,Строчный!A:A,Строчный!Q:Q,"",0),IF(_xlpm.FormColors=0,IFERROR(MID(I393,FIND("-",I393)+1,LEN(I393)),IFERROR(MID(I393,1,FIND("/",I393)-2),I393)),_xlpm.FormColors))</f>
        <v>черный</v>
      </c>
      <c r="Z393" s="73" t="str">
        <f ca="1"/>
        <v>21-018-09-63</v>
      </c>
      <c r="AA393" s="75" t="str">
        <f ca="1">VLOOKUP(C393,Группа!A:B,2,FALSE)</f>
        <v>Кепка</v>
      </c>
      <c r="AB393" s="97" t="str">
        <f ca="1">IFERROR(VLOOKUP(R393,Размеры!A:C,3,FALSE),"")</f>
        <v>63 XXL</v>
      </c>
      <c r="AC393" s="97" t="str">
        <f ca="1">VLOOKUP(I393,ЦветПолный!A:B,2,FALSE)</f>
        <v>09</v>
      </c>
      <c r="AD393" s="97" t="str">
        <f ca="1">IFERROR(VLOOKUP(R393,Размеры!A:D,4,FALSE),"")</f>
        <v>63</v>
      </c>
      <c r="AE393" s="97">
        <f ca="1">IF(LEFT(IFERROR(VLOOKUP(LOOKUP(2,1/SEARCH(B393,Товары!A:A),Товары!A:A),Товары!A:B,2,0),""),6)=MID(Z393,1,6),1,0)</f>
        <v>1</v>
      </c>
      <c r="AG393" s="97">
        <f ca="1">SUMIF(Группа!A:A,C393,Группа!C:C)</f>
        <v>1</v>
      </c>
      <c r="AH393" s="97">
        <f ca="1">SUMIF(Группа!B:B,AA393,Группа!C:C)</f>
        <v>1</v>
      </c>
      <c r="AI393" s="97">
        <f ca="1">SUMIF(Формы!A:A,D393,Формы!B:B)</f>
        <v>1</v>
      </c>
      <c r="AJ393" s="97">
        <f ca="1">SUMIF(Материал!A:A,K393,Материал!B:B)</f>
        <v>1</v>
      </c>
      <c r="AK393" s="97">
        <f ca="1">SUMIF(Размеры!A:A,R393,Размеры!E:E)</f>
        <v>1</v>
      </c>
      <c r="AL393" s="97">
        <f ca="1">SUMIF(Сезон!A:A,F393,Сезон!B:B)</f>
        <v>1</v>
      </c>
      <c r="AM393" s="97">
        <f ca="1">SUMIF(Состав!A:A,J393,Состав!B:B)</f>
        <v>0</v>
      </c>
      <c r="AN393" s="97">
        <f ca="1">VLOOKUP(I393,ЦветПолный!A:C,3,0)</f>
        <v>1</v>
      </c>
      <c r="AO393" s="97">
        <f ca="1">SUMIF(Цвет!A:A,Y393,Цвет!B:B)</f>
        <v>1</v>
      </c>
      <c r="AP393" s="97">
        <f ca="1">_xlfn.XLOOKUP(L393,Пол!A:A,Пол!B:B,0,0)</f>
        <v>1</v>
      </c>
      <c r="AQ393" s="97">
        <f ca="1">SUMIF(Марка!A:A,G393,Марка!B:B)</f>
        <v>1</v>
      </c>
      <c r="AR393" s="97">
        <f ca="1">SUMIF(Страна!A:A,M393,Страна!B:B)</f>
        <v>1</v>
      </c>
      <c r="AS393" s="64" t="str">
        <f ca="1">IF(VLOOKUP(V393,Товары!A:B,2,FALSE)=A393,"Есть в 1С","ERR")</f>
        <v>Есть в 1С</v>
      </c>
      <c r="AT393" s="65" t="str">
        <f ca="1">IF(VLOOKUP(A393,Товары!B:B,1,FALSE)=A393,"Есть в 1С","ERR")</f>
        <v>Есть в 1С</v>
      </c>
      <c r="AU393" s="96" t="str">
        <f ca="1">VLOOKUP(V393,Товары!A:B,2,FALSE)</f>
        <v>21-018-09</v>
      </c>
      <c r="AV393" s="94" t="str">
        <f ca="1">VLOOKUP(V393,Товары!A:B,1,FALSE)</f>
        <v>Кепка BAILEY арт. 1365 GRAHAM (черный) {black}</v>
      </c>
    </row>
    <row r="394" spans="1:48" x14ac:dyDescent="0.25">
      <c r="A394" s="110" t="str">
        <f t="shared" ca="1" si="42"/>
        <v>21-018-09</v>
      </c>
      <c r="B394" s="107" t="str">
        <f ca="1">_xlfn.LET(_xlpm.CAPS,0,_xlpm.Style,_xlfn.XLOOKUP($A394,Строчный!$A:$A,Строчный!B:B,"ERR",0),IF(_xlpm.CAPS=0,_xlpm.Style,LOWER(_xlpm.Style)))</f>
        <v>1365 GRAHAM</v>
      </c>
      <c r="C394" s="81" t="str">
        <f ca="1">PROPER(_xlfn.XLOOKUP($A394,Строчный!$A:$A,Строчный!C:C,"ERR",0))</f>
        <v>Кепки</v>
      </c>
      <c r="D394" s="81" t="str">
        <f ca="1">_xlfn.LET(_xlpm.DATA,(_xlfn.XLOOKUP($A394,Строчный!$A:$A,Строчный!D:D,"ERR",0)),UPPER(MID(_xlpm.DATA,1,1))&amp;LOWER(MID(_xlpm.DATA,2,LEN(_xlpm.DATA)-1)))</f>
        <v>Кепка уточка</v>
      </c>
      <c r="E394" s="81" t="str">
        <f ca="1">PROPER(_xlfn.XLOOKUP($A394,Строчный!$A:$A,Строчный!E:E,"ERR",0))</f>
        <v>The Hollywood</v>
      </c>
      <c r="F394" s="81" t="str">
        <f ca="1">LOWER(_xlfn.XLOOKUP($A394,Строчный!$A:$A,Строчный!F:F,"ERR",0))</f>
        <v>летний</v>
      </c>
      <c r="G394" s="81" t="str">
        <f ca="1">UPPER(_xlfn.XLOOKUP($A394,Строчный!$A:$A,Строчный!G:G,"ERR",0))</f>
        <v>BAILEY</v>
      </c>
      <c r="H394" s="81" t="str">
        <f ca="1">LOWER(_xlfn.XLOOKUP($A394,Строчный!$A:$A,Строчный!H:H,"ERR",0))</f>
        <v>black</v>
      </c>
      <c r="I394" s="81" t="str">
        <f ca="1">LOWER(_xlfn.XLOOKUP($A394,Строчный!$A:$A,Строчный!I:I,"ERR",0))</f>
        <v>черный</v>
      </c>
      <c r="J394" s="81" t="str">
        <f ca="1">SUBSTITUTE(LOWER(_xlfn.XLOOKUP($A394,Строчный!$A:$A,Строчный!J:J,"ERR",0)),"подклад","Подклад")</f>
        <v>65% полиэстер - 35% хлопок / Подклад: 100% полиэстер</v>
      </c>
      <c r="K394" s="81" t="str">
        <f ca="1">LOWER(_xlfn.XLOOKUP($A394,Строчный!$A:$A,Строчный!K:K,"ERR",0))</f>
        <v>хлопковые</v>
      </c>
      <c r="L394" s="81" t="str">
        <f ca="1">PROPER(_xlfn.XLOOKUP($A394,Строчный!$A:$A,Строчный!L:L,"ERR",0))</f>
        <v>Унисекс</v>
      </c>
      <c r="M394" s="113" t="str">
        <f ca="1">PROPER(_xlfn.XLOOKUP($A394,Строчный!$A:$A,Строчный!M:M,"ERR",0))</f>
        <v>Китай</v>
      </c>
      <c r="N394" s="81" t="str">
        <f ca="1">UPPER(_xlfn.XLOOKUP($A394,Строчный!$A:$A,Строчный!O:O,"ERR",0))</f>
        <v/>
      </c>
      <c r="O394" s="107" t="str">
        <f ca="1">PROPER(_xlfn.XLOOKUP($A394,Строчный!$A:$A,Строчный!P:P,"ERR",0))</f>
        <v/>
      </c>
      <c r="P394" s="90">
        <f ca="1">VALUE(_xlfn.XLOOKUP($A394,Строчный!$A:$A,Строчный!N:N,"ERR",0))</f>
        <v>1649.7000000000003</v>
      </c>
      <c r="Q394" s="89" t="str">
        <f ca="1">_xlfn.XLOOKUP($G394,Фабрика!A:A,Фабрика!B:B,"ERR",0)</f>
        <v>Bollman Headwear Europe Ltd; 2 Merchants drive, Caelisle, Cumbria CA3 0JW, United Kingdom</v>
      </c>
      <c r="R394" s="80" t="str">
        <f ca="1">_xlfn.XLOOKUP(RIGHT(Z394,2),Размеры!D:D,Размеры!A:A,"ERR",0)</f>
        <v>59</v>
      </c>
      <c r="S394" s="80">
        <f ca="1">VALUE(_xlfn.XLOOKUP($Z394,Строчный!$R:$R,Строчный!T:T,"ERR",0))</f>
        <v>7</v>
      </c>
      <c r="T394" s="14" t="s">
        <v>265</v>
      </c>
      <c r="U394" s="101" t="str">
        <f t="shared" ca="1" si="38"/>
        <v>Кепка BAILEY арт. 1365 GRAHAM (черный)</v>
      </c>
      <c r="V394" s="100" t="str">
        <f t="shared" ca="1" si="39"/>
        <v>Кепка BAILEY арт. 1365 GRAHAM (черный) {black}</v>
      </c>
      <c r="W394" s="18" t="str">
        <f t="shared" ca="1" si="40"/>
        <v>черный</v>
      </c>
      <c r="X394" s="18" t="str">
        <f t="shared" ca="1" si="41"/>
        <v>черный</v>
      </c>
      <c r="Y394" s="117" t="str">
        <f ca="1">_xlfn.LET(_xlpm.FormColors,_xlfn.XLOOKUP(A394,Строчный!A:A,Строчный!Q:Q,"",0),IF(_xlpm.FormColors=0,IFERROR(MID(I394,FIND("-",I394)+1,LEN(I394)),IFERROR(MID(I394,1,FIND("/",I394)-2),I394)),_xlpm.FormColors))</f>
        <v>черный</v>
      </c>
      <c r="Z394" s="73" t="str">
        <f ca="1"/>
        <v>21-018-09-59</v>
      </c>
      <c r="AA394" s="75" t="str">
        <f ca="1">VLOOKUP(C394,Группа!A:B,2,FALSE)</f>
        <v>Кепка</v>
      </c>
      <c r="AB394" s="97" t="str">
        <f ca="1">IFERROR(VLOOKUP(R394,Размеры!A:C,3,FALSE),"")</f>
        <v>59 L</v>
      </c>
      <c r="AC394" s="97" t="str">
        <f ca="1">VLOOKUP(I394,ЦветПолный!A:B,2,FALSE)</f>
        <v>09</v>
      </c>
      <c r="AD394" s="97" t="str">
        <f ca="1">IFERROR(VLOOKUP(R394,Размеры!A:D,4,FALSE),"")</f>
        <v>59</v>
      </c>
      <c r="AE394" s="97">
        <f ca="1">IF(LEFT(IFERROR(VLOOKUP(LOOKUP(2,1/SEARCH(B394,Товары!A:A),Товары!A:A),Товары!A:B,2,0),""),6)=MID(Z394,1,6),1,0)</f>
        <v>1</v>
      </c>
      <c r="AG394" s="97">
        <f ca="1">SUMIF(Группа!A:A,C394,Группа!C:C)</f>
        <v>1</v>
      </c>
      <c r="AH394" s="97">
        <f ca="1">SUMIF(Группа!B:B,AA394,Группа!C:C)</f>
        <v>1</v>
      </c>
      <c r="AI394" s="97">
        <f ca="1">SUMIF(Формы!A:A,D394,Формы!B:B)</f>
        <v>1</v>
      </c>
      <c r="AJ394" s="97">
        <f ca="1">SUMIF(Материал!A:A,K394,Материал!B:B)</f>
        <v>1</v>
      </c>
      <c r="AK394" s="97">
        <f ca="1">SUMIF(Размеры!A:A,R394,Размеры!E:E)</f>
        <v>1</v>
      </c>
      <c r="AL394" s="97">
        <f ca="1">SUMIF(Сезон!A:A,F394,Сезон!B:B)</f>
        <v>1</v>
      </c>
      <c r="AM394" s="97">
        <f ca="1">SUMIF(Состав!A:A,J394,Состав!B:B)</f>
        <v>0</v>
      </c>
      <c r="AN394" s="97">
        <f ca="1">VLOOKUP(I394,ЦветПолный!A:C,3,0)</f>
        <v>1</v>
      </c>
      <c r="AO394" s="97">
        <f ca="1">SUMIF(Цвет!A:A,Y394,Цвет!B:B)</f>
        <v>1</v>
      </c>
      <c r="AP394" s="97">
        <f ca="1">_xlfn.XLOOKUP(L394,Пол!A:A,Пол!B:B,0,0)</f>
        <v>1</v>
      </c>
      <c r="AQ394" s="97">
        <f ca="1">SUMIF(Марка!A:A,G394,Марка!B:B)</f>
        <v>1</v>
      </c>
      <c r="AR394" s="97">
        <f ca="1">SUMIF(Страна!A:A,M394,Страна!B:B)</f>
        <v>1</v>
      </c>
      <c r="AS394" s="64" t="str">
        <f ca="1">IF(VLOOKUP(V394,Товары!A:B,2,FALSE)=A394,"Есть в 1С","ERR")</f>
        <v>Есть в 1С</v>
      </c>
      <c r="AT394" s="65" t="str">
        <f ca="1">IF(VLOOKUP(A394,Товары!B:B,1,FALSE)=A394,"Есть в 1С","ERR")</f>
        <v>Есть в 1С</v>
      </c>
      <c r="AU394" s="96" t="str">
        <f ca="1">VLOOKUP(V394,Товары!A:B,2,FALSE)</f>
        <v>21-018-09</v>
      </c>
      <c r="AV394" s="94" t="str">
        <f ca="1">VLOOKUP(V394,Товары!A:B,1,FALSE)</f>
        <v>Кепка BAILEY арт. 1365 GRAHAM (черный) {black}</v>
      </c>
    </row>
    <row r="395" spans="1:48" x14ac:dyDescent="0.25">
      <c r="A395" s="110" t="str">
        <f t="shared" ca="1" si="42"/>
        <v>21-018-09</v>
      </c>
      <c r="B395" s="107" t="str">
        <f ca="1">_xlfn.LET(_xlpm.CAPS,0,_xlpm.Style,_xlfn.XLOOKUP($A395,Строчный!$A:$A,Строчный!B:B,"ERR",0),IF(_xlpm.CAPS=0,_xlpm.Style,LOWER(_xlpm.Style)))</f>
        <v>1365 GRAHAM</v>
      </c>
      <c r="C395" s="81" t="str">
        <f ca="1">PROPER(_xlfn.XLOOKUP($A395,Строчный!$A:$A,Строчный!C:C,"ERR",0))</f>
        <v>Кепки</v>
      </c>
      <c r="D395" s="81" t="str">
        <f ca="1">_xlfn.LET(_xlpm.DATA,(_xlfn.XLOOKUP($A395,Строчный!$A:$A,Строчный!D:D,"ERR",0)),UPPER(MID(_xlpm.DATA,1,1))&amp;LOWER(MID(_xlpm.DATA,2,LEN(_xlpm.DATA)-1)))</f>
        <v>Кепка уточка</v>
      </c>
      <c r="E395" s="81" t="str">
        <f ca="1">PROPER(_xlfn.XLOOKUP($A395,Строчный!$A:$A,Строчный!E:E,"ERR",0))</f>
        <v>The Hollywood</v>
      </c>
      <c r="F395" s="81" t="str">
        <f ca="1">LOWER(_xlfn.XLOOKUP($A395,Строчный!$A:$A,Строчный!F:F,"ERR",0))</f>
        <v>летний</v>
      </c>
      <c r="G395" s="81" t="str">
        <f ca="1">UPPER(_xlfn.XLOOKUP($A395,Строчный!$A:$A,Строчный!G:G,"ERR",0))</f>
        <v>BAILEY</v>
      </c>
      <c r="H395" s="81" t="str">
        <f ca="1">LOWER(_xlfn.XLOOKUP($A395,Строчный!$A:$A,Строчный!H:H,"ERR",0))</f>
        <v>black</v>
      </c>
      <c r="I395" s="81" t="str">
        <f ca="1">LOWER(_xlfn.XLOOKUP($A395,Строчный!$A:$A,Строчный!I:I,"ERR",0))</f>
        <v>черный</v>
      </c>
      <c r="J395" s="81" t="str">
        <f ca="1">SUBSTITUTE(LOWER(_xlfn.XLOOKUP($A395,Строчный!$A:$A,Строчный!J:J,"ERR",0)),"подклад","Подклад")</f>
        <v>65% полиэстер - 35% хлопок / Подклад: 100% полиэстер</v>
      </c>
      <c r="K395" s="81" t="str">
        <f ca="1">LOWER(_xlfn.XLOOKUP($A395,Строчный!$A:$A,Строчный!K:K,"ERR",0))</f>
        <v>хлопковые</v>
      </c>
      <c r="L395" s="81" t="str">
        <f ca="1">PROPER(_xlfn.XLOOKUP($A395,Строчный!$A:$A,Строчный!L:L,"ERR",0))</f>
        <v>Унисекс</v>
      </c>
      <c r="M395" s="113" t="str">
        <f ca="1">PROPER(_xlfn.XLOOKUP($A395,Строчный!$A:$A,Строчный!M:M,"ERR",0))</f>
        <v>Китай</v>
      </c>
      <c r="N395" s="81" t="str">
        <f ca="1">UPPER(_xlfn.XLOOKUP($A395,Строчный!$A:$A,Строчный!O:O,"ERR",0))</f>
        <v/>
      </c>
      <c r="O395" s="107" t="str">
        <f ca="1">PROPER(_xlfn.XLOOKUP($A395,Строчный!$A:$A,Строчный!P:P,"ERR",0))</f>
        <v/>
      </c>
      <c r="P395" s="90">
        <f ca="1">VALUE(_xlfn.XLOOKUP($A395,Строчный!$A:$A,Строчный!N:N,"ERR",0))</f>
        <v>1649.7000000000003</v>
      </c>
      <c r="Q395" s="89" t="str">
        <f ca="1">_xlfn.XLOOKUP($G395,Фабрика!A:A,Фабрика!B:B,"ERR",0)</f>
        <v>Bollman Headwear Europe Ltd; 2 Merchants drive, Caelisle, Cumbria CA3 0JW, United Kingdom</v>
      </c>
      <c r="R395" s="80" t="str">
        <f ca="1">_xlfn.XLOOKUP(RIGHT(Z395,2),Размеры!D:D,Размеры!A:A,"ERR",0)</f>
        <v>57</v>
      </c>
      <c r="S395" s="80">
        <f ca="1">VALUE(_xlfn.XLOOKUP($Z395,Строчный!$R:$R,Строчный!T:T,"ERR",0))</f>
        <v>4</v>
      </c>
      <c r="T395" s="14" t="s">
        <v>265</v>
      </c>
      <c r="U395" s="101" t="str">
        <f t="shared" ca="1" si="38"/>
        <v>Кепка BAILEY арт. 1365 GRAHAM (черный)</v>
      </c>
      <c r="V395" s="100" t="str">
        <f t="shared" ca="1" si="39"/>
        <v>Кепка BAILEY арт. 1365 GRAHAM (черный) {black}</v>
      </c>
      <c r="W395" s="18" t="str">
        <f t="shared" ca="1" si="40"/>
        <v>черный</v>
      </c>
      <c r="X395" s="18" t="str">
        <f t="shared" ca="1" si="41"/>
        <v>черный</v>
      </c>
      <c r="Y395" s="117" t="str">
        <f ca="1">_xlfn.LET(_xlpm.FormColors,_xlfn.XLOOKUP(A395,Строчный!A:A,Строчный!Q:Q,"",0),IF(_xlpm.FormColors=0,IFERROR(MID(I395,FIND("-",I395)+1,LEN(I395)),IFERROR(MID(I395,1,FIND("/",I395)-2),I395)),_xlpm.FormColors))</f>
        <v>черный</v>
      </c>
      <c r="Z395" s="73" t="str">
        <f ca="1"/>
        <v>21-018-09-57</v>
      </c>
      <c r="AA395" s="75" t="str">
        <f ca="1">VLOOKUP(C395,Группа!A:B,2,FALSE)</f>
        <v>Кепка</v>
      </c>
      <c r="AB395" s="97" t="str">
        <f ca="1">IFERROR(VLOOKUP(R395,Размеры!A:C,3,FALSE),"")</f>
        <v>57 M</v>
      </c>
      <c r="AC395" s="97" t="str">
        <f ca="1">VLOOKUP(I395,ЦветПолный!A:B,2,FALSE)</f>
        <v>09</v>
      </c>
      <c r="AD395" s="97" t="str">
        <f ca="1">IFERROR(VLOOKUP(R395,Размеры!A:D,4,FALSE),"")</f>
        <v>57</v>
      </c>
      <c r="AE395" s="97">
        <f ca="1">IF(LEFT(IFERROR(VLOOKUP(LOOKUP(2,1/SEARCH(B395,Товары!A:A),Товары!A:A),Товары!A:B,2,0),""),6)=MID(Z395,1,6),1,0)</f>
        <v>1</v>
      </c>
      <c r="AG395" s="97">
        <f ca="1">SUMIF(Группа!A:A,C395,Группа!C:C)</f>
        <v>1</v>
      </c>
      <c r="AH395" s="97">
        <f ca="1">SUMIF(Группа!B:B,AA395,Группа!C:C)</f>
        <v>1</v>
      </c>
      <c r="AI395" s="97">
        <f ca="1">SUMIF(Формы!A:A,D395,Формы!B:B)</f>
        <v>1</v>
      </c>
      <c r="AJ395" s="97">
        <f ca="1">SUMIF(Материал!A:A,K395,Материал!B:B)</f>
        <v>1</v>
      </c>
      <c r="AK395" s="97">
        <f ca="1">SUMIF(Размеры!A:A,R395,Размеры!E:E)</f>
        <v>1</v>
      </c>
      <c r="AL395" s="97">
        <f ca="1">SUMIF(Сезон!A:A,F395,Сезон!B:B)</f>
        <v>1</v>
      </c>
      <c r="AM395" s="97">
        <f ca="1">SUMIF(Состав!A:A,J395,Состав!B:B)</f>
        <v>0</v>
      </c>
      <c r="AN395" s="97">
        <f ca="1">VLOOKUP(I395,ЦветПолный!A:C,3,0)</f>
        <v>1</v>
      </c>
      <c r="AO395" s="97">
        <f ca="1">SUMIF(Цвет!A:A,Y395,Цвет!B:B)</f>
        <v>1</v>
      </c>
      <c r="AP395" s="97">
        <f ca="1">_xlfn.XLOOKUP(L395,Пол!A:A,Пол!B:B,0,0)</f>
        <v>1</v>
      </c>
      <c r="AQ395" s="97">
        <f ca="1">SUMIF(Марка!A:A,G395,Марка!B:B)</f>
        <v>1</v>
      </c>
      <c r="AR395" s="97">
        <f ca="1">SUMIF(Страна!A:A,M395,Страна!B:B)</f>
        <v>1</v>
      </c>
      <c r="AS395" s="64" t="str">
        <f ca="1">IF(VLOOKUP(V395,Товары!A:B,2,FALSE)=A395,"Есть в 1С","ERR")</f>
        <v>Есть в 1С</v>
      </c>
      <c r="AT395" s="65" t="str">
        <f ca="1">IF(VLOOKUP(A395,Товары!B:B,1,FALSE)=A395,"Есть в 1С","ERR")</f>
        <v>Есть в 1С</v>
      </c>
      <c r="AU395" s="96" t="str">
        <f ca="1">VLOOKUP(V395,Товары!A:B,2,FALSE)</f>
        <v>21-018-09</v>
      </c>
      <c r="AV395" s="94" t="str">
        <f ca="1">VLOOKUP(V395,Товары!A:B,1,FALSE)</f>
        <v>Кепка BAILEY арт. 1365 GRAHAM (черный) {black}</v>
      </c>
    </row>
    <row r="396" spans="1:48" x14ac:dyDescent="0.25">
      <c r="A396" s="110" t="str">
        <f t="shared" ca="1" si="42"/>
        <v>21-018-09</v>
      </c>
      <c r="B396" s="107" t="str">
        <f ca="1">_xlfn.LET(_xlpm.CAPS,0,_xlpm.Style,_xlfn.XLOOKUP($A396,Строчный!$A:$A,Строчный!B:B,"ERR",0),IF(_xlpm.CAPS=0,_xlpm.Style,LOWER(_xlpm.Style)))</f>
        <v>1365 GRAHAM</v>
      </c>
      <c r="C396" s="81" t="str">
        <f ca="1">PROPER(_xlfn.XLOOKUP($A396,Строчный!$A:$A,Строчный!C:C,"ERR",0))</f>
        <v>Кепки</v>
      </c>
      <c r="D396" s="81" t="str">
        <f ca="1">_xlfn.LET(_xlpm.DATA,(_xlfn.XLOOKUP($A396,Строчный!$A:$A,Строчный!D:D,"ERR",0)),UPPER(MID(_xlpm.DATA,1,1))&amp;LOWER(MID(_xlpm.DATA,2,LEN(_xlpm.DATA)-1)))</f>
        <v>Кепка уточка</v>
      </c>
      <c r="E396" s="81" t="str">
        <f ca="1">PROPER(_xlfn.XLOOKUP($A396,Строчный!$A:$A,Строчный!E:E,"ERR",0))</f>
        <v>The Hollywood</v>
      </c>
      <c r="F396" s="81" t="str">
        <f ca="1">LOWER(_xlfn.XLOOKUP($A396,Строчный!$A:$A,Строчный!F:F,"ERR",0))</f>
        <v>летний</v>
      </c>
      <c r="G396" s="81" t="str">
        <f ca="1">UPPER(_xlfn.XLOOKUP($A396,Строчный!$A:$A,Строчный!G:G,"ERR",0))</f>
        <v>BAILEY</v>
      </c>
      <c r="H396" s="81" t="str">
        <f ca="1">LOWER(_xlfn.XLOOKUP($A396,Строчный!$A:$A,Строчный!H:H,"ERR",0))</f>
        <v>black</v>
      </c>
      <c r="I396" s="81" t="str">
        <f ca="1">LOWER(_xlfn.XLOOKUP($A396,Строчный!$A:$A,Строчный!I:I,"ERR",0))</f>
        <v>черный</v>
      </c>
      <c r="J396" s="81" t="str">
        <f ca="1">SUBSTITUTE(LOWER(_xlfn.XLOOKUP($A396,Строчный!$A:$A,Строчный!J:J,"ERR",0)),"подклад","Подклад")</f>
        <v>65% полиэстер - 35% хлопок / Подклад: 100% полиэстер</v>
      </c>
      <c r="K396" s="81" t="str">
        <f ca="1">LOWER(_xlfn.XLOOKUP($A396,Строчный!$A:$A,Строчный!K:K,"ERR",0))</f>
        <v>хлопковые</v>
      </c>
      <c r="L396" s="81" t="str">
        <f ca="1">PROPER(_xlfn.XLOOKUP($A396,Строчный!$A:$A,Строчный!L:L,"ERR",0))</f>
        <v>Унисекс</v>
      </c>
      <c r="M396" s="113" t="str">
        <f ca="1">PROPER(_xlfn.XLOOKUP($A396,Строчный!$A:$A,Строчный!M:M,"ERR",0))</f>
        <v>Китай</v>
      </c>
      <c r="N396" s="81" t="str">
        <f ca="1">UPPER(_xlfn.XLOOKUP($A396,Строчный!$A:$A,Строчный!O:O,"ERR",0))</f>
        <v/>
      </c>
      <c r="O396" s="107" t="str">
        <f ca="1">PROPER(_xlfn.XLOOKUP($A396,Строчный!$A:$A,Строчный!P:P,"ERR",0))</f>
        <v/>
      </c>
      <c r="P396" s="90">
        <f ca="1">VALUE(_xlfn.XLOOKUP($A396,Строчный!$A:$A,Строчный!N:N,"ERR",0))</f>
        <v>1649.7000000000003</v>
      </c>
      <c r="Q396" s="89" t="str">
        <f ca="1">_xlfn.XLOOKUP($G396,Фабрика!A:A,Фабрика!B:B,"ERR",0)</f>
        <v>Bollman Headwear Europe Ltd; 2 Merchants drive, Caelisle, Cumbria CA3 0JW, United Kingdom</v>
      </c>
      <c r="R396" s="80" t="str">
        <f ca="1">_xlfn.XLOOKUP(RIGHT(Z396,2),Размеры!D:D,Размеры!A:A,"ERR",0)</f>
        <v>55</v>
      </c>
      <c r="S396" s="80">
        <f ca="1">VALUE(_xlfn.XLOOKUP($Z396,Строчный!$R:$R,Строчный!T:T,"ERR",0))</f>
        <v>2</v>
      </c>
      <c r="T396" s="14" t="s">
        <v>265</v>
      </c>
      <c r="U396" s="101" t="str">
        <f t="shared" ca="1" si="38"/>
        <v>Кепка BAILEY арт. 1365 GRAHAM (черный)</v>
      </c>
      <c r="V396" s="100" t="str">
        <f t="shared" ca="1" si="39"/>
        <v>Кепка BAILEY арт. 1365 GRAHAM (черный) {black}</v>
      </c>
      <c r="W396" s="18" t="str">
        <f t="shared" ca="1" si="40"/>
        <v>черный</v>
      </c>
      <c r="X396" s="18" t="str">
        <f t="shared" ca="1" si="41"/>
        <v>черный</v>
      </c>
      <c r="Y396" s="117" t="str">
        <f ca="1">_xlfn.LET(_xlpm.FormColors,_xlfn.XLOOKUP(A396,Строчный!A:A,Строчный!Q:Q,"",0),IF(_xlpm.FormColors=0,IFERROR(MID(I396,FIND("-",I396)+1,LEN(I396)),IFERROR(MID(I396,1,FIND("/",I396)-2),I396)),_xlpm.FormColors))</f>
        <v>черный</v>
      </c>
      <c r="Z396" s="73" t="str">
        <f ca="1"/>
        <v>21-018-09-55</v>
      </c>
      <c r="AA396" s="75" t="str">
        <f ca="1">VLOOKUP(C396,Группа!A:B,2,FALSE)</f>
        <v>Кепка</v>
      </c>
      <c r="AB396" s="97" t="str">
        <f ca="1">IFERROR(VLOOKUP(R396,Размеры!A:C,3,FALSE),"")</f>
        <v>55 S</v>
      </c>
      <c r="AC396" s="97" t="str">
        <f ca="1">VLOOKUP(I396,ЦветПолный!A:B,2,FALSE)</f>
        <v>09</v>
      </c>
      <c r="AD396" s="97" t="str">
        <f ca="1">IFERROR(VLOOKUP(R396,Размеры!A:D,4,FALSE),"")</f>
        <v>55</v>
      </c>
      <c r="AE396" s="97">
        <f ca="1">IF(LEFT(IFERROR(VLOOKUP(LOOKUP(2,1/SEARCH(B396,Товары!A:A),Товары!A:A),Товары!A:B,2,0),""),6)=MID(Z396,1,6),1,0)</f>
        <v>1</v>
      </c>
      <c r="AG396" s="97">
        <f ca="1">SUMIF(Группа!A:A,C396,Группа!C:C)</f>
        <v>1</v>
      </c>
      <c r="AH396" s="97">
        <f ca="1">SUMIF(Группа!B:B,AA396,Группа!C:C)</f>
        <v>1</v>
      </c>
      <c r="AI396" s="97">
        <f ca="1">SUMIF(Формы!A:A,D396,Формы!B:B)</f>
        <v>1</v>
      </c>
      <c r="AJ396" s="97">
        <f ca="1">SUMIF(Материал!A:A,K396,Материал!B:B)</f>
        <v>1</v>
      </c>
      <c r="AK396" s="97">
        <f ca="1">SUMIF(Размеры!A:A,R396,Размеры!E:E)</f>
        <v>1</v>
      </c>
      <c r="AL396" s="97">
        <f ca="1">SUMIF(Сезон!A:A,F396,Сезон!B:B)</f>
        <v>1</v>
      </c>
      <c r="AM396" s="97">
        <f ca="1">SUMIF(Состав!A:A,J396,Состав!B:B)</f>
        <v>0</v>
      </c>
      <c r="AN396" s="97">
        <f ca="1">VLOOKUP(I396,ЦветПолный!A:C,3,0)</f>
        <v>1</v>
      </c>
      <c r="AO396" s="97">
        <f ca="1">SUMIF(Цвет!A:A,Y396,Цвет!B:B)</f>
        <v>1</v>
      </c>
      <c r="AP396" s="97">
        <f ca="1">_xlfn.XLOOKUP(L396,Пол!A:A,Пол!B:B,0,0)</f>
        <v>1</v>
      </c>
      <c r="AQ396" s="97">
        <f ca="1">SUMIF(Марка!A:A,G396,Марка!B:B)</f>
        <v>1</v>
      </c>
      <c r="AR396" s="97">
        <f ca="1">SUMIF(Страна!A:A,M396,Страна!B:B)</f>
        <v>1</v>
      </c>
      <c r="AS396" s="64" t="str">
        <f ca="1">IF(VLOOKUP(V396,Товары!A:B,2,FALSE)=A396,"Есть в 1С","ERR")</f>
        <v>Есть в 1С</v>
      </c>
      <c r="AT396" s="65" t="str">
        <f ca="1">IF(VLOOKUP(A396,Товары!B:B,1,FALSE)=A396,"Есть в 1С","ERR")</f>
        <v>Есть в 1С</v>
      </c>
      <c r="AU396" s="96" t="str">
        <f ca="1">VLOOKUP(V396,Товары!A:B,2,FALSE)</f>
        <v>21-018-09</v>
      </c>
      <c r="AV396" s="94" t="str">
        <f ca="1">VLOOKUP(V396,Товары!A:B,1,FALSE)</f>
        <v>Кепка BAILEY арт. 1365 GRAHAM (черный) {black}</v>
      </c>
    </row>
    <row r="397" spans="1:48" x14ac:dyDescent="0.25">
      <c r="A397" s="110" t="str">
        <f t="shared" ca="1" si="42"/>
        <v>21-018-02</v>
      </c>
      <c r="B397" s="107" t="str">
        <f ca="1">_xlfn.LET(_xlpm.CAPS,0,_xlpm.Style,_xlfn.XLOOKUP($A397,Строчный!$A:$A,Строчный!B:B,"ERR",0),IF(_xlpm.CAPS=0,_xlpm.Style,LOWER(_xlpm.Style)))</f>
        <v>1365 GRAHAM</v>
      </c>
      <c r="C397" s="81" t="str">
        <f ca="1">PROPER(_xlfn.XLOOKUP($A397,Строчный!$A:$A,Строчный!C:C,"ERR",0))</f>
        <v>Кепки</v>
      </c>
      <c r="D397" s="81" t="str">
        <f ca="1">_xlfn.LET(_xlpm.DATA,(_xlfn.XLOOKUP($A397,Строчный!$A:$A,Строчный!D:D,"ERR",0)),UPPER(MID(_xlpm.DATA,1,1))&amp;LOWER(MID(_xlpm.DATA,2,LEN(_xlpm.DATA)-1)))</f>
        <v>Кепка уточка</v>
      </c>
      <c r="E397" s="81" t="str">
        <f ca="1">PROPER(_xlfn.XLOOKUP($A397,Строчный!$A:$A,Строчный!E:E,"ERR",0))</f>
        <v>The Hollywood</v>
      </c>
      <c r="F397" s="81" t="str">
        <f ca="1">LOWER(_xlfn.XLOOKUP($A397,Строчный!$A:$A,Строчный!F:F,"ERR",0))</f>
        <v>летний</v>
      </c>
      <c r="G397" s="81" t="str">
        <f ca="1">UPPER(_xlfn.XLOOKUP($A397,Строчный!$A:$A,Строчный!G:G,"ERR",0))</f>
        <v>BAILEY</v>
      </c>
      <c r="H397" s="81" t="str">
        <f ca="1">LOWER(_xlfn.XLOOKUP($A397,Строчный!$A:$A,Строчный!H:H,"ERR",0))</f>
        <v>tan</v>
      </c>
      <c r="I397" s="81" t="str">
        <f ca="1">LOWER(_xlfn.XLOOKUP($A397,Строчный!$A:$A,Строчный!I:I,"ERR",0))</f>
        <v>бежевый</v>
      </c>
      <c r="J397" s="81" t="str">
        <f ca="1">SUBSTITUTE(LOWER(_xlfn.XLOOKUP($A397,Строчный!$A:$A,Строчный!J:J,"ERR",0)),"подклад","Подклад")</f>
        <v>65% полиэстер - 35% хлопок / Подклад: 100% полиэстер</v>
      </c>
      <c r="K397" s="81" t="str">
        <f ca="1">LOWER(_xlfn.XLOOKUP($A397,Строчный!$A:$A,Строчный!K:K,"ERR",0))</f>
        <v>хлопковые</v>
      </c>
      <c r="L397" s="81" t="str">
        <f ca="1">PROPER(_xlfn.XLOOKUP($A397,Строчный!$A:$A,Строчный!L:L,"ERR",0))</f>
        <v>Унисекс</v>
      </c>
      <c r="M397" s="113" t="str">
        <f ca="1">PROPER(_xlfn.XLOOKUP($A397,Строчный!$A:$A,Строчный!M:M,"ERR",0))</f>
        <v>Китай</v>
      </c>
      <c r="N397" s="81" t="str">
        <f ca="1">UPPER(_xlfn.XLOOKUP($A397,Строчный!$A:$A,Строчный!O:O,"ERR",0))</f>
        <v/>
      </c>
      <c r="O397" s="107" t="str">
        <f ca="1">PROPER(_xlfn.XLOOKUP($A397,Строчный!$A:$A,Строчный!P:P,"ERR",0))</f>
        <v/>
      </c>
      <c r="P397" s="90">
        <f ca="1">VALUE(_xlfn.XLOOKUP($A397,Строчный!$A:$A,Строчный!N:N,"ERR",0))</f>
        <v>1649.7000000000003</v>
      </c>
      <c r="Q397" s="89" t="str">
        <f ca="1">_xlfn.XLOOKUP($G397,Фабрика!A:A,Фабрика!B:B,"ERR",0)</f>
        <v>Bollman Headwear Europe Ltd; 2 Merchants drive, Caelisle, Cumbria CA3 0JW, United Kingdom</v>
      </c>
      <c r="R397" s="80" t="str">
        <f ca="1">_xlfn.XLOOKUP(RIGHT(Z397,2),Размеры!D:D,Размеры!A:A,"ERR",0)</f>
        <v>63</v>
      </c>
      <c r="S397" s="80">
        <f ca="1">VALUE(_xlfn.XLOOKUP($Z397,Строчный!$R:$R,Строчный!T:T,"ERR",0))</f>
        <v>2</v>
      </c>
      <c r="T397" s="14" t="s">
        <v>265</v>
      </c>
      <c r="U397" s="101" t="str">
        <f t="shared" ca="1" si="38"/>
        <v>Кепка BAILEY арт. 1365 GRAHAM (бежевый)</v>
      </c>
      <c r="V397" s="100" t="str">
        <f t="shared" ca="1" si="39"/>
        <v>Кепка BAILEY арт. 1365 GRAHAM (бежевый) {tan}</v>
      </c>
      <c r="W397" s="18" t="str">
        <f t="shared" ca="1" si="40"/>
        <v>бежевый</v>
      </c>
      <c r="X397" s="18" t="str">
        <f t="shared" ca="1" si="41"/>
        <v>бежевый</v>
      </c>
      <c r="Y397" s="117" t="str">
        <f ca="1">_xlfn.LET(_xlpm.FormColors,_xlfn.XLOOKUP(A397,Строчный!A:A,Строчный!Q:Q,"",0),IF(_xlpm.FormColors=0,IFERROR(MID(I397,FIND("-",I397)+1,LEN(I397)),IFERROR(MID(I397,1,FIND("/",I397)-2),I397)),_xlpm.FormColors))</f>
        <v>бежевый</v>
      </c>
      <c r="Z397" s="73" t="str">
        <f ca="1"/>
        <v>21-018-02-63</v>
      </c>
      <c r="AA397" s="75" t="str">
        <f ca="1">VLOOKUP(C397,Группа!A:B,2,FALSE)</f>
        <v>Кепка</v>
      </c>
      <c r="AB397" s="97" t="str">
        <f ca="1">IFERROR(VLOOKUP(R397,Размеры!A:C,3,FALSE),"")</f>
        <v>63 XXL</v>
      </c>
      <c r="AC397" s="97" t="str">
        <f ca="1">VLOOKUP(I397,ЦветПолный!A:B,2,FALSE)</f>
        <v>02</v>
      </c>
      <c r="AD397" s="97" t="str">
        <f ca="1">IFERROR(VLOOKUP(R397,Размеры!A:D,4,FALSE),"")</f>
        <v>63</v>
      </c>
      <c r="AE397" s="97">
        <f ca="1">IF(LEFT(IFERROR(VLOOKUP(LOOKUP(2,1/SEARCH(B397,Товары!A:A),Товары!A:A),Товары!A:B,2,0),""),6)=MID(Z397,1,6),1,0)</f>
        <v>1</v>
      </c>
      <c r="AG397" s="97">
        <f ca="1">SUMIF(Группа!A:A,C397,Группа!C:C)</f>
        <v>1</v>
      </c>
      <c r="AH397" s="97">
        <f ca="1">SUMIF(Группа!B:B,AA397,Группа!C:C)</f>
        <v>1</v>
      </c>
      <c r="AI397" s="97">
        <f ca="1">SUMIF(Формы!A:A,D397,Формы!B:B)</f>
        <v>1</v>
      </c>
      <c r="AJ397" s="97">
        <f ca="1">SUMIF(Материал!A:A,K397,Материал!B:B)</f>
        <v>1</v>
      </c>
      <c r="AK397" s="97">
        <f ca="1">SUMIF(Размеры!A:A,R397,Размеры!E:E)</f>
        <v>1</v>
      </c>
      <c r="AL397" s="97">
        <f ca="1">SUMIF(Сезон!A:A,F397,Сезон!B:B)</f>
        <v>1</v>
      </c>
      <c r="AM397" s="97">
        <f ca="1">SUMIF(Состав!A:A,J397,Состав!B:B)</f>
        <v>0</v>
      </c>
      <c r="AN397" s="97">
        <f ca="1">VLOOKUP(I397,ЦветПолный!A:C,3,0)</f>
        <v>1</v>
      </c>
      <c r="AO397" s="97">
        <f ca="1">SUMIF(Цвет!A:A,Y397,Цвет!B:B)</f>
        <v>1</v>
      </c>
      <c r="AP397" s="97">
        <f ca="1">_xlfn.XLOOKUP(L397,Пол!A:A,Пол!B:B,0,0)</f>
        <v>1</v>
      </c>
      <c r="AQ397" s="97">
        <f ca="1">SUMIF(Марка!A:A,G397,Марка!B:B)</f>
        <v>1</v>
      </c>
      <c r="AR397" s="97">
        <f ca="1">SUMIF(Страна!A:A,M397,Страна!B:B)</f>
        <v>1</v>
      </c>
      <c r="AS397" s="64" t="str">
        <f ca="1">IF(VLOOKUP(V397,Товары!A:B,2,FALSE)=A397,"Есть в 1С","ERR")</f>
        <v>Есть в 1С</v>
      </c>
      <c r="AT397" s="65" t="str">
        <f ca="1">IF(VLOOKUP(A397,Товары!B:B,1,FALSE)=A397,"Есть в 1С","ERR")</f>
        <v>Есть в 1С</v>
      </c>
      <c r="AU397" s="96" t="str">
        <f ca="1">VLOOKUP(V397,Товары!A:B,2,FALSE)</f>
        <v>21-018-02</v>
      </c>
      <c r="AV397" s="94" t="str">
        <f ca="1">VLOOKUP(V397,Товары!A:B,1,FALSE)</f>
        <v>Кепка BAILEY арт. 1365 GRAHAM (бежевый) {tan}</v>
      </c>
    </row>
    <row r="398" spans="1:48" x14ac:dyDescent="0.25">
      <c r="A398" s="110" t="str">
        <f t="shared" ca="1" si="42"/>
        <v>21-018-02</v>
      </c>
      <c r="B398" s="107" t="str">
        <f ca="1">_xlfn.LET(_xlpm.CAPS,0,_xlpm.Style,_xlfn.XLOOKUP($A398,Строчный!$A:$A,Строчный!B:B,"ERR",0),IF(_xlpm.CAPS=0,_xlpm.Style,LOWER(_xlpm.Style)))</f>
        <v>1365 GRAHAM</v>
      </c>
      <c r="C398" s="81" t="str">
        <f ca="1">PROPER(_xlfn.XLOOKUP($A398,Строчный!$A:$A,Строчный!C:C,"ERR",0))</f>
        <v>Кепки</v>
      </c>
      <c r="D398" s="81" t="str">
        <f ca="1">_xlfn.LET(_xlpm.DATA,(_xlfn.XLOOKUP($A398,Строчный!$A:$A,Строчный!D:D,"ERR",0)),UPPER(MID(_xlpm.DATA,1,1))&amp;LOWER(MID(_xlpm.DATA,2,LEN(_xlpm.DATA)-1)))</f>
        <v>Кепка уточка</v>
      </c>
      <c r="E398" s="81" t="str">
        <f ca="1">PROPER(_xlfn.XLOOKUP($A398,Строчный!$A:$A,Строчный!E:E,"ERR",0))</f>
        <v>The Hollywood</v>
      </c>
      <c r="F398" s="81" t="str">
        <f ca="1">LOWER(_xlfn.XLOOKUP($A398,Строчный!$A:$A,Строчный!F:F,"ERR",0))</f>
        <v>летний</v>
      </c>
      <c r="G398" s="81" t="str">
        <f ca="1">UPPER(_xlfn.XLOOKUP($A398,Строчный!$A:$A,Строчный!G:G,"ERR",0))</f>
        <v>BAILEY</v>
      </c>
      <c r="H398" s="81" t="str">
        <f ca="1">LOWER(_xlfn.XLOOKUP($A398,Строчный!$A:$A,Строчный!H:H,"ERR",0))</f>
        <v>tan</v>
      </c>
      <c r="I398" s="81" t="str">
        <f ca="1">LOWER(_xlfn.XLOOKUP($A398,Строчный!$A:$A,Строчный!I:I,"ERR",0))</f>
        <v>бежевый</v>
      </c>
      <c r="J398" s="81" t="str">
        <f ca="1">SUBSTITUTE(LOWER(_xlfn.XLOOKUP($A398,Строчный!$A:$A,Строчный!J:J,"ERR",0)),"подклад","Подклад")</f>
        <v>65% полиэстер - 35% хлопок / Подклад: 100% полиэстер</v>
      </c>
      <c r="K398" s="81" t="str">
        <f ca="1">LOWER(_xlfn.XLOOKUP($A398,Строчный!$A:$A,Строчный!K:K,"ERR",0))</f>
        <v>хлопковые</v>
      </c>
      <c r="L398" s="81" t="str">
        <f ca="1">PROPER(_xlfn.XLOOKUP($A398,Строчный!$A:$A,Строчный!L:L,"ERR",0))</f>
        <v>Унисекс</v>
      </c>
      <c r="M398" s="113" t="str">
        <f ca="1">PROPER(_xlfn.XLOOKUP($A398,Строчный!$A:$A,Строчный!M:M,"ERR",0))</f>
        <v>Китай</v>
      </c>
      <c r="N398" s="81" t="str">
        <f ca="1">UPPER(_xlfn.XLOOKUP($A398,Строчный!$A:$A,Строчный!O:O,"ERR",0))</f>
        <v/>
      </c>
      <c r="O398" s="107" t="str">
        <f ca="1">PROPER(_xlfn.XLOOKUP($A398,Строчный!$A:$A,Строчный!P:P,"ERR",0))</f>
        <v/>
      </c>
      <c r="P398" s="90">
        <f ca="1">VALUE(_xlfn.XLOOKUP($A398,Строчный!$A:$A,Строчный!N:N,"ERR",0))</f>
        <v>1649.7000000000003</v>
      </c>
      <c r="Q398" s="89" t="str">
        <f ca="1">_xlfn.XLOOKUP($G398,Фабрика!A:A,Фабрика!B:B,"ERR",0)</f>
        <v>Bollman Headwear Europe Ltd; 2 Merchants drive, Caelisle, Cumbria CA3 0JW, United Kingdom</v>
      </c>
      <c r="R398" s="80" t="str">
        <f ca="1">_xlfn.XLOOKUP(RIGHT(Z398,2),Размеры!D:D,Размеры!A:A,"ERR",0)</f>
        <v>61</v>
      </c>
      <c r="S398" s="80">
        <f ca="1">VALUE(_xlfn.XLOOKUP($Z398,Строчный!$R:$R,Строчный!T:T,"ERR",0))</f>
        <v>3</v>
      </c>
      <c r="T398" s="14" t="s">
        <v>265</v>
      </c>
      <c r="U398" s="101" t="str">
        <f t="shared" ca="1" si="38"/>
        <v>Кепка BAILEY арт. 1365 GRAHAM (бежевый)</v>
      </c>
      <c r="V398" s="100" t="str">
        <f t="shared" ca="1" si="39"/>
        <v>Кепка BAILEY арт. 1365 GRAHAM (бежевый) {tan}</v>
      </c>
      <c r="W398" s="18" t="str">
        <f t="shared" ca="1" si="40"/>
        <v>бежевый</v>
      </c>
      <c r="X398" s="18" t="str">
        <f t="shared" ca="1" si="41"/>
        <v>бежевый</v>
      </c>
      <c r="Y398" s="117" t="str">
        <f ca="1">_xlfn.LET(_xlpm.FormColors,_xlfn.XLOOKUP(A398,Строчный!A:A,Строчный!Q:Q,"",0),IF(_xlpm.FormColors=0,IFERROR(MID(I398,FIND("-",I398)+1,LEN(I398)),IFERROR(MID(I398,1,FIND("/",I398)-2),I398)),_xlpm.FormColors))</f>
        <v>бежевый</v>
      </c>
      <c r="Z398" s="73" t="str">
        <f ca="1"/>
        <v>21-018-02-61</v>
      </c>
      <c r="AA398" s="75" t="str">
        <f ca="1">VLOOKUP(C398,Группа!A:B,2,FALSE)</f>
        <v>Кепка</v>
      </c>
      <c r="AB398" s="97" t="str">
        <f ca="1">IFERROR(VLOOKUP(R398,Размеры!A:C,3,FALSE),"")</f>
        <v>61 XL</v>
      </c>
      <c r="AC398" s="97" t="str">
        <f ca="1">VLOOKUP(I398,ЦветПолный!A:B,2,FALSE)</f>
        <v>02</v>
      </c>
      <c r="AD398" s="97" t="str">
        <f ca="1">IFERROR(VLOOKUP(R398,Размеры!A:D,4,FALSE),"")</f>
        <v>61</v>
      </c>
      <c r="AE398" s="97">
        <f ca="1">IF(LEFT(IFERROR(VLOOKUP(LOOKUP(2,1/SEARCH(B398,Товары!A:A),Товары!A:A),Товары!A:B,2,0),""),6)=MID(Z398,1,6),1,0)</f>
        <v>1</v>
      </c>
      <c r="AG398" s="97">
        <f ca="1">SUMIF(Группа!A:A,C398,Группа!C:C)</f>
        <v>1</v>
      </c>
      <c r="AH398" s="97">
        <f ca="1">SUMIF(Группа!B:B,AA398,Группа!C:C)</f>
        <v>1</v>
      </c>
      <c r="AI398" s="97">
        <f ca="1">SUMIF(Формы!A:A,D398,Формы!B:B)</f>
        <v>1</v>
      </c>
      <c r="AJ398" s="97">
        <f ca="1">SUMIF(Материал!A:A,K398,Материал!B:B)</f>
        <v>1</v>
      </c>
      <c r="AK398" s="97">
        <f ca="1">SUMIF(Размеры!A:A,R398,Размеры!E:E)</f>
        <v>1</v>
      </c>
      <c r="AL398" s="97">
        <f ca="1">SUMIF(Сезон!A:A,F398,Сезон!B:B)</f>
        <v>1</v>
      </c>
      <c r="AM398" s="97">
        <f ca="1">SUMIF(Состав!A:A,J398,Состав!B:B)</f>
        <v>0</v>
      </c>
      <c r="AN398" s="97">
        <f ca="1">VLOOKUP(I398,ЦветПолный!A:C,3,0)</f>
        <v>1</v>
      </c>
      <c r="AO398" s="97">
        <f ca="1">SUMIF(Цвет!A:A,Y398,Цвет!B:B)</f>
        <v>1</v>
      </c>
      <c r="AP398" s="97">
        <f ca="1">_xlfn.XLOOKUP(L398,Пол!A:A,Пол!B:B,0,0)</f>
        <v>1</v>
      </c>
      <c r="AQ398" s="97">
        <f ca="1">SUMIF(Марка!A:A,G398,Марка!B:B)</f>
        <v>1</v>
      </c>
      <c r="AR398" s="97">
        <f ca="1">SUMIF(Страна!A:A,M398,Страна!B:B)</f>
        <v>1</v>
      </c>
      <c r="AS398" s="64" t="str">
        <f ca="1">IF(VLOOKUP(V398,Товары!A:B,2,FALSE)=A398,"Есть в 1С","ERR")</f>
        <v>Есть в 1С</v>
      </c>
      <c r="AT398" s="65" t="str">
        <f ca="1">IF(VLOOKUP(A398,Товары!B:B,1,FALSE)=A398,"Есть в 1С","ERR")</f>
        <v>Есть в 1С</v>
      </c>
      <c r="AU398" s="96" t="str">
        <f ca="1">VLOOKUP(V398,Товары!A:B,2,FALSE)</f>
        <v>21-018-02</v>
      </c>
      <c r="AV398" s="94" t="str">
        <f ca="1">VLOOKUP(V398,Товары!A:B,1,FALSE)</f>
        <v>Кепка BAILEY арт. 1365 GRAHAM (бежевый) {tan}</v>
      </c>
    </row>
    <row r="399" spans="1:48" x14ac:dyDescent="0.25">
      <c r="A399" s="110" t="str">
        <f t="shared" ca="1" si="42"/>
        <v>21-018-02</v>
      </c>
      <c r="B399" s="107" t="str">
        <f ca="1">_xlfn.LET(_xlpm.CAPS,0,_xlpm.Style,_xlfn.XLOOKUP($A399,Строчный!$A:$A,Строчный!B:B,"ERR",0),IF(_xlpm.CAPS=0,_xlpm.Style,LOWER(_xlpm.Style)))</f>
        <v>1365 GRAHAM</v>
      </c>
      <c r="C399" s="81" t="str">
        <f ca="1">PROPER(_xlfn.XLOOKUP($A399,Строчный!$A:$A,Строчный!C:C,"ERR",0))</f>
        <v>Кепки</v>
      </c>
      <c r="D399" s="81" t="str">
        <f ca="1">_xlfn.LET(_xlpm.DATA,(_xlfn.XLOOKUP($A399,Строчный!$A:$A,Строчный!D:D,"ERR",0)),UPPER(MID(_xlpm.DATA,1,1))&amp;LOWER(MID(_xlpm.DATA,2,LEN(_xlpm.DATA)-1)))</f>
        <v>Кепка уточка</v>
      </c>
      <c r="E399" s="81" t="str">
        <f ca="1">PROPER(_xlfn.XLOOKUP($A399,Строчный!$A:$A,Строчный!E:E,"ERR",0))</f>
        <v>The Hollywood</v>
      </c>
      <c r="F399" s="81" t="str">
        <f ca="1">LOWER(_xlfn.XLOOKUP($A399,Строчный!$A:$A,Строчный!F:F,"ERR",0))</f>
        <v>летний</v>
      </c>
      <c r="G399" s="81" t="str">
        <f ca="1">UPPER(_xlfn.XLOOKUP($A399,Строчный!$A:$A,Строчный!G:G,"ERR",0))</f>
        <v>BAILEY</v>
      </c>
      <c r="H399" s="81" t="str">
        <f ca="1">LOWER(_xlfn.XLOOKUP($A399,Строчный!$A:$A,Строчный!H:H,"ERR",0))</f>
        <v>tan</v>
      </c>
      <c r="I399" s="81" t="str">
        <f ca="1">LOWER(_xlfn.XLOOKUP($A399,Строчный!$A:$A,Строчный!I:I,"ERR",0))</f>
        <v>бежевый</v>
      </c>
      <c r="J399" s="81" t="str">
        <f ca="1">SUBSTITUTE(LOWER(_xlfn.XLOOKUP($A399,Строчный!$A:$A,Строчный!J:J,"ERR",0)),"подклад","Подклад")</f>
        <v>65% полиэстер - 35% хлопок / Подклад: 100% полиэстер</v>
      </c>
      <c r="K399" s="81" t="str">
        <f ca="1">LOWER(_xlfn.XLOOKUP($A399,Строчный!$A:$A,Строчный!K:K,"ERR",0))</f>
        <v>хлопковые</v>
      </c>
      <c r="L399" s="81" t="str">
        <f ca="1">PROPER(_xlfn.XLOOKUP($A399,Строчный!$A:$A,Строчный!L:L,"ERR",0))</f>
        <v>Унисекс</v>
      </c>
      <c r="M399" s="113" t="str">
        <f ca="1">PROPER(_xlfn.XLOOKUP($A399,Строчный!$A:$A,Строчный!M:M,"ERR",0))</f>
        <v>Китай</v>
      </c>
      <c r="N399" s="81" t="str">
        <f ca="1">UPPER(_xlfn.XLOOKUP($A399,Строчный!$A:$A,Строчный!O:O,"ERR",0))</f>
        <v/>
      </c>
      <c r="O399" s="107" t="str">
        <f ca="1">PROPER(_xlfn.XLOOKUP($A399,Строчный!$A:$A,Строчный!P:P,"ERR",0))</f>
        <v/>
      </c>
      <c r="P399" s="90">
        <f ca="1">VALUE(_xlfn.XLOOKUP($A399,Строчный!$A:$A,Строчный!N:N,"ERR",0))</f>
        <v>1649.7000000000003</v>
      </c>
      <c r="Q399" s="89" t="str">
        <f ca="1">_xlfn.XLOOKUP($G399,Фабрика!A:A,Фабрика!B:B,"ERR",0)</f>
        <v>Bollman Headwear Europe Ltd; 2 Merchants drive, Caelisle, Cumbria CA3 0JW, United Kingdom</v>
      </c>
      <c r="R399" s="80" t="str">
        <f ca="1">_xlfn.XLOOKUP(RIGHT(Z399,2),Размеры!D:D,Размеры!A:A,"ERR",0)</f>
        <v>59</v>
      </c>
      <c r="S399" s="80">
        <f ca="1">VALUE(_xlfn.XLOOKUP($Z399,Строчный!$R:$R,Строчный!T:T,"ERR",0))</f>
        <v>3</v>
      </c>
      <c r="T399" s="14" t="s">
        <v>265</v>
      </c>
      <c r="U399" s="101" t="str">
        <f t="shared" ca="1" si="38"/>
        <v>Кепка BAILEY арт. 1365 GRAHAM (бежевый)</v>
      </c>
      <c r="V399" s="100" t="str">
        <f t="shared" ca="1" si="39"/>
        <v>Кепка BAILEY арт. 1365 GRAHAM (бежевый) {tan}</v>
      </c>
      <c r="W399" s="18" t="str">
        <f t="shared" ca="1" si="40"/>
        <v>бежевый</v>
      </c>
      <c r="X399" s="18" t="str">
        <f t="shared" ca="1" si="41"/>
        <v>бежевый</v>
      </c>
      <c r="Y399" s="117" t="str">
        <f ca="1">_xlfn.LET(_xlpm.FormColors,_xlfn.XLOOKUP(A399,Строчный!A:A,Строчный!Q:Q,"",0),IF(_xlpm.FormColors=0,IFERROR(MID(I399,FIND("-",I399)+1,LEN(I399)),IFERROR(MID(I399,1,FIND("/",I399)-2),I399)),_xlpm.FormColors))</f>
        <v>бежевый</v>
      </c>
      <c r="Z399" s="73" t="str">
        <f ca="1"/>
        <v>21-018-02-59</v>
      </c>
      <c r="AA399" s="75" t="str">
        <f ca="1">VLOOKUP(C399,Группа!A:B,2,FALSE)</f>
        <v>Кепка</v>
      </c>
      <c r="AB399" s="97" t="str">
        <f ca="1">IFERROR(VLOOKUP(R399,Размеры!A:C,3,FALSE),"")</f>
        <v>59 L</v>
      </c>
      <c r="AC399" s="97" t="str">
        <f ca="1">VLOOKUP(I399,ЦветПолный!A:B,2,FALSE)</f>
        <v>02</v>
      </c>
      <c r="AD399" s="97" t="str">
        <f ca="1">IFERROR(VLOOKUP(R399,Размеры!A:D,4,FALSE),"")</f>
        <v>59</v>
      </c>
      <c r="AE399" s="97">
        <f ca="1">IF(LEFT(IFERROR(VLOOKUP(LOOKUP(2,1/SEARCH(B399,Товары!A:A),Товары!A:A),Товары!A:B,2,0),""),6)=MID(Z399,1,6),1,0)</f>
        <v>1</v>
      </c>
      <c r="AG399" s="97">
        <f ca="1">SUMIF(Группа!A:A,C399,Группа!C:C)</f>
        <v>1</v>
      </c>
      <c r="AH399" s="97">
        <f ca="1">SUMIF(Группа!B:B,AA399,Группа!C:C)</f>
        <v>1</v>
      </c>
      <c r="AI399" s="97">
        <f ca="1">SUMIF(Формы!A:A,D399,Формы!B:B)</f>
        <v>1</v>
      </c>
      <c r="AJ399" s="97">
        <f ca="1">SUMIF(Материал!A:A,K399,Материал!B:B)</f>
        <v>1</v>
      </c>
      <c r="AK399" s="97">
        <f ca="1">SUMIF(Размеры!A:A,R399,Размеры!E:E)</f>
        <v>1</v>
      </c>
      <c r="AL399" s="97">
        <f ca="1">SUMIF(Сезон!A:A,F399,Сезон!B:B)</f>
        <v>1</v>
      </c>
      <c r="AM399" s="97">
        <f ca="1">SUMIF(Состав!A:A,J399,Состав!B:B)</f>
        <v>0</v>
      </c>
      <c r="AN399" s="97">
        <f ca="1">VLOOKUP(I399,ЦветПолный!A:C,3,0)</f>
        <v>1</v>
      </c>
      <c r="AO399" s="97">
        <f ca="1">SUMIF(Цвет!A:A,Y399,Цвет!B:B)</f>
        <v>1</v>
      </c>
      <c r="AP399" s="97">
        <f ca="1">_xlfn.XLOOKUP(L399,Пол!A:A,Пол!B:B,0,0)</f>
        <v>1</v>
      </c>
      <c r="AQ399" s="97">
        <f ca="1">SUMIF(Марка!A:A,G399,Марка!B:B)</f>
        <v>1</v>
      </c>
      <c r="AR399" s="97">
        <f ca="1">SUMIF(Страна!A:A,M399,Страна!B:B)</f>
        <v>1</v>
      </c>
      <c r="AS399" s="64" t="str">
        <f ca="1">IF(VLOOKUP(V399,Товары!A:B,2,FALSE)=A399,"Есть в 1С","ERR")</f>
        <v>Есть в 1С</v>
      </c>
      <c r="AT399" s="65" t="str">
        <f ca="1">IF(VLOOKUP(A399,Товары!B:B,1,FALSE)=A399,"Есть в 1С","ERR")</f>
        <v>Есть в 1С</v>
      </c>
      <c r="AU399" s="96" t="str">
        <f ca="1">VLOOKUP(V399,Товары!A:B,2,FALSE)</f>
        <v>21-018-02</v>
      </c>
      <c r="AV399" s="94" t="str">
        <f ca="1">VLOOKUP(V399,Товары!A:B,1,FALSE)</f>
        <v>Кепка BAILEY арт. 1365 GRAHAM (бежевый) {tan}</v>
      </c>
    </row>
    <row r="400" spans="1:48" x14ac:dyDescent="0.25">
      <c r="A400" s="110" t="str">
        <f t="shared" ca="1" si="42"/>
        <v>21-012-17</v>
      </c>
      <c r="B400" s="107" t="str">
        <f ca="1">_xlfn.LET(_xlpm.CAPS,0,_xlpm.Style,_xlfn.XLOOKUP($A400,Строчный!$A:$A,Строчный!B:B,"ERR",0),IF(_xlpm.CAPS=0,_xlpm.Style,LOWER(_xlpm.Style)))</f>
        <v>7001 TINO</v>
      </c>
      <c r="C400" s="81" t="str">
        <f ca="1">PROPER(_xlfn.XLOOKUP($A400,Строчный!$A:$A,Строчный!C:C,"ERR",0))</f>
        <v>Шляпы</v>
      </c>
      <c r="D400" s="81" t="str">
        <f ca="1">_xlfn.LET(_xlpm.DATA,(_xlfn.XLOOKUP($A400,Строчный!$A:$A,Строчный!D:D,"ERR",0)),UPPER(MID(_xlpm.DATA,1,1))&amp;LOWER(MID(_xlpm.DATA,2,LEN(_xlpm.DATA)-1)))</f>
        <v>Шляпа трилби</v>
      </c>
      <c r="E400" s="81" t="str">
        <f ca="1">PROPER(_xlfn.XLOOKUP($A400,Строчный!$A:$A,Строчный!E:E,"ERR",0))</f>
        <v>The Hollywood</v>
      </c>
      <c r="F400" s="81" t="str">
        <f ca="1">LOWER(_xlfn.XLOOKUP($A400,Строчный!$A:$A,Строчный!F:F,"ERR",0))</f>
        <v>всесезон</v>
      </c>
      <c r="G400" s="81" t="str">
        <f ca="1">UPPER(_xlfn.XLOOKUP($A400,Строчный!$A:$A,Строчный!G:G,"ERR",0))</f>
        <v>BAILEY</v>
      </c>
      <c r="H400" s="81" t="str">
        <f ca="1">LOWER(_xlfn.XLOOKUP($A400,Строчный!$A:$A,Строчный!H:H,"ERR",0))</f>
        <v>contrapposto</v>
      </c>
      <c r="I400" s="81" t="str">
        <f ca="1">LOWER(_xlfn.XLOOKUP($A400,Строчный!$A:$A,Строчный!I:I,"ERR",0))</f>
        <v>белый</v>
      </c>
      <c r="J400" s="81" t="str">
        <f ca="1">SUBSTITUTE(LOWER(_xlfn.XLOOKUP($A400,Строчный!$A:$A,Строчный!J:J,"ERR",0)),"подклад","Подклад")</f>
        <v>100% шерсть</v>
      </c>
      <c r="K400" s="81" t="str">
        <f ca="1">LOWER(_xlfn.XLOOKUP($A400,Строчный!$A:$A,Строчный!K:K,"ERR",0))</f>
        <v>фетровые</v>
      </c>
      <c r="L400" s="81" t="str">
        <f ca="1">PROPER(_xlfn.XLOOKUP($A400,Строчный!$A:$A,Строчный!L:L,"ERR",0))</f>
        <v>Унисекс</v>
      </c>
      <c r="M400" s="113" t="str">
        <f ca="1">PROPER(_xlfn.XLOOKUP($A400,Строчный!$A:$A,Строчный!M:M,"ERR",0))</f>
        <v>Соединенные Штаты</v>
      </c>
      <c r="N400" s="81" t="str">
        <f ca="1">UPPER(_xlfn.XLOOKUP($A400,Строчный!$A:$A,Строчный!O:O,"ERR",0))</f>
        <v/>
      </c>
      <c r="O400" s="107" t="str">
        <f ca="1">PROPER(_xlfn.XLOOKUP($A400,Строчный!$A:$A,Строчный!P:P,"ERR",0))</f>
        <v/>
      </c>
      <c r="P400" s="90">
        <f ca="1">VALUE(_xlfn.XLOOKUP($A400,Строчный!$A:$A,Строчный!N:N,"ERR",0))</f>
        <v>702.00000000000011</v>
      </c>
      <c r="Q400" s="89" t="str">
        <f ca="1">_xlfn.XLOOKUP($G400,Фабрика!A:A,Фабрика!B:B,"ERR",0)</f>
        <v>Bollman Headwear Europe Ltd; 2 Merchants drive, Caelisle, Cumbria CA3 0JW, United Kingdom</v>
      </c>
      <c r="R400" s="80" t="str">
        <f ca="1">_xlfn.XLOOKUP(RIGHT(Z400,2),Размеры!D:D,Размеры!A:A,"ERR",0)</f>
        <v>57</v>
      </c>
      <c r="S400" s="80">
        <f ca="1">VALUE(_xlfn.XLOOKUP($Z400,Строчный!$R:$R,Строчный!T:T,"ERR",0))</f>
        <v>1</v>
      </c>
      <c r="T400" s="14" t="s">
        <v>265</v>
      </c>
      <c r="U400" s="101" t="str">
        <f t="shared" ca="1" si="38"/>
        <v>Шляпа BAILEY арт. 7001 TINO (белый)</v>
      </c>
      <c r="V400" s="100" t="str">
        <f t="shared" ca="1" si="39"/>
        <v>Шляпа BAILEY арт. 7001 TINO (белый) {contrapposto}</v>
      </c>
      <c r="W400" s="18" t="str">
        <f t="shared" ca="1" si="40"/>
        <v>белый</v>
      </c>
      <c r="X400" s="18" t="str">
        <f t="shared" ca="1" si="41"/>
        <v>белый</v>
      </c>
      <c r="Y400" s="117" t="str">
        <f ca="1">_xlfn.LET(_xlpm.FormColors,_xlfn.XLOOKUP(A400,Строчный!A:A,Строчный!Q:Q,"",0),IF(_xlpm.FormColors=0,IFERROR(MID(I400,FIND("-",I400)+1,LEN(I400)),IFERROR(MID(I400,1,FIND("/",I400)-2),I400)),_xlpm.FormColors))</f>
        <v>белый</v>
      </c>
      <c r="Z400" s="73" t="str">
        <f ca="1"/>
        <v>21-012-17-57</v>
      </c>
      <c r="AA400" s="75" t="str">
        <f ca="1">VLOOKUP(C400,Группа!A:B,2,FALSE)</f>
        <v>Шляпа</v>
      </c>
      <c r="AB400" s="97" t="str">
        <f ca="1">IFERROR(VLOOKUP(R400,Размеры!A:C,3,FALSE),"")</f>
        <v>57 M</v>
      </c>
      <c r="AC400" s="97" t="str">
        <f ca="1">VLOOKUP(I400,ЦветПолный!A:B,2,FALSE)</f>
        <v>17</v>
      </c>
      <c r="AD400" s="97" t="str">
        <f ca="1">IFERROR(VLOOKUP(R400,Размеры!A:D,4,FALSE),"")</f>
        <v>57</v>
      </c>
      <c r="AE400" s="97">
        <f ca="1">IF(LEFT(IFERROR(VLOOKUP(LOOKUP(2,1/SEARCH(B400,Товары!A:A),Товары!A:A),Товары!A:B,2,0),""),6)=MID(Z400,1,6),1,0)</f>
        <v>1</v>
      </c>
      <c r="AG400" s="97">
        <f ca="1">SUMIF(Группа!A:A,C400,Группа!C:C)</f>
        <v>1</v>
      </c>
      <c r="AH400" s="97">
        <f ca="1">SUMIF(Группа!B:B,AA400,Группа!C:C)</f>
        <v>1</v>
      </c>
      <c r="AI400" s="97">
        <f ca="1">SUMIF(Формы!A:A,D400,Формы!B:B)</f>
        <v>1</v>
      </c>
      <c r="AJ400" s="97">
        <f ca="1">SUMIF(Материал!A:A,K400,Материал!B:B)</f>
        <v>1</v>
      </c>
      <c r="AK400" s="97">
        <f ca="1">SUMIF(Размеры!A:A,R400,Размеры!E:E)</f>
        <v>1</v>
      </c>
      <c r="AL400" s="97">
        <f ca="1">SUMIF(Сезон!A:A,F400,Сезон!B:B)</f>
        <v>1</v>
      </c>
      <c r="AM400" s="97">
        <f ca="1">SUMIF(Состав!A:A,J400,Состав!B:B)</f>
        <v>1</v>
      </c>
      <c r="AN400" s="97">
        <f ca="1">VLOOKUP(I400,ЦветПолный!A:C,3,0)</f>
        <v>1</v>
      </c>
      <c r="AO400" s="97">
        <f ca="1">SUMIF(Цвет!A:A,Y400,Цвет!B:B)</f>
        <v>1</v>
      </c>
      <c r="AP400" s="97">
        <f ca="1">_xlfn.XLOOKUP(L400,Пол!A:A,Пол!B:B,0,0)</f>
        <v>1</v>
      </c>
      <c r="AQ400" s="97">
        <f ca="1">SUMIF(Марка!A:A,G400,Марка!B:B)</f>
        <v>1</v>
      </c>
      <c r="AR400" s="97">
        <f ca="1">SUMIF(Страна!A:A,M400,Страна!B:B)</f>
        <v>1</v>
      </c>
      <c r="AS400" s="64" t="e">
        <f ca="1">IF(VLOOKUP(V400,Товары!A:B,2,FALSE)=A400,"Есть в 1С","ERR")</f>
        <v>#N/A</v>
      </c>
      <c r="AT400" s="65" t="str">
        <f ca="1">IF(VLOOKUP(A400,Товары!B:B,1,FALSE)=A400,"Есть в 1С","ERR")</f>
        <v>Есть в 1С</v>
      </c>
      <c r="AU400" s="96" t="e">
        <f ca="1">VLOOKUP(V400,Товары!A:B,2,FALSE)</f>
        <v>#N/A</v>
      </c>
      <c r="AV400" s="94" t="e">
        <f ca="1">VLOOKUP(V400,Товары!A:B,1,FALSE)</f>
        <v>#N/A</v>
      </c>
    </row>
    <row r="401" spans="1:48" x14ac:dyDescent="0.25">
      <c r="A401" s="110" t="str">
        <f t="shared" ca="1" si="42"/>
        <v>21-009-19</v>
      </c>
      <c r="B401" s="107" t="str">
        <f ca="1">_xlfn.LET(_xlpm.CAPS,0,_xlpm.Style,_xlfn.XLOOKUP($A401,Строчный!$A:$A,Строчный!B:B,"ERR",0),IF(_xlpm.CAPS=0,_xlpm.Style,LOWER(_xlpm.Style)))</f>
        <v>7005 CURTIS</v>
      </c>
      <c r="C401" s="81" t="str">
        <f ca="1">PROPER(_xlfn.XLOOKUP($A401,Строчный!$A:$A,Строчный!C:C,"ERR",0))</f>
        <v>Шляпы</v>
      </c>
      <c r="D401" s="81" t="str">
        <f ca="1">_xlfn.LET(_xlpm.DATA,(_xlfn.XLOOKUP($A401,Строчный!$A:$A,Строчный!D:D,"ERR",0)),UPPER(MID(_xlpm.DATA,1,1))&amp;LOWER(MID(_xlpm.DATA,2,LEN(_xlpm.DATA)-1)))</f>
        <v>Шляпа федора</v>
      </c>
      <c r="E401" s="81" t="str">
        <f ca="1">PROPER(_xlfn.XLOOKUP($A401,Строчный!$A:$A,Строчный!E:E,"ERR",0))</f>
        <v>The Hollywood</v>
      </c>
      <c r="F401" s="81" t="str">
        <f ca="1">LOWER(_xlfn.XLOOKUP($A401,Строчный!$A:$A,Строчный!F:F,"ERR",0))</f>
        <v>всесезон</v>
      </c>
      <c r="G401" s="81" t="str">
        <f ca="1">UPPER(_xlfn.XLOOKUP($A401,Строчный!$A:$A,Строчный!G:G,"ERR",0))</f>
        <v>BAILEY</v>
      </c>
      <c r="H401" s="81" t="str">
        <f ca="1">LOWER(_xlfn.XLOOKUP($A401,Строчный!$A:$A,Строчный!H:H,"ERR",0))</f>
        <v>sea breeze</v>
      </c>
      <c r="I401" s="81" t="str">
        <f ca="1">LOWER(_xlfn.XLOOKUP($A401,Строчный!$A:$A,Строчный!I:I,"ERR",0))</f>
        <v>голубой</v>
      </c>
      <c r="J401" s="81" t="str">
        <f ca="1">SUBSTITUTE(LOWER(_xlfn.XLOOKUP($A401,Строчный!$A:$A,Строчный!J:J,"ERR",0)),"подклад","Подклад")</f>
        <v>100% шерсть</v>
      </c>
      <c r="K401" s="81" t="str">
        <f ca="1">LOWER(_xlfn.XLOOKUP($A401,Строчный!$A:$A,Строчный!K:K,"ERR",0))</f>
        <v>фетровые</v>
      </c>
      <c r="L401" s="81" t="str">
        <f ca="1">PROPER(_xlfn.XLOOKUP($A401,Строчный!$A:$A,Строчный!L:L,"ERR",0))</f>
        <v>Унисекс</v>
      </c>
      <c r="M401" s="113" t="str">
        <f ca="1">PROPER(_xlfn.XLOOKUP($A401,Строчный!$A:$A,Строчный!M:M,"ERR",0))</f>
        <v>Соединенные Штаты</v>
      </c>
      <c r="N401" s="81" t="str">
        <f ca="1">UPPER(_xlfn.XLOOKUP($A401,Строчный!$A:$A,Строчный!O:O,"ERR",0))</f>
        <v/>
      </c>
      <c r="O401" s="107" t="str">
        <f ca="1">PROPER(_xlfn.XLOOKUP($A401,Строчный!$A:$A,Строчный!P:P,"ERR",0))</f>
        <v/>
      </c>
      <c r="P401" s="90">
        <f ca="1">VALUE(_xlfn.XLOOKUP($A401,Строчный!$A:$A,Строчный!N:N,"ERR",0))</f>
        <v>702.00000000000011</v>
      </c>
      <c r="Q401" s="89" t="str">
        <f ca="1">_xlfn.XLOOKUP($G401,Фабрика!A:A,Фабрика!B:B,"ERR",0)</f>
        <v>Bollman Headwear Europe Ltd; 2 Merchants drive, Caelisle, Cumbria CA3 0JW, United Kingdom</v>
      </c>
      <c r="R401" s="80" t="str">
        <f ca="1">_xlfn.XLOOKUP(RIGHT(Z401,2),Размеры!D:D,Размеры!A:A,"ERR",0)</f>
        <v>57</v>
      </c>
      <c r="S401" s="80">
        <f ca="1">VALUE(_xlfn.XLOOKUP($Z401,Строчный!$R:$R,Строчный!T:T,"ERR",0))</f>
        <v>1</v>
      </c>
      <c r="T401" s="14" t="s">
        <v>265</v>
      </c>
      <c r="U401" s="101" t="str">
        <f t="shared" ca="1" si="38"/>
        <v>Шляпа BAILEY арт. 7005 CURTIS (голубой)</v>
      </c>
      <c r="V401" s="100" t="str">
        <f t="shared" ca="1" si="39"/>
        <v>Шляпа BAILEY арт. 7005 CURTIS (голубой) {sea breeze}</v>
      </c>
      <c r="W401" s="18" t="str">
        <f t="shared" ca="1" si="40"/>
        <v>голубой</v>
      </c>
      <c r="X401" s="18" t="str">
        <f t="shared" ca="1" si="41"/>
        <v>голубой</v>
      </c>
      <c r="Y401" s="117" t="str">
        <f ca="1">_xlfn.LET(_xlpm.FormColors,_xlfn.XLOOKUP(A401,Строчный!A:A,Строчный!Q:Q,"",0),IF(_xlpm.FormColors=0,IFERROR(MID(I401,FIND("-",I401)+1,LEN(I401)),IFERROR(MID(I401,1,FIND("/",I401)-2),I401)),_xlpm.FormColors))</f>
        <v>голубой</v>
      </c>
      <c r="Z401" s="73" t="str">
        <f ca="1"/>
        <v>21-009-19-57</v>
      </c>
      <c r="AA401" s="75" t="str">
        <f ca="1">VLOOKUP(C401,Группа!A:B,2,FALSE)</f>
        <v>Шляпа</v>
      </c>
      <c r="AB401" s="97" t="str">
        <f ca="1">IFERROR(VLOOKUP(R401,Размеры!A:C,3,FALSE),"")</f>
        <v>57 M</v>
      </c>
      <c r="AC401" s="97" t="str">
        <f ca="1">VLOOKUP(I401,ЦветПолный!A:B,2,FALSE)</f>
        <v>19</v>
      </c>
      <c r="AD401" s="97" t="str">
        <f ca="1">IFERROR(VLOOKUP(R401,Размеры!A:D,4,FALSE),"")</f>
        <v>57</v>
      </c>
      <c r="AE401" s="97">
        <f ca="1">IF(LEFT(IFERROR(VLOOKUP(LOOKUP(2,1/SEARCH(B401,Товары!A:A),Товары!A:A),Товары!A:B,2,0),""),6)=MID(Z401,1,6),1,0)</f>
        <v>1</v>
      </c>
      <c r="AG401" s="97">
        <f ca="1">SUMIF(Группа!A:A,C401,Группа!C:C)</f>
        <v>1</v>
      </c>
      <c r="AH401" s="97">
        <f ca="1">SUMIF(Группа!B:B,AA401,Группа!C:C)</f>
        <v>1</v>
      </c>
      <c r="AI401" s="97">
        <f ca="1">SUMIF(Формы!A:A,D401,Формы!B:B)</f>
        <v>1</v>
      </c>
      <c r="AJ401" s="97">
        <f ca="1">SUMIF(Материал!A:A,K401,Материал!B:B)</f>
        <v>1</v>
      </c>
      <c r="AK401" s="97">
        <f ca="1">SUMIF(Размеры!A:A,R401,Размеры!E:E)</f>
        <v>1</v>
      </c>
      <c r="AL401" s="97">
        <f ca="1">SUMIF(Сезон!A:A,F401,Сезон!B:B)</f>
        <v>1</v>
      </c>
      <c r="AM401" s="97">
        <f ca="1">SUMIF(Состав!A:A,J401,Состав!B:B)</f>
        <v>1</v>
      </c>
      <c r="AN401" s="97">
        <f ca="1">VLOOKUP(I401,ЦветПолный!A:C,3,0)</f>
        <v>1</v>
      </c>
      <c r="AO401" s="97">
        <f ca="1">SUMIF(Цвет!A:A,Y401,Цвет!B:B)</f>
        <v>1</v>
      </c>
      <c r="AP401" s="97">
        <f ca="1">_xlfn.XLOOKUP(L401,Пол!A:A,Пол!B:B,0,0)</f>
        <v>1</v>
      </c>
      <c r="AQ401" s="97">
        <f ca="1">SUMIF(Марка!A:A,G401,Марка!B:B)</f>
        <v>1</v>
      </c>
      <c r="AR401" s="97">
        <f ca="1">SUMIF(Страна!A:A,M401,Страна!B:B)</f>
        <v>1</v>
      </c>
      <c r="AS401" s="64" t="e">
        <f ca="1">IF(VLOOKUP(V401,Товары!A:B,2,FALSE)=A401,"Есть в 1С","ERR")</f>
        <v>#N/A</v>
      </c>
      <c r="AT401" s="65" t="str">
        <f ca="1">IF(VLOOKUP(A401,Товары!B:B,1,FALSE)=A401,"Есть в 1С","ERR")</f>
        <v>Есть в 1С</v>
      </c>
      <c r="AU401" s="96" t="e">
        <f ca="1">VLOOKUP(V401,Товары!A:B,2,FALSE)</f>
        <v>#N/A</v>
      </c>
      <c r="AV401" s="94" t="e">
        <f ca="1">VLOOKUP(V401,Товары!A:B,1,FALSE)</f>
        <v>#N/A</v>
      </c>
    </row>
  </sheetData>
  <autoFilter ref="G1:AV401" xr:uid="{00000000-0009-0000-0000-000000000000}"/>
  <conditionalFormatting sqref="AS2">
    <cfRule type="expression" dxfId="52" priority="36">
      <formula>IFERROR(AS2,TRUE)</formula>
    </cfRule>
  </conditionalFormatting>
  <conditionalFormatting sqref="AS3:AS401">
    <cfRule type="expression" dxfId="51" priority="35">
      <formula>IFERROR(AS3,TRUE)</formula>
    </cfRule>
  </conditionalFormatting>
  <conditionalFormatting sqref="AT2">
    <cfRule type="expression" dxfId="50" priority="34">
      <formula>IFERROR(AT2,TRUE)</formula>
    </cfRule>
  </conditionalFormatting>
  <conditionalFormatting sqref="AT3:AT401">
    <cfRule type="expression" dxfId="49" priority="33">
      <formula>IFERROR(AT3,TRUE)</formula>
    </cfRule>
  </conditionalFormatting>
  <conditionalFormatting sqref="AG2 AE1:AE1048576">
    <cfRule type="cellIs" dxfId="48" priority="32" operator="lessThan">
      <formula>1</formula>
    </cfRule>
  </conditionalFormatting>
  <conditionalFormatting sqref="AB2:AR2 AN3:AN401 AP3:AP401">
    <cfRule type="cellIs" dxfId="47" priority="31" operator="lessThan">
      <formula>1</formula>
    </cfRule>
  </conditionalFormatting>
  <conditionalFormatting sqref="AB3:AM401 AO3:AO401 AQ3:AR401">
    <cfRule type="cellIs" dxfId="46" priority="30" operator="lessThan">
      <formula>1</formula>
    </cfRule>
  </conditionalFormatting>
  <conditionalFormatting sqref="Y2:Y1048576">
    <cfRule type="expression" dxfId="45" priority="29">
      <formula>_xludf.isFormula(Y2)</formula>
    </cfRule>
  </conditionalFormatting>
  <conditionalFormatting sqref="AU2">
    <cfRule type="expression" dxfId="44" priority="28">
      <formula>IFERROR(AU2,TRUE)</formula>
    </cfRule>
  </conditionalFormatting>
  <conditionalFormatting sqref="AU3:AV401">
    <cfRule type="expression" dxfId="43" priority="27">
      <formula>IFERROR(AU3,TRUE)</formula>
    </cfRule>
  </conditionalFormatting>
  <conditionalFormatting sqref="AV2">
    <cfRule type="expression" dxfId="42" priority="26">
      <formula>IFERROR(AV2,TRUE)</formula>
    </cfRule>
  </conditionalFormatting>
  <conditionalFormatting sqref="AD2">
    <cfRule type="expression" dxfId="41" priority="21">
      <formula>IF(AD2="00",TRUE,FALSE)</formula>
    </cfRule>
    <cfRule type="expression" dxfId="40" priority="24">
      <formula>ISNUMBER(AD2)</formula>
    </cfRule>
    <cfRule type="expression" dxfId="39" priority="25">
      <formula>IF(AD2="",TRUE,FALSE)</formula>
    </cfRule>
  </conditionalFormatting>
  <conditionalFormatting sqref="AC2:AC401">
    <cfRule type="expression" dxfId="38" priority="22">
      <formula>IF(AC2="00",TRUE,FALSE)</formula>
    </cfRule>
    <cfRule type="expression" dxfId="37" priority="23">
      <formula>ISNUMBER(AC2)</formula>
    </cfRule>
  </conditionalFormatting>
  <conditionalFormatting sqref="AD3:AD401">
    <cfRule type="expression" dxfId="36" priority="18">
      <formula>IF(AD3="00",TRUE,FALSE)</formula>
    </cfRule>
    <cfRule type="expression" dxfId="35" priority="19">
      <formula>ISNUMBER(AD3)</formula>
    </cfRule>
    <cfRule type="expression" dxfId="34" priority="20">
      <formula>IF(AD3="",TRUE,FALSE)</formula>
    </cfRule>
  </conditionalFormatting>
  <conditionalFormatting sqref="AB2">
    <cfRule type="expression" dxfId="33" priority="12">
      <formula>IF(AB2="",TRUE,FALSE)</formula>
    </cfRule>
    <cfRule type="expression" dxfId="32" priority="13">
      <formula>IFERROR(AB2,TRUE)</formula>
    </cfRule>
  </conditionalFormatting>
  <conditionalFormatting sqref="AB3:AB401">
    <cfRule type="expression" dxfId="31" priority="10">
      <formula>IF(AB3="",TRUE,FALSE)</formula>
    </cfRule>
    <cfRule type="expression" dxfId="30" priority="11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28704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28276</v>
      </c>
      <c r="C3" s="131" t="s">
        <v>25309</v>
      </c>
      <c r="D3" s="119" t="s">
        <v>28276</v>
      </c>
      <c r="E3" s="119">
        <v>1</v>
      </c>
    </row>
    <row r="4" spans="1:5" x14ac:dyDescent="0.2">
      <c r="A4" s="131" t="s">
        <v>28345</v>
      </c>
      <c r="C4" s="131" t="s">
        <v>25310</v>
      </c>
      <c r="D4" s="119" t="s">
        <v>28345</v>
      </c>
      <c r="E4" s="119">
        <v>1</v>
      </c>
    </row>
    <row r="5" spans="1:5" x14ac:dyDescent="0.2">
      <c r="A5" s="131" t="s">
        <v>28313</v>
      </c>
      <c r="C5" s="131" t="s">
        <v>25311</v>
      </c>
      <c r="D5" s="119" t="s">
        <v>28313</v>
      </c>
      <c r="E5" s="119">
        <v>1</v>
      </c>
    </row>
    <row r="6" spans="1:5" x14ac:dyDescent="0.2">
      <c r="A6" s="131" t="s">
        <v>28306</v>
      </c>
      <c r="C6" s="131" t="s">
        <v>25312</v>
      </c>
      <c r="D6" s="119" t="s">
        <v>28306</v>
      </c>
      <c r="E6" s="119">
        <v>1</v>
      </c>
    </row>
    <row r="7" spans="1:5" x14ac:dyDescent="0.2">
      <c r="A7" s="131" t="s">
        <v>28390</v>
      </c>
      <c r="C7" s="131" t="s">
        <v>25313</v>
      </c>
      <c r="D7" s="119" t="s">
        <v>28390</v>
      </c>
      <c r="E7" s="119">
        <v>1</v>
      </c>
    </row>
    <row r="8" spans="1:5" x14ac:dyDescent="0.2">
      <c r="A8" s="131" t="s">
        <v>28432</v>
      </c>
      <c r="C8" s="131" t="s">
        <v>25314</v>
      </c>
      <c r="D8" s="119" t="s">
        <v>28432</v>
      </c>
      <c r="E8" s="119">
        <v>1</v>
      </c>
    </row>
    <row r="9" spans="1:5" x14ac:dyDescent="0.2">
      <c r="A9" s="131" t="s">
        <v>28386</v>
      </c>
      <c r="C9" s="131" t="s">
        <v>25315</v>
      </c>
      <c r="D9" s="119" t="s">
        <v>28386</v>
      </c>
      <c r="E9" s="119">
        <v>1</v>
      </c>
    </row>
    <row r="10" spans="1:5" x14ac:dyDescent="0.2">
      <c r="A10" s="131" t="s">
        <v>28309</v>
      </c>
      <c r="C10" s="131" t="s">
        <v>25316</v>
      </c>
      <c r="D10" s="119" t="s">
        <v>28309</v>
      </c>
      <c r="E10" s="119">
        <v>1</v>
      </c>
    </row>
    <row r="11" spans="1:5" x14ac:dyDescent="0.2">
      <c r="A11" s="131" t="s">
        <v>28391</v>
      </c>
      <c r="C11" s="131" t="s">
        <v>25317</v>
      </c>
      <c r="D11" s="119" t="s">
        <v>28391</v>
      </c>
      <c r="E11" s="119">
        <v>1</v>
      </c>
    </row>
    <row r="12" spans="1:5" x14ac:dyDescent="0.2">
      <c r="A12" s="131" t="s">
        <v>28273</v>
      </c>
      <c r="C12" s="131" t="s">
        <v>25318</v>
      </c>
      <c r="D12" s="119" t="s">
        <v>28273</v>
      </c>
      <c r="E12" s="119">
        <v>1</v>
      </c>
    </row>
    <row r="13" spans="1:5" x14ac:dyDescent="0.2">
      <c r="A13" s="131" t="s">
        <v>28436</v>
      </c>
      <c r="C13" s="131" t="s">
        <v>25319</v>
      </c>
      <c r="D13" s="119" t="s">
        <v>28436</v>
      </c>
      <c r="E13" s="119">
        <v>1</v>
      </c>
    </row>
    <row r="14" spans="1:5" x14ac:dyDescent="0.2">
      <c r="A14" s="131" t="s">
        <v>28320</v>
      </c>
      <c r="C14" s="131" t="s">
        <v>25320</v>
      </c>
      <c r="D14" s="119" t="s">
        <v>28320</v>
      </c>
      <c r="E14" s="119">
        <v>1</v>
      </c>
    </row>
    <row r="15" spans="1:5" x14ac:dyDescent="0.2">
      <c r="A15" s="131" t="s">
        <v>28266</v>
      </c>
      <c r="C15" s="131" t="s">
        <v>25321</v>
      </c>
      <c r="D15" s="119" t="s">
        <v>28266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28319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28270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28389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28367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28284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28358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28276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28345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28313</v>
      </c>
      <c r="E25" s="119">
        <v>1</v>
      </c>
    </row>
    <row r="26" spans="1:5" x14ac:dyDescent="0.2">
      <c r="A26" s="119" t="s">
        <v>28705</v>
      </c>
      <c r="C26" s="119" t="s">
        <v>28705</v>
      </c>
      <c r="D26" s="119" t="s">
        <v>28705</v>
      </c>
      <c r="E26" s="119">
        <v>1</v>
      </c>
    </row>
    <row r="27" spans="1:5" x14ac:dyDescent="0.2">
      <c r="A27" s="119" t="s">
        <v>28706</v>
      </c>
      <c r="C27" s="119" t="s">
        <v>28706</v>
      </c>
      <c r="D27" s="119" t="s">
        <v>28266</v>
      </c>
      <c r="E27" s="119">
        <v>1</v>
      </c>
    </row>
    <row r="28" spans="1:5" x14ac:dyDescent="0.2">
      <c r="A28" s="119" t="s">
        <v>28707</v>
      </c>
      <c r="C28" s="119" t="s">
        <v>28707</v>
      </c>
      <c r="D28" s="119" t="s">
        <v>25332</v>
      </c>
      <c r="E28" s="119">
        <v>1</v>
      </c>
    </row>
    <row r="29" spans="1:5" x14ac:dyDescent="0.2">
      <c r="A29" s="119" t="s">
        <v>28708</v>
      </c>
      <c r="C29" s="119" t="s">
        <v>28708</v>
      </c>
      <c r="D29" s="119" t="s">
        <v>28289</v>
      </c>
      <c r="E29" s="119">
        <v>1</v>
      </c>
    </row>
    <row r="30" spans="1:5" x14ac:dyDescent="0.2">
      <c r="A30" s="119" t="s">
        <v>28709</v>
      </c>
      <c r="C30" s="119" t="s">
        <v>28709</v>
      </c>
      <c r="D30" s="119" t="s">
        <v>25333</v>
      </c>
      <c r="E30" s="119">
        <v>1</v>
      </c>
    </row>
    <row r="31" spans="1:5" x14ac:dyDescent="0.2">
      <c r="A31" s="119" t="s">
        <v>28710</v>
      </c>
      <c r="C31" s="119" t="s">
        <v>28710</v>
      </c>
      <c r="D31" s="119" t="s">
        <v>28408</v>
      </c>
      <c r="E31" s="119">
        <v>1</v>
      </c>
    </row>
    <row r="32" spans="1:5" ht="12.6" customHeight="1" x14ac:dyDescent="0.2">
      <c r="A32" s="119">
        <v>9</v>
      </c>
      <c r="C32" s="119" t="s">
        <v>28713</v>
      </c>
      <c r="D32" s="119" t="s">
        <v>25334</v>
      </c>
      <c r="E32" s="119">
        <v>1</v>
      </c>
    </row>
    <row r="33" spans="1:5" ht="12.6" customHeight="1" x14ac:dyDescent="0.2">
      <c r="A33" s="119" t="s">
        <v>28711</v>
      </c>
      <c r="C33" s="119" t="s">
        <v>28711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28281</v>
      </c>
      <c r="D34" s="119" t="s">
        <v>28281</v>
      </c>
      <c r="E34" s="119">
        <v>1</v>
      </c>
    </row>
    <row r="35" spans="1:5" x14ac:dyDescent="0.2">
      <c r="A35" s="119" t="s">
        <v>28712</v>
      </c>
      <c r="C35" s="119" t="s">
        <v>28712</v>
      </c>
      <c r="D35" s="119" t="s">
        <v>28334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28282</v>
      </c>
      <c r="E36" s="119">
        <v>1</v>
      </c>
    </row>
    <row r="37" spans="1:5" x14ac:dyDescent="0.2">
      <c r="A37" s="131" t="s">
        <v>28280</v>
      </c>
      <c r="C37" s="131" t="s">
        <v>28280</v>
      </c>
      <c r="D37" s="119" t="s">
        <v>28280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1"/>
  <sheetViews>
    <sheetView workbookViewId="0">
      <selection activeCell="E5" sqref="E5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28704</v>
      </c>
    </row>
    <row r="2" spans="1:3" x14ac:dyDescent="0.25">
      <c r="A2" s="140" t="s">
        <v>141</v>
      </c>
      <c r="B2" s="125" t="s">
        <v>28255</v>
      </c>
      <c r="C2" s="125">
        <v>1</v>
      </c>
    </row>
    <row r="3" spans="1:3" x14ac:dyDescent="0.25">
      <c r="A3" s="125" t="s">
        <v>27</v>
      </c>
      <c r="B3" s="125" t="s">
        <v>28256</v>
      </c>
      <c r="C3" s="125">
        <v>1</v>
      </c>
    </row>
    <row r="4" spans="1:3" x14ac:dyDescent="0.25">
      <c r="A4" s="125" t="s">
        <v>58</v>
      </c>
      <c r="B4" s="125" t="s">
        <v>28257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28258</v>
      </c>
      <c r="C6" s="125">
        <v>1</v>
      </c>
    </row>
    <row r="7" spans="1:3" x14ac:dyDescent="0.25">
      <c r="A7" s="125" t="s">
        <v>28259</v>
      </c>
      <c r="B7" s="125" t="s">
        <v>28256</v>
      </c>
      <c r="C7" s="125">
        <v>1</v>
      </c>
    </row>
    <row r="8" spans="1:3" x14ac:dyDescent="0.25">
      <c r="A8" s="125" t="s">
        <v>220</v>
      </c>
      <c r="B8" s="125" t="s">
        <v>28260</v>
      </c>
      <c r="C8" s="125">
        <v>1</v>
      </c>
    </row>
    <row r="9" spans="1:3" x14ac:dyDescent="0.25">
      <c r="A9" s="125" t="s">
        <v>100</v>
      </c>
      <c r="B9" s="125" t="s">
        <v>28261</v>
      </c>
      <c r="C9" s="125">
        <v>1</v>
      </c>
    </row>
    <row r="10" spans="1:3" x14ac:dyDescent="0.25">
      <c r="A10" s="125" t="s">
        <v>147</v>
      </c>
      <c r="B10" s="125" t="s">
        <v>28262</v>
      </c>
      <c r="C10" s="125">
        <v>1</v>
      </c>
    </row>
    <row r="11" spans="1:3" x14ac:dyDescent="0.25">
      <c r="A11" s="125" t="s">
        <v>26</v>
      </c>
      <c r="B11" s="125" t="s">
        <v>28263</v>
      </c>
      <c r="C11" s="125">
        <v>1</v>
      </c>
    </row>
    <row r="12" spans="1:3" x14ac:dyDescent="0.25">
      <c r="A12" s="125" t="s">
        <v>23</v>
      </c>
      <c r="B12" s="125" t="s">
        <v>28264</v>
      </c>
      <c r="C12" s="125">
        <v>1</v>
      </c>
    </row>
    <row r="13" spans="1:3" x14ac:dyDescent="0.25">
      <c r="A13" s="125" t="s">
        <v>28265</v>
      </c>
      <c r="B13" s="125" t="s">
        <v>28266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28267</v>
      </c>
      <c r="C15" s="125">
        <v>1</v>
      </c>
    </row>
    <row r="16" spans="1:3" x14ac:dyDescent="0.25">
      <c r="A16" s="125" t="s">
        <v>201</v>
      </c>
      <c r="B16" s="125" t="s">
        <v>28268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28269</v>
      </c>
      <c r="C18" s="125">
        <v>1</v>
      </c>
    </row>
    <row r="19" spans="1:3" x14ac:dyDescent="0.25">
      <c r="A19" s="125" t="s">
        <v>25367</v>
      </c>
      <c r="B19" s="125" t="s">
        <v>28267</v>
      </c>
      <c r="C19" s="125">
        <v>1</v>
      </c>
    </row>
    <row r="20" spans="1:3" x14ac:dyDescent="0.25">
      <c r="A20" s="125" t="s">
        <v>107</v>
      </c>
      <c r="B20" s="125" t="s">
        <v>28270</v>
      </c>
      <c r="C20" s="125">
        <v>1</v>
      </c>
    </row>
    <row r="21" spans="1:3" x14ac:dyDescent="0.25">
      <c r="A21" s="125" t="s">
        <v>25472</v>
      </c>
      <c r="B21" s="125" t="s">
        <v>28271</v>
      </c>
      <c r="C21" s="125">
        <v>1</v>
      </c>
    </row>
    <row r="22" spans="1:3" x14ac:dyDescent="0.25">
      <c r="A22" s="125" t="s">
        <v>96</v>
      </c>
      <c r="B22" s="125" t="s">
        <v>28272</v>
      </c>
      <c r="C22" s="125">
        <v>1</v>
      </c>
    </row>
    <row r="23" spans="1:3" x14ac:dyDescent="0.25">
      <c r="A23" s="125" t="s">
        <v>27813</v>
      </c>
      <c r="B23" s="125" t="s">
        <v>28272</v>
      </c>
      <c r="C23" s="125">
        <v>1</v>
      </c>
    </row>
    <row r="24" spans="1:3" x14ac:dyDescent="0.25">
      <c r="A24" s="125" t="s">
        <v>97</v>
      </c>
      <c r="B24" s="125" t="s">
        <v>28273</v>
      </c>
      <c r="C24" s="125">
        <v>1</v>
      </c>
    </row>
    <row r="25" spans="1:3" x14ac:dyDescent="0.25">
      <c r="A25" s="125" t="s">
        <v>130</v>
      </c>
      <c r="B25" s="125" t="s">
        <v>28274</v>
      </c>
      <c r="C25" s="125">
        <v>1</v>
      </c>
    </row>
    <row r="26" spans="1:3" x14ac:dyDescent="0.25">
      <c r="A26" s="125" t="s">
        <v>28275</v>
      </c>
      <c r="B26" s="125" t="s">
        <v>28273</v>
      </c>
      <c r="C26" s="125">
        <v>1</v>
      </c>
    </row>
    <row r="27" spans="1:3" x14ac:dyDescent="0.25">
      <c r="A27" s="125" t="s">
        <v>25535</v>
      </c>
      <c r="B27" s="125" t="s">
        <v>28276</v>
      </c>
      <c r="C27" s="125">
        <v>1</v>
      </c>
    </row>
    <row r="28" spans="1:3" x14ac:dyDescent="0.25">
      <c r="A28" s="125" t="s">
        <v>25489</v>
      </c>
      <c r="B28" s="125" t="s">
        <v>28256</v>
      </c>
      <c r="C28" s="125">
        <v>1</v>
      </c>
    </row>
    <row r="29" spans="1:3" x14ac:dyDescent="0.25">
      <c r="A29" s="125" t="s">
        <v>25428</v>
      </c>
      <c r="B29" s="125" t="s">
        <v>28255</v>
      </c>
      <c r="C29" s="125">
        <v>1</v>
      </c>
    </row>
    <row r="30" spans="1:3" x14ac:dyDescent="0.25">
      <c r="A30" s="125" t="s">
        <v>25510</v>
      </c>
      <c r="B30" s="125" t="s">
        <v>28255</v>
      </c>
      <c r="C30" s="125">
        <v>1</v>
      </c>
    </row>
    <row r="31" spans="1:3" x14ac:dyDescent="0.25">
      <c r="A31" s="125" t="s">
        <v>137</v>
      </c>
      <c r="B31" s="125" t="s">
        <v>28277</v>
      </c>
      <c r="C31" s="125">
        <v>1</v>
      </c>
    </row>
    <row r="32" spans="1:3" x14ac:dyDescent="0.25">
      <c r="A32" s="125" t="s">
        <v>167</v>
      </c>
      <c r="B32" s="125" t="s">
        <v>28278</v>
      </c>
      <c r="C32" s="125">
        <v>1</v>
      </c>
    </row>
    <row r="33" spans="1:3" x14ac:dyDescent="0.25">
      <c r="A33" s="125" t="s">
        <v>28279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28280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28281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28255</v>
      </c>
      <c r="C39" s="125">
        <v>1</v>
      </c>
    </row>
    <row r="40" spans="1:3" x14ac:dyDescent="0.25">
      <c r="A40" s="125" t="s">
        <v>210</v>
      </c>
      <c r="B40" s="125" t="s">
        <v>28277</v>
      </c>
      <c r="C40" s="125">
        <v>1</v>
      </c>
    </row>
    <row r="41" spans="1:3" x14ac:dyDescent="0.25">
      <c r="A41" s="125" t="s">
        <v>25387</v>
      </c>
      <c r="B41" s="125" t="s">
        <v>28262</v>
      </c>
      <c r="C41" s="125">
        <v>1</v>
      </c>
    </row>
    <row r="42" spans="1:3" x14ac:dyDescent="0.25">
      <c r="A42" s="125" t="s">
        <v>197</v>
      </c>
      <c r="B42" s="125" t="s">
        <v>28282</v>
      </c>
      <c r="C42" s="125">
        <v>1</v>
      </c>
    </row>
    <row r="43" spans="1:3" x14ac:dyDescent="0.25">
      <c r="A43" s="125" t="s">
        <v>28283</v>
      </c>
      <c r="B43" s="125" t="s">
        <v>28284</v>
      </c>
      <c r="C43" s="125">
        <v>1</v>
      </c>
    </row>
    <row r="44" spans="1:3" x14ac:dyDescent="0.25">
      <c r="A44" s="125" t="s">
        <v>25532</v>
      </c>
      <c r="B44" s="125" t="s">
        <v>28269</v>
      </c>
      <c r="C44" s="125">
        <v>1</v>
      </c>
    </row>
    <row r="45" spans="1:3" x14ac:dyDescent="0.25">
      <c r="A45" s="125" t="s">
        <v>28285</v>
      </c>
      <c r="B45" s="125" t="s">
        <v>28267</v>
      </c>
      <c r="C45" s="125">
        <v>1</v>
      </c>
    </row>
    <row r="46" spans="1:3" x14ac:dyDescent="0.25">
      <c r="A46" s="125" t="s">
        <v>28286</v>
      </c>
      <c r="B46" s="125" t="s">
        <v>28287</v>
      </c>
      <c r="C46" s="125">
        <v>1</v>
      </c>
    </row>
    <row r="47" spans="1:3" x14ac:dyDescent="0.25">
      <c r="A47" s="125" t="s">
        <v>25471</v>
      </c>
      <c r="B47" s="125" t="s">
        <v>28288</v>
      </c>
      <c r="C47" s="125">
        <v>1</v>
      </c>
    </row>
    <row r="48" spans="1:3" x14ac:dyDescent="0.25">
      <c r="A48" s="125" t="s">
        <v>25374</v>
      </c>
      <c r="B48" s="125" t="s">
        <v>28271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28281</v>
      </c>
      <c r="C50" s="125">
        <v>1</v>
      </c>
    </row>
    <row r="51" spans="1:3" x14ac:dyDescent="0.25">
      <c r="A51" s="125" t="s">
        <v>25481</v>
      </c>
      <c r="B51" s="125" t="s">
        <v>28289</v>
      </c>
      <c r="C51" s="125">
        <v>1</v>
      </c>
    </row>
    <row r="52" spans="1:3" x14ac:dyDescent="0.25">
      <c r="A52" s="125" t="s">
        <v>25485</v>
      </c>
      <c r="B52" s="125" t="s">
        <v>28290</v>
      </c>
      <c r="C52" s="125">
        <v>1</v>
      </c>
    </row>
    <row r="53" spans="1:3" x14ac:dyDescent="0.25">
      <c r="A53" s="125" t="s">
        <v>25410</v>
      </c>
      <c r="B53" s="125" t="s">
        <v>28282</v>
      </c>
      <c r="C53" s="125">
        <v>1</v>
      </c>
    </row>
    <row r="54" spans="1:3" x14ac:dyDescent="0.25">
      <c r="A54" s="125" t="s">
        <v>25394</v>
      </c>
      <c r="B54" s="125" t="s">
        <v>28291</v>
      </c>
      <c r="C54" s="125">
        <v>1</v>
      </c>
    </row>
    <row r="55" spans="1:3" x14ac:dyDescent="0.25">
      <c r="A55" s="125" t="s">
        <v>28292</v>
      </c>
      <c r="B55" s="125" t="s">
        <v>28291</v>
      </c>
      <c r="C55" s="125">
        <v>1</v>
      </c>
    </row>
    <row r="56" spans="1:3" x14ac:dyDescent="0.25">
      <c r="A56" s="125" t="s">
        <v>28293</v>
      </c>
      <c r="B56" s="125" t="s">
        <v>28258</v>
      </c>
      <c r="C56" s="125">
        <v>1</v>
      </c>
    </row>
    <row r="57" spans="1:3" x14ac:dyDescent="0.25">
      <c r="A57" s="125" t="s">
        <v>25492</v>
      </c>
      <c r="B57" s="125" t="s">
        <v>28267</v>
      </c>
      <c r="C57" s="125">
        <v>1</v>
      </c>
    </row>
    <row r="58" spans="1:3" x14ac:dyDescent="0.25">
      <c r="A58" s="125" t="s">
        <v>28294</v>
      </c>
      <c r="B58" s="125" t="s">
        <v>28295</v>
      </c>
      <c r="C58" s="125">
        <v>1</v>
      </c>
    </row>
    <row r="59" spans="1:3" x14ac:dyDescent="0.25">
      <c r="A59" s="125" t="s">
        <v>28296</v>
      </c>
      <c r="B59" s="125" t="s">
        <v>28297</v>
      </c>
      <c r="C59" s="125">
        <v>1</v>
      </c>
    </row>
    <row r="60" spans="1:3" x14ac:dyDescent="0.25">
      <c r="A60" s="125" t="s">
        <v>25515</v>
      </c>
      <c r="B60" s="125" t="s">
        <v>28298</v>
      </c>
      <c r="C60" s="125">
        <v>1</v>
      </c>
    </row>
    <row r="61" spans="1:3" x14ac:dyDescent="0.25">
      <c r="A61" s="125" t="s">
        <v>25337</v>
      </c>
      <c r="B61" s="125" t="s">
        <v>28299</v>
      </c>
      <c r="C61" s="125">
        <v>1</v>
      </c>
    </row>
    <row r="62" spans="1:3" x14ac:dyDescent="0.25">
      <c r="A62" s="125" t="s">
        <v>25354</v>
      </c>
      <c r="B62" s="125" t="s">
        <v>28268</v>
      </c>
      <c r="C62" s="125">
        <v>1</v>
      </c>
    </row>
    <row r="63" spans="1:3" x14ac:dyDescent="0.25">
      <c r="A63" s="125" t="s">
        <v>25337</v>
      </c>
      <c r="B63" s="125" t="s">
        <v>28258</v>
      </c>
      <c r="C63" s="125">
        <v>1</v>
      </c>
    </row>
    <row r="64" spans="1:3" x14ac:dyDescent="0.25">
      <c r="A64" s="125" t="s">
        <v>25433</v>
      </c>
      <c r="B64" s="125" t="s">
        <v>28277</v>
      </c>
      <c r="C64" s="125">
        <v>1</v>
      </c>
    </row>
    <row r="65" spans="1:3" x14ac:dyDescent="0.25">
      <c r="A65" s="125" t="s">
        <v>25367</v>
      </c>
      <c r="B65" s="125" t="s">
        <v>28300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28267</v>
      </c>
      <c r="C67" s="125">
        <v>1</v>
      </c>
    </row>
    <row r="68" spans="1:3" x14ac:dyDescent="0.25">
      <c r="A68" s="125" t="s">
        <v>25446</v>
      </c>
      <c r="B68" s="125" t="s">
        <v>28301</v>
      </c>
      <c r="C68" s="125">
        <v>1</v>
      </c>
    </row>
    <row r="69" spans="1:3" x14ac:dyDescent="0.25">
      <c r="A69" s="125" t="s">
        <v>28302</v>
      </c>
      <c r="B69" s="125" t="s">
        <v>28289</v>
      </c>
      <c r="C69" s="125">
        <v>1</v>
      </c>
    </row>
    <row r="70" spans="1:3" x14ac:dyDescent="0.25">
      <c r="A70" s="125" t="s">
        <v>28303</v>
      </c>
      <c r="B70" s="125" t="s">
        <v>28258</v>
      </c>
      <c r="C70" s="125">
        <v>1</v>
      </c>
    </row>
    <row r="71" spans="1:3" x14ac:dyDescent="0.25">
      <c r="A71" s="125" t="s">
        <v>25531</v>
      </c>
      <c r="B71" s="125" t="s">
        <v>28304</v>
      </c>
      <c r="C71" s="125">
        <v>1</v>
      </c>
    </row>
    <row r="72" spans="1:3" x14ac:dyDescent="0.25">
      <c r="A72" s="125" t="s">
        <v>28305</v>
      </c>
      <c r="B72" s="125" t="s">
        <v>28291</v>
      </c>
      <c r="C72" s="125">
        <v>1</v>
      </c>
    </row>
    <row r="73" spans="1:3" x14ac:dyDescent="0.25">
      <c r="A73" s="125" t="s">
        <v>25525</v>
      </c>
      <c r="B73" s="125" t="s">
        <v>28306</v>
      </c>
      <c r="C73" s="125">
        <v>1</v>
      </c>
    </row>
    <row r="74" spans="1:3" x14ac:dyDescent="0.25">
      <c r="A74" s="125" t="s">
        <v>25537</v>
      </c>
      <c r="B74" s="125" t="s">
        <v>28307</v>
      </c>
      <c r="C74" s="125">
        <v>1</v>
      </c>
    </row>
    <row r="75" spans="1:3" x14ac:dyDescent="0.25">
      <c r="A75" s="125" t="s">
        <v>28308</v>
      </c>
      <c r="B75" s="125" t="s">
        <v>28309</v>
      </c>
      <c r="C75" s="125">
        <v>1</v>
      </c>
    </row>
    <row r="76" spans="1:3" x14ac:dyDescent="0.25">
      <c r="A76" s="125" t="s">
        <v>25497</v>
      </c>
      <c r="B76" s="125" t="s">
        <v>28310</v>
      </c>
      <c r="C76" s="125">
        <v>1</v>
      </c>
    </row>
    <row r="77" spans="1:3" x14ac:dyDescent="0.25">
      <c r="A77" s="125" t="s">
        <v>28308</v>
      </c>
      <c r="B77" s="125" t="s">
        <v>28311</v>
      </c>
      <c r="C77" s="125">
        <v>1</v>
      </c>
    </row>
    <row r="78" spans="1:3" x14ac:dyDescent="0.25">
      <c r="A78" s="125" t="s">
        <v>28312</v>
      </c>
      <c r="B78" s="125" t="s">
        <v>28313</v>
      </c>
      <c r="C78" s="125">
        <v>1</v>
      </c>
    </row>
    <row r="79" spans="1:3" x14ac:dyDescent="0.25">
      <c r="A79" s="125" t="s">
        <v>25517</v>
      </c>
      <c r="B79" s="125" t="s">
        <v>28314</v>
      </c>
      <c r="C79" s="125">
        <v>1</v>
      </c>
    </row>
    <row r="80" spans="1:3" x14ac:dyDescent="0.25">
      <c r="A80" s="125" t="s">
        <v>97</v>
      </c>
      <c r="B80" s="125" t="s">
        <v>28269</v>
      </c>
      <c r="C80" s="125">
        <v>1</v>
      </c>
    </row>
    <row r="81" spans="1:3" x14ac:dyDescent="0.25">
      <c r="A81" s="125" t="s">
        <v>200</v>
      </c>
      <c r="B81" s="125" t="s">
        <v>28315</v>
      </c>
      <c r="C81" s="125">
        <v>1</v>
      </c>
    </row>
    <row r="82" spans="1:3" x14ac:dyDescent="0.25">
      <c r="A82" s="125" t="s">
        <v>28316</v>
      </c>
      <c r="B82" s="125" t="s">
        <v>28317</v>
      </c>
      <c r="C82" s="125">
        <v>1</v>
      </c>
    </row>
    <row r="83" spans="1:3" x14ac:dyDescent="0.25">
      <c r="A83" s="125" t="s">
        <v>52</v>
      </c>
      <c r="B83" s="125" t="s">
        <v>28318</v>
      </c>
      <c r="C83" s="125">
        <v>1</v>
      </c>
    </row>
    <row r="84" spans="1:3" x14ac:dyDescent="0.25">
      <c r="A84" s="125" t="s">
        <v>25363</v>
      </c>
      <c r="B84" s="125" t="s">
        <v>28319</v>
      </c>
      <c r="C84" s="125">
        <v>1</v>
      </c>
    </row>
    <row r="85" spans="1:3" x14ac:dyDescent="0.25">
      <c r="A85" s="125" t="s">
        <v>25484</v>
      </c>
      <c r="B85" s="125" t="s">
        <v>28320</v>
      </c>
      <c r="C85" s="125">
        <v>1</v>
      </c>
    </row>
    <row r="86" spans="1:3" x14ac:dyDescent="0.25">
      <c r="A86" s="125" t="s">
        <v>54</v>
      </c>
      <c r="B86" s="125" t="s">
        <v>28256</v>
      </c>
      <c r="C86" s="125">
        <v>1</v>
      </c>
    </row>
    <row r="87" spans="1:3" x14ac:dyDescent="0.25">
      <c r="A87" s="125" t="s">
        <v>28</v>
      </c>
      <c r="B87" s="125" t="s">
        <v>28321</v>
      </c>
      <c r="C87" s="125">
        <v>1</v>
      </c>
    </row>
    <row r="88" spans="1:3" x14ac:dyDescent="0.25">
      <c r="A88" s="125" t="s">
        <v>25452</v>
      </c>
      <c r="B88" s="125" t="s">
        <v>28321</v>
      </c>
      <c r="C88" s="125">
        <v>1</v>
      </c>
    </row>
    <row r="89" spans="1:3" x14ac:dyDescent="0.25">
      <c r="A89" s="125" t="s">
        <v>22</v>
      </c>
      <c r="B89" s="125" t="s">
        <v>28322</v>
      </c>
      <c r="C89" s="125">
        <v>1</v>
      </c>
    </row>
    <row r="90" spans="1:3" x14ac:dyDescent="0.25">
      <c r="A90" s="125" t="s">
        <v>123</v>
      </c>
      <c r="B90" s="125" t="s">
        <v>28282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28277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28310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28323</v>
      </c>
      <c r="B97" s="125" t="s">
        <v>25334</v>
      </c>
      <c r="C97" s="125">
        <v>1</v>
      </c>
    </row>
    <row r="98" spans="1:3" x14ac:dyDescent="0.25">
      <c r="A98" s="125" t="s">
        <v>27815</v>
      </c>
      <c r="B98" s="125" t="s">
        <v>28256</v>
      </c>
      <c r="C98" s="125">
        <v>1</v>
      </c>
    </row>
    <row r="99" spans="1:3" x14ac:dyDescent="0.25">
      <c r="A99" s="125" t="s">
        <v>28324</v>
      </c>
      <c r="B99" s="125" t="s">
        <v>28264</v>
      </c>
      <c r="C99" s="125">
        <v>1</v>
      </c>
    </row>
    <row r="100" spans="1:3" x14ac:dyDescent="0.25">
      <c r="A100" s="125" t="s">
        <v>25362</v>
      </c>
      <c r="B100" s="125" t="s">
        <v>28261</v>
      </c>
      <c r="C100" s="125">
        <v>1</v>
      </c>
    </row>
    <row r="101" spans="1:3" x14ac:dyDescent="0.25">
      <c r="A101" s="125" t="s">
        <v>28325</v>
      </c>
      <c r="B101" s="125" t="s">
        <v>28264</v>
      </c>
      <c r="C101" s="125">
        <v>1</v>
      </c>
    </row>
    <row r="102" spans="1:3" x14ac:dyDescent="0.25">
      <c r="A102" s="125" t="s">
        <v>25475</v>
      </c>
      <c r="B102" s="125" t="s">
        <v>28290</v>
      </c>
      <c r="C102" s="125">
        <v>1</v>
      </c>
    </row>
    <row r="103" spans="1:3" x14ac:dyDescent="0.25">
      <c r="A103" s="125" t="s">
        <v>200</v>
      </c>
      <c r="B103" s="125" t="s">
        <v>28320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28326</v>
      </c>
      <c r="C106" s="125">
        <v>1</v>
      </c>
    </row>
    <row r="107" spans="1:3" x14ac:dyDescent="0.25">
      <c r="A107" s="125" t="s">
        <v>1</v>
      </c>
      <c r="B107" s="125" t="s">
        <v>28264</v>
      </c>
      <c r="C107" s="125">
        <v>1</v>
      </c>
    </row>
    <row r="108" spans="1:3" x14ac:dyDescent="0.25">
      <c r="A108" s="125" t="s">
        <v>36</v>
      </c>
      <c r="B108" s="125" t="s">
        <v>28256</v>
      </c>
      <c r="C108" s="125">
        <v>1</v>
      </c>
    </row>
    <row r="109" spans="1:3" x14ac:dyDescent="0.25">
      <c r="A109" s="125" t="s">
        <v>25367</v>
      </c>
      <c r="B109" s="125" t="s">
        <v>28261</v>
      </c>
      <c r="C109" s="125">
        <v>1</v>
      </c>
    </row>
    <row r="110" spans="1:3" x14ac:dyDescent="0.25">
      <c r="A110" s="125" t="s">
        <v>25447</v>
      </c>
      <c r="B110" s="125" t="s">
        <v>28282</v>
      </c>
      <c r="C110" s="125">
        <v>1</v>
      </c>
    </row>
    <row r="111" spans="1:3" x14ac:dyDescent="0.25">
      <c r="A111" s="125" t="s">
        <v>25420</v>
      </c>
      <c r="B111" s="125" t="s">
        <v>28277</v>
      </c>
      <c r="C111" s="125">
        <v>1</v>
      </c>
    </row>
    <row r="112" spans="1:3" x14ac:dyDescent="0.25">
      <c r="A112" s="125" t="s">
        <v>28327</v>
      </c>
      <c r="B112" s="125" t="s">
        <v>28257</v>
      </c>
      <c r="C112" s="125">
        <v>1</v>
      </c>
    </row>
    <row r="113" spans="1:3" x14ac:dyDescent="0.25">
      <c r="A113" s="125" t="s">
        <v>58</v>
      </c>
      <c r="B113" s="125" t="s">
        <v>28322</v>
      </c>
      <c r="C113" s="125">
        <v>1</v>
      </c>
    </row>
    <row r="114" spans="1:3" x14ac:dyDescent="0.25">
      <c r="A114" s="125" t="s">
        <v>28328</v>
      </c>
      <c r="B114" s="125" t="s">
        <v>28322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28329</v>
      </c>
      <c r="B116" s="125" t="s">
        <v>28314</v>
      </c>
      <c r="C116" s="125">
        <v>1</v>
      </c>
    </row>
    <row r="117" spans="1:3" x14ac:dyDescent="0.25">
      <c r="A117" s="125" t="s">
        <v>25538</v>
      </c>
      <c r="B117" s="125" t="s">
        <v>28256</v>
      </c>
      <c r="C117" s="125">
        <v>1</v>
      </c>
    </row>
    <row r="118" spans="1:3" x14ac:dyDescent="0.25">
      <c r="A118" s="125" t="s">
        <v>22</v>
      </c>
      <c r="B118" s="125" t="s">
        <v>28263</v>
      </c>
      <c r="C118" s="125">
        <v>1</v>
      </c>
    </row>
    <row r="119" spans="1:3" x14ac:dyDescent="0.25">
      <c r="A119" s="125" t="s">
        <v>35</v>
      </c>
      <c r="B119" s="125" t="s">
        <v>28322</v>
      </c>
      <c r="C119" s="125">
        <v>1</v>
      </c>
    </row>
    <row r="120" spans="1:3" x14ac:dyDescent="0.25">
      <c r="A120" s="125" t="s">
        <v>171</v>
      </c>
      <c r="B120" s="125" t="s">
        <v>28270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28269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28330</v>
      </c>
      <c r="C124" s="125">
        <v>1</v>
      </c>
    </row>
    <row r="125" spans="1:3" x14ac:dyDescent="0.25">
      <c r="A125" s="125" t="s">
        <v>28331</v>
      </c>
      <c r="B125" s="125" t="s">
        <v>28290</v>
      </c>
      <c r="C125" s="125">
        <v>1</v>
      </c>
    </row>
    <row r="126" spans="1:3" x14ac:dyDescent="0.25">
      <c r="A126" s="125" t="s">
        <v>25373</v>
      </c>
      <c r="B126" s="125" t="s">
        <v>28332</v>
      </c>
      <c r="C126" s="125">
        <v>1</v>
      </c>
    </row>
    <row r="127" spans="1:3" x14ac:dyDescent="0.25">
      <c r="A127" s="125" t="s">
        <v>25521</v>
      </c>
      <c r="B127" s="125" t="s">
        <v>28333</v>
      </c>
      <c r="C127" s="125">
        <v>1</v>
      </c>
    </row>
    <row r="128" spans="1:3" x14ac:dyDescent="0.25">
      <c r="A128" s="125" t="s">
        <v>28449</v>
      </c>
      <c r="B128" s="125" t="s">
        <v>28333</v>
      </c>
      <c r="C128" s="125">
        <v>1</v>
      </c>
    </row>
    <row r="129" spans="1:3" x14ac:dyDescent="0.25">
      <c r="A129" s="125" t="s">
        <v>55</v>
      </c>
      <c r="B129" s="125" t="s">
        <v>28322</v>
      </c>
      <c r="C129" s="125">
        <v>1</v>
      </c>
    </row>
    <row r="130" spans="1:3" x14ac:dyDescent="0.25">
      <c r="A130" s="125" t="s">
        <v>43</v>
      </c>
      <c r="B130" s="125" t="s">
        <v>28334</v>
      </c>
      <c r="C130" s="125">
        <v>1</v>
      </c>
    </row>
    <row r="131" spans="1:3" x14ac:dyDescent="0.25">
      <c r="A131" s="125" t="s">
        <v>1</v>
      </c>
      <c r="B131" s="125" t="s">
        <v>28263</v>
      </c>
      <c r="C131" s="125">
        <v>1</v>
      </c>
    </row>
    <row r="132" spans="1:3" x14ac:dyDescent="0.25">
      <c r="A132" s="125" t="s">
        <v>25490</v>
      </c>
      <c r="B132" s="125" t="s">
        <v>28289</v>
      </c>
      <c r="C132" s="125">
        <v>1</v>
      </c>
    </row>
    <row r="133" spans="1:3" x14ac:dyDescent="0.25">
      <c r="A133" s="125" t="s">
        <v>28335</v>
      </c>
      <c r="B133" s="125" t="s">
        <v>28336</v>
      </c>
      <c r="C133" s="125">
        <v>1</v>
      </c>
    </row>
    <row r="134" spans="1:3" x14ac:dyDescent="0.25">
      <c r="A134" s="125" t="s">
        <v>29</v>
      </c>
      <c r="B134" s="125" t="s">
        <v>28318</v>
      </c>
      <c r="C134" s="125">
        <v>1</v>
      </c>
    </row>
    <row r="135" spans="1:3" x14ac:dyDescent="0.25">
      <c r="A135" s="125" t="s">
        <v>42</v>
      </c>
      <c r="B135" s="125" t="s">
        <v>28276</v>
      </c>
      <c r="C135" s="125">
        <v>1</v>
      </c>
    </row>
    <row r="136" spans="1:3" x14ac:dyDescent="0.25">
      <c r="A136" s="125" t="s">
        <v>28337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28262</v>
      </c>
      <c r="C138" s="125">
        <v>1</v>
      </c>
    </row>
    <row r="139" spans="1:3" x14ac:dyDescent="0.25">
      <c r="A139" s="125" t="s">
        <v>28338</v>
      </c>
      <c r="B139" s="125" t="s">
        <v>28260</v>
      </c>
      <c r="C139" s="125">
        <v>1</v>
      </c>
    </row>
    <row r="140" spans="1:3" x14ac:dyDescent="0.25">
      <c r="A140" s="125" t="s">
        <v>25365</v>
      </c>
      <c r="B140" s="125" t="s">
        <v>28280</v>
      </c>
      <c r="C140" s="125">
        <v>1</v>
      </c>
    </row>
    <row r="141" spans="1:3" x14ac:dyDescent="0.25">
      <c r="A141" s="125" t="s">
        <v>28</v>
      </c>
      <c r="B141" s="125" t="s">
        <v>28322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28264</v>
      </c>
      <c r="C145" s="125">
        <v>1</v>
      </c>
    </row>
    <row r="146" spans="1:3" x14ac:dyDescent="0.25">
      <c r="A146" s="125" t="s">
        <v>22</v>
      </c>
      <c r="B146" s="125" t="s">
        <v>28282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28339</v>
      </c>
      <c r="B148" s="125" t="s">
        <v>28282</v>
      </c>
      <c r="C148" s="125">
        <v>1</v>
      </c>
    </row>
    <row r="149" spans="1:3" x14ac:dyDescent="0.25">
      <c r="A149" s="125" t="s">
        <v>99</v>
      </c>
      <c r="B149" s="125" t="s">
        <v>28310</v>
      </c>
      <c r="C149" s="125">
        <v>1</v>
      </c>
    </row>
    <row r="150" spans="1:3" x14ac:dyDescent="0.25">
      <c r="A150" s="125" t="s">
        <v>25424</v>
      </c>
      <c r="B150" s="125" t="s">
        <v>28322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28334</v>
      </c>
      <c r="C152" s="125">
        <v>1</v>
      </c>
    </row>
    <row r="153" spans="1:3" x14ac:dyDescent="0.25">
      <c r="A153" s="125" t="s">
        <v>220</v>
      </c>
      <c r="B153" s="125" t="s">
        <v>28282</v>
      </c>
      <c r="C153" s="125">
        <v>1</v>
      </c>
    </row>
    <row r="154" spans="1:3" x14ac:dyDescent="0.25">
      <c r="A154" s="125" t="s">
        <v>194</v>
      </c>
      <c r="B154" s="125" t="s">
        <v>28261</v>
      </c>
      <c r="C154" s="125">
        <v>1</v>
      </c>
    </row>
    <row r="155" spans="1:3" x14ac:dyDescent="0.25">
      <c r="A155" s="125" t="s">
        <v>25437</v>
      </c>
      <c r="B155" s="125" t="s">
        <v>28333</v>
      </c>
      <c r="C155" s="125">
        <v>1</v>
      </c>
    </row>
    <row r="156" spans="1:3" x14ac:dyDescent="0.25">
      <c r="A156" s="125" t="s">
        <v>25396</v>
      </c>
      <c r="B156" s="125" t="s">
        <v>28340</v>
      </c>
      <c r="C156" s="125">
        <v>1</v>
      </c>
    </row>
    <row r="157" spans="1:3" x14ac:dyDescent="0.25">
      <c r="A157" s="125" t="s">
        <v>27</v>
      </c>
      <c r="B157" s="125" t="s">
        <v>28264</v>
      </c>
      <c r="C157" s="125">
        <v>1</v>
      </c>
    </row>
    <row r="158" spans="1:3" x14ac:dyDescent="0.25">
      <c r="A158" s="125" t="s">
        <v>167</v>
      </c>
      <c r="B158" s="125" t="s">
        <v>28322</v>
      </c>
      <c r="C158" s="125">
        <v>1</v>
      </c>
    </row>
    <row r="159" spans="1:3" x14ac:dyDescent="0.25">
      <c r="A159" s="125" t="s">
        <v>25481</v>
      </c>
      <c r="B159" s="125" t="s">
        <v>28255</v>
      </c>
      <c r="C159" s="125">
        <v>1</v>
      </c>
    </row>
    <row r="160" spans="1:3" x14ac:dyDescent="0.25">
      <c r="A160" s="125" t="s">
        <v>25440</v>
      </c>
      <c r="B160" s="125" t="s">
        <v>28261</v>
      </c>
      <c r="C160" s="125">
        <v>1</v>
      </c>
    </row>
    <row r="161" spans="1:3" x14ac:dyDescent="0.25">
      <c r="A161" s="125" t="s">
        <v>28341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28270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28314</v>
      </c>
      <c r="C165" s="125">
        <v>1</v>
      </c>
    </row>
    <row r="166" spans="1:3" x14ac:dyDescent="0.25">
      <c r="A166" s="125" t="s">
        <v>27815</v>
      </c>
      <c r="B166" s="125" t="s">
        <v>28264</v>
      </c>
      <c r="C166" s="125">
        <v>1</v>
      </c>
    </row>
    <row r="167" spans="1:3" x14ac:dyDescent="0.25">
      <c r="A167" s="125" t="s">
        <v>25461</v>
      </c>
      <c r="B167" s="125" t="s">
        <v>28257</v>
      </c>
      <c r="C167" s="125">
        <v>1</v>
      </c>
    </row>
    <row r="168" spans="1:3" x14ac:dyDescent="0.25">
      <c r="A168" s="125" t="s">
        <v>210</v>
      </c>
      <c r="B168" s="125" t="s">
        <v>28255</v>
      </c>
      <c r="C168" s="125">
        <v>1</v>
      </c>
    </row>
    <row r="169" spans="1:3" x14ac:dyDescent="0.25">
      <c r="A169" s="125" t="s">
        <v>25374</v>
      </c>
      <c r="B169" s="125" t="s">
        <v>28342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28343</v>
      </c>
      <c r="C172" s="125">
        <v>1</v>
      </c>
    </row>
    <row r="173" spans="1:3" x14ac:dyDescent="0.25">
      <c r="A173" s="125" t="s">
        <v>25403</v>
      </c>
      <c r="B173" s="125" t="s">
        <v>28343</v>
      </c>
      <c r="C173" s="125">
        <v>1</v>
      </c>
    </row>
    <row r="174" spans="1:3" x14ac:dyDescent="0.25">
      <c r="A174" s="125" t="s">
        <v>41</v>
      </c>
      <c r="B174" s="125" t="s">
        <v>28297</v>
      </c>
      <c r="C174" s="125">
        <v>1</v>
      </c>
    </row>
    <row r="175" spans="1:3" x14ac:dyDescent="0.25">
      <c r="A175" s="125" t="s">
        <v>28344</v>
      </c>
      <c r="B175" s="125" t="s">
        <v>28261</v>
      </c>
      <c r="C175" s="125">
        <v>1</v>
      </c>
    </row>
    <row r="176" spans="1:3" x14ac:dyDescent="0.25">
      <c r="A176" s="125" t="s">
        <v>25513</v>
      </c>
      <c r="B176" s="125" t="s">
        <v>28290</v>
      </c>
      <c r="C176" s="125">
        <v>1</v>
      </c>
    </row>
    <row r="177" spans="1:3" x14ac:dyDescent="0.25">
      <c r="A177" s="125" t="s">
        <v>25514</v>
      </c>
      <c r="B177" s="125" t="s">
        <v>28298</v>
      </c>
      <c r="C177" s="125">
        <v>1</v>
      </c>
    </row>
    <row r="178" spans="1:3" x14ac:dyDescent="0.25">
      <c r="A178" s="125" t="s">
        <v>25419</v>
      </c>
      <c r="B178" s="125" t="s">
        <v>25308</v>
      </c>
      <c r="C178" s="125">
        <v>1</v>
      </c>
    </row>
    <row r="179" spans="1:3" x14ac:dyDescent="0.25">
      <c r="A179" s="125" t="s">
        <v>25417</v>
      </c>
      <c r="B179" s="125" t="s">
        <v>28322</v>
      </c>
      <c r="C179" s="125">
        <v>1</v>
      </c>
    </row>
    <row r="180" spans="1:3" x14ac:dyDescent="0.25">
      <c r="A180" s="125" t="s">
        <v>25375</v>
      </c>
      <c r="B180" s="125" t="s">
        <v>28345</v>
      </c>
      <c r="C180" s="125">
        <v>1</v>
      </c>
    </row>
    <row r="181" spans="1:3" x14ac:dyDescent="0.25">
      <c r="A181" s="125" t="s">
        <v>25414</v>
      </c>
      <c r="B181" s="125" t="s">
        <v>28322</v>
      </c>
      <c r="C181" s="125">
        <v>1</v>
      </c>
    </row>
    <row r="182" spans="1:3" x14ac:dyDescent="0.25">
      <c r="A182" s="125" t="s">
        <v>171</v>
      </c>
      <c r="B182" s="125" t="s">
        <v>25334</v>
      </c>
      <c r="C182" s="125">
        <v>1</v>
      </c>
    </row>
    <row r="183" spans="1:3" x14ac:dyDescent="0.25">
      <c r="A183" s="125" t="s">
        <v>25469</v>
      </c>
      <c r="B183" s="125" t="s">
        <v>28346</v>
      </c>
      <c r="C183" s="125">
        <v>1</v>
      </c>
    </row>
    <row r="184" spans="1:3" x14ac:dyDescent="0.25">
      <c r="A184" s="125" t="s">
        <v>25462</v>
      </c>
      <c r="B184" s="125" t="s">
        <v>28271</v>
      </c>
      <c r="C184" s="125">
        <v>1</v>
      </c>
    </row>
    <row r="185" spans="1:3" x14ac:dyDescent="0.25">
      <c r="A185" s="125" t="s">
        <v>28</v>
      </c>
      <c r="B185" s="125" t="s">
        <v>28261</v>
      </c>
      <c r="C185" s="125">
        <v>1</v>
      </c>
    </row>
    <row r="186" spans="1:3" x14ac:dyDescent="0.25">
      <c r="A186" s="125" t="s">
        <v>25365</v>
      </c>
      <c r="B186" s="125" t="s">
        <v>28284</v>
      </c>
      <c r="C186" s="125">
        <v>1</v>
      </c>
    </row>
    <row r="187" spans="1:3" x14ac:dyDescent="0.25">
      <c r="A187" s="125" t="s">
        <v>97</v>
      </c>
      <c r="B187" s="125" t="s">
        <v>28257</v>
      </c>
      <c r="C187" s="125">
        <v>1</v>
      </c>
    </row>
    <row r="188" spans="1:3" x14ac:dyDescent="0.25">
      <c r="A188" s="125" t="s">
        <v>104</v>
      </c>
      <c r="B188" s="125" t="s">
        <v>28257</v>
      </c>
      <c r="C188" s="125">
        <v>1</v>
      </c>
    </row>
    <row r="189" spans="1:3" x14ac:dyDescent="0.25">
      <c r="A189" s="125" t="s">
        <v>25438</v>
      </c>
      <c r="B189" s="125" t="s">
        <v>28288</v>
      </c>
      <c r="C189" s="125">
        <v>1</v>
      </c>
    </row>
    <row r="190" spans="1:3" x14ac:dyDescent="0.25">
      <c r="A190" s="125" t="s">
        <v>28347</v>
      </c>
      <c r="B190" s="125" t="s">
        <v>28288</v>
      </c>
      <c r="C190" s="125">
        <v>1</v>
      </c>
    </row>
    <row r="191" spans="1:3" x14ac:dyDescent="0.25">
      <c r="A191" s="125" t="s">
        <v>25407</v>
      </c>
      <c r="B191" s="125" t="s">
        <v>28291</v>
      </c>
      <c r="C191" s="125">
        <v>1</v>
      </c>
    </row>
    <row r="192" spans="1:3" x14ac:dyDescent="0.25">
      <c r="A192" s="125" t="s">
        <v>25345</v>
      </c>
      <c r="B192" s="125" t="s">
        <v>28348</v>
      </c>
      <c r="C192" s="125">
        <v>1</v>
      </c>
    </row>
    <row r="193" spans="1:3" x14ac:dyDescent="0.25">
      <c r="A193" s="125" t="s">
        <v>27</v>
      </c>
      <c r="B193" s="125" t="s">
        <v>28262</v>
      </c>
      <c r="C193" s="125">
        <v>1</v>
      </c>
    </row>
    <row r="194" spans="1:3" x14ac:dyDescent="0.25">
      <c r="A194" s="125" t="s">
        <v>25485</v>
      </c>
      <c r="B194" s="125" t="s">
        <v>28346</v>
      </c>
      <c r="C194" s="125">
        <v>1</v>
      </c>
    </row>
    <row r="195" spans="1:3" x14ac:dyDescent="0.25">
      <c r="A195" s="125" t="s">
        <v>27</v>
      </c>
      <c r="B195" s="125" t="s">
        <v>28261</v>
      </c>
      <c r="C195" s="125">
        <v>1</v>
      </c>
    </row>
    <row r="196" spans="1:3" x14ac:dyDescent="0.25">
      <c r="A196" s="125" t="s">
        <v>23</v>
      </c>
      <c r="B196" s="125" t="s">
        <v>28256</v>
      </c>
      <c r="C196" s="125">
        <v>1</v>
      </c>
    </row>
    <row r="197" spans="1:3" x14ac:dyDescent="0.25">
      <c r="A197" s="125" t="s">
        <v>25542</v>
      </c>
      <c r="B197" s="125" t="s">
        <v>28262</v>
      </c>
      <c r="C197" s="125">
        <v>1</v>
      </c>
    </row>
    <row r="198" spans="1:3" x14ac:dyDescent="0.25">
      <c r="A198" s="125" t="s">
        <v>25532</v>
      </c>
      <c r="B198" s="125" t="s">
        <v>28291</v>
      </c>
      <c r="C198" s="125">
        <v>1</v>
      </c>
    </row>
    <row r="199" spans="1:3" x14ac:dyDescent="0.25">
      <c r="A199" s="125" t="s">
        <v>54</v>
      </c>
      <c r="B199" s="125" t="s">
        <v>28262</v>
      </c>
      <c r="C199" s="125">
        <v>1</v>
      </c>
    </row>
    <row r="200" spans="1:3" x14ac:dyDescent="0.25">
      <c r="A200" s="125" t="s">
        <v>25459</v>
      </c>
      <c r="B200" s="125" t="s">
        <v>28349</v>
      </c>
      <c r="C200" s="125">
        <v>1</v>
      </c>
    </row>
    <row r="201" spans="1:3" x14ac:dyDescent="0.25">
      <c r="A201" s="125" t="s">
        <v>52</v>
      </c>
      <c r="B201" s="125" t="s">
        <v>28322</v>
      </c>
      <c r="C201" s="125">
        <v>1</v>
      </c>
    </row>
    <row r="202" spans="1:3" x14ac:dyDescent="0.25">
      <c r="A202" s="125" t="s">
        <v>25499</v>
      </c>
      <c r="B202" s="125" t="s">
        <v>28350</v>
      </c>
      <c r="C202" s="125">
        <v>1</v>
      </c>
    </row>
    <row r="203" spans="1:3" x14ac:dyDescent="0.25">
      <c r="A203" s="125" t="s">
        <v>25348</v>
      </c>
      <c r="B203" s="125" t="s">
        <v>28345</v>
      </c>
      <c r="C203" s="125">
        <v>1</v>
      </c>
    </row>
    <row r="204" spans="1:3" x14ac:dyDescent="0.25">
      <c r="A204" s="125" t="s">
        <v>25366</v>
      </c>
      <c r="B204" s="125" t="s">
        <v>28291</v>
      </c>
      <c r="C204" s="125">
        <v>1</v>
      </c>
    </row>
    <row r="205" spans="1:3" x14ac:dyDescent="0.25">
      <c r="A205" s="125" t="s">
        <v>25490</v>
      </c>
      <c r="B205" s="125" t="s">
        <v>28256</v>
      </c>
      <c r="C205" s="125">
        <v>1</v>
      </c>
    </row>
    <row r="206" spans="1:3" x14ac:dyDescent="0.25">
      <c r="A206" s="125" t="s">
        <v>25400</v>
      </c>
      <c r="B206" s="125" t="s">
        <v>28280</v>
      </c>
      <c r="C206" s="125">
        <v>1</v>
      </c>
    </row>
    <row r="207" spans="1:3" x14ac:dyDescent="0.25">
      <c r="A207" s="125" t="s">
        <v>130</v>
      </c>
      <c r="B207" s="125" t="s">
        <v>28256</v>
      </c>
      <c r="C207" s="125">
        <v>1</v>
      </c>
    </row>
    <row r="208" spans="1:3" x14ac:dyDescent="0.25">
      <c r="A208" s="125" t="s">
        <v>25393</v>
      </c>
      <c r="B208" s="125" t="s">
        <v>28291</v>
      </c>
      <c r="C208" s="125">
        <v>1</v>
      </c>
    </row>
    <row r="209" spans="1:3" x14ac:dyDescent="0.25">
      <c r="A209" s="125" t="s">
        <v>25346</v>
      </c>
      <c r="B209" s="125" t="s">
        <v>28348</v>
      </c>
      <c r="C209" s="125">
        <v>1</v>
      </c>
    </row>
    <row r="210" spans="1:3" x14ac:dyDescent="0.25">
      <c r="A210" s="125" t="s">
        <v>25392</v>
      </c>
      <c r="B210" s="125" t="s">
        <v>28269</v>
      </c>
      <c r="C210" s="125">
        <v>1</v>
      </c>
    </row>
    <row r="211" spans="1:3" x14ac:dyDescent="0.25">
      <c r="A211" s="125" t="s">
        <v>25478</v>
      </c>
      <c r="B211" s="125" t="s">
        <v>28297</v>
      </c>
      <c r="C211" s="125">
        <v>1</v>
      </c>
    </row>
    <row r="212" spans="1:3" x14ac:dyDescent="0.25">
      <c r="A212" s="125" t="s">
        <v>25347</v>
      </c>
      <c r="B212" s="125" t="s">
        <v>28345</v>
      </c>
      <c r="C212" s="125">
        <v>1</v>
      </c>
    </row>
    <row r="213" spans="1:3" x14ac:dyDescent="0.25">
      <c r="A213" s="125" t="s">
        <v>25421</v>
      </c>
      <c r="B213" s="125" t="s">
        <v>28348</v>
      </c>
      <c r="C213" s="125">
        <v>1</v>
      </c>
    </row>
    <row r="214" spans="1:3" x14ac:dyDescent="0.25">
      <c r="A214" s="125" t="s">
        <v>25540</v>
      </c>
      <c r="B214" s="125" t="s">
        <v>28262</v>
      </c>
      <c r="C214" s="125">
        <v>1</v>
      </c>
    </row>
    <row r="215" spans="1:3" x14ac:dyDescent="0.25">
      <c r="A215" s="125" t="s">
        <v>25430</v>
      </c>
      <c r="B215" s="125" t="s">
        <v>28351</v>
      </c>
      <c r="C215" s="125">
        <v>1</v>
      </c>
    </row>
    <row r="216" spans="1:3" x14ac:dyDescent="0.25">
      <c r="A216" s="125" t="s">
        <v>215</v>
      </c>
      <c r="B216" s="125" t="s">
        <v>28334</v>
      </c>
      <c r="C216" s="125">
        <v>1</v>
      </c>
    </row>
    <row r="217" spans="1:3" x14ac:dyDescent="0.25">
      <c r="A217" s="125" t="s">
        <v>54</v>
      </c>
      <c r="B217" s="125" t="s">
        <v>25332</v>
      </c>
      <c r="C217" s="125">
        <v>1</v>
      </c>
    </row>
    <row r="218" spans="1:3" x14ac:dyDescent="0.25">
      <c r="A218" s="125" t="s">
        <v>25525</v>
      </c>
      <c r="B218" s="125" t="s">
        <v>25308</v>
      </c>
      <c r="C218" s="125">
        <v>1</v>
      </c>
    </row>
    <row r="219" spans="1:3" x14ac:dyDescent="0.25">
      <c r="A219" s="125" t="s">
        <v>25463</v>
      </c>
      <c r="B219" s="125" t="s">
        <v>28336</v>
      </c>
      <c r="C219" s="125">
        <v>1</v>
      </c>
    </row>
    <row r="220" spans="1:3" x14ac:dyDescent="0.25">
      <c r="A220" s="125" t="s">
        <v>28450</v>
      </c>
      <c r="B220" s="125" t="s">
        <v>28336</v>
      </c>
      <c r="C220" s="125">
        <v>1</v>
      </c>
    </row>
    <row r="221" spans="1:3" x14ac:dyDescent="0.25">
      <c r="A221" s="125" t="s">
        <v>25531</v>
      </c>
      <c r="B221" s="125" t="s">
        <v>25334</v>
      </c>
      <c r="C221" s="125">
        <v>1</v>
      </c>
    </row>
    <row r="222" spans="1:3" x14ac:dyDescent="0.25">
      <c r="A222" s="125" t="s">
        <v>29</v>
      </c>
      <c r="B222" s="125" t="s">
        <v>28352</v>
      </c>
      <c r="C222" s="125">
        <v>1</v>
      </c>
    </row>
    <row r="223" spans="1:3" x14ac:dyDescent="0.25">
      <c r="A223" s="125" t="s">
        <v>22</v>
      </c>
      <c r="B223" s="125" t="s">
        <v>28257</v>
      </c>
      <c r="C223" s="125">
        <v>1</v>
      </c>
    </row>
    <row r="224" spans="1:3" x14ac:dyDescent="0.25">
      <c r="A224" s="125" t="s">
        <v>25487</v>
      </c>
      <c r="B224" s="125" t="s">
        <v>25335</v>
      </c>
      <c r="C224" s="125">
        <v>1</v>
      </c>
    </row>
    <row r="225" spans="1:3" x14ac:dyDescent="0.25">
      <c r="A225" s="125" t="s">
        <v>25423</v>
      </c>
      <c r="B225" s="125" t="s">
        <v>28309</v>
      </c>
      <c r="C225" s="125">
        <v>1</v>
      </c>
    </row>
    <row r="226" spans="1:3" x14ac:dyDescent="0.25">
      <c r="A226" s="125" t="s">
        <v>27</v>
      </c>
      <c r="B226" s="125" t="s">
        <v>28310</v>
      </c>
      <c r="C226" s="125">
        <v>1</v>
      </c>
    </row>
    <row r="227" spans="1:3" x14ac:dyDescent="0.25">
      <c r="A227" s="125" t="s">
        <v>25494</v>
      </c>
      <c r="B227" s="125" t="s">
        <v>28345</v>
      </c>
      <c r="C227" s="125">
        <v>1</v>
      </c>
    </row>
    <row r="228" spans="1:3" x14ac:dyDescent="0.25">
      <c r="A228" s="125" t="s">
        <v>25542</v>
      </c>
      <c r="B228" s="125" t="s">
        <v>25308</v>
      </c>
      <c r="C228" s="125">
        <v>1</v>
      </c>
    </row>
    <row r="229" spans="1:3" x14ac:dyDescent="0.25">
      <c r="A229" s="125" t="s">
        <v>25431</v>
      </c>
      <c r="B229" s="125" t="s">
        <v>28255</v>
      </c>
      <c r="C229" s="125">
        <v>1</v>
      </c>
    </row>
    <row r="230" spans="1:3" x14ac:dyDescent="0.25">
      <c r="A230" s="125" t="s">
        <v>25491</v>
      </c>
      <c r="B230" s="125" t="s">
        <v>28256</v>
      </c>
      <c r="C230" s="125">
        <v>1</v>
      </c>
    </row>
    <row r="231" spans="1:3" x14ac:dyDescent="0.25">
      <c r="A231" s="125" t="s">
        <v>28353</v>
      </c>
      <c r="B231" s="125" t="s">
        <v>28261</v>
      </c>
      <c r="C231" s="125">
        <v>1</v>
      </c>
    </row>
    <row r="232" spans="1:3" x14ac:dyDescent="0.25">
      <c r="A232" s="125" t="s">
        <v>25367</v>
      </c>
      <c r="B232" s="125" t="s">
        <v>25308</v>
      </c>
      <c r="C232" s="125">
        <v>1</v>
      </c>
    </row>
    <row r="233" spans="1:3" x14ac:dyDescent="0.25">
      <c r="A233" s="125" t="s">
        <v>25364</v>
      </c>
      <c r="B233" s="125" t="s">
        <v>25308</v>
      </c>
      <c r="C233" s="125">
        <v>1</v>
      </c>
    </row>
    <row r="234" spans="1:3" x14ac:dyDescent="0.25">
      <c r="A234" s="125" t="s">
        <v>25416</v>
      </c>
      <c r="B234" s="125" t="s">
        <v>28354</v>
      </c>
      <c r="C234" s="125">
        <v>1</v>
      </c>
    </row>
    <row r="235" spans="1:3" x14ac:dyDescent="0.25">
      <c r="A235" s="125" t="s">
        <v>27814</v>
      </c>
      <c r="B235" s="125" t="s">
        <v>28264</v>
      </c>
      <c r="C235" s="125">
        <v>1</v>
      </c>
    </row>
    <row r="236" spans="1:3" x14ac:dyDescent="0.25">
      <c r="A236" s="125" t="s">
        <v>28355</v>
      </c>
      <c r="B236" s="125" t="s">
        <v>28255</v>
      </c>
      <c r="C236" s="125">
        <v>1</v>
      </c>
    </row>
    <row r="237" spans="1:3" x14ac:dyDescent="0.25">
      <c r="A237" s="125" t="s">
        <v>25494</v>
      </c>
      <c r="B237" s="125" t="s">
        <v>25308</v>
      </c>
      <c r="C237" s="125">
        <v>1</v>
      </c>
    </row>
    <row r="238" spans="1:3" x14ac:dyDescent="0.25">
      <c r="A238" s="125" t="s">
        <v>25521</v>
      </c>
      <c r="B238" s="125" t="s">
        <v>28282</v>
      </c>
      <c r="C238" s="125">
        <v>1</v>
      </c>
    </row>
    <row r="239" spans="1:3" x14ac:dyDescent="0.25">
      <c r="A239" s="125" t="s">
        <v>27816</v>
      </c>
      <c r="B239" s="125" t="s">
        <v>28322</v>
      </c>
      <c r="C239" s="125">
        <v>1</v>
      </c>
    </row>
    <row r="240" spans="1:3" x14ac:dyDescent="0.25">
      <c r="A240" s="125" t="s">
        <v>27817</v>
      </c>
      <c r="B240" s="125" t="s">
        <v>28257</v>
      </c>
      <c r="C240" s="125">
        <v>1</v>
      </c>
    </row>
    <row r="241" spans="1:3" x14ac:dyDescent="0.25">
      <c r="A241" s="125" t="s">
        <v>25481</v>
      </c>
      <c r="B241" s="125" t="s">
        <v>28261</v>
      </c>
      <c r="C241" s="125">
        <v>1</v>
      </c>
    </row>
    <row r="242" spans="1:3" x14ac:dyDescent="0.25">
      <c r="A242" s="125" t="s">
        <v>28337</v>
      </c>
      <c r="B242" s="125" t="s">
        <v>28291</v>
      </c>
      <c r="C242" s="125">
        <v>1</v>
      </c>
    </row>
    <row r="243" spans="1:3" x14ac:dyDescent="0.25">
      <c r="A243" s="125" t="s">
        <v>25415</v>
      </c>
      <c r="B243" s="125" t="s">
        <v>28322</v>
      </c>
      <c r="C243" s="125">
        <v>1</v>
      </c>
    </row>
    <row r="244" spans="1:3" x14ac:dyDescent="0.25">
      <c r="A244" s="125" t="s">
        <v>25353</v>
      </c>
      <c r="B244" s="125" t="s">
        <v>28345</v>
      </c>
      <c r="C244" s="125">
        <v>1</v>
      </c>
    </row>
    <row r="245" spans="1:3" x14ac:dyDescent="0.25">
      <c r="A245" s="125" t="s">
        <v>137</v>
      </c>
      <c r="B245" s="125" t="s">
        <v>28255</v>
      </c>
      <c r="C245" s="125">
        <v>1</v>
      </c>
    </row>
    <row r="246" spans="1:3" x14ac:dyDescent="0.25">
      <c r="A246" s="125" t="s">
        <v>25537</v>
      </c>
      <c r="B246" s="125" t="s">
        <v>28261</v>
      </c>
      <c r="C246" s="125">
        <v>1</v>
      </c>
    </row>
    <row r="247" spans="1:3" x14ac:dyDescent="0.25">
      <c r="A247" s="125" t="s">
        <v>28356</v>
      </c>
      <c r="B247" s="125" t="s">
        <v>28282</v>
      </c>
      <c r="C247" s="125">
        <v>1</v>
      </c>
    </row>
    <row r="248" spans="1:3" x14ac:dyDescent="0.25">
      <c r="A248" s="125" t="s">
        <v>25424</v>
      </c>
      <c r="B248" s="125" t="s">
        <v>28332</v>
      </c>
      <c r="C248" s="125">
        <v>1</v>
      </c>
    </row>
    <row r="249" spans="1:3" x14ac:dyDescent="0.25">
      <c r="A249" s="125" t="s">
        <v>25410</v>
      </c>
      <c r="B249" s="125" t="s">
        <v>28322</v>
      </c>
      <c r="C249" s="125">
        <v>1</v>
      </c>
    </row>
    <row r="250" spans="1:3" x14ac:dyDescent="0.25">
      <c r="A250" s="125" t="s">
        <v>28357</v>
      </c>
      <c r="B250" s="125" t="s">
        <v>28287</v>
      </c>
      <c r="C250" s="125">
        <v>1</v>
      </c>
    </row>
    <row r="251" spans="1:3" x14ac:dyDescent="0.25">
      <c r="A251" s="141" t="s">
        <v>42</v>
      </c>
      <c r="B251" s="125" t="s">
        <v>28318</v>
      </c>
      <c r="C251" s="125">
        <v>1</v>
      </c>
    </row>
    <row r="252" spans="1:3" x14ac:dyDescent="0.25">
      <c r="A252" s="141" t="s">
        <v>1</v>
      </c>
      <c r="B252" s="125" t="s">
        <v>28358</v>
      </c>
      <c r="C252" s="125">
        <v>1</v>
      </c>
    </row>
    <row r="253" spans="1:3" x14ac:dyDescent="0.25">
      <c r="A253" s="141" t="s">
        <v>25499</v>
      </c>
      <c r="B253" s="125" t="s">
        <v>28333</v>
      </c>
      <c r="C253" s="125">
        <v>1</v>
      </c>
    </row>
    <row r="254" spans="1:3" x14ac:dyDescent="0.25">
      <c r="A254" s="141" t="s">
        <v>28359</v>
      </c>
      <c r="B254" s="125" t="s">
        <v>28346</v>
      </c>
      <c r="C254" s="125">
        <v>1</v>
      </c>
    </row>
    <row r="255" spans="1:3" x14ac:dyDescent="0.25">
      <c r="A255" s="125" t="s">
        <v>25393</v>
      </c>
      <c r="B255" s="125" t="s">
        <v>28360</v>
      </c>
      <c r="C255" s="125">
        <v>1</v>
      </c>
    </row>
    <row r="256" spans="1:3" x14ac:dyDescent="0.25">
      <c r="A256" s="125" t="s">
        <v>25440</v>
      </c>
      <c r="B256" s="125" t="s">
        <v>28361</v>
      </c>
      <c r="C256" s="125">
        <v>1</v>
      </c>
    </row>
    <row r="257" spans="1:3" x14ac:dyDescent="0.25">
      <c r="A257" s="125" t="s">
        <v>34</v>
      </c>
      <c r="B257" s="125" t="s">
        <v>28262</v>
      </c>
      <c r="C257" s="125">
        <v>1</v>
      </c>
    </row>
    <row r="258" spans="1:3" x14ac:dyDescent="0.25">
      <c r="A258" s="125" t="s">
        <v>25512</v>
      </c>
      <c r="B258" s="125" t="s">
        <v>28260</v>
      </c>
      <c r="C258" s="125">
        <v>1</v>
      </c>
    </row>
    <row r="259" spans="1:3" x14ac:dyDescent="0.25">
      <c r="A259" s="125" t="s">
        <v>28362</v>
      </c>
      <c r="B259" s="125" t="s">
        <v>28307</v>
      </c>
      <c r="C259" s="125">
        <v>1</v>
      </c>
    </row>
    <row r="260" spans="1:3" x14ac:dyDescent="0.25">
      <c r="A260" s="125" t="s">
        <v>28363</v>
      </c>
      <c r="B260" s="125" t="s">
        <v>28345</v>
      </c>
      <c r="C260" s="125">
        <v>1</v>
      </c>
    </row>
    <row r="261" spans="1:3" x14ac:dyDescent="0.25">
      <c r="A261" s="125" t="s">
        <v>28364</v>
      </c>
      <c r="B261" s="125" t="s">
        <v>28314</v>
      </c>
      <c r="C261" s="125">
        <v>1</v>
      </c>
    </row>
    <row r="262" spans="1:3" x14ac:dyDescent="0.25">
      <c r="A262" s="125" t="s">
        <v>28365</v>
      </c>
      <c r="B262" s="125" t="s">
        <v>28334</v>
      </c>
      <c r="C262" s="125">
        <v>1</v>
      </c>
    </row>
    <row r="263" spans="1:3" x14ac:dyDescent="0.25">
      <c r="A263" s="125" t="s">
        <v>25448</v>
      </c>
      <c r="B263" s="125" t="s">
        <v>28300</v>
      </c>
      <c r="C263" s="125">
        <v>1</v>
      </c>
    </row>
    <row r="264" spans="1:3" x14ac:dyDescent="0.25">
      <c r="A264" s="125" t="s">
        <v>25448</v>
      </c>
      <c r="B264" s="125" t="s">
        <v>25308</v>
      </c>
      <c r="C264" s="125">
        <v>1</v>
      </c>
    </row>
    <row r="265" spans="1:3" x14ac:dyDescent="0.25">
      <c r="A265" s="125" t="s">
        <v>43</v>
      </c>
      <c r="B265" s="125" t="s">
        <v>28336</v>
      </c>
      <c r="C265" s="125">
        <v>1</v>
      </c>
    </row>
    <row r="266" spans="1:3" x14ac:dyDescent="0.25">
      <c r="A266" s="125" t="s">
        <v>28451</v>
      </c>
      <c r="B266" s="125" t="s">
        <v>28336</v>
      </c>
      <c r="C266" s="125">
        <v>1</v>
      </c>
    </row>
    <row r="267" spans="1:3" x14ac:dyDescent="0.25">
      <c r="A267" s="125" t="s">
        <v>28366</v>
      </c>
      <c r="B267" s="125" t="s">
        <v>28367</v>
      </c>
      <c r="C267" s="125">
        <v>1</v>
      </c>
    </row>
    <row r="268" spans="1:3" x14ac:dyDescent="0.25">
      <c r="A268" s="125" t="s">
        <v>28368</v>
      </c>
      <c r="B268" s="125" t="s">
        <v>28348</v>
      </c>
      <c r="C268" s="125">
        <v>1</v>
      </c>
    </row>
    <row r="269" spans="1:3" x14ac:dyDescent="0.25">
      <c r="A269" s="125" t="s">
        <v>25504</v>
      </c>
      <c r="B269" s="125" t="s">
        <v>28288</v>
      </c>
      <c r="C269" s="125">
        <v>1</v>
      </c>
    </row>
    <row r="270" spans="1:3" x14ac:dyDescent="0.25">
      <c r="A270" s="125" t="s">
        <v>28369</v>
      </c>
      <c r="B270" s="125" t="s">
        <v>28352</v>
      </c>
      <c r="C270" s="125">
        <v>1</v>
      </c>
    </row>
    <row r="271" spans="1:3" x14ac:dyDescent="0.25">
      <c r="A271" s="125" t="s">
        <v>25542</v>
      </c>
      <c r="B271" s="125" t="s">
        <v>28354</v>
      </c>
      <c r="C271" s="125">
        <v>1</v>
      </c>
    </row>
    <row r="272" spans="1:3" x14ac:dyDescent="0.25">
      <c r="A272" s="125" t="s">
        <v>25448</v>
      </c>
      <c r="B272" s="125" t="s">
        <v>28260</v>
      </c>
      <c r="C272" s="125">
        <v>1</v>
      </c>
    </row>
    <row r="273" spans="1:3" x14ac:dyDescent="0.25">
      <c r="A273" s="125" t="s">
        <v>25346</v>
      </c>
      <c r="B273" s="125" t="s">
        <v>28318</v>
      </c>
      <c r="C273" s="125">
        <v>1</v>
      </c>
    </row>
    <row r="274" spans="1:3" x14ac:dyDescent="0.25">
      <c r="A274" s="125" t="s">
        <v>28370</v>
      </c>
      <c r="B274" s="125" t="s">
        <v>28280</v>
      </c>
      <c r="C274" s="125">
        <v>1</v>
      </c>
    </row>
    <row r="275" spans="1:3" x14ac:dyDescent="0.25">
      <c r="A275" s="125" t="s">
        <v>25537</v>
      </c>
      <c r="B275" s="125" t="s">
        <v>25334</v>
      </c>
      <c r="C275" s="125">
        <v>1</v>
      </c>
    </row>
    <row r="276" spans="1:3" x14ac:dyDescent="0.25">
      <c r="A276" s="125" t="s">
        <v>25440</v>
      </c>
      <c r="B276" s="125" t="s">
        <v>28313</v>
      </c>
      <c r="C276" s="125">
        <v>1</v>
      </c>
    </row>
    <row r="277" spans="1:3" x14ac:dyDescent="0.25">
      <c r="A277" s="125" t="s">
        <v>34</v>
      </c>
      <c r="B277" s="125" t="s">
        <v>28371</v>
      </c>
      <c r="C277" s="125">
        <v>1</v>
      </c>
    </row>
    <row r="278" spans="1:3" x14ac:dyDescent="0.25">
      <c r="A278" s="125" t="s">
        <v>25512</v>
      </c>
      <c r="B278" s="125" t="s">
        <v>28300</v>
      </c>
      <c r="C278" s="125">
        <v>1</v>
      </c>
    </row>
    <row r="279" spans="1:3" x14ac:dyDescent="0.25">
      <c r="A279" s="125" t="s">
        <v>28372</v>
      </c>
      <c r="B279" s="125" t="s">
        <v>28255</v>
      </c>
      <c r="C279" s="125">
        <v>1</v>
      </c>
    </row>
    <row r="280" spans="1:3" x14ac:dyDescent="0.25">
      <c r="A280" s="125" t="s">
        <v>28373</v>
      </c>
      <c r="B280" s="125" t="s">
        <v>28260</v>
      </c>
      <c r="C280" s="125">
        <v>1</v>
      </c>
    </row>
    <row r="281" spans="1:3" x14ac:dyDescent="0.25">
      <c r="A281" s="125" t="s">
        <v>28286</v>
      </c>
      <c r="B281" s="125" t="s">
        <v>28264</v>
      </c>
      <c r="C281" s="125">
        <v>1</v>
      </c>
    </row>
    <row r="282" spans="1:3" x14ac:dyDescent="0.25">
      <c r="A282" s="125" t="s">
        <v>137</v>
      </c>
      <c r="B282" s="125" t="s">
        <v>25334</v>
      </c>
      <c r="C282" s="125">
        <v>1</v>
      </c>
    </row>
    <row r="283" spans="1:3" x14ac:dyDescent="0.25">
      <c r="A283" s="125" t="s">
        <v>25411</v>
      </c>
      <c r="B283" s="125" t="s">
        <v>28374</v>
      </c>
      <c r="C283" s="125">
        <v>1</v>
      </c>
    </row>
    <row r="284" spans="1:3" x14ac:dyDescent="0.25">
      <c r="A284" s="125" t="s">
        <v>29</v>
      </c>
      <c r="B284" s="125" t="s">
        <v>28346</v>
      </c>
      <c r="C284" s="125">
        <v>1</v>
      </c>
    </row>
    <row r="285" spans="1:3" x14ac:dyDescent="0.25">
      <c r="A285" s="125" t="s">
        <v>220</v>
      </c>
      <c r="B285" s="125" t="s">
        <v>28318</v>
      </c>
      <c r="C285" s="125">
        <v>1</v>
      </c>
    </row>
    <row r="286" spans="1:3" x14ac:dyDescent="0.25">
      <c r="A286" s="125" t="s">
        <v>25494</v>
      </c>
      <c r="B286" s="125" t="s">
        <v>28277</v>
      </c>
      <c r="C286" s="125">
        <v>1</v>
      </c>
    </row>
    <row r="287" spans="1:3" x14ac:dyDescent="0.25">
      <c r="A287" s="125" t="s">
        <v>25499</v>
      </c>
      <c r="B287" s="125" t="s">
        <v>28288</v>
      </c>
      <c r="C287" s="125">
        <v>1</v>
      </c>
    </row>
    <row r="288" spans="1:3" x14ac:dyDescent="0.25">
      <c r="A288" s="125" t="s">
        <v>25511</v>
      </c>
      <c r="B288" s="125" t="s">
        <v>28375</v>
      </c>
      <c r="C288" s="125">
        <v>1</v>
      </c>
    </row>
    <row r="289" spans="1:3" x14ac:dyDescent="0.25">
      <c r="A289" s="125" t="s">
        <v>25388</v>
      </c>
      <c r="B289" s="125" t="s">
        <v>28298</v>
      </c>
      <c r="C289" s="125">
        <v>1</v>
      </c>
    </row>
    <row r="290" spans="1:3" x14ac:dyDescent="0.25">
      <c r="A290" s="125" t="s">
        <v>25425</v>
      </c>
      <c r="B290" s="125" t="s">
        <v>28332</v>
      </c>
      <c r="C290" s="125">
        <v>1</v>
      </c>
    </row>
    <row r="291" spans="1:3" x14ac:dyDescent="0.25">
      <c r="A291" s="125" t="s">
        <v>25519</v>
      </c>
      <c r="B291" s="125" t="s">
        <v>28288</v>
      </c>
      <c r="C291" s="125">
        <v>1</v>
      </c>
    </row>
    <row r="292" spans="1:3" x14ac:dyDescent="0.25">
      <c r="A292" s="125" t="s">
        <v>28376</v>
      </c>
      <c r="B292" s="125" t="s">
        <v>28345</v>
      </c>
      <c r="C292" s="125">
        <v>1</v>
      </c>
    </row>
    <row r="293" spans="1:3" x14ac:dyDescent="0.25">
      <c r="A293" s="125" t="s">
        <v>28377</v>
      </c>
      <c r="B293" s="125" t="s">
        <v>28317</v>
      </c>
      <c r="C293" s="125">
        <v>1</v>
      </c>
    </row>
    <row r="294" spans="1:3" x14ac:dyDescent="0.25">
      <c r="A294" s="125" t="s">
        <v>28378</v>
      </c>
      <c r="B294" s="125" t="s">
        <v>28271</v>
      </c>
      <c r="C294" s="125">
        <v>1</v>
      </c>
    </row>
    <row r="295" spans="1:3" x14ac:dyDescent="0.25">
      <c r="A295" s="125" t="s">
        <v>25476</v>
      </c>
      <c r="B295" s="125" t="s">
        <v>28313</v>
      </c>
      <c r="C295" s="125">
        <v>1</v>
      </c>
    </row>
    <row r="296" spans="1:3" x14ac:dyDescent="0.25">
      <c r="A296" s="125" t="s">
        <v>25343</v>
      </c>
      <c r="B296" s="125" t="s">
        <v>28298</v>
      </c>
      <c r="C296" s="125">
        <v>1</v>
      </c>
    </row>
    <row r="297" spans="1:3" x14ac:dyDescent="0.25">
      <c r="A297" s="125" t="s">
        <v>25353</v>
      </c>
      <c r="B297" s="125" t="s">
        <v>28313</v>
      </c>
      <c r="C297" s="125">
        <v>1</v>
      </c>
    </row>
    <row r="298" spans="1:3" x14ac:dyDescent="0.25">
      <c r="A298" s="125" t="s">
        <v>25355</v>
      </c>
      <c r="B298" s="125" t="s">
        <v>28379</v>
      </c>
      <c r="C298" s="125">
        <v>1</v>
      </c>
    </row>
    <row r="299" spans="1:3" x14ac:dyDescent="0.25">
      <c r="A299" s="125" t="s">
        <v>28275</v>
      </c>
      <c r="B299" s="125" t="s">
        <v>28262</v>
      </c>
      <c r="C299" s="125">
        <v>1</v>
      </c>
    </row>
    <row r="300" spans="1:3" x14ac:dyDescent="0.25">
      <c r="A300" s="125" t="s">
        <v>210</v>
      </c>
      <c r="B300" s="125" t="s">
        <v>28380</v>
      </c>
      <c r="C300" s="125">
        <v>1</v>
      </c>
    </row>
    <row r="301" spans="1:3" x14ac:dyDescent="0.25">
      <c r="A301" s="125" t="s">
        <v>25436</v>
      </c>
      <c r="B301" s="125" t="s">
        <v>28260</v>
      </c>
      <c r="C301" s="125">
        <v>1</v>
      </c>
    </row>
    <row r="302" spans="1:3" x14ac:dyDescent="0.25">
      <c r="A302" s="125" t="s">
        <v>28381</v>
      </c>
      <c r="B302" s="125" t="s">
        <v>28346</v>
      </c>
      <c r="C302" s="125">
        <v>1</v>
      </c>
    </row>
    <row r="303" spans="1:3" x14ac:dyDescent="0.25">
      <c r="A303" s="125" t="s">
        <v>25514</v>
      </c>
      <c r="B303" s="125" t="s">
        <v>28301</v>
      </c>
      <c r="C303" s="125">
        <v>1</v>
      </c>
    </row>
    <row r="304" spans="1:3" x14ac:dyDescent="0.25">
      <c r="A304" s="125" t="s">
        <v>25470</v>
      </c>
      <c r="B304" s="125" t="s">
        <v>28374</v>
      </c>
      <c r="C304" s="125">
        <v>1</v>
      </c>
    </row>
    <row r="305" spans="1:3" x14ac:dyDescent="0.25">
      <c r="A305" s="125" t="s">
        <v>28</v>
      </c>
      <c r="B305" s="125" t="s">
        <v>28263</v>
      </c>
      <c r="C305" s="125">
        <v>1</v>
      </c>
    </row>
    <row r="306" spans="1:3" x14ac:dyDescent="0.25">
      <c r="A306" s="125" t="s">
        <v>26</v>
      </c>
      <c r="B306" s="125" t="s">
        <v>25333</v>
      </c>
      <c r="C306" s="125">
        <v>1</v>
      </c>
    </row>
    <row r="307" spans="1:3" x14ac:dyDescent="0.25">
      <c r="A307" s="125" t="s">
        <v>28382</v>
      </c>
      <c r="B307" s="125" t="s">
        <v>28374</v>
      </c>
      <c r="C307" s="125">
        <v>1</v>
      </c>
    </row>
    <row r="308" spans="1:3" x14ac:dyDescent="0.25">
      <c r="A308" s="125" t="s">
        <v>25352</v>
      </c>
      <c r="B308" s="125" t="s">
        <v>28260</v>
      </c>
      <c r="C308" s="125">
        <v>1</v>
      </c>
    </row>
    <row r="309" spans="1:3" x14ac:dyDescent="0.25">
      <c r="A309" s="125" t="s">
        <v>28316</v>
      </c>
      <c r="B309" s="125" t="s">
        <v>28346</v>
      </c>
      <c r="C309" s="125">
        <v>1</v>
      </c>
    </row>
    <row r="310" spans="1:3" x14ac:dyDescent="0.25">
      <c r="A310" s="125" t="s">
        <v>25449</v>
      </c>
      <c r="B310" s="125" t="s">
        <v>28348</v>
      </c>
      <c r="C310" s="125">
        <v>1</v>
      </c>
    </row>
    <row r="311" spans="1:3" x14ac:dyDescent="0.25">
      <c r="A311" s="125" t="s">
        <v>25450</v>
      </c>
      <c r="B311" s="125" t="s">
        <v>28383</v>
      </c>
      <c r="C311" s="125">
        <v>1</v>
      </c>
    </row>
    <row r="312" spans="1:3" x14ac:dyDescent="0.25">
      <c r="A312" s="125" t="s">
        <v>25454</v>
      </c>
      <c r="B312" s="125" t="s">
        <v>28345</v>
      </c>
      <c r="C312" s="125">
        <v>1</v>
      </c>
    </row>
    <row r="313" spans="1:3" x14ac:dyDescent="0.25">
      <c r="A313" s="125" t="s">
        <v>25495</v>
      </c>
      <c r="B313" s="125" t="s">
        <v>28384</v>
      </c>
      <c r="C313" s="125">
        <v>1</v>
      </c>
    </row>
    <row r="314" spans="1:3" x14ac:dyDescent="0.25">
      <c r="A314" s="125" t="s">
        <v>25500</v>
      </c>
      <c r="B314" s="125" t="s">
        <v>28385</v>
      </c>
      <c r="C314" s="125">
        <v>1</v>
      </c>
    </row>
    <row r="315" spans="1:3" x14ac:dyDescent="0.25">
      <c r="A315" s="125" t="s">
        <v>25501</v>
      </c>
      <c r="B315" s="125" t="s">
        <v>28295</v>
      </c>
      <c r="C315" s="125">
        <v>1</v>
      </c>
    </row>
    <row r="316" spans="1:3" x14ac:dyDescent="0.25">
      <c r="A316" s="125" t="s">
        <v>25502</v>
      </c>
      <c r="B316" s="125" t="s">
        <v>28320</v>
      </c>
      <c r="C316" s="125">
        <v>1</v>
      </c>
    </row>
    <row r="317" spans="1:3" x14ac:dyDescent="0.25">
      <c r="A317" s="125" t="s">
        <v>25534</v>
      </c>
      <c r="B317" s="125" t="s">
        <v>28349</v>
      </c>
      <c r="C317" s="125">
        <v>1</v>
      </c>
    </row>
    <row r="318" spans="1:3" x14ac:dyDescent="0.25">
      <c r="A318" s="125" t="s">
        <v>25539</v>
      </c>
      <c r="B318" s="125" t="s">
        <v>28321</v>
      </c>
      <c r="C318" s="125">
        <v>1</v>
      </c>
    </row>
    <row r="319" spans="1:3" x14ac:dyDescent="0.25">
      <c r="A319" s="125" t="s">
        <v>25370</v>
      </c>
      <c r="B319" s="125" t="s">
        <v>28386</v>
      </c>
      <c r="C319" s="125">
        <v>1</v>
      </c>
    </row>
    <row r="320" spans="1:3" x14ac:dyDescent="0.25">
      <c r="A320" s="125" t="s">
        <v>25466</v>
      </c>
      <c r="B320" s="125" t="s">
        <v>28257</v>
      </c>
      <c r="C320" s="125">
        <v>1</v>
      </c>
    </row>
    <row r="321" spans="1:3" x14ac:dyDescent="0.25">
      <c r="A321" s="125" t="s">
        <v>1</v>
      </c>
      <c r="B321" s="125" t="s">
        <v>28276</v>
      </c>
      <c r="C321" s="125">
        <v>1</v>
      </c>
    </row>
    <row r="322" spans="1:3" x14ac:dyDescent="0.25">
      <c r="A322" s="125" t="s">
        <v>25463</v>
      </c>
      <c r="B322" s="125" t="s">
        <v>28360</v>
      </c>
      <c r="C322" s="125">
        <v>1</v>
      </c>
    </row>
    <row r="323" spans="1:3" x14ac:dyDescent="0.25">
      <c r="A323" s="125" t="s">
        <v>28452</v>
      </c>
      <c r="B323" s="125" t="s">
        <v>28360</v>
      </c>
      <c r="C323" s="125">
        <v>1</v>
      </c>
    </row>
    <row r="324" spans="1:3" x14ac:dyDescent="0.25">
      <c r="A324" s="125" t="s">
        <v>35</v>
      </c>
      <c r="B324" s="125" t="s">
        <v>28256</v>
      </c>
      <c r="C324" s="125">
        <v>1</v>
      </c>
    </row>
    <row r="325" spans="1:3" x14ac:dyDescent="0.25">
      <c r="A325" s="125" t="s">
        <v>25420</v>
      </c>
      <c r="B325" s="125" t="s">
        <v>28354</v>
      </c>
      <c r="C325" s="125">
        <v>1</v>
      </c>
    </row>
    <row r="326" spans="1:3" x14ac:dyDescent="0.25">
      <c r="A326" s="125" t="s">
        <v>25379</v>
      </c>
      <c r="B326" s="125" t="s">
        <v>28322</v>
      </c>
      <c r="C326" s="125">
        <v>1</v>
      </c>
    </row>
    <row r="327" spans="1:3" x14ac:dyDescent="0.25">
      <c r="A327" s="125" t="s">
        <v>25474</v>
      </c>
      <c r="B327" s="125" t="s">
        <v>28322</v>
      </c>
      <c r="C327" s="125">
        <v>1</v>
      </c>
    </row>
    <row r="328" spans="1:3" x14ac:dyDescent="0.25">
      <c r="A328" s="125" t="s">
        <v>25380</v>
      </c>
      <c r="B328" s="125" t="s">
        <v>28322</v>
      </c>
      <c r="C328" s="125">
        <v>1</v>
      </c>
    </row>
    <row r="329" spans="1:3" x14ac:dyDescent="0.25">
      <c r="A329" s="125" t="s">
        <v>22</v>
      </c>
      <c r="B329" s="125" t="s">
        <v>25334</v>
      </c>
      <c r="C329" s="125">
        <v>1</v>
      </c>
    </row>
    <row r="330" spans="1:3" x14ac:dyDescent="0.25">
      <c r="A330" s="125" t="s">
        <v>197</v>
      </c>
      <c r="B330" s="125" t="s">
        <v>28322</v>
      </c>
      <c r="C330" s="125">
        <v>1</v>
      </c>
    </row>
    <row r="331" spans="1:3" x14ac:dyDescent="0.25">
      <c r="A331" s="125" t="s">
        <v>28387</v>
      </c>
      <c r="B331" s="125" t="s">
        <v>28352</v>
      </c>
      <c r="C331" s="125">
        <v>1</v>
      </c>
    </row>
    <row r="332" spans="1:3" x14ac:dyDescent="0.25">
      <c r="A332" s="125" t="s">
        <v>26</v>
      </c>
      <c r="B332" s="125" t="s">
        <v>28280</v>
      </c>
      <c r="C332" s="125">
        <v>1</v>
      </c>
    </row>
    <row r="333" spans="1:3" x14ac:dyDescent="0.25">
      <c r="A333" s="125" t="s">
        <v>25423</v>
      </c>
      <c r="B333" s="125" t="s">
        <v>28322</v>
      </c>
      <c r="C333" s="125">
        <v>1</v>
      </c>
    </row>
    <row r="334" spans="1:3" x14ac:dyDescent="0.25">
      <c r="A334" s="125" t="s">
        <v>25480</v>
      </c>
      <c r="B334" s="125" t="s">
        <v>25333</v>
      </c>
      <c r="C334" s="125">
        <v>1</v>
      </c>
    </row>
    <row r="335" spans="1:3" x14ac:dyDescent="0.25">
      <c r="A335" s="125" t="s">
        <v>25533</v>
      </c>
      <c r="B335" s="125" t="s">
        <v>25334</v>
      </c>
      <c r="C335" s="125">
        <v>1</v>
      </c>
    </row>
    <row r="336" spans="1:3" x14ac:dyDescent="0.25">
      <c r="A336" s="125" t="s">
        <v>43</v>
      </c>
      <c r="B336" s="125" t="s">
        <v>28258</v>
      </c>
      <c r="C336" s="125">
        <v>1</v>
      </c>
    </row>
    <row r="337" spans="1:3" x14ac:dyDescent="0.25">
      <c r="A337" s="125" t="s">
        <v>25472</v>
      </c>
      <c r="B337" s="125" t="s">
        <v>28258</v>
      </c>
      <c r="C337" s="125">
        <v>1</v>
      </c>
    </row>
    <row r="338" spans="1:3" x14ac:dyDescent="0.25">
      <c r="A338" s="125" t="s">
        <v>25488</v>
      </c>
      <c r="B338" s="125" t="s">
        <v>28319</v>
      </c>
      <c r="C338" s="125">
        <v>1</v>
      </c>
    </row>
    <row r="339" spans="1:3" x14ac:dyDescent="0.25">
      <c r="A339" s="125" t="s">
        <v>26</v>
      </c>
      <c r="B339" s="125" t="s">
        <v>28271</v>
      </c>
      <c r="C339" s="125">
        <v>1</v>
      </c>
    </row>
    <row r="340" spans="1:3" x14ac:dyDescent="0.25">
      <c r="A340" s="125" t="s">
        <v>25490</v>
      </c>
      <c r="B340" s="125" t="s">
        <v>25308</v>
      </c>
      <c r="C340" s="125">
        <v>1</v>
      </c>
    </row>
    <row r="341" spans="1:3" x14ac:dyDescent="0.25">
      <c r="A341" s="125" t="s">
        <v>25406</v>
      </c>
      <c r="B341" s="125" t="s">
        <v>25308</v>
      </c>
      <c r="C341" s="125">
        <v>1</v>
      </c>
    </row>
    <row r="342" spans="1:3" x14ac:dyDescent="0.25">
      <c r="A342" s="125" t="s">
        <v>194</v>
      </c>
      <c r="B342" s="125" t="s">
        <v>28318</v>
      </c>
      <c r="C342" s="125">
        <v>1</v>
      </c>
    </row>
    <row r="343" spans="1:3" x14ac:dyDescent="0.25">
      <c r="A343" s="125" t="s">
        <v>35</v>
      </c>
      <c r="B343" s="125" t="s">
        <v>25334</v>
      </c>
      <c r="C343" s="125">
        <v>1</v>
      </c>
    </row>
    <row r="344" spans="1:3" x14ac:dyDescent="0.25">
      <c r="A344" s="125" t="s">
        <v>25438</v>
      </c>
      <c r="B344" s="125" t="s">
        <v>28375</v>
      </c>
      <c r="C344" s="125">
        <v>1</v>
      </c>
    </row>
    <row r="345" spans="1:3" x14ac:dyDescent="0.25">
      <c r="A345" s="125" t="s">
        <v>107</v>
      </c>
      <c r="B345" s="125" t="s">
        <v>28276</v>
      </c>
      <c r="C345" s="125">
        <v>1</v>
      </c>
    </row>
    <row r="346" spans="1:3" x14ac:dyDescent="0.25">
      <c r="A346" s="125" t="s">
        <v>28388</v>
      </c>
      <c r="B346" s="125" t="s">
        <v>28270</v>
      </c>
      <c r="C346" s="125">
        <v>1</v>
      </c>
    </row>
    <row r="347" spans="1:3" x14ac:dyDescent="0.25">
      <c r="A347" s="125" t="s">
        <v>1</v>
      </c>
      <c r="B347" s="125" t="s">
        <v>28346</v>
      </c>
      <c r="C347" s="125">
        <v>1</v>
      </c>
    </row>
    <row r="348" spans="1:3" x14ac:dyDescent="0.25">
      <c r="A348" s="125" t="s">
        <v>25360</v>
      </c>
      <c r="B348" s="125" t="s">
        <v>25308</v>
      </c>
      <c r="C348" s="125">
        <v>1</v>
      </c>
    </row>
    <row r="349" spans="1:3" x14ac:dyDescent="0.25">
      <c r="A349" s="125" t="s">
        <v>22</v>
      </c>
      <c r="B349" s="125" t="s">
        <v>28318</v>
      </c>
      <c r="C349" s="125">
        <v>1</v>
      </c>
    </row>
    <row r="350" spans="1:3" x14ac:dyDescent="0.25">
      <c r="A350" s="125" t="s">
        <v>25368</v>
      </c>
      <c r="B350" s="125" t="s">
        <v>28257</v>
      </c>
      <c r="C350" s="125">
        <v>1</v>
      </c>
    </row>
    <row r="351" spans="1:3" x14ac:dyDescent="0.25">
      <c r="A351" s="125" t="s">
        <v>25383</v>
      </c>
      <c r="B351" s="125" t="s">
        <v>28262</v>
      </c>
      <c r="C351" s="125">
        <v>1</v>
      </c>
    </row>
    <row r="352" spans="1:3" x14ac:dyDescent="0.25">
      <c r="A352" s="125" t="s">
        <v>201</v>
      </c>
      <c r="B352" s="125" t="s">
        <v>28290</v>
      </c>
      <c r="C352" s="125">
        <v>1</v>
      </c>
    </row>
    <row r="353" spans="1:3" x14ac:dyDescent="0.25">
      <c r="A353" s="125" t="s">
        <v>27</v>
      </c>
      <c r="B353" s="125" t="s">
        <v>25333</v>
      </c>
      <c r="C353" s="125">
        <v>1</v>
      </c>
    </row>
    <row r="354" spans="1:3" x14ac:dyDescent="0.25">
      <c r="A354" s="125" t="s">
        <v>123</v>
      </c>
      <c r="B354" s="125" t="s">
        <v>28314</v>
      </c>
      <c r="C354" s="125">
        <v>1</v>
      </c>
    </row>
    <row r="355" spans="1:3" x14ac:dyDescent="0.25">
      <c r="A355" s="125" t="s">
        <v>25426</v>
      </c>
      <c r="B355" s="125" t="s">
        <v>28330</v>
      </c>
      <c r="C355" s="125">
        <v>1</v>
      </c>
    </row>
    <row r="356" spans="1:3" x14ac:dyDescent="0.25">
      <c r="A356" s="125" t="s">
        <v>25437</v>
      </c>
      <c r="B356" s="125" t="s">
        <v>28267</v>
      </c>
      <c r="C356" s="125">
        <v>1</v>
      </c>
    </row>
    <row r="357" spans="1:3" x14ac:dyDescent="0.25">
      <c r="A357" s="125" t="s">
        <v>52</v>
      </c>
      <c r="B357" s="125" t="s">
        <v>28291</v>
      </c>
      <c r="C357" s="125">
        <v>1</v>
      </c>
    </row>
    <row r="358" spans="1:3" x14ac:dyDescent="0.25">
      <c r="A358" s="125" t="s">
        <v>25521</v>
      </c>
      <c r="B358" s="125" t="s">
        <v>28272</v>
      </c>
      <c r="C358" s="125">
        <v>1</v>
      </c>
    </row>
    <row r="359" spans="1:3" x14ac:dyDescent="0.25">
      <c r="A359" s="125" t="s">
        <v>201</v>
      </c>
      <c r="B359" s="125" t="s">
        <v>28319</v>
      </c>
      <c r="C359" s="125">
        <v>1</v>
      </c>
    </row>
    <row r="360" spans="1:3" x14ac:dyDescent="0.25">
      <c r="A360" s="125" t="s">
        <v>25414</v>
      </c>
      <c r="B360" s="125" t="s">
        <v>28348</v>
      </c>
      <c r="C360" s="125">
        <v>1</v>
      </c>
    </row>
    <row r="361" spans="1:3" x14ac:dyDescent="0.25">
      <c r="A361" s="125" t="s">
        <v>25424</v>
      </c>
      <c r="B361" s="125" t="s">
        <v>28383</v>
      </c>
      <c r="C361" s="125">
        <v>1</v>
      </c>
    </row>
    <row r="362" spans="1:3" x14ac:dyDescent="0.25">
      <c r="A362" s="125" t="s">
        <v>43</v>
      </c>
      <c r="B362" s="125" t="s">
        <v>28266</v>
      </c>
      <c r="C362" s="125">
        <v>1</v>
      </c>
    </row>
    <row r="363" spans="1:3" x14ac:dyDescent="0.25">
      <c r="A363" s="125" t="s">
        <v>25481</v>
      </c>
      <c r="B363" s="125" t="s">
        <v>28345</v>
      </c>
      <c r="C363" s="125">
        <v>1</v>
      </c>
    </row>
    <row r="364" spans="1:3" x14ac:dyDescent="0.25">
      <c r="A364" s="125" t="s">
        <v>25486</v>
      </c>
      <c r="B364" s="125" t="s">
        <v>28361</v>
      </c>
      <c r="C364" s="125">
        <v>1</v>
      </c>
    </row>
    <row r="365" spans="1:3" x14ac:dyDescent="0.25">
      <c r="A365" s="125" t="s">
        <v>58</v>
      </c>
      <c r="B365" s="125" t="s">
        <v>28280</v>
      </c>
      <c r="C365" s="125">
        <v>1</v>
      </c>
    </row>
    <row r="366" spans="1:3" x14ac:dyDescent="0.25">
      <c r="A366" s="125" t="s">
        <v>28453</v>
      </c>
      <c r="B366" s="125" t="s">
        <v>28280</v>
      </c>
      <c r="C366" s="125">
        <v>1</v>
      </c>
    </row>
    <row r="367" spans="1:3" x14ac:dyDescent="0.25">
      <c r="A367" s="125" t="s">
        <v>25481</v>
      </c>
      <c r="B367" s="125" t="s">
        <v>25308</v>
      </c>
      <c r="C367" s="125">
        <v>1</v>
      </c>
    </row>
    <row r="368" spans="1:3" x14ac:dyDescent="0.25">
      <c r="A368" s="125" t="s">
        <v>25414</v>
      </c>
      <c r="B368" s="125" t="s">
        <v>28389</v>
      </c>
      <c r="C368" s="125">
        <v>1</v>
      </c>
    </row>
    <row r="369" spans="1:3" x14ac:dyDescent="0.25">
      <c r="A369" s="125" t="s">
        <v>56</v>
      </c>
      <c r="B369" s="125" t="s">
        <v>28348</v>
      </c>
      <c r="C369" s="125">
        <v>1</v>
      </c>
    </row>
    <row r="370" spans="1:3" x14ac:dyDescent="0.25">
      <c r="A370" s="125" t="s">
        <v>25481</v>
      </c>
      <c r="B370" s="125" t="s">
        <v>28375</v>
      </c>
      <c r="C370" s="125">
        <v>1</v>
      </c>
    </row>
    <row r="371" spans="1:3" x14ac:dyDescent="0.25">
      <c r="A371" s="125" t="s">
        <v>25497</v>
      </c>
      <c r="B371" s="125" t="s">
        <v>28284</v>
      </c>
      <c r="C371" s="125">
        <v>1</v>
      </c>
    </row>
    <row r="372" spans="1:3" x14ac:dyDescent="0.25">
      <c r="A372" s="125" t="s">
        <v>25406</v>
      </c>
      <c r="B372" s="125" t="s">
        <v>28299</v>
      </c>
      <c r="C372" s="125">
        <v>1</v>
      </c>
    </row>
    <row r="373" spans="1:3" x14ac:dyDescent="0.25">
      <c r="A373" s="125" t="s">
        <v>25411</v>
      </c>
      <c r="B373" s="125" t="s">
        <v>28282</v>
      </c>
      <c r="C373" s="125">
        <v>1</v>
      </c>
    </row>
    <row r="374" spans="1:3" x14ac:dyDescent="0.25">
      <c r="A374" s="125" t="s">
        <v>36</v>
      </c>
      <c r="B374" s="125" t="s">
        <v>25308</v>
      </c>
      <c r="C374" s="125">
        <v>1</v>
      </c>
    </row>
    <row r="375" spans="1:3" x14ac:dyDescent="0.25">
      <c r="A375" s="125" t="s">
        <v>25409</v>
      </c>
      <c r="B375" s="125" t="s">
        <v>28322</v>
      </c>
      <c r="C375" s="125">
        <v>1</v>
      </c>
    </row>
    <row r="376" spans="1:3" x14ac:dyDescent="0.25">
      <c r="A376" s="125" t="s">
        <v>25412</v>
      </c>
      <c r="B376" s="125" t="s">
        <v>28260</v>
      </c>
      <c r="C376" s="125">
        <v>1</v>
      </c>
    </row>
    <row r="377" spans="1:3" x14ac:dyDescent="0.25">
      <c r="A377" s="125" t="s">
        <v>28</v>
      </c>
      <c r="B377" s="125" t="s">
        <v>28256</v>
      </c>
      <c r="C377" s="125">
        <v>1</v>
      </c>
    </row>
    <row r="378" spans="1:3" x14ac:dyDescent="0.25">
      <c r="A378" s="125" t="s">
        <v>25386</v>
      </c>
      <c r="B378" s="125" t="s">
        <v>28354</v>
      </c>
      <c r="C378" s="125">
        <v>1</v>
      </c>
    </row>
    <row r="379" spans="1:3" x14ac:dyDescent="0.25">
      <c r="A379" s="125" t="s">
        <v>25507</v>
      </c>
      <c r="B379" s="125" t="s">
        <v>28352</v>
      </c>
      <c r="C379" s="125">
        <v>1</v>
      </c>
    </row>
    <row r="380" spans="1:3" x14ac:dyDescent="0.25">
      <c r="A380" s="125" t="s">
        <v>25399</v>
      </c>
      <c r="B380" s="125" t="s">
        <v>28326</v>
      </c>
      <c r="C380" s="125">
        <v>1</v>
      </c>
    </row>
    <row r="381" spans="1:3" x14ac:dyDescent="0.25">
      <c r="A381" s="125" t="s">
        <v>25339</v>
      </c>
      <c r="B381" s="125" t="s">
        <v>28298</v>
      </c>
      <c r="C381" s="125">
        <v>1</v>
      </c>
    </row>
    <row r="382" spans="1:3" x14ac:dyDescent="0.25">
      <c r="A382" s="125" t="s">
        <v>96</v>
      </c>
      <c r="B382" s="125" t="s">
        <v>28255</v>
      </c>
      <c r="C382" s="125">
        <v>1</v>
      </c>
    </row>
    <row r="383" spans="1:3" x14ac:dyDescent="0.25">
      <c r="A383" s="125" t="s">
        <v>25381</v>
      </c>
      <c r="B383" s="125" t="s">
        <v>28288</v>
      </c>
      <c r="C383" s="125">
        <v>1</v>
      </c>
    </row>
    <row r="384" spans="1:3" x14ac:dyDescent="0.25">
      <c r="A384" s="125" t="s">
        <v>25437</v>
      </c>
      <c r="B384" s="125" t="s">
        <v>28375</v>
      </c>
      <c r="C384" s="125">
        <v>1</v>
      </c>
    </row>
    <row r="385" spans="1:3" x14ac:dyDescent="0.25">
      <c r="A385" s="125" t="s">
        <v>22</v>
      </c>
      <c r="B385" s="125" t="s">
        <v>28262</v>
      </c>
      <c r="C385" s="125">
        <v>1</v>
      </c>
    </row>
    <row r="386" spans="1:3" x14ac:dyDescent="0.25">
      <c r="A386" s="125" t="s">
        <v>25509</v>
      </c>
      <c r="B386" s="125" t="s">
        <v>28354</v>
      </c>
      <c r="C386" s="125">
        <v>1</v>
      </c>
    </row>
    <row r="387" spans="1:3" x14ac:dyDescent="0.25">
      <c r="A387" s="125" t="s">
        <v>25451</v>
      </c>
      <c r="B387" s="125" t="s">
        <v>28272</v>
      </c>
      <c r="C387" s="125">
        <v>1</v>
      </c>
    </row>
    <row r="388" spans="1:3" x14ac:dyDescent="0.25">
      <c r="A388" s="125" t="s">
        <v>25465</v>
      </c>
      <c r="B388" s="125" t="s">
        <v>28336</v>
      </c>
      <c r="C388" s="125">
        <v>1</v>
      </c>
    </row>
    <row r="389" spans="1:3" x14ac:dyDescent="0.25">
      <c r="A389" s="125" t="s">
        <v>25464</v>
      </c>
      <c r="B389" s="125" t="s">
        <v>28262</v>
      </c>
      <c r="C389" s="125">
        <v>1</v>
      </c>
    </row>
    <row r="390" spans="1:3" x14ac:dyDescent="0.25">
      <c r="A390" s="125" t="s">
        <v>52</v>
      </c>
      <c r="B390" s="125" t="s">
        <v>28306</v>
      </c>
      <c r="C390" s="125">
        <v>1</v>
      </c>
    </row>
    <row r="391" spans="1:3" x14ac:dyDescent="0.25">
      <c r="A391" s="125" t="s">
        <v>25382</v>
      </c>
      <c r="B391" s="125" t="s">
        <v>28390</v>
      </c>
      <c r="C391" s="125">
        <v>1</v>
      </c>
    </row>
    <row r="392" spans="1:3" x14ac:dyDescent="0.25">
      <c r="A392" s="125" t="s">
        <v>147</v>
      </c>
      <c r="B392" s="125" t="s">
        <v>28342</v>
      </c>
      <c r="C392" s="125">
        <v>1</v>
      </c>
    </row>
    <row r="393" spans="1:3" x14ac:dyDescent="0.25">
      <c r="A393" s="125" t="s">
        <v>25371</v>
      </c>
      <c r="B393" s="125" t="s">
        <v>28367</v>
      </c>
      <c r="C393" s="125">
        <v>1</v>
      </c>
    </row>
    <row r="394" spans="1:3" x14ac:dyDescent="0.25">
      <c r="A394" s="125" t="s">
        <v>52</v>
      </c>
      <c r="B394" s="125" t="s">
        <v>28360</v>
      </c>
      <c r="C394" s="125">
        <v>1</v>
      </c>
    </row>
    <row r="395" spans="1:3" x14ac:dyDescent="0.25">
      <c r="A395" s="125" t="s">
        <v>123</v>
      </c>
      <c r="B395" s="125" t="s">
        <v>28278</v>
      </c>
      <c r="C395" s="125">
        <v>1</v>
      </c>
    </row>
    <row r="396" spans="1:3" x14ac:dyDescent="0.25">
      <c r="A396" s="125" t="s">
        <v>25480</v>
      </c>
      <c r="B396" s="125" t="s">
        <v>28336</v>
      </c>
      <c r="C396" s="125">
        <v>1</v>
      </c>
    </row>
    <row r="397" spans="1:3" x14ac:dyDescent="0.25">
      <c r="A397" s="125" t="s">
        <v>25546</v>
      </c>
      <c r="B397" s="125" t="s">
        <v>28354</v>
      </c>
      <c r="C397" s="125">
        <v>1</v>
      </c>
    </row>
    <row r="398" spans="1:3" x14ac:dyDescent="0.25">
      <c r="A398" s="125" t="s">
        <v>25543</v>
      </c>
      <c r="B398" s="125" t="s">
        <v>28287</v>
      </c>
      <c r="C398" s="125">
        <v>1</v>
      </c>
    </row>
    <row r="399" spans="1:3" x14ac:dyDescent="0.25">
      <c r="A399" s="125" t="s">
        <v>25544</v>
      </c>
      <c r="B399" s="125" t="s">
        <v>28391</v>
      </c>
      <c r="C399" s="125">
        <v>1</v>
      </c>
    </row>
    <row r="400" spans="1:3" x14ac:dyDescent="0.25">
      <c r="A400" s="125" t="s">
        <v>25546</v>
      </c>
      <c r="B400" s="125" t="s">
        <v>28351</v>
      </c>
      <c r="C400" s="125">
        <v>1</v>
      </c>
    </row>
    <row r="401" spans="1:3" x14ac:dyDescent="0.25">
      <c r="A401" s="125" t="s">
        <v>25545</v>
      </c>
      <c r="B401" s="125" t="s">
        <v>28389</v>
      </c>
      <c r="C401" s="125">
        <v>1</v>
      </c>
    </row>
    <row r="402" spans="1:3" x14ac:dyDescent="0.25">
      <c r="A402" s="125" t="s">
        <v>25543</v>
      </c>
      <c r="B402" s="125" t="s">
        <v>28277</v>
      </c>
      <c r="C402" s="125">
        <v>1</v>
      </c>
    </row>
    <row r="403" spans="1:3" x14ac:dyDescent="0.25">
      <c r="A403" s="125" t="s">
        <v>25405</v>
      </c>
      <c r="B403" s="125" t="s">
        <v>25308</v>
      </c>
      <c r="C403" s="125">
        <v>1</v>
      </c>
    </row>
    <row r="404" spans="1:3" x14ac:dyDescent="0.25">
      <c r="A404" s="125" t="s">
        <v>23</v>
      </c>
      <c r="B404" s="125" t="s">
        <v>28334</v>
      </c>
      <c r="C404" s="125">
        <v>1</v>
      </c>
    </row>
    <row r="405" spans="1:3" x14ac:dyDescent="0.25">
      <c r="A405" s="125" t="s">
        <v>25538</v>
      </c>
      <c r="B405" s="125" t="s">
        <v>28300</v>
      </c>
      <c r="C405" s="125">
        <v>1</v>
      </c>
    </row>
    <row r="406" spans="1:3" x14ac:dyDescent="0.25">
      <c r="A406" s="125" t="s">
        <v>25405</v>
      </c>
      <c r="B406" s="125" t="s">
        <v>28336</v>
      </c>
      <c r="C406" s="125">
        <v>1</v>
      </c>
    </row>
    <row r="407" spans="1:3" x14ac:dyDescent="0.25">
      <c r="A407" s="125" t="s">
        <v>42</v>
      </c>
      <c r="B407" s="125" t="s">
        <v>28310</v>
      </c>
      <c r="C407" s="125">
        <v>1</v>
      </c>
    </row>
    <row r="408" spans="1:3" x14ac:dyDescent="0.25">
      <c r="A408" s="125" t="s">
        <v>22</v>
      </c>
      <c r="B408" s="125" t="s">
        <v>28330</v>
      </c>
      <c r="C408" s="125">
        <v>1</v>
      </c>
    </row>
    <row r="409" spans="1:3" x14ac:dyDescent="0.25">
      <c r="A409" s="125" t="s">
        <v>25468</v>
      </c>
      <c r="B409" s="125" t="s">
        <v>28354</v>
      </c>
      <c r="C409" s="125">
        <v>1</v>
      </c>
    </row>
    <row r="410" spans="1:3" x14ac:dyDescent="0.25">
      <c r="A410" s="125" t="s">
        <v>25418</v>
      </c>
      <c r="B410" s="125" t="s">
        <v>28322</v>
      </c>
      <c r="C410" s="125">
        <v>1</v>
      </c>
    </row>
    <row r="411" spans="1:3" x14ac:dyDescent="0.25">
      <c r="A411" s="125" t="s">
        <v>25377</v>
      </c>
      <c r="B411" s="125" t="s">
        <v>28272</v>
      </c>
      <c r="C411" s="125">
        <v>1</v>
      </c>
    </row>
    <row r="412" spans="1:3" x14ac:dyDescent="0.25">
      <c r="A412" s="125" t="s">
        <v>25494</v>
      </c>
      <c r="B412" s="125" t="s">
        <v>28256</v>
      </c>
      <c r="C412" s="125">
        <v>1</v>
      </c>
    </row>
    <row r="413" spans="1:3" x14ac:dyDescent="0.25">
      <c r="A413" s="125" t="s">
        <v>25418</v>
      </c>
      <c r="B413" s="125" t="s">
        <v>28280</v>
      </c>
      <c r="C413" s="125">
        <v>1</v>
      </c>
    </row>
    <row r="414" spans="1:3" x14ac:dyDescent="0.25">
      <c r="A414" s="125" t="s">
        <v>25424</v>
      </c>
      <c r="B414" s="125" t="s">
        <v>28256</v>
      </c>
      <c r="C414" s="125">
        <v>1</v>
      </c>
    </row>
    <row r="415" spans="1:3" x14ac:dyDescent="0.25">
      <c r="A415" s="125" t="s">
        <v>130</v>
      </c>
      <c r="B415" s="125" t="s">
        <v>28255</v>
      </c>
      <c r="C415" s="125">
        <v>1</v>
      </c>
    </row>
    <row r="416" spans="1:3" x14ac:dyDescent="0.25">
      <c r="A416" s="125" t="s">
        <v>25342</v>
      </c>
      <c r="B416" s="125" t="s">
        <v>28271</v>
      </c>
      <c r="C416" s="125">
        <v>1</v>
      </c>
    </row>
    <row r="417" spans="1:3" x14ac:dyDescent="0.25">
      <c r="A417" s="125" t="s">
        <v>25344</v>
      </c>
      <c r="B417" s="125" t="s">
        <v>28318</v>
      </c>
      <c r="C417" s="125">
        <v>1</v>
      </c>
    </row>
    <row r="418" spans="1:3" x14ac:dyDescent="0.25">
      <c r="A418" s="125" t="s">
        <v>25357</v>
      </c>
      <c r="B418" s="125" t="s">
        <v>28257</v>
      </c>
      <c r="C418" s="125">
        <v>1</v>
      </c>
    </row>
    <row r="419" spans="1:3" x14ac:dyDescent="0.25">
      <c r="A419" s="125" t="s">
        <v>25354</v>
      </c>
      <c r="B419" s="125" t="s">
        <v>28318</v>
      </c>
      <c r="C419" s="125">
        <v>1</v>
      </c>
    </row>
    <row r="420" spans="1:3" x14ac:dyDescent="0.25">
      <c r="A420" s="125" t="s">
        <v>56</v>
      </c>
      <c r="B420" s="125" t="s">
        <v>28322</v>
      </c>
      <c r="C420" s="125">
        <v>1</v>
      </c>
    </row>
    <row r="421" spans="1:3" x14ac:dyDescent="0.25">
      <c r="A421" s="125" t="s">
        <v>215</v>
      </c>
      <c r="B421" s="125" t="s">
        <v>28322</v>
      </c>
      <c r="C421" s="125">
        <v>1</v>
      </c>
    </row>
    <row r="422" spans="1:3" x14ac:dyDescent="0.25">
      <c r="A422" s="125" t="s">
        <v>28</v>
      </c>
      <c r="B422" s="125" t="s">
        <v>25334</v>
      </c>
      <c r="C422" s="125">
        <v>1</v>
      </c>
    </row>
    <row r="423" spans="1:3" x14ac:dyDescent="0.25">
      <c r="A423" s="125" t="s">
        <v>25347</v>
      </c>
      <c r="B423" s="125" t="s">
        <v>28318</v>
      </c>
      <c r="C423" s="125">
        <v>1</v>
      </c>
    </row>
    <row r="424" spans="1:3" x14ac:dyDescent="0.25">
      <c r="A424" s="125" t="s">
        <v>36</v>
      </c>
      <c r="B424" s="125" t="s">
        <v>28332</v>
      </c>
      <c r="C424" s="125">
        <v>1</v>
      </c>
    </row>
    <row r="425" spans="1:3" x14ac:dyDescent="0.25">
      <c r="A425" s="125" t="s">
        <v>23</v>
      </c>
      <c r="B425" s="125" t="s">
        <v>25334</v>
      </c>
      <c r="C425" s="125">
        <v>1</v>
      </c>
    </row>
    <row r="426" spans="1:3" x14ac:dyDescent="0.25">
      <c r="A426" s="125" t="s">
        <v>25492</v>
      </c>
      <c r="B426" s="125" t="s">
        <v>28282</v>
      </c>
      <c r="C426" s="125">
        <v>1</v>
      </c>
    </row>
    <row r="427" spans="1:3" x14ac:dyDescent="0.25">
      <c r="A427" s="125" t="s">
        <v>25544</v>
      </c>
      <c r="B427" s="125" t="s">
        <v>28264</v>
      </c>
      <c r="C427" s="125">
        <v>1</v>
      </c>
    </row>
    <row r="428" spans="1:3" x14ac:dyDescent="0.25">
      <c r="A428" s="125" t="s">
        <v>43</v>
      </c>
      <c r="B428" s="125" t="s">
        <v>28280</v>
      </c>
      <c r="C428" s="125">
        <v>1</v>
      </c>
    </row>
    <row r="429" spans="1:3" x14ac:dyDescent="0.25">
      <c r="A429" s="125" t="s">
        <v>28392</v>
      </c>
      <c r="B429" s="125" t="s">
        <v>28264</v>
      </c>
      <c r="C429" s="125">
        <v>1</v>
      </c>
    </row>
    <row r="430" spans="1:3" x14ac:dyDescent="0.25">
      <c r="A430" s="125" t="s">
        <v>27</v>
      </c>
      <c r="B430" s="125" t="s">
        <v>28307</v>
      </c>
      <c r="C430" s="125">
        <v>1</v>
      </c>
    </row>
    <row r="431" spans="1:3" x14ac:dyDescent="0.25">
      <c r="A431" s="125" t="s">
        <v>25532</v>
      </c>
      <c r="B431" s="125" t="s">
        <v>25334</v>
      </c>
      <c r="C431" s="125">
        <v>1</v>
      </c>
    </row>
    <row r="432" spans="1:3" x14ac:dyDescent="0.25">
      <c r="A432" s="125" t="s">
        <v>1</v>
      </c>
      <c r="B432" s="125" t="s">
        <v>28393</v>
      </c>
      <c r="C432" s="125">
        <v>1</v>
      </c>
    </row>
    <row r="433" spans="1:3" x14ac:dyDescent="0.25">
      <c r="A433" s="125" t="s">
        <v>25365</v>
      </c>
      <c r="B433" s="125" t="s">
        <v>28261</v>
      </c>
      <c r="C433" s="125">
        <v>1</v>
      </c>
    </row>
    <row r="434" spans="1:3" x14ac:dyDescent="0.25">
      <c r="A434" s="125" t="s">
        <v>25337</v>
      </c>
      <c r="B434" s="125" t="s">
        <v>25308</v>
      </c>
      <c r="C434" s="125">
        <v>1</v>
      </c>
    </row>
    <row r="435" spans="1:3" x14ac:dyDescent="0.25">
      <c r="A435" s="125" t="s">
        <v>28394</v>
      </c>
      <c r="B435" s="125" t="s">
        <v>28332</v>
      </c>
      <c r="C435" s="125">
        <v>1</v>
      </c>
    </row>
    <row r="436" spans="1:3" x14ac:dyDescent="0.25">
      <c r="A436" s="125" t="s">
        <v>28395</v>
      </c>
      <c r="B436" s="125" t="s">
        <v>28390</v>
      </c>
      <c r="C436" s="125">
        <v>1</v>
      </c>
    </row>
    <row r="437" spans="1:3" x14ac:dyDescent="0.25">
      <c r="A437" s="125" t="s">
        <v>36</v>
      </c>
      <c r="B437" s="125" t="s">
        <v>28396</v>
      </c>
      <c r="C437" s="125">
        <v>1</v>
      </c>
    </row>
    <row r="438" spans="1:3" x14ac:dyDescent="0.25">
      <c r="A438" s="125" t="s">
        <v>25343</v>
      </c>
      <c r="B438" s="125" t="s">
        <v>28318</v>
      </c>
      <c r="C438" s="125">
        <v>1</v>
      </c>
    </row>
    <row r="439" spans="1:3" x14ac:dyDescent="0.25">
      <c r="A439" s="125" t="s">
        <v>25503</v>
      </c>
      <c r="B439" s="125" t="s">
        <v>25308</v>
      </c>
      <c r="C439" s="125">
        <v>1</v>
      </c>
    </row>
    <row r="440" spans="1:3" x14ac:dyDescent="0.25">
      <c r="A440" s="125" t="s">
        <v>28397</v>
      </c>
      <c r="B440" s="125" t="s">
        <v>28282</v>
      </c>
      <c r="C440" s="125">
        <v>1</v>
      </c>
    </row>
    <row r="441" spans="1:3" x14ac:dyDescent="0.25">
      <c r="A441" s="125" t="s">
        <v>25418</v>
      </c>
      <c r="B441" s="125" t="s">
        <v>28288</v>
      </c>
      <c r="C441" s="125">
        <v>1</v>
      </c>
    </row>
    <row r="442" spans="1:3" x14ac:dyDescent="0.25">
      <c r="A442" s="125" t="s">
        <v>130</v>
      </c>
      <c r="B442" s="125" t="s">
        <v>28264</v>
      </c>
      <c r="C442" s="125">
        <v>1</v>
      </c>
    </row>
    <row r="443" spans="1:3" x14ac:dyDescent="0.25">
      <c r="A443" s="125" t="s">
        <v>25480</v>
      </c>
      <c r="B443" s="125" t="s">
        <v>25308</v>
      </c>
      <c r="C443" s="125">
        <v>1</v>
      </c>
    </row>
    <row r="444" spans="1:3" x14ac:dyDescent="0.25">
      <c r="A444" s="125" t="s">
        <v>25435</v>
      </c>
      <c r="B444" s="125" t="s">
        <v>28348</v>
      </c>
      <c r="C444" s="125">
        <v>1</v>
      </c>
    </row>
    <row r="445" spans="1:3" x14ac:dyDescent="0.25">
      <c r="A445" s="125" t="s">
        <v>28398</v>
      </c>
      <c r="B445" s="125" t="s">
        <v>28322</v>
      </c>
      <c r="C445" s="125">
        <v>1</v>
      </c>
    </row>
    <row r="446" spans="1:3" x14ac:dyDescent="0.25">
      <c r="A446" s="125" t="s">
        <v>22</v>
      </c>
      <c r="B446" s="125" t="s">
        <v>28348</v>
      </c>
      <c r="C446" s="125">
        <v>1</v>
      </c>
    </row>
    <row r="447" spans="1:3" x14ac:dyDescent="0.25">
      <c r="A447" s="125" t="s">
        <v>28399</v>
      </c>
      <c r="B447" s="125" t="s">
        <v>28256</v>
      </c>
      <c r="C447" s="125">
        <v>1</v>
      </c>
    </row>
    <row r="448" spans="1:3" x14ac:dyDescent="0.25">
      <c r="A448" s="125" t="s">
        <v>43</v>
      </c>
      <c r="B448" s="125" t="s">
        <v>28314</v>
      </c>
      <c r="C448" s="125">
        <v>1</v>
      </c>
    </row>
    <row r="449" spans="1:3" x14ac:dyDescent="0.25">
      <c r="A449" s="125" t="s">
        <v>215</v>
      </c>
      <c r="B449" s="125" t="s">
        <v>28354</v>
      </c>
      <c r="C449" s="125">
        <v>1</v>
      </c>
    </row>
    <row r="450" spans="1:3" x14ac:dyDescent="0.25">
      <c r="A450" s="125" t="s">
        <v>22</v>
      </c>
      <c r="B450" s="125" t="s">
        <v>28314</v>
      </c>
      <c r="C450" s="125">
        <v>1</v>
      </c>
    </row>
    <row r="451" spans="1:3" x14ac:dyDescent="0.25">
      <c r="A451" s="125" t="s">
        <v>25492</v>
      </c>
      <c r="B451" s="125" t="s">
        <v>25308</v>
      </c>
      <c r="C451" s="125">
        <v>1</v>
      </c>
    </row>
    <row r="452" spans="1:3" x14ac:dyDescent="0.25">
      <c r="A452" s="125" t="s">
        <v>28397</v>
      </c>
      <c r="B452" s="125" t="s">
        <v>25333</v>
      </c>
      <c r="C452" s="125">
        <v>1</v>
      </c>
    </row>
    <row r="453" spans="1:3" x14ac:dyDescent="0.25">
      <c r="A453" s="125" t="s">
        <v>25354</v>
      </c>
      <c r="B453" s="125" t="s">
        <v>28298</v>
      </c>
      <c r="C453" s="125">
        <v>1</v>
      </c>
    </row>
    <row r="454" spans="1:3" x14ac:dyDescent="0.25">
      <c r="A454" s="125" t="s">
        <v>28329</v>
      </c>
      <c r="B454" s="125" t="s">
        <v>28257</v>
      </c>
      <c r="C454" s="125">
        <v>1</v>
      </c>
    </row>
    <row r="455" spans="1:3" x14ac:dyDescent="0.25">
      <c r="A455" s="125" t="s">
        <v>52</v>
      </c>
      <c r="B455" s="125" t="s">
        <v>25333</v>
      </c>
      <c r="C455" s="125">
        <v>1</v>
      </c>
    </row>
    <row r="456" spans="1:3" x14ac:dyDescent="0.25">
      <c r="A456" s="125" t="s">
        <v>123</v>
      </c>
      <c r="B456" s="125" t="s">
        <v>28256</v>
      </c>
      <c r="C456" s="125">
        <v>1</v>
      </c>
    </row>
    <row r="457" spans="1:3" x14ac:dyDescent="0.25">
      <c r="A457" s="125" t="s">
        <v>25527</v>
      </c>
      <c r="B457" s="125" t="s">
        <v>25308</v>
      </c>
      <c r="C457" s="125">
        <v>1</v>
      </c>
    </row>
    <row r="458" spans="1:3" x14ac:dyDescent="0.25">
      <c r="A458" s="125" t="s">
        <v>28</v>
      </c>
      <c r="B458" s="125" t="s">
        <v>28290</v>
      </c>
      <c r="C458" s="125">
        <v>1</v>
      </c>
    </row>
    <row r="459" spans="1:3" x14ac:dyDescent="0.25">
      <c r="A459" s="125" t="s">
        <v>25416</v>
      </c>
      <c r="B459" s="125" t="s">
        <v>28322</v>
      </c>
      <c r="C459" s="125">
        <v>1</v>
      </c>
    </row>
    <row r="460" spans="1:3" x14ac:dyDescent="0.25">
      <c r="A460" s="125" t="s">
        <v>22</v>
      </c>
      <c r="B460" s="125" t="s">
        <v>25308</v>
      </c>
      <c r="C460" s="125">
        <v>1</v>
      </c>
    </row>
    <row r="461" spans="1:3" x14ac:dyDescent="0.25">
      <c r="A461" s="125" t="s">
        <v>28400</v>
      </c>
      <c r="B461" s="125" t="s">
        <v>25333</v>
      </c>
      <c r="C461" s="125">
        <v>1</v>
      </c>
    </row>
    <row r="462" spans="1:3" x14ac:dyDescent="0.25">
      <c r="A462" s="125" t="s">
        <v>28401</v>
      </c>
      <c r="B462" s="125" t="s">
        <v>28256</v>
      </c>
      <c r="C462" s="125">
        <v>1</v>
      </c>
    </row>
    <row r="463" spans="1:3" x14ac:dyDescent="0.25">
      <c r="A463" s="125" t="s">
        <v>42</v>
      </c>
      <c r="B463" s="125" t="s">
        <v>28266</v>
      </c>
      <c r="C463" s="125">
        <v>1</v>
      </c>
    </row>
    <row r="464" spans="1:3" x14ac:dyDescent="0.25">
      <c r="A464" s="125" t="s">
        <v>25494</v>
      </c>
      <c r="B464" s="125" t="s">
        <v>28290</v>
      </c>
      <c r="C464" s="125">
        <v>1</v>
      </c>
    </row>
    <row r="465" spans="1:3" x14ac:dyDescent="0.25">
      <c r="A465" s="125" t="s">
        <v>28402</v>
      </c>
      <c r="B465" s="125" t="s">
        <v>28256</v>
      </c>
      <c r="C465" s="125">
        <v>1</v>
      </c>
    </row>
    <row r="466" spans="1:3" x14ac:dyDescent="0.25">
      <c r="A466" s="125" t="s">
        <v>25472</v>
      </c>
      <c r="B466" s="125" t="s">
        <v>28264</v>
      </c>
      <c r="C466" s="125">
        <v>1</v>
      </c>
    </row>
    <row r="467" spans="1:3" x14ac:dyDescent="0.25">
      <c r="A467" s="125" t="s">
        <v>25480</v>
      </c>
      <c r="B467" s="125" t="s">
        <v>25334</v>
      </c>
      <c r="C467" s="125">
        <v>1</v>
      </c>
    </row>
    <row r="468" spans="1:3" x14ac:dyDescent="0.25">
      <c r="A468" s="125" t="s">
        <v>100</v>
      </c>
      <c r="B468" s="125" t="s">
        <v>28258</v>
      </c>
      <c r="C468" s="125">
        <v>1</v>
      </c>
    </row>
    <row r="469" spans="1:3" x14ac:dyDescent="0.25">
      <c r="A469" s="125" t="s">
        <v>25452</v>
      </c>
      <c r="B469" s="125" t="s">
        <v>25308</v>
      </c>
      <c r="C469" s="125">
        <v>1</v>
      </c>
    </row>
    <row r="470" spans="1:3" x14ac:dyDescent="0.25">
      <c r="A470" s="125" t="s">
        <v>23</v>
      </c>
      <c r="B470" s="125" t="s">
        <v>28262</v>
      </c>
      <c r="C470" s="125">
        <v>1</v>
      </c>
    </row>
    <row r="471" spans="1:3" x14ac:dyDescent="0.25">
      <c r="A471" s="125" t="s">
        <v>25340</v>
      </c>
      <c r="B471" s="125" t="s">
        <v>28261</v>
      </c>
      <c r="C471" s="125">
        <v>1</v>
      </c>
    </row>
    <row r="472" spans="1:3" x14ac:dyDescent="0.25">
      <c r="A472" s="125" t="s">
        <v>25352</v>
      </c>
      <c r="B472" s="125" t="s">
        <v>28318</v>
      </c>
      <c r="C472" s="125">
        <v>1</v>
      </c>
    </row>
    <row r="473" spans="1:3" x14ac:dyDescent="0.25">
      <c r="A473" s="125" t="s">
        <v>52</v>
      </c>
      <c r="B473" s="125" t="s">
        <v>28346</v>
      </c>
      <c r="C473" s="125">
        <v>1</v>
      </c>
    </row>
    <row r="474" spans="1:3" x14ac:dyDescent="0.25">
      <c r="A474" s="125" t="s">
        <v>25340</v>
      </c>
      <c r="B474" s="125" t="s">
        <v>25308</v>
      </c>
      <c r="C474" s="125">
        <v>1</v>
      </c>
    </row>
    <row r="475" spans="1:3" x14ac:dyDescent="0.25">
      <c r="A475" s="125" t="s">
        <v>25408</v>
      </c>
      <c r="B475" s="125" t="s">
        <v>28291</v>
      </c>
      <c r="C475" s="125">
        <v>1</v>
      </c>
    </row>
    <row r="476" spans="1:3" x14ac:dyDescent="0.25">
      <c r="A476" s="125" t="s">
        <v>25385</v>
      </c>
      <c r="B476" s="125" t="s">
        <v>28262</v>
      </c>
      <c r="C476" s="125">
        <v>1</v>
      </c>
    </row>
    <row r="477" spans="1:3" x14ac:dyDescent="0.25">
      <c r="A477" s="125" t="s">
        <v>25458</v>
      </c>
      <c r="B477" s="125" t="s">
        <v>28320</v>
      </c>
      <c r="C477" s="125">
        <v>1</v>
      </c>
    </row>
    <row r="478" spans="1:3" x14ac:dyDescent="0.25">
      <c r="A478" s="125" t="s">
        <v>25367</v>
      </c>
      <c r="B478" s="125" t="s">
        <v>28277</v>
      </c>
      <c r="C478" s="125">
        <v>1</v>
      </c>
    </row>
    <row r="479" spans="1:3" x14ac:dyDescent="0.25">
      <c r="A479" s="125" t="s">
        <v>25367</v>
      </c>
      <c r="B479" s="125" t="s">
        <v>28255</v>
      </c>
      <c r="C479" s="125">
        <v>1</v>
      </c>
    </row>
    <row r="480" spans="1:3" x14ac:dyDescent="0.25">
      <c r="A480" s="125" t="s">
        <v>28305</v>
      </c>
      <c r="B480" s="125" t="s">
        <v>28396</v>
      </c>
      <c r="C480" s="125">
        <v>1</v>
      </c>
    </row>
    <row r="481" spans="1:3" x14ac:dyDescent="0.25">
      <c r="A481" s="125" t="s">
        <v>28403</v>
      </c>
      <c r="B481" s="125" t="s">
        <v>28291</v>
      </c>
      <c r="C481" s="125">
        <v>1</v>
      </c>
    </row>
    <row r="482" spans="1:3" x14ac:dyDescent="0.25">
      <c r="A482" s="125" t="s">
        <v>25452</v>
      </c>
      <c r="B482" s="125" t="s">
        <v>28256</v>
      </c>
      <c r="C482" s="125">
        <v>1</v>
      </c>
    </row>
    <row r="483" spans="1:3" x14ac:dyDescent="0.25">
      <c r="A483" s="125" t="s">
        <v>200</v>
      </c>
      <c r="B483" s="125" t="s">
        <v>25334</v>
      </c>
      <c r="C483" s="125">
        <v>1</v>
      </c>
    </row>
    <row r="484" spans="1:3" x14ac:dyDescent="0.25">
      <c r="A484" s="125" t="s">
        <v>28404</v>
      </c>
      <c r="B484" s="125" t="s">
        <v>28282</v>
      </c>
      <c r="C484" s="125">
        <v>1</v>
      </c>
    </row>
    <row r="485" spans="1:3" x14ac:dyDescent="0.25">
      <c r="A485" s="125" t="s">
        <v>201</v>
      </c>
      <c r="B485" s="125" t="s">
        <v>28261</v>
      </c>
      <c r="C485" s="125">
        <v>1</v>
      </c>
    </row>
    <row r="486" spans="1:3" x14ac:dyDescent="0.25">
      <c r="A486" s="125" t="s">
        <v>208</v>
      </c>
      <c r="B486" s="125" t="s">
        <v>28277</v>
      </c>
      <c r="C486" s="125">
        <v>1</v>
      </c>
    </row>
    <row r="487" spans="1:3" x14ac:dyDescent="0.25">
      <c r="A487" s="125" t="s">
        <v>25544</v>
      </c>
      <c r="B487" s="125" t="s">
        <v>28277</v>
      </c>
      <c r="C487" s="125">
        <v>1</v>
      </c>
    </row>
    <row r="488" spans="1:3" x14ac:dyDescent="0.25">
      <c r="A488" s="125" t="s">
        <v>23</v>
      </c>
      <c r="B488" s="125" t="s">
        <v>28391</v>
      </c>
      <c r="C488" s="125">
        <v>1</v>
      </c>
    </row>
    <row r="489" spans="1:3" x14ac:dyDescent="0.25">
      <c r="A489" s="125" t="s">
        <v>25456</v>
      </c>
      <c r="B489" s="125" t="s">
        <v>28260</v>
      </c>
      <c r="C489" s="125">
        <v>1</v>
      </c>
    </row>
    <row r="490" spans="1:3" x14ac:dyDescent="0.25">
      <c r="A490" s="125" t="s">
        <v>43</v>
      </c>
      <c r="B490" s="125" t="s">
        <v>28318</v>
      </c>
      <c r="C490" s="125">
        <v>1</v>
      </c>
    </row>
    <row r="491" spans="1:3" x14ac:dyDescent="0.25">
      <c r="A491" s="125" t="s">
        <v>25350</v>
      </c>
      <c r="B491" s="125" t="s">
        <v>28318</v>
      </c>
      <c r="C491" s="125">
        <v>1</v>
      </c>
    </row>
    <row r="492" spans="1:3" x14ac:dyDescent="0.25">
      <c r="A492" s="125" t="s">
        <v>25488</v>
      </c>
      <c r="B492" s="125" t="s">
        <v>28256</v>
      </c>
      <c r="C492" s="125">
        <v>1</v>
      </c>
    </row>
    <row r="493" spans="1:3" x14ac:dyDescent="0.25">
      <c r="A493" s="125" t="s">
        <v>130</v>
      </c>
      <c r="B493" s="125" t="s">
        <v>28277</v>
      </c>
      <c r="C493" s="125">
        <v>1</v>
      </c>
    </row>
    <row r="494" spans="1:3" x14ac:dyDescent="0.25">
      <c r="A494" s="125" t="s">
        <v>25402</v>
      </c>
      <c r="B494" s="125" t="s">
        <v>25308</v>
      </c>
      <c r="C494" s="125">
        <v>1</v>
      </c>
    </row>
    <row r="495" spans="1:3" x14ac:dyDescent="0.25">
      <c r="A495" s="125" t="s">
        <v>25488</v>
      </c>
      <c r="B495" s="125" t="s">
        <v>28268</v>
      </c>
      <c r="C495" s="125">
        <v>1</v>
      </c>
    </row>
    <row r="496" spans="1:3" x14ac:dyDescent="0.25">
      <c r="A496" s="125" t="s">
        <v>25395</v>
      </c>
      <c r="B496" s="125" t="s">
        <v>28291</v>
      </c>
      <c r="C496" s="125">
        <v>1</v>
      </c>
    </row>
    <row r="497" spans="1:3" x14ac:dyDescent="0.25">
      <c r="A497" s="125" t="s">
        <v>25391</v>
      </c>
      <c r="B497" s="125" t="s">
        <v>28262</v>
      </c>
      <c r="C497" s="125">
        <v>1</v>
      </c>
    </row>
    <row r="498" spans="1:3" x14ac:dyDescent="0.25">
      <c r="A498" s="125" t="s">
        <v>25457</v>
      </c>
      <c r="B498" s="125" t="s">
        <v>28260</v>
      </c>
      <c r="C498" s="125">
        <v>1</v>
      </c>
    </row>
    <row r="499" spans="1:3" x14ac:dyDescent="0.25">
      <c r="A499" s="125" t="s">
        <v>25480</v>
      </c>
      <c r="B499" s="125" t="s">
        <v>28263</v>
      </c>
      <c r="C499" s="125">
        <v>1</v>
      </c>
    </row>
    <row r="500" spans="1:3" x14ac:dyDescent="0.25">
      <c r="A500" s="125" t="s">
        <v>25406</v>
      </c>
      <c r="B500" s="125" t="s">
        <v>28280</v>
      </c>
      <c r="C500" s="125">
        <v>1</v>
      </c>
    </row>
    <row r="501" spans="1:3" x14ac:dyDescent="0.25">
      <c r="A501" s="125" t="s">
        <v>25541</v>
      </c>
      <c r="B501" s="125" t="s">
        <v>28257</v>
      </c>
      <c r="C501" s="125">
        <v>1</v>
      </c>
    </row>
    <row r="502" spans="1:3" x14ac:dyDescent="0.25">
      <c r="A502" s="125" t="s">
        <v>123</v>
      </c>
      <c r="B502" s="125" t="s">
        <v>28291</v>
      </c>
      <c r="C502" s="125">
        <v>1</v>
      </c>
    </row>
    <row r="503" spans="1:3" x14ac:dyDescent="0.25">
      <c r="A503" s="125" t="s">
        <v>58</v>
      </c>
      <c r="B503" s="125" t="s">
        <v>28263</v>
      </c>
      <c r="C503" s="125">
        <v>1</v>
      </c>
    </row>
    <row r="504" spans="1:3" x14ac:dyDescent="0.25">
      <c r="A504" s="125" t="s">
        <v>29</v>
      </c>
      <c r="B504" s="125" t="s">
        <v>28291</v>
      </c>
      <c r="C504" s="125">
        <v>1</v>
      </c>
    </row>
    <row r="505" spans="1:3" x14ac:dyDescent="0.25">
      <c r="A505" s="125" t="s">
        <v>25392</v>
      </c>
      <c r="B505" s="125" t="s">
        <v>28262</v>
      </c>
      <c r="C505" s="125">
        <v>1</v>
      </c>
    </row>
    <row r="506" spans="1:3" x14ac:dyDescent="0.25">
      <c r="A506" s="125" t="s">
        <v>1</v>
      </c>
      <c r="B506" s="125" t="s">
        <v>28333</v>
      </c>
      <c r="C506" s="125">
        <v>1</v>
      </c>
    </row>
    <row r="507" spans="1:3" x14ac:dyDescent="0.25">
      <c r="A507" s="125" t="s">
        <v>25384</v>
      </c>
      <c r="B507" s="125" t="s">
        <v>28262</v>
      </c>
      <c r="C507" s="125">
        <v>1</v>
      </c>
    </row>
    <row r="508" spans="1:3" x14ac:dyDescent="0.25">
      <c r="A508" s="125" t="s">
        <v>25529</v>
      </c>
      <c r="B508" s="125" t="s">
        <v>28322</v>
      </c>
      <c r="C508" s="125">
        <v>1</v>
      </c>
    </row>
    <row r="509" spans="1:3" x14ac:dyDescent="0.25">
      <c r="A509" s="125" t="s">
        <v>25381</v>
      </c>
      <c r="B509" s="125" t="s">
        <v>28314</v>
      </c>
      <c r="C509" s="125">
        <v>1</v>
      </c>
    </row>
    <row r="510" spans="1:3" x14ac:dyDescent="0.25">
      <c r="A510" s="125" t="s">
        <v>1</v>
      </c>
      <c r="B510" s="125" t="s">
        <v>28322</v>
      </c>
      <c r="C510" s="125">
        <v>1</v>
      </c>
    </row>
    <row r="511" spans="1:3" x14ac:dyDescent="0.25">
      <c r="A511" s="125" t="s">
        <v>197</v>
      </c>
      <c r="B511" s="125" t="s">
        <v>28257</v>
      </c>
      <c r="C511" s="125">
        <v>1</v>
      </c>
    </row>
    <row r="512" spans="1:3" x14ac:dyDescent="0.25">
      <c r="A512" s="125" t="s">
        <v>25481</v>
      </c>
      <c r="B512" s="125" t="s">
        <v>28390</v>
      </c>
      <c r="C512" s="125">
        <v>1</v>
      </c>
    </row>
    <row r="513" spans="1:3" x14ac:dyDescent="0.25">
      <c r="A513" s="125" t="s">
        <v>25489</v>
      </c>
      <c r="B513" s="125" t="s">
        <v>28262</v>
      </c>
      <c r="C513" s="125">
        <v>1</v>
      </c>
    </row>
    <row r="514" spans="1:3" x14ac:dyDescent="0.25">
      <c r="A514" s="125" t="s">
        <v>25497</v>
      </c>
      <c r="B514" s="125" t="s">
        <v>28336</v>
      </c>
      <c r="C514" s="125">
        <v>1</v>
      </c>
    </row>
    <row r="515" spans="1:3" x14ac:dyDescent="0.25">
      <c r="A515" s="125" t="s">
        <v>28405</v>
      </c>
      <c r="B515" s="125" t="s">
        <v>28333</v>
      </c>
      <c r="C515" s="125">
        <v>1</v>
      </c>
    </row>
    <row r="516" spans="1:3" x14ac:dyDescent="0.25">
      <c r="A516" s="125" t="s">
        <v>127</v>
      </c>
      <c r="B516" s="125" t="s">
        <v>28291</v>
      </c>
      <c r="C516" s="125">
        <v>1</v>
      </c>
    </row>
    <row r="517" spans="1:3" x14ac:dyDescent="0.25">
      <c r="A517" s="125" t="s">
        <v>55</v>
      </c>
      <c r="B517" s="125" t="s">
        <v>28282</v>
      </c>
      <c r="C517" s="125">
        <v>1</v>
      </c>
    </row>
    <row r="518" spans="1:3" x14ac:dyDescent="0.25">
      <c r="A518" s="125" t="s">
        <v>22</v>
      </c>
      <c r="B518" s="125" t="s">
        <v>28261</v>
      </c>
      <c r="C518" s="125">
        <v>1</v>
      </c>
    </row>
    <row r="519" spans="1:3" x14ac:dyDescent="0.25">
      <c r="A519" s="125" t="s">
        <v>35</v>
      </c>
      <c r="B519" s="125" t="s">
        <v>28257</v>
      </c>
      <c r="C519" s="125">
        <v>1</v>
      </c>
    </row>
    <row r="520" spans="1:3" x14ac:dyDescent="0.25">
      <c r="A520" s="125" t="s">
        <v>25508</v>
      </c>
      <c r="B520" s="125" t="s">
        <v>28348</v>
      </c>
      <c r="C520" s="125">
        <v>1</v>
      </c>
    </row>
    <row r="521" spans="1:3" x14ac:dyDescent="0.25">
      <c r="A521" s="125" t="s">
        <v>25413</v>
      </c>
      <c r="B521" s="125" t="s">
        <v>28255</v>
      </c>
      <c r="C521" s="125">
        <v>1</v>
      </c>
    </row>
    <row r="522" spans="1:3" x14ac:dyDescent="0.25">
      <c r="A522" s="125" t="s">
        <v>28328</v>
      </c>
      <c r="B522" s="125" t="s">
        <v>28406</v>
      </c>
      <c r="C522" s="125">
        <v>1</v>
      </c>
    </row>
    <row r="523" spans="1:3" x14ac:dyDescent="0.25">
      <c r="A523" s="125" t="s">
        <v>28324</v>
      </c>
      <c r="B523" s="125" t="s">
        <v>28269</v>
      </c>
      <c r="C523" s="125">
        <v>1</v>
      </c>
    </row>
    <row r="524" spans="1:3" x14ac:dyDescent="0.25">
      <c r="A524" s="125" t="s">
        <v>25536</v>
      </c>
      <c r="B524" s="125" t="s">
        <v>25334</v>
      </c>
      <c r="C524" s="125">
        <v>1</v>
      </c>
    </row>
    <row r="525" spans="1:3" x14ac:dyDescent="0.25">
      <c r="A525" s="125" t="s">
        <v>25402</v>
      </c>
      <c r="B525" s="125" t="s">
        <v>28280</v>
      </c>
      <c r="C525" s="125">
        <v>1</v>
      </c>
    </row>
    <row r="526" spans="1:3" x14ac:dyDescent="0.25">
      <c r="A526" s="125" t="s">
        <v>25516</v>
      </c>
      <c r="B526" s="125" t="s">
        <v>28332</v>
      </c>
      <c r="C526" s="125">
        <v>1</v>
      </c>
    </row>
    <row r="527" spans="1:3" x14ac:dyDescent="0.25">
      <c r="A527" s="125" t="s">
        <v>25477</v>
      </c>
      <c r="B527" s="125" t="s">
        <v>28367</v>
      </c>
      <c r="C527" s="125">
        <v>1</v>
      </c>
    </row>
    <row r="528" spans="1:3" x14ac:dyDescent="0.25">
      <c r="A528" s="125" t="s">
        <v>25517</v>
      </c>
      <c r="B528" s="125" t="s">
        <v>28264</v>
      </c>
      <c r="C528" s="125">
        <v>1</v>
      </c>
    </row>
    <row r="529" spans="1:3" x14ac:dyDescent="0.25">
      <c r="A529" s="125" t="s">
        <v>25394</v>
      </c>
      <c r="B529" s="125" t="s">
        <v>28264</v>
      </c>
      <c r="C529" s="125">
        <v>1</v>
      </c>
    </row>
    <row r="530" spans="1:3" x14ac:dyDescent="0.25">
      <c r="A530" s="125" t="s">
        <v>25461</v>
      </c>
      <c r="B530" s="125" t="s">
        <v>25332</v>
      </c>
      <c r="C530" s="125">
        <v>1</v>
      </c>
    </row>
    <row r="531" spans="1:3" x14ac:dyDescent="0.25">
      <c r="A531" s="125" t="s">
        <v>29</v>
      </c>
      <c r="B531" s="125" t="s">
        <v>28282</v>
      </c>
      <c r="C531" s="125">
        <v>1</v>
      </c>
    </row>
    <row r="532" spans="1:3" x14ac:dyDescent="0.25">
      <c r="A532" s="125" t="s">
        <v>25483</v>
      </c>
      <c r="B532" s="125" t="s">
        <v>28301</v>
      </c>
      <c r="C532" s="125">
        <v>1</v>
      </c>
    </row>
    <row r="533" spans="1:3" x14ac:dyDescent="0.25">
      <c r="A533" s="125" t="s">
        <v>25504</v>
      </c>
      <c r="B533" s="125" t="s">
        <v>28255</v>
      </c>
      <c r="C533" s="125">
        <v>1</v>
      </c>
    </row>
    <row r="534" spans="1:3" x14ac:dyDescent="0.25">
      <c r="A534" s="125" t="s">
        <v>27</v>
      </c>
      <c r="B534" s="125" t="s">
        <v>28263</v>
      </c>
      <c r="C534" s="125">
        <v>1</v>
      </c>
    </row>
    <row r="535" spans="1:3" x14ac:dyDescent="0.25">
      <c r="A535" s="125" t="s">
        <v>52</v>
      </c>
      <c r="B535" s="125" t="s">
        <v>28258</v>
      </c>
      <c r="C535" s="125">
        <v>1</v>
      </c>
    </row>
    <row r="536" spans="1:3" x14ac:dyDescent="0.25">
      <c r="A536" s="125" t="s">
        <v>26</v>
      </c>
      <c r="B536" s="125" t="s">
        <v>25334</v>
      </c>
      <c r="C536" s="125">
        <v>1</v>
      </c>
    </row>
    <row r="537" spans="1:3" x14ac:dyDescent="0.25">
      <c r="A537" s="125" t="s">
        <v>25397</v>
      </c>
      <c r="B537" s="125" t="s">
        <v>28407</v>
      </c>
      <c r="C537" s="125">
        <v>1</v>
      </c>
    </row>
    <row r="538" spans="1:3" x14ac:dyDescent="0.25">
      <c r="A538" s="125" t="s">
        <v>52</v>
      </c>
      <c r="B538" s="125" t="s">
        <v>28340</v>
      </c>
      <c r="C538" s="125">
        <v>1</v>
      </c>
    </row>
    <row r="539" spans="1:3" x14ac:dyDescent="0.25">
      <c r="A539" s="125" t="s">
        <v>25506</v>
      </c>
      <c r="B539" s="125" t="s">
        <v>28336</v>
      </c>
      <c r="C539" s="125">
        <v>1</v>
      </c>
    </row>
    <row r="540" spans="1:3" x14ac:dyDescent="0.25">
      <c r="A540" s="125" t="s">
        <v>25338</v>
      </c>
      <c r="B540" s="125" t="s">
        <v>28277</v>
      </c>
      <c r="C540" s="125">
        <v>1</v>
      </c>
    </row>
    <row r="541" spans="1:3" x14ac:dyDescent="0.25">
      <c r="A541" s="125" t="s">
        <v>25419</v>
      </c>
      <c r="B541" s="125" t="s">
        <v>28340</v>
      </c>
      <c r="C541" s="125">
        <v>1</v>
      </c>
    </row>
    <row r="542" spans="1:3" x14ac:dyDescent="0.25">
      <c r="A542" s="125" t="s">
        <v>25526</v>
      </c>
      <c r="B542" s="125" t="s">
        <v>28358</v>
      </c>
      <c r="C542" s="125">
        <v>1</v>
      </c>
    </row>
    <row r="543" spans="1:3" x14ac:dyDescent="0.25">
      <c r="A543" s="125" t="s">
        <v>25441</v>
      </c>
      <c r="B543" s="125" t="s">
        <v>28348</v>
      </c>
      <c r="C543" s="125">
        <v>1</v>
      </c>
    </row>
    <row r="544" spans="1:3" x14ac:dyDescent="0.25">
      <c r="A544" s="125" t="s">
        <v>25468</v>
      </c>
      <c r="B544" s="125" t="s">
        <v>28393</v>
      </c>
      <c r="C544" s="125">
        <v>1</v>
      </c>
    </row>
    <row r="545" spans="1:3" x14ac:dyDescent="0.25">
      <c r="A545" s="125" t="s">
        <v>25530</v>
      </c>
      <c r="B545" s="125" t="s">
        <v>28304</v>
      </c>
      <c r="C545" s="125">
        <v>1</v>
      </c>
    </row>
    <row r="546" spans="1:3" x14ac:dyDescent="0.25">
      <c r="A546" s="125" t="s">
        <v>25393</v>
      </c>
      <c r="B546" s="125" t="s">
        <v>28280</v>
      </c>
      <c r="C546" s="125">
        <v>1</v>
      </c>
    </row>
    <row r="547" spans="1:3" x14ac:dyDescent="0.25">
      <c r="A547" s="125" t="s">
        <v>123</v>
      </c>
      <c r="B547" s="125" t="s">
        <v>28321</v>
      </c>
      <c r="C547" s="125">
        <v>1</v>
      </c>
    </row>
    <row r="548" spans="1:3" x14ac:dyDescent="0.25">
      <c r="A548" s="125" t="s">
        <v>25366</v>
      </c>
      <c r="B548" s="125" t="s">
        <v>28273</v>
      </c>
      <c r="C548" s="125">
        <v>1</v>
      </c>
    </row>
    <row r="549" spans="1:3" x14ac:dyDescent="0.25">
      <c r="A549" s="125" t="s">
        <v>25422</v>
      </c>
      <c r="B549" s="125" t="s">
        <v>28351</v>
      </c>
      <c r="C549" s="125">
        <v>1</v>
      </c>
    </row>
    <row r="550" spans="1:3" x14ac:dyDescent="0.25">
      <c r="A550" s="125" t="s">
        <v>25376</v>
      </c>
      <c r="B550" s="125" t="s">
        <v>28266</v>
      </c>
      <c r="C550" s="125">
        <v>1</v>
      </c>
    </row>
    <row r="551" spans="1:3" x14ac:dyDescent="0.25">
      <c r="A551" s="125" t="s">
        <v>25474</v>
      </c>
      <c r="B551" s="125" t="s">
        <v>25333</v>
      </c>
      <c r="C551" s="125">
        <v>1</v>
      </c>
    </row>
    <row r="552" spans="1:3" x14ac:dyDescent="0.25">
      <c r="A552" s="125" t="s">
        <v>25366</v>
      </c>
      <c r="B552" s="125" t="s">
        <v>28261</v>
      </c>
      <c r="C552" s="125">
        <v>1</v>
      </c>
    </row>
    <row r="553" spans="1:3" x14ac:dyDescent="0.25">
      <c r="A553" s="125" t="s">
        <v>25377</v>
      </c>
      <c r="B553" s="125" t="s">
        <v>28333</v>
      </c>
      <c r="C553" s="125">
        <v>1</v>
      </c>
    </row>
    <row r="554" spans="1:3" x14ac:dyDescent="0.25">
      <c r="A554" s="125" t="s">
        <v>25460</v>
      </c>
      <c r="B554" s="125" t="s">
        <v>28291</v>
      </c>
      <c r="C554" s="125">
        <v>1</v>
      </c>
    </row>
    <row r="555" spans="1:3" x14ac:dyDescent="0.25">
      <c r="A555" s="125" t="s">
        <v>25473</v>
      </c>
      <c r="B555" s="125" t="s">
        <v>28271</v>
      </c>
      <c r="C555" s="125">
        <v>1</v>
      </c>
    </row>
    <row r="556" spans="1:3" x14ac:dyDescent="0.25">
      <c r="A556" s="125" t="s">
        <v>25525</v>
      </c>
      <c r="B556" s="125" t="s">
        <v>28257</v>
      </c>
      <c r="C556" s="125">
        <v>1</v>
      </c>
    </row>
    <row r="557" spans="1:3" x14ac:dyDescent="0.25">
      <c r="A557" s="125" t="s">
        <v>25471</v>
      </c>
      <c r="B557" s="125" t="s">
        <v>28408</v>
      </c>
      <c r="C557" s="125">
        <v>1</v>
      </c>
    </row>
    <row r="558" spans="1:3" x14ac:dyDescent="0.25">
      <c r="A558" s="125" t="s">
        <v>25480</v>
      </c>
      <c r="B558" s="125" t="s">
        <v>28322</v>
      </c>
      <c r="C558" s="125">
        <v>1</v>
      </c>
    </row>
    <row r="559" spans="1:3" x14ac:dyDescent="0.25">
      <c r="A559" s="125" t="s">
        <v>25492</v>
      </c>
      <c r="B559" s="125" t="s">
        <v>28256</v>
      </c>
      <c r="C559" s="125">
        <v>1</v>
      </c>
    </row>
    <row r="560" spans="1:3" x14ac:dyDescent="0.25">
      <c r="A560" s="125" t="s">
        <v>25476</v>
      </c>
      <c r="B560" s="125" t="s">
        <v>25333</v>
      </c>
      <c r="C560" s="125">
        <v>1</v>
      </c>
    </row>
    <row r="561" spans="1:3" x14ac:dyDescent="0.25">
      <c r="A561" s="125" t="s">
        <v>25457</v>
      </c>
      <c r="B561" s="125" t="s">
        <v>25308</v>
      </c>
      <c r="C561" s="125">
        <v>1</v>
      </c>
    </row>
    <row r="562" spans="1:3" x14ac:dyDescent="0.25">
      <c r="A562" s="125" t="s">
        <v>25438</v>
      </c>
      <c r="B562" s="125" t="s">
        <v>28255</v>
      </c>
      <c r="C562" s="125">
        <v>1</v>
      </c>
    </row>
    <row r="563" spans="1:3" x14ac:dyDescent="0.25">
      <c r="A563" s="125" t="s">
        <v>25453</v>
      </c>
      <c r="B563" s="125" t="s">
        <v>28260</v>
      </c>
      <c r="C563" s="125">
        <v>1</v>
      </c>
    </row>
    <row r="564" spans="1:3" x14ac:dyDescent="0.25">
      <c r="A564" s="125" t="s">
        <v>25405</v>
      </c>
      <c r="B564" s="125" t="s">
        <v>28280</v>
      </c>
      <c r="C564" s="125">
        <v>1</v>
      </c>
    </row>
    <row r="565" spans="1:3" x14ac:dyDescent="0.25">
      <c r="A565" s="125" t="s">
        <v>25368</v>
      </c>
      <c r="B565" s="125" t="s">
        <v>28409</v>
      </c>
      <c r="C565" s="125">
        <v>1</v>
      </c>
    </row>
    <row r="566" spans="1:3" x14ac:dyDescent="0.25">
      <c r="A566" s="125" t="s">
        <v>25467</v>
      </c>
      <c r="B566" s="125" t="s">
        <v>28311</v>
      </c>
      <c r="C566" s="125">
        <v>1</v>
      </c>
    </row>
    <row r="567" spans="1:3" x14ac:dyDescent="0.25">
      <c r="A567" s="125" t="s">
        <v>25493</v>
      </c>
      <c r="B567" s="125" t="s">
        <v>28274</v>
      </c>
      <c r="C567" s="125">
        <v>1</v>
      </c>
    </row>
    <row r="568" spans="1:3" x14ac:dyDescent="0.25">
      <c r="A568" s="125" t="s">
        <v>25522</v>
      </c>
      <c r="B568" s="125" t="s">
        <v>28379</v>
      </c>
      <c r="C568" s="125">
        <v>1</v>
      </c>
    </row>
    <row r="569" spans="1:3" x14ac:dyDescent="0.25">
      <c r="A569" s="125" t="s">
        <v>25471</v>
      </c>
      <c r="B569" s="125" t="s">
        <v>28282</v>
      </c>
      <c r="C569" s="125">
        <v>1</v>
      </c>
    </row>
    <row r="570" spans="1:3" x14ac:dyDescent="0.25">
      <c r="A570" s="125" t="s">
        <v>41</v>
      </c>
      <c r="B570" s="125" t="s">
        <v>28295</v>
      </c>
      <c r="C570" s="125">
        <v>1</v>
      </c>
    </row>
    <row r="571" spans="1:3" x14ac:dyDescent="0.25">
      <c r="A571" s="125" t="s">
        <v>25444</v>
      </c>
      <c r="B571" s="125" t="s">
        <v>28301</v>
      </c>
      <c r="C571" s="125">
        <v>1</v>
      </c>
    </row>
    <row r="572" spans="1:3" x14ac:dyDescent="0.25">
      <c r="A572" s="125" t="s">
        <v>25358</v>
      </c>
      <c r="B572" s="125" t="s">
        <v>28318</v>
      </c>
      <c r="C572" s="125">
        <v>1</v>
      </c>
    </row>
    <row r="573" spans="1:3" x14ac:dyDescent="0.25">
      <c r="A573" s="125" t="s">
        <v>25459</v>
      </c>
      <c r="B573" s="125" t="s">
        <v>28333</v>
      </c>
      <c r="C573" s="125">
        <v>1</v>
      </c>
    </row>
    <row r="574" spans="1:3" x14ac:dyDescent="0.25">
      <c r="A574" s="125" t="s">
        <v>28</v>
      </c>
      <c r="B574" s="125" t="s">
        <v>28255</v>
      </c>
      <c r="C574" s="125">
        <v>1</v>
      </c>
    </row>
    <row r="575" spans="1:3" x14ac:dyDescent="0.25">
      <c r="A575" s="125" t="s">
        <v>25374</v>
      </c>
      <c r="B575" s="125" t="s">
        <v>28262</v>
      </c>
      <c r="C575" s="125">
        <v>1</v>
      </c>
    </row>
    <row r="576" spans="1:3" x14ac:dyDescent="0.25">
      <c r="A576" s="125" t="s">
        <v>28388</v>
      </c>
      <c r="B576" s="125" t="s">
        <v>28346</v>
      </c>
      <c r="C576" s="125">
        <v>1</v>
      </c>
    </row>
    <row r="577" spans="1:3" x14ac:dyDescent="0.25">
      <c r="A577" s="125" t="s">
        <v>25518</v>
      </c>
      <c r="B577" s="125" t="s">
        <v>28264</v>
      </c>
      <c r="C577" s="125">
        <v>1</v>
      </c>
    </row>
    <row r="578" spans="1:3" x14ac:dyDescent="0.25">
      <c r="A578" s="125" t="s">
        <v>25485</v>
      </c>
      <c r="B578" s="125" t="s">
        <v>25333</v>
      </c>
      <c r="C578" s="125">
        <v>1</v>
      </c>
    </row>
    <row r="579" spans="1:3" x14ac:dyDescent="0.25">
      <c r="A579" s="125" t="s">
        <v>25515</v>
      </c>
      <c r="B579" s="125" t="s">
        <v>28264</v>
      </c>
      <c r="C579" s="125">
        <v>1</v>
      </c>
    </row>
    <row r="580" spans="1:3" x14ac:dyDescent="0.25">
      <c r="A580" s="125" t="s">
        <v>25497</v>
      </c>
      <c r="B580" s="125" t="s">
        <v>28256</v>
      </c>
      <c r="C580" s="125">
        <v>1</v>
      </c>
    </row>
    <row r="581" spans="1:3" x14ac:dyDescent="0.25">
      <c r="A581" s="125" t="s">
        <v>28312</v>
      </c>
      <c r="B581" s="125" t="s">
        <v>28263</v>
      </c>
      <c r="C581" s="125">
        <v>1</v>
      </c>
    </row>
    <row r="582" spans="1:3" x14ac:dyDescent="0.25">
      <c r="A582" s="125" t="s">
        <v>34</v>
      </c>
      <c r="B582" s="125" t="s">
        <v>28264</v>
      </c>
      <c r="C582" s="125">
        <v>1</v>
      </c>
    </row>
    <row r="583" spans="1:3" x14ac:dyDescent="0.25">
      <c r="A583" s="125" t="s">
        <v>23</v>
      </c>
      <c r="B583" s="125" t="s">
        <v>28371</v>
      </c>
      <c r="C583" s="125">
        <v>1</v>
      </c>
    </row>
    <row r="584" spans="1:3" x14ac:dyDescent="0.25">
      <c r="A584" s="125" t="s">
        <v>54</v>
      </c>
      <c r="B584" s="125" t="s">
        <v>28396</v>
      </c>
      <c r="C584" s="125">
        <v>1</v>
      </c>
    </row>
    <row r="585" spans="1:3" x14ac:dyDescent="0.25">
      <c r="A585" s="125" t="s">
        <v>27814</v>
      </c>
      <c r="B585" s="125" t="s">
        <v>28256</v>
      </c>
      <c r="C585" s="125">
        <v>1</v>
      </c>
    </row>
    <row r="586" spans="1:3" x14ac:dyDescent="0.25">
      <c r="A586" s="125" t="s">
        <v>28285</v>
      </c>
      <c r="B586" s="125" t="s">
        <v>28258</v>
      </c>
      <c r="C586" s="125">
        <v>1</v>
      </c>
    </row>
    <row r="587" spans="1:3" x14ac:dyDescent="0.25">
      <c r="A587" s="125" t="s">
        <v>28410</v>
      </c>
      <c r="B587" s="125" t="s">
        <v>28396</v>
      </c>
      <c r="C587" s="125">
        <v>1</v>
      </c>
    </row>
    <row r="588" spans="1:3" x14ac:dyDescent="0.25">
      <c r="A588" s="125" t="s">
        <v>54</v>
      </c>
      <c r="B588" s="125" t="s">
        <v>28257</v>
      </c>
      <c r="C588" s="125">
        <v>1</v>
      </c>
    </row>
    <row r="589" spans="1:3" x14ac:dyDescent="0.25">
      <c r="A589" s="125" t="s">
        <v>147</v>
      </c>
      <c r="B589" s="125" t="s">
        <v>28256</v>
      </c>
      <c r="C589" s="125">
        <v>1</v>
      </c>
    </row>
    <row r="590" spans="1:3" x14ac:dyDescent="0.25">
      <c r="A590" s="125" t="s">
        <v>200</v>
      </c>
      <c r="B590" s="125" t="s">
        <v>28260</v>
      </c>
      <c r="C590" s="125">
        <v>1</v>
      </c>
    </row>
    <row r="591" spans="1:3" x14ac:dyDescent="0.25">
      <c r="A591" s="125" t="s">
        <v>25376</v>
      </c>
      <c r="B591" s="125" t="s">
        <v>28320</v>
      </c>
      <c r="C591" s="125">
        <v>1</v>
      </c>
    </row>
    <row r="592" spans="1:3" x14ac:dyDescent="0.25">
      <c r="A592" s="125" t="s">
        <v>25523</v>
      </c>
      <c r="B592" s="125" t="s">
        <v>28333</v>
      </c>
      <c r="C592" s="125">
        <v>1</v>
      </c>
    </row>
    <row r="593" spans="1:3" x14ac:dyDescent="0.25">
      <c r="A593" s="125" t="s">
        <v>25400</v>
      </c>
      <c r="B593" s="125" t="s">
        <v>28284</v>
      </c>
      <c r="C593" s="125">
        <v>1</v>
      </c>
    </row>
    <row r="594" spans="1:3" x14ac:dyDescent="0.25">
      <c r="A594" s="125" t="s">
        <v>25447</v>
      </c>
      <c r="B594" s="125" t="s">
        <v>28274</v>
      </c>
      <c r="C594" s="125">
        <v>1</v>
      </c>
    </row>
    <row r="595" spans="1:3" x14ac:dyDescent="0.25">
      <c r="A595" s="125" t="s">
        <v>25481</v>
      </c>
      <c r="B595" s="125" t="s">
        <v>28263</v>
      </c>
      <c r="C595" s="125">
        <v>1</v>
      </c>
    </row>
    <row r="596" spans="1:3" x14ac:dyDescent="0.25">
      <c r="A596" s="125" t="s">
        <v>25496</v>
      </c>
      <c r="B596" s="125" t="s">
        <v>28256</v>
      </c>
      <c r="C596" s="125">
        <v>1</v>
      </c>
    </row>
    <row r="597" spans="1:3" x14ac:dyDescent="0.25">
      <c r="A597" s="125" t="s">
        <v>25487</v>
      </c>
      <c r="B597" s="125" t="s">
        <v>28256</v>
      </c>
      <c r="C597" s="125">
        <v>1</v>
      </c>
    </row>
    <row r="598" spans="1:3" x14ac:dyDescent="0.25">
      <c r="A598" s="125" t="s">
        <v>25364</v>
      </c>
      <c r="B598" s="125" t="s">
        <v>28261</v>
      </c>
      <c r="C598" s="125">
        <v>1</v>
      </c>
    </row>
    <row r="599" spans="1:3" x14ac:dyDescent="0.25">
      <c r="A599" s="125" t="s">
        <v>25479</v>
      </c>
      <c r="B599" s="125" t="s">
        <v>25333</v>
      </c>
      <c r="C599" s="125">
        <v>1</v>
      </c>
    </row>
    <row r="600" spans="1:3" x14ac:dyDescent="0.25">
      <c r="A600" s="125" t="s">
        <v>25373</v>
      </c>
      <c r="B600" s="125" t="s">
        <v>28261</v>
      </c>
      <c r="C600" s="125">
        <v>1</v>
      </c>
    </row>
    <row r="601" spans="1:3" x14ac:dyDescent="0.25">
      <c r="A601" s="125" t="s">
        <v>25492</v>
      </c>
      <c r="B601" s="125" t="s">
        <v>28274</v>
      </c>
      <c r="C601" s="125">
        <v>1</v>
      </c>
    </row>
    <row r="602" spans="1:3" x14ac:dyDescent="0.25">
      <c r="A602" s="125" t="s">
        <v>25401</v>
      </c>
      <c r="B602" s="125" t="s">
        <v>28280</v>
      </c>
      <c r="C602" s="125">
        <v>1</v>
      </c>
    </row>
    <row r="603" spans="1:3" x14ac:dyDescent="0.25">
      <c r="A603" s="125" t="s">
        <v>25362</v>
      </c>
      <c r="B603" s="125" t="s">
        <v>28277</v>
      </c>
      <c r="C603" s="125">
        <v>1</v>
      </c>
    </row>
    <row r="604" spans="1:3" x14ac:dyDescent="0.25">
      <c r="A604" s="125" t="s">
        <v>25389</v>
      </c>
      <c r="B604" s="125" t="s">
        <v>28262</v>
      </c>
      <c r="C604" s="125">
        <v>1</v>
      </c>
    </row>
    <row r="605" spans="1:3" x14ac:dyDescent="0.25">
      <c r="A605" s="125" t="s">
        <v>25455</v>
      </c>
      <c r="B605" s="125" t="s">
        <v>28260</v>
      </c>
      <c r="C605" s="125">
        <v>1</v>
      </c>
    </row>
    <row r="606" spans="1:3" x14ac:dyDescent="0.25">
      <c r="A606" s="125" t="s">
        <v>42</v>
      </c>
      <c r="B606" s="125" t="s">
        <v>25334</v>
      </c>
      <c r="C606" s="125">
        <v>1</v>
      </c>
    </row>
    <row r="607" spans="1:3" x14ac:dyDescent="0.25">
      <c r="A607" s="125" t="s">
        <v>28362</v>
      </c>
      <c r="B607" s="125" t="s">
        <v>28260</v>
      </c>
      <c r="C607" s="125">
        <v>1</v>
      </c>
    </row>
    <row r="608" spans="1:3" x14ac:dyDescent="0.25">
      <c r="A608" s="125" t="s">
        <v>28411</v>
      </c>
      <c r="B608" s="125" t="s">
        <v>25308</v>
      </c>
      <c r="C608" s="125">
        <v>1</v>
      </c>
    </row>
    <row r="609" spans="1:3" x14ac:dyDescent="0.25">
      <c r="A609" s="125" t="s">
        <v>28411</v>
      </c>
      <c r="B609" s="125" t="s">
        <v>28350</v>
      </c>
      <c r="C609" s="125">
        <v>1</v>
      </c>
    </row>
    <row r="610" spans="1:3" x14ac:dyDescent="0.25">
      <c r="A610" s="125" t="s">
        <v>25352</v>
      </c>
      <c r="B610" s="125" t="s">
        <v>28261</v>
      </c>
      <c r="C610" s="125">
        <v>1</v>
      </c>
    </row>
    <row r="611" spans="1:3" x14ac:dyDescent="0.25">
      <c r="A611" s="125" t="s">
        <v>28412</v>
      </c>
      <c r="B611" s="125" t="s">
        <v>28261</v>
      </c>
      <c r="C611" s="125">
        <v>1</v>
      </c>
    </row>
    <row r="612" spans="1:3" x14ac:dyDescent="0.25">
      <c r="A612" s="125" t="s">
        <v>28413</v>
      </c>
      <c r="B612" s="125" t="s">
        <v>28272</v>
      </c>
      <c r="C612" s="125">
        <v>1</v>
      </c>
    </row>
    <row r="613" spans="1:3" x14ac:dyDescent="0.25">
      <c r="A613" s="125" t="s">
        <v>28414</v>
      </c>
      <c r="B613" s="125" t="s">
        <v>28256</v>
      </c>
      <c r="C613" s="125">
        <v>1</v>
      </c>
    </row>
    <row r="614" spans="1:3" x14ac:dyDescent="0.25">
      <c r="A614" s="125" t="s">
        <v>28357</v>
      </c>
      <c r="B614" s="125" t="s">
        <v>28280</v>
      </c>
      <c r="C614" s="125">
        <v>1</v>
      </c>
    </row>
    <row r="615" spans="1:3" x14ac:dyDescent="0.25">
      <c r="A615" s="125" t="s">
        <v>28415</v>
      </c>
      <c r="B615" s="125" t="s">
        <v>28280</v>
      </c>
      <c r="C615" s="125">
        <v>1</v>
      </c>
    </row>
    <row r="616" spans="1:3" x14ac:dyDescent="0.25">
      <c r="A616" s="125" t="s">
        <v>28416</v>
      </c>
      <c r="B616" s="125" t="s">
        <v>28318</v>
      </c>
      <c r="C616" s="125">
        <v>1</v>
      </c>
    </row>
    <row r="617" spans="1:3" x14ac:dyDescent="0.25">
      <c r="A617" s="125" t="s">
        <v>28417</v>
      </c>
      <c r="B617" s="125" t="s">
        <v>28272</v>
      </c>
      <c r="C617" s="125">
        <v>1</v>
      </c>
    </row>
    <row r="618" spans="1:3" x14ac:dyDescent="0.25">
      <c r="A618" s="125" t="s">
        <v>28418</v>
      </c>
      <c r="B618" s="125" t="s">
        <v>28272</v>
      </c>
      <c r="C618" s="125">
        <v>1</v>
      </c>
    </row>
    <row r="619" spans="1:3" x14ac:dyDescent="0.25">
      <c r="A619" s="125" t="s">
        <v>28</v>
      </c>
      <c r="B619" s="125" t="s">
        <v>28271</v>
      </c>
      <c r="C619" s="125">
        <v>1</v>
      </c>
    </row>
    <row r="620" spans="1:3" x14ac:dyDescent="0.25">
      <c r="A620" s="125" t="s">
        <v>25423</v>
      </c>
      <c r="B620" s="125" t="s">
        <v>28419</v>
      </c>
      <c r="C620" s="125">
        <v>1</v>
      </c>
    </row>
    <row r="621" spans="1:3" x14ac:dyDescent="0.25">
      <c r="A621" s="125" t="s">
        <v>28420</v>
      </c>
      <c r="B621" s="125" t="s">
        <v>28291</v>
      </c>
      <c r="C621" s="125">
        <v>1</v>
      </c>
    </row>
    <row r="622" spans="1:3" x14ac:dyDescent="0.25">
      <c r="A622" s="125" t="s">
        <v>25494</v>
      </c>
      <c r="B622" s="125" t="s">
        <v>25333</v>
      </c>
      <c r="C622" s="125">
        <v>1</v>
      </c>
    </row>
    <row r="623" spans="1:3" x14ac:dyDescent="0.25">
      <c r="A623" s="125" t="s">
        <v>23</v>
      </c>
      <c r="B623" s="125" t="s">
        <v>28297</v>
      </c>
      <c r="C623" s="125">
        <v>1</v>
      </c>
    </row>
    <row r="624" spans="1:3" x14ac:dyDescent="0.25">
      <c r="A624" s="125" t="s">
        <v>25485</v>
      </c>
      <c r="B624" s="125" t="s">
        <v>28281</v>
      </c>
      <c r="C624" s="125">
        <v>1</v>
      </c>
    </row>
    <row r="625" spans="1:3" x14ac:dyDescent="0.25">
      <c r="A625" s="125" t="s">
        <v>28421</v>
      </c>
      <c r="B625" s="125" t="s">
        <v>28262</v>
      </c>
      <c r="C625" s="125">
        <v>1</v>
      </c>
    </row>
    <row r="626" spans="1:3" x14ac:dyDescent="0.25">
      <c r="A626" s="125" t="s">
        <v>28422</v>
      </c>
      <c r="B626" s="125" t="s">
        <v>28280</v>
      </c>
      <c r="C626" s="125">
        <v>1</v>
      </c>
    </row>
    <row r="627" spans="1:3" x14ac:dyDescent="0.25">
      <c r="A627" s="125" t="s">
        <v>25483</v>
      </c>
      <c r="B627" s="125" t="s">
        <v>25308</v>
      </c>
      <c r="C627" s="125">
        <v>1</v>
      </c>
    </row>
    <row r="628" spans="1:3" x14ac:dyDescent="0.25">
      <c r="A628" s="125" t="s">
        <v>25494</v>
      </c>
      <c r="B628" s="125" t="s">
        <v>28346</v>
      </c>
      <c r="C628" s="125">
        <v>1</v>
      </c>
    </row>
    <row r="629" spans="1:3" x14ac:dyDescent="0.25">
      <c r="A629" s="125" t="s">
        <v>22</v>
      </c>
      <c r="B629" s="125" t="s">
        <v>28271</v>
      </c>
      <c r="C629" s="125">
        <v>1</v>
      </c>
    </row>
    <row r="630" spans="1:3" x14ac:dyDescent="0.25">
      <c r="A630" s="125" t="s">
        <v>58</v>
      </c>
      <c r="B630" s="125" t="s">
        <v>25308</v>
      </c>
      <c r="C630" s="125">
        <v>1</v>
      </c>
    </row>
    <row r="631" spans="1:3" x14ac:dyDescent="0.25">
      <c r="A631" s="125" t="s">
        <v>208</v>
      </c>
      <c r="B631" s="125" t="s">
        <v>28278</v>
      </c>
      <c r="C631" s="125">
        <v>1</v>
      </c>
    </row>
    <row r="632" spans="1:3" x14ac:dyDescent="0.25">
      <c r="A632" s="125" t="s">
        <v>25439</v>
      </c>
      <c r="B632" s="125" t="s">
        <v>28361</v>
      </c>
      <c r="C632" s="125">
        <v>1</v>
      </c>
    </row>
    <row r="633" spans="1:3" x14ac:dyDescent="0.25">
      <c r="A633" s="125" t="s">
        <v>25404</v>
      </c>
      <c r="B633" s="125" t="s">
        <v>28423</v>
      </c>
      <c r="C633" s="125">
        <v>1</v>
      </c>
    </row>
    <row r="634" spans="1:3" x14ac:dyDescent="0.25">
      <c r="A634" s="125" t="s">
        <v>28424</v>
      </c>
      <c r="B634" s="125" t="s">
        <v>28261</v>
      </c>
      <c r="C634" s="125">
        <v>1</v>
      </c>
    </row>
    <row r="635" spans="1:3" x14ac:dyDescent="0.25">
      <c r="A635" s="125" t="s">
        <v>28425</v>
      </c>
      <c r="B635" s="125" t="s">
        <v>28282</v>
      </c>
      <c r="C635" s="125">
        <v>1</v>
      </c>
    </row>
    <row r="636" spans="1:3" x14ac:dyDescent="0.25">
      <c r="A636" s="125" t="s">
        <v>28426</v>
      </c>
      <c r="B636" s="125" t="s">
        <v>28260</v>
      </c>
      <c r="C636" s="125">
        <v>1</v>
      </c>
    </row>
    <row r="637" spans="1:3" x14ac:dyDescent="0.25">
      <c r="A637" s="125" t="s">
        <v>28427</v>
      </c>
      <c r="B637" s="125" t="s">
        <v>28260</v>
      </c>
      <c r="C637" s="125">
        <v>1</v>
      </c>
    </row>
    <row r="638" spans="1:3" x14ac:dyDescent="0.25">
      <c r="A638" s="125" t="s">
        <v>25489</v>
      </c>
      <c r="B638" s="125" t="s">
        <v>25308</v>
      </c>
      <c r="C638" s="125">
        <v>1</v>
      </c>
    </row>
    <row r="639" spans="1:3" x14ac:dyDescent="0.25">
      <c r="A639" s="125" t="s">
        <v>25432</v>
      </c>
      <c r="B639" s="125" t="s">
        <v>28255</v>
      </c>
      <c r="C639" s="125">
        <v>1</v>
      </c>
    </row>
    <row r="640" spans="1:3" x14ac:dyDescent="0.25">
      <c r="A640" s="125" t="s">
        <v>25398</v>
      </c>
      <c r="B640" s="125" t="s">
        <v>28291</v>
      </c>
      <c r="C640" s="125">
        <v>1</v>
      </c>
    </row>
    <row r="641" spans="1:3" x14ac:dyDescent="0.25">
      <c r="A641" s="125" t="s">
        <v>147</v>
      </c>
      <c r="B641" s="125" t="s">
        <v>28255</v>
      </c>
      <c r="C641" s="125">
        <v>1</v>
      </c>
    </row>
    <row r="642" spans="1:3" x14ac:dyDescent="0.25">
      <c r="A642" s="125" t="s">
        <v>25486</v>
      </c>
      <c r="B642" s="125" t="s">
        <v>28258</v>
      </c>
      <c r="C642" s="125">
        <v>1</v>
      </c>
    </row>
    <row r="643" spans="1:3" x14ac:dyDescent="0.25">
      <c r="A643" s="125" t="s">
        <v>25466</v>
      </c>
      <c r="B643" s="125" t="s">
        <v>28280</v>
      </c>
      <c r="C643" s="125">
        <v>1</v>
      </c>
    </row>
    <row r="644" spans="1:3" x14ac:dyDescent="0.25">
      <c r="A644" s="125" t="s">
        <v>25512</v>
      </c>
      <c r="B644" s="125" t="s">
        <v>28288</v>
      </c>
      <c r="C644" s="125">
        <v>1</v>
      </c>
    </row>
    <row r="645" spans="1:3" x14ac:dyDescent="0.25">
      <c r="A645" s="125" t="s">
        <v>25479</v>
      </c>
      <c r="B645" s="125" t="s">
        <v>28263</v>
      </c>
      <c r="C645" s="125">
        <v>1</v>
      </c>
    </row>
    <row r="646" spans="1:3" x14ac:dyDescent="0.25">
      <c r="A646" s="125" t="s">
        <v>28428</v>
      </c>
      <c r="B646" s="125" t="s">
        <v>28280</v>
      </c>
      <c r="C646" s="125">
        <v>1</v>
      </c>
    </row>
    <row r="647" spans="1:3" x14ac:dyDescent="0.25">
      <c r="A647" s="125" t="s">
        <v>25472</v>
      </c>
      <c r="B647" s="125" t="s">
        <v>25333</v>
      </c>
      <c r="C647" s="125">
        <v>1</v>
      </c>
    </row>
    <row r="648" spans="1:3" x14ac:dyDescent="0.25">
      <c r="A648" s="125" t="s">
        <v>28365</v>
      </c>
      <c r="B648" s="125" t="s">
        <v>28269</v>
      </c>
      <c r="C648" s="125">
        <v>1</v>
      </c>
    </row>
    <row r="649" spans="1:3" x14ac:dyDescent="0.25">
      <c r="A649" s="125" t="s">
        <v>141</v>
      </c>
      <c r="B649" s="125" t="s">
        <v>28282</v>
      </c>
      <c r="C649" s="125">
        <v>1</v>
      </c>
    </row>
    <row r="650" spans="1:3" x14ac:dyDescent="0.25">
      <c r="A650" s="125" t="s">
        <v>123</v>
      </c>
      <c r="B650" s="125" t="s">
        <v>28255</v>
      </c>
      <c r="C650" s="125">
        <v>1</v>
      </c>
    </row>
    <row r="651" spans="1:3" x14ac:dyDescent="0.25">
      <c r="A651" s="125" t="s">
        <v>25427</v>
      </c>
      <c r="B651" s="125" t="s">
        <v>28314</v>
      </c>
      <c r="C651" s="125">
        <v>1</v>
      </c>
    </row>
    <row r="652" spans="1:3" x14ac:dyDescent="0.25">
      <c r="A652" s="125" t="s">
        <v>197</v>
      </c>
      <c r="B652" s="125" t="s">
        <v>28334</v>
      </c>
      <c r="C652" s="125">
        <v>1</v>
      </c>
    </row>
    <row r="653" spans="1:3" x14ac:dyDescent="0.25">
      <c r="A653" s="125" t="s">
        <v>43</v>
      </c>
      <c r="B653" s="125" t="s">
        <v>25335</v>
      </c>
      <c r="C653" s="125">
        <v>1</v>
      </c>
    </row>
    <row r="654" spans="1:3" x14ac:dyDescent="0.25">
      <c r="A654" s="125" t="s">
        <v>25503</v>
      </c>
      <c r="B654" s="125" t="s">
        <v>28336</v>
      </c>
      <c r="C654" s="125">
        <v>1</v>
      </c>
    </row>
    <row r="655" spans="1:3" x14ac:dyDescent="0.25">
      <c r="A655" s="125" t="s">
        <v>215</v>
      </c>
      <c r="B655" s="125" t="s">
        <v>28346</v>
      </c>
      <c r="C655" s="125">
        <v>1</v>
      </c>
    </row>
    <row r="656" spans="1:3" x14ac:dyDescent="0.25">
      <c r="A656" s="125" t="s">
        <v>25366</v>
      </c>
      <c r="B656" s="125" t="s">
        <v>28307</v>
      </c>
      <c r="C656" s="125">
        <v>1</v>
      </c>
    </row>
    <row r="657" spans="1:3" x14ac:dyDescent="0.25">
      <c r="A657" s="125" t="s">
        <v>25349</v>
      </c>
      <c r="B657" s="125" t="s">
        <v>28348</v>
      </c>
      <c r="C657" s="125">
        <v>1</v>
      </c>
    </row>
    <row r="658" spans="1:3" x14ac:dyDescent="0.25">
      <c r="A658" s="125" t="s">
        <v>25366</v>
      </c>
      <c r="B658" s="125" t="s">
        <v>28391</v>
      </c>
      <c r="C658" s="125">
        <v>1</v>
      </c>
    </row>
    <row r="659" spans="1:3" x14ac:dyDescent="0.25">
      <c r="A659" s="125" t="s">
        <v>107</v>
      </c>
      <c r="B659" s="125" t="s">
        <v>28332</v>
      </c>
      <c r="C659" s="125">
        <v>1</v>
      </c>
    </row>
    <row r="660" spans="1:3" x14ac:dyDescent="0.25">
      <c r="A660" s="125" t="s">
        <v>25378</v>
      </c>
      <c r="B660" s="125" t="s">
        <v>25308</v>
      </c>
      <c r="C660" s="125">
        <v>1</v>
      </c>
    </row>
    <row r="661" spans="1:3" x14ac:dyDescent="0.25">
      <c r="A661" s="125" t="s">
        <v>28429</v>
      </c>
      <c r="B661" s="125" t="s">
        <v>28258</v>
      </c>
      <c r="C661" s="125">
        <v>1</v>
      </c>
    </row>
    <row r="662" spans="1:3" x14ac:dyDescent="0.25">
      <c r="A662" s="125" t="s">
        <v>25498</v>
      </c>
      <c r="B662" s="125" t="s">
        <v>25333</v>
      </c>
      <c r="C662" s="125">
        <v>1</v>
      </c>
    </row>
    <row r="663" spans="1:3" x14ac:dyDescent="0.25">
      <c r="A663" s="125" t="s">
        <v>25411</v>
      </c>
      <c r="B663" s="125" t="s">
        <v>28314</v>
      </c>
      <c r="C663" s="125">
        <v>1</v>
      </c>
    </row>
    <row r="664" spans="1:3" x14ac:dyDescent="0.25">
      <c r="A664" s="125" t="s">
        <v>25410</v>
      </c>
      <c r="B664" s="125" t="s">
        <v>28307</v>
      </c>
      <c r="C664" s="125">
        <v>1</v>
      </c>
    </row>
    <row r="665" spans="1:3" x14ac:dyDescent="0.25">
      <c r="A665" s="125" t="s">
        <v>25469</v>
      </c>
      <c r="B665" s="125" t="s">
        <v>28257</v>
      </c>
      <c r="C665" s="125">
        <v>1</v>
      </c>
    </row>
    <row r="666" spans="1:3" x14ac:dyDescent="0.25">
      <c r="A666" s="125" t="s">
        <v>25472</v>
      </c>
      <c r="B666" s="125" t="s">
        <v>28318</v>
      </c>
      <c r="C666" s="125">
        <v>1</v>
      </c>
    </row>
    <row r="667" spans="1:3" x14ac:dyDescent="0.25">
      <c r="A667" s="125" t="s">
        <v>25363</v>
      </c>
      <c r="B667" s="125" t="s">
        <v>28262</v>
      </c>
      <c r="C667" s="125">
        <v>1</v>
      </c>
    </row>
    <row r="668" spans="1:3" x14ac:dyDescent="0.25">
      <c r="A668" s="125" t="s">
        <v>25371</v>
      </c>
      <c r="B668" s="125" t="s">
        <v>25333</v>
      </c>
      <c r="C668" s="125">
        <v>1</v>
      </c>
    </row>
    <row r="669" spans="1:3" x14ac:dyDescent="0.25">
      <c r="A669" s="125" t="s">
        <v>201</v>
      </c>
      <c r="B669" s="125" t="s">
        <v>25335</v>
      </c>
      <c r="C669" s="125">
        <v>1</v>
      </c>
    </row>
    <row r="670" spans="1:3" x14ac:dyDescent="0.25">
      <c r="A670" s="125" t="s">
        <v>25372</v>
      </c>
      <c r="B670" s="125" t="s">
        <v>28264</v>
      </c>
      <c r="C670" s="125">
        <v>1</v>
      </c>
    </row>
    <row r="671" spans="1:3" x14ac:dyDescent="0.25">
      <c r="A671" s="125" t="s">
        <v>25354</v>
      </c>
      <c r="B671" s="125" t="s">
        <v>28276</v>
      </c>
      <c r="C671" s="125">
        <v>1</v>
      </c>
    </row>
    <row r="672" spans="1:3" x14ac:dyDescent="0.25">
      <c r="A672" s="125" t="s">
        <v>42</v>
      </c>
      <c r="B672" s="125" t="s">
        <v>28270</v>
      </c>
      <c r="C672" s="125">
        <v>1</v>
      </c>
    </row>
    <row r="673" spans="1:3" x14ac:dyDescent="0.25">
      <c r="A673" s="125" t="s">
        <v>215</v>
      </c>
      <c r="B673" s="125" t="s">
        <v>25335</v>
      </c>
      <c r="C673" s="125">
        <v>1</v>
      </c>
    </row>
    <row r="674" spans="1:3" x14ac:dyDescent="0.25">
      <c r="A674" s="125" t="s">
        <v>25354</v>
      </c>
      <c r="B674" s="125" t="s">
        <v>28270</v>
      </c>
      <c r="C674" s="125">
        <v>1</v>
      </c>
    </row>
    <row r="675" spans="1:3" x14ac:dyDescent="0.25">
      <c r="A675" s="125" t="s">
        <v>25346</v>
      </c>
      <c r="B675" s="125" t="s">
        <v>28277</v>
      </c>
      <c r="C675" s="125">
        <v>1</v>
      </c>
    </row>
    <row r="676" spans="1:3" x14ac:dyDescent="0.25">
      <c r="A676" s="125" t="s">
        <v>52</v>
      </c>
      <c r="B676" s="125" t="s">
        <v>28334</v>
      </c>
      <c r="C676" s="125">
        <v>1</v>
      </c>
    </row>
    <row r="677" spans="1:3" x14ac:dyDescent="0.25">
      <c r="A677" s="125" t="s">
        <v>100</v>
      </c>
      <c r="B677" s="125" t="s">
        <v>28318</v>
      </c>
      <c r="C677" s="125">
        <v>1</v>
      </c>
    </row>
    <row r="678" spans="1:3" x14ac:dyDescent="0.25">
      <c r="A678" s="125" t="s">
        <v>43</v>
      </c>
      <c r="B678" s="125" t="s">
        <v>28346</v>
      </c>
      <c r="C678" s="125">
        <v>1</v>
      </c>
    </row>
    <row r="679" spans="1:3" x14ac:dyDescent="0.25">
      <c r="A679" s="125" t="s">
        <v>28430</v>
      </c>
      <c r="B679" s="125" t="s">
        <v>28320</v>
      </c>
      <c r="C679" s="125">
        <v>1</v>
      </c>
    </row>
    <row r="680" spans="1:3" x14ac:dyDescent="0.25">
      <c r="A680" s="125" t="s">
        <v>25354</v>
      </c>
      <c r="B680" s="125" t="s">
        <v>28371</v>
      </c>
      <c r="C680" s="125">
        <v>1</v>
      </c>
    </row>
    <row r="681" spans="1:3" x14ac:dyDescent="0.25">
      <c r="A681" s="125" t="s">
        <v>28308</v>
      </c>
      <c r="B681" s="125" t="s">
        <v>28304</v>
      </c>
      <c r="C681" s="125">
        <v>1</v>
      </c>
    </row>
    <row r="682" spans="1:3" x14ac:dyDescent="0.25">
      <c r="A682" s="125" t="s">
        <v>25341</v>
      </c>
      <c r="B682" s="125" t="s">
        <v>25308</v>
      </c>
      <c r="C682" s="125">
        <v>1</v>
      </c>
    </row>
    <row r="683" spans="1:3" x14ac:dyDescent="0.25">
      <c r="A683" s="125" t="s">
        <v>28303</v>
      </c>
      <c r="B683" s="125" t="s">
        <v>28318</v>
      </c>
      <c r="C683" s="125">
        <v>1</v>
      </c>
    </row>
    <row r="684" spans="1:3" x14ac:dyDescent="0.25">
      <c r="A684" s="125" t="s">
        <v>42</v>
      </c>
      <c r="B684" s="125" t="s">
        <v>25335</v>
      </c>
      <c r="C684" s="125">
        <v>1</v>
      </c>
    </row>
    <row r="685" spans="1:3" x14ac:dyDescent="0.25">
      <c r="A685" s="125" t="s">
        <v>25374</v>
      </c>
      <c r="B685" s="125" t="s">
        <v>28266</v>
      </c>
      <c r="C685" s="125">
        <v>1</v>
      </c>
    </row>
    <row r="686" spans="1:3" x14ac:dyDescent="0.25">
      <c r="A686" s="125" t="s">
        <v>96</v>
      </c>
      <c r="B686" s="125" t="s">
        <v>28274</v>
      </c>
      <c r="C686" s="125">
        <v>1</v>
      </c>
    </row>
    <row r="687" spans="1:3" x14ac:dyDescent="0.25">
      <c r="A687" s="125" t="s">
        <v>28387</v>
      </c>
      <c r="B687" s="125" t="s">
        <v>28336</v>
      </c>
      <c r="C687" s="125">
        <v>1</v>
      </c>
    </row>
    <row r="688" spans="1:3" x14ac:dyDescent="0.25">
      <c r="A688" s="125" t="s">
        <v>25411</v>
      </c>
      <c r="B688" s="125" t="s">
        <v>28273</v>
      </c>
      <c r="C688" s="125">
        <v>1</v>
      </c>
    </row>
    <row r="689" spans="1:3" x14ac:dyDescent="0.25">
      <c r="A689" s="125" t="s">
        <v>28431</v>
      </c>
      <c r="B689" s="125" t="s">
        <v>28406</v>
      </c>
      <c r="C689" s="125">
        <v>1</v>
      </c>
    </row>
    <row r="690" spans="1:3" x14ac:dyDescent="0.25">
      <c r="A690" s="125" t="s">
        <v>197</v>
      </c>
      <c r="B690" s="125" t="s">
        <v>28348</v>
      </c>
      <c r="C690" s="125">
        <v>1</v>
      </c>
    </row>
    <row r="691" spans="1:3" x14ac:dyDescent="0.25">
      <c r="A691" s="125" t="s">
        <v>25469</v>
      </c>
      <c r="B691" s="125" t="s">
        <v>28432</v>
      </c>
      <c r="C691" s="125">
        <v>1</v>
      </c>
    </row>
    <row r="692" spans="1:3" x14ac:dyDescent="0.25">
      <c r="A692" s="125" t="s">
        <v>25504</v>
      </c>
      <c r="B692" s="125" t="s">
        <v>28272</v>
      </c>
      <c r="C692" s="125">
        <v>1</v>
      </c>
    </row>
    <row r="693" spans="1:3" x14ac:dyDescent="0.25">
      <c r="A693" s="125" t="s">
        <v>25505</v>
      </c>
      <c r="B693" s="125" t="s">
        <v>25308</v>
      </c>
      <c r="C693" s="125">
        <v>1</v>
      </c>
    </row>
    <row r="694" spans="1:3" x14ac:dyDescent="0.25">
      <c r="A694" s="125" t="s">
        <v>25520</v>
      </c>
      <c r="B694" s="125" t="s">
        <v>28282</v>
      </c>
      <c r="C694" s="125">
        <v>1</v>
      </c>
    </row>
    <row r="695" spans="1:3" x14ac:dyDescent="0.25">
      <c r="A695" s="125" t="s">
        <v>28433</v>
      </c>
      <c r="B695" s="125" t="s">
        <v>28346</v>
      </c>
      <c r="C695" s="125">
        <v>1</v>
      </c>
    </row>
    <row r="696" spans="1:3" x14ac:dyDescent="0.25">
      <c r="A696" s="125" t="s">
        <v>25409</v>
      </c>
      <c r="B696" s="125" t="s">
        <v>28269</v>
      </c>
      <c r="C696" s="125">
        <v>1</v>
      </c>
    </row>
    <row r="697" spans="1:3" x14ac:dyDescent="0.25">
      <c r="A697" s="125" t="s">
        <v>25410</v>
      </c>
      <c r="B697" s="125" t="s">
        <v>28351</v>
      </c>
      <c r="C697" s="125">
        <v>1</v>
      </c>
    </row>
    <row r="698" spans="1:3" x14ac:dyDescent="0.25">
      <c r="A698" s="125" t="s">
        <v>43</v>
      </c>
      <c r="B698" s="125" t="s">
        <v>28322</v>
      </c>
      <c r="C698" s="125">
        <v>1</v>
      </c>
    </row>
    <row r="699" spans="1:3" x14ac:dyDescent="0.25">
      <c r="A699" s="125" t="s">
        <v>197</v>
      </c>
      <c r="B699" s="125" t="s">
        <v>28291</v>
      </c>
      <c r="C699" s="125">
        <v>1</v>
      </c>
    </row>
    <row r="700" spans="1:3" x14ac:dyDescent="0.25">
      <c r="A700" s="125" t="s">
        <v>1</v>
      </c>
      <c r="B700" s="125" t="s">
        <v>28281</v>
      </c>
      <c r="C700" s="125">
        <v>1</v>
      </c>
    </row>
    <row r="701" spans="1:3" x14ac:dyDescent="0.25">
      <c r="A701" s="125" t="s">
        <v>25469</v>
      </c>
      <c r="B701" s="125" t="s">
        <v>25332</v>
      </c>
      <c r="C701" s="125">
        <v>1</v>
      </c>
    </row>
    <row r="702" spans="1:3" x14ac:dyDescent="0.25">
      <c r="A702" s="125" t="s">
        <v>28434</v>
      </c>
      <c r="B702" s="125" t="s">
        <v>28284</v>
      </c>
      <c r="C702" s="125">
        <v>1</v>
      </c>
    </row>
    <row r="703" spans="1:3" x14ac:dyDescent="0.25">
      <c r="A703" s="125" t="s">
        <v>25411</v>
      </c>
      <c r="B703" s="125" t="s">
        <v>28334</v>
      </c>
      <c r="C703" s="125">
        <v>1</v>
      </c>
    </row>
    <row r="704" spans="1:3" x14ac:dyDescent="0.25">
      <c r="A704" s="125" t="s">
        <v>43</v>
      </c>
      <c r="B704" s="125" t="s">
        <v>28299</v>
      </c>
      <c r="C704" s="125">
        <v>1</v>
      </c>
    </row>
    <row r="705" spans="1:3" x14ac:dyDescent="0.25">
      <c r="A705" s="125" t="s">
        <v>28428</v>
      </c>
      <c r="B705" s="125" t="s">
        <v>28291</v>
      </c>
      <c r="C705" s="125">
        <v>1</v>
      </c>
    </row>
    <row r="706" spans="1:3" x14ac:dyDescent="0.25">
      <c r="A706" s="125" t="s">
        <v>35</v>
      </c>
      <c r="B706" s="125" t="s">
        <v>28280</v>
      </c>
      <c r="C706" s="125">
        <v>1</v>
      </c>
    </row>
    <row r="707" spans="1:3" x14ac:dyDescent="0.25">
      <c r="A707" s="125" t="s">
        <v>25353</v>
      </c>
      <c r="B707" s="125" t="s">
        <v>28318</v>
      </c>
      <c r="C707" s="125">
        <v>1</v>
      </c>
    </row>
    <row r="708" spans="1:3" x14ac:dyDescent="0.25">
      <c r="A708" s="125" t="s">
        <v>197</v>
      </c>
      <c r="B708" s="125" t="s">
        <v>28318</v>
      </c>
      <c r="C708" s="125">
        <v>1</v>
      </c>
    </row>
    <row r="709" spans="1:3" x14ac:dyDescent="0.25">
      <c r="A709" s="125" t="s">
        <v>25485</v>
      </c>
      <c r="B709" s="125" t="s">
        <v>28271</v>
      </c>
      <c r="C709" s="125">
        <v>1</v>
      </c>
    </row>
    <row r="710" spans="1:3" x14ac:dyDescent="0.25">
      <c r="A710" s="125" t="s">
        <v>96</v>
      </c>
      <c r="B710" s="125" t="s">
        <v>28380</v>
      </c>
      <c r="C710" s="125">
        <v>1</v>
      </c>
    </row>
    <row r="711" spans="1:3" x14ac:dyDescent="0.25">
      <c r="A711" s="125" t="s">
        <v>28392</v>
      </c>
      <c r="B711" s="125" t="s">
        <v>28374</v>
      </c>
      <c r="C711" s="125">
        <v>1</v>
      </c>
    </row>
    <row r="712" spans="1:3" x14ac:dyDescent="0.25">
      <c r="A712" s="125" t="s">
        <v>28</v>
      </c>
      <c r="B712" s="125" t="s">
        <v>28318</v>
      </c>
      <c r="C712" s="125">
        <v>1</v>
      </c>
    </row>
    <row r="713" spans="1:3" x14ac:dyDescent="0.25">
      <c r="A713" s="125" t="s">
        <v>25503</v>
      </c>
      <c r="B713" s="125" t="s">
        <v>28334</v>
      </c>
      <c r="C713" s="125">
        <v>1</v>
      </c>
    </row>
    <row r="714" spans="1:3" x14ac:dyDescent="0.25">
      <c r="A714" s="125" t="s">
        <v>28435</v>
      </c>
      <c r="B714" s="125" t="s">
        <v>25308</v>
      </c>
      <c r="C714" s="125">
        <v>1</v>
      </c>
    </row>
    <row r="715" spans="1:3" x14ac:dyDescent="0.25">
      <c r="A715" s="125" t="s">
        <v>25427</v>
      </c>
      <c r="B715" s="125" t="s">
        <v>28380</v>
      </c>
      <c r="C715" s="125">
        <v>1</v>
      </c>
    </row>
    <row r="716" spans="1:3" x14ac:dyDescent="0.25">
      <c r="A716" s="125" t="s">
        <v>147</v>
      </c>
      <c r="B716" s="125" t="s">
        <v>28309</v>
      </c>
      <c r="C716" s="125">
        <v>1</v>
      </c>
    </row>
    <row r="717" spans="1:3" x14ac:dyDescent="0.25">
      <c r="A717" s="125" t="s">
        <v>25433</v>
      </c>
      <c r="B717" s="125" t="s">
        <v>28352</v>
      </c>
      <c r="C717" s="125">
        <v>1</v>
      </c>
    </row>
    <row r="718" spans="1:3" x14ac:dyDescent="0.25">
      <c r="A718" s="125" t="s">
        <v>25487</v>
      </c>
      <c r="B718" s="125" t="s">
        <v>28322</v>
      </c>
      <c r="C718" s="125">
        <v>1</v>
      </c>
    </row>
    <row r="719" spans="1:3" x14ac:dyDescent="0.25">
      <c r="A719" s="125" t="s">
        <v>25494</v>
      </c>
      <c r="B719" s="125" t="s">
        <v>28314</v>
      </c>
      <c r="C719" s="125">
        <v>1</v>
      </c>
    </row>
    <row r="720" spans="1:3" x14ac:dyDescent="0.25">
      <c r="A720" s="125" t="s">
        <v>25524</v>
      </c>
      <c r="B720" s="125" t="s">
        <v>28375</v>
      </c>
      <c r="C720" s="125">
        <v>1</v>
      </c>
    </row>
    <row r="721" spans="1:3" x14ac:dyDescent="0.25">
      <c r="A721" s="125" t="s">
        <v>25434</v>
      </c>
      <c r="B721" s="125" t="s">
        <v>28258</v>
      </c>
      <c r="C721" s="125">
        <v>1</v>
      </c>
    </row>
    <row r="722" spans="1:3" x14ac:dyDescent="0.25">
      <c r="A722" s="125" t="s">
        <v>25486</v>
      </c>
      <c r="B722" s="125" t="s">
        <v>28383</v>
      </c>
      <c r="C722" s="125">
        <v>1</v>
      </c>
    </row>
    <row r="723" spans="1:3" x14ac:dyDescent="0.25">
      <c r="A723" s="125" t="s">
        <v>25463</v>
      </c>
      <c r="B723" s="125" t="s">
        <v>28317</v>
      </c>
      <c r="C723" s="125">
        <v>1</v>
      </c>
    </row>
    <row r="724" spans="1:3" x14ac:dyDescent="0.25">
      <c r="A724" s="125" t="s">
        <v>25472</v>
      </c>
      <c r="B724" s="125" t="s">
        <v>28261</v>
      </c>
      <c r="C724" s="125">
        <v>1</v>
      </c>
    </row>
    <row r="725" spans="1:3" x14ac:dyDescent="0.25">
      <c r="A725" s="125" t="s">
        <v>25411</v>
      </c>
      <c r="B725" s="125" t="s">
        <v>25308</v>
      </c>
      <c r="C725" s="125">
        <v>1</v>
      </c>
    </row>
    <row r="726" spans="1:3" x14ac:dyDescent="0.25">
      <c r="A726" s="125" t="s">
        <v>28410</v>
      </c>
      <c r="B726" s="125" t="s">
        <v>28257</v>
      </c>
      <c r="C726" s="125">
        <v>1</v>
      </c>
    </row>
    <row r="727" spans="1:3" x14ac:dyDescent="0.25">
      <c r="A727" s="125" t="s">
        <v>25340</v>
      </c>
      <c r="B727" s="125" t="s">
        <v>28258</v>
      </c>
      <c r="C727" s="125">
        <v>1</v>
      </c>
    </row>
    <row r="728" spans="1:3" x14ac:dyDescent="0.25">
      <c r="A728" s="125" t="s">
        <v>25527</v>
      </c>
      <c r="B728" s="125" t="s">
        <v>28276</v>
      </c>
      <c r="C728" s="125">
        <v>1</v>
      </c>
    </row>
    <row r="729" spans="1:3" x14ac:dyDescent="0.25">
      <c r="A729" s="125" t="s">
        <v>25463</v>
      </c>
      <c r="B729" s="125" t="s">
        <v>28407</v>
      </c>
      <c r="C729" s="125">
        <v>1</v>
      </c>
    </row>
    <row r="730" spans="1:3" x14ac:dyDescent="0.25">
      <c r="A730" s="125" t="s">
        <v>25527</v>
      </c>
      <c r="B730" s="125" t="s">
        <v>28270</v>
      </c>
      <c r="C730" s="125">
        <v>1</v>
      </c>
    </row>
    <row r="731" spans="1:3" x14ac:dyDescent="0.25">
      <c r="A731" s="125" t="s">
        <v>25347</v>
      </c>
      <c r="B731" s="125" t="s">
        <v>28310</v>
      </c>
      <c r="C731" s="125">
        <v>1</v>
      </c>
    </row>
    <row r="732" spans="1:3" x14ac:dyDescent="0.25">
      <c r="A732" s="125" t="s">
        <v>25360</v>
      </c>
      <c r="B732" s="125" t="s">
        <v>28389</v>
      </c>
      <c r="C732" s="125">
        <v>1</v>
      </c>
    </row>
    <row r="733" spans="1:3" x14ac:dyDescent="0.25">
      <c r="A733" s="125" t="s">
        <v>25364</v>
      </c>
      <c r="B733" s="125" t="s">
        <v>28291</v>
      </c>
      <c r="C733" s="125">
        <v>1</v>
      </c>
    </row>
    <row r="734" spans="1:3" x14ac:dyDescent="0.25">
      <c r="A734" s="125" t="s">
        <v>25486</v>
      </c>
      <c r="B734" s="125" t="s">
        <v>25333</v>
      </c>
      <c r="C734" s="125">
        <v>1</v>
      </c>
    </row>
    <row r="735" spans="1:3" x14ac:dyDescent="0.25">
      <c r="A735" s="125" t="s">
        <v>25363</v>
      </c>
      <c r="B735" s="125" t="s">
        <v>28371</v>
      </c>
      <c r="C735" s="125">
        <v>1</v>
      </c>
    </row>
    <row r="736" spans="1:3" x14ac:dyDescent="0.25">
      <c r="A736" s="125" t="s">
        <v>25487</v>
      </c>
      <c r="B736" s="125" t="s">
        <v>28298</v>
      </c>
      <c r="C736" s="125">
        <v>1</v>
      </c>
    </row>
    <row r="737" spans="1:3" x14ac:dyDescent="0.25">
      <c r="A737" s="125" t="s">
        <v>25533</v>
      </c>
      <c r="B737" s="125" t="s">
        <v>28304</v>
      </c>
      <c r="C737" s="125">
        <v>1</v>
      </c>
    </row>
    <row r="738" spans="1:3" x14ac:dyDescent="0.25">
      <c r="A738" s="125" t="s">
        <v>25360</v>
      </c>
      <c r="B738" s="125" t="s">
        <v>28261</v>
      </c>
      <c r="C738" s="125">
        <v>1</v>
      </c>
    </row>
    <row r="739" spans="1:3" x14ac:dyDescent="0.25">
      <c r="A739" s="125" t="s">
        <v>25410</v>
      </c>
      <c r="B739" s="125" t="s">
        <v>28288</v>
      </c>
      <c r="C739" s="125">
        <v>1</v>
      </c>
    </row>
    <row r="740" spans="1:3" x14ac:dyDescent="0.25">
      <c r="A740" s="125" t="s">
        <v>25499</v>
      </c>
      <c r="B740" s="125" t="s">
        <v>28272</v>
      </c>
      <c r="C740" s="125">
        <v>1</v>
      </c>
    </row>
    <row r="741" spans="1:3" x14ac:dyDescent="0.25">
      <c r="A741" s="125" t="s">
        <v>25343</v>
      </c>
      <c r="B741" s="125" t="s">
        <v>28262</v>
      </c>
      <c r="C741" s="125">
        <v>1</v>
      </c>
    </row>
    <row r="742" spans="1:3" x14ac:dyDescent="0.25">
      <c r="A742" s="125" t="s">
        <v>25360</v>
      </c>
      <c r="B742" s="125" t="s">
        <v>28386</v>
      </c>
      <c r="C742" s="125">
        <v>1</v>
      </c>
    </row>
    <row r="743" spans="1:3" x14ac:dyDescent="0.25">
      <c r="A743" s="125" t="s">
        <v>25370</v>
      </c>
      <c r="B743" s="125" t="s">
        <v>28261</v>
      </c>
      <c r="C743" s="125">
        <v>1</v>
      </c>
    </row>
    <row r="744" spans="1:3" x14ac:dyDescent="0.25">
      <c r="A744" s="125" t="s">
        <v>25369</v>
      </c>
      <c r="B744" s="125" t="s">
        <v>28386</v>
      </c>
      <c r="C744" s="125">
        <v>1</v>
      </c>
    </row>
    <row r="745" spans="1:3" x14ac:dyDescent="0.25">
      <c r="A745" s="125" t="s">
        <v>25370</v>
      </c>
      <c r="B745" s="125" t="s">
        <v>28260</v>
      </c>
      <c r="C745" s="125">
        <v>1</v>
      </c>
    </row>
    <row r="746" spans="1:3" x14ac:dyDescent="0.25">
      <c r="A746" s="125" t="s">
        <v>25378</v>
      </c>
      <c r="B746" s="125" t="s">
        <v>28272</v>
      </c>
      <c r="C746" s="125">
        <v>1</v>
      </c>
    </row>
    <row r="747" spans="1:3" x14ac:dyDescent="0.25">
      <c r="A747" s="125" t="s">
        <v>25394</v>
      </c>
      <c r="B747" s="125" t="s">
        <v>28282</v>
      </c>
      <c r="C747" s="125">
        <v>1</v>
      </c>
    </row>
    <row r="748" spans="1:3" x14ac:dyDescent="0.25">
      <c r="A748" s="125" t="s">
        <v>25463</v>
      </c>
      <c r="B748" s="125" t="s">
        <v>28289</v>
      </c>
      <c r="C748" s="125">
        <v>1</v>
      </c>
    </row>
    <row r="749" spans="1:3" x14ac:dyDescent="0.25">
      <c r="A749" s="125" t="s">
        <v>25471</v>
      </c>
      <c r="B749" s="125" t="s">
        <v>28298</v>
      </c>
      <c r="C749" s="125">
        <v>1</v>
      </c>
    </row>
    <row r="750" spans="1:3" x14ac:dyDescent="0.25">
      <c r="A750" s="125" t="s">
        <v>34</v>
      </c>
      <c r="B750" s="125" t="s">
        <v>28379</v>
      </c>
      <c r="C750" s="125">
        <v>1</v>
      </c>
    </row>
    <row r="751" spans="1:3" x14ac:dyDescent="0.25">
      <c r="A751" s="125" t="s">
        <v>28366</v>
      </c>
      <c r="B751" s="125" t="s">
        <v>28320</v>
      </c>
      <c r="C751" s="125">
        <v>1</v>
      </c>
    </row>
    <row r="752" spans="1:3" x14ac:dyDescent="0.25">
      <c r="A752" s="125" t="s">
        <v>25488</v>
      </c>
      <c r="B752" s="125" t="s">
        <v>28264</v>
      </c>
      <c r="C752" s="125">
        <v>1</v>
      </c>
    </row>
    <row r="753" spans="1:3" x14ac:dyDescent="0.25">
      <c r="A753" s="125" t="s">
        <v>25352</v>
      </c>
      <c r="B753" s="125" t="s">
        <v>25308</v>
      </c>
      <c r="C753" s="125">
        <v>1</v>
      </c>
    </row>
    <row r="754" spans="1:3" x14ac:dyDescent="0.25">
      <c r="A754" s="125" t="s">
        <v>28403</v>
      </c>
      <c r="B754" s="125" t="s">
        <v>28396</v>
      </c>
      <c r="C754" s="125">
        <v>1</v>
      </c>
    </row>
    <row r="755" spans="1:3" x14ac:dyDescent="0.25">
      <c r="A755" s="125" t="s">
        <v>28366</v>
      </c>
      <c r="B755" s="125" t="s">
        <v>28391</v>
      </c>
      <c r="C755" s="125">
        <v>1</v>
      </c>
    </row>
    <row r="756" spans="1:3" x14ac:dyDescent="0.25">
      <c r="A756" s="125" t="s">
        <v>25503</v>
      </c>
      <c r="B756" s="125" t="s">
        <v>28386</v>
      </c>
      <c r="C756" s="125">
        <v>1</v>
      </c>
    </row>
    <row r="757" spans="1:3" x14ac:dyDescent="0.25">
      <c r="A757" s="125" t="s">
        <v>25505</v>
      </c>
      <c r="B757" s="125" t="s">
        <v>28436</v>
      </c>
      <c r="C757" s="125">
        <v>1</v>
      </c>
    </row>
    <row r="758" spans="1:3" x14ac:dyDescent="0.25">
      <c r="A758" s="125" t="s">
        <v>1</v>
      </c>
      <c r="B758" s="125" t="s">
        <v>28270</v>
      </c>
      <c r="C758" s="125">
        <v>1</v>
      </c>
    </row>
    <row r="759" spans="1:3" x14ac:dyDescent="0.25">
      <c r="A759" s="125" t="s">
        <v>25504</v>
      </c>
      <c r="B759" s="125" t="s">
        <v>28322</v>
      </c>
      <c r="C759" s="125">
        <v>1</v>
      </c>
    </row>
    <row r="760" spans="1:3" x14ac:dyDescent="0.25">
      <c r="A760" s="125" t="s">
        <v>25442</v>
      </c>
      <c r="B760" s="125" t="s">
        <v>28257</v>
      </c>
      <c r="C760" s="125">
        <v>1</v>
      </c>
    </row>
    <row r="761" spans="1:3" x14ac:dyDescent="0.25">
      <c r="A761" s="125" t="s">
        <v>25443</v>
      </c>
      <c r="B761" s="125" t="s">
        <v>28282</v>
      </c>
      <c r="C761" s="125">
        <v>1</v>
      </c>
    </row>
    <row r="762" spans="1:3" x14ac:dyDescent="0.25">
      <c r="A762" s="125" t="s">
        <v>25341</v>
      </c>
      <c r="B762" s="125" t="s">
        <v>28318</v>
      </c>
      <c r="C762" s="125">
        <v>1</v>
      </c>
    </row>
    <row r="763" spans="1:3" x14ac:dyDescent="0.25">
      <c r="A763" s="125" t="s">
        <v>25453</v>
      </c>
      <c r="B763" s="125" t="s">
        <v>25308</v>
      </c>
      <c r="C763" s="125">
        <v>1</v>
      </c>
    </row>
    <row r="764" spans="1:3" x14ac:dyDescent="0.25">
      <c r="A764" s="125" t="s">
        <v>28437</v>
      </c>
      <c r="B764" s="125" t="s">
        <v>28264</v>
      </c>
      <c r="C764" s="125">
        <v>1</v>
      </c>
    </row>
    <row r="765" spans="1:3" x14ac:dyDescent="0.25">
      <c r="A765" s="125" t="s">
        <v>28366</v>
      </c>
      <c r="B765" s="125" t="s">
        <v>28333</v>
      </c>
      <c r="C765" s="125">
        <v>1</v>
      </c>
    </row>
    <row r="766" spans="1:3" x14ac:dyDescent="0.25">
      <c r="A766" s="125" t="s">
        <v>25374</v>
      </c>
      <c r="B766" s="125" t="s">
        <v>28256</v>
      </c>
      <c r="C766" s="125">
        <v>1</v>
      </c>
    </row>
    <row r="767" spans="1:3" x14ac:dyDescent="0.25">
      <c r="A767" s="125" t="s">
        <v>25512</v>
      </c>
      <c r="B767" s="125" t="s">
        <v>28393</v>
      </c>
      <c r="C767" s="125">
        <v>1</v>
      </c>
    </row>
    <row r="768" spans="1:3" x14ac:dyDescent="0.25">
      <c r="A768" s="125" t="s">
        <v>28438</v>
      </c>
      <c r="B768" s="125" t="s">
        <v>28266</v>
      </c>
      <c r="C768" s="125">
        <v>1</v>
      </c>
    </row>
    <row r="769" spans="1:3" x14ac:dyDescent="0.25">
      <c r="A769" s="125" t="s">
        <v>25393</v>
      </c>
      <c r="B769" s="125" t="s">
        <v>28282</v>
      </c>
      <c r="C769" s="125">
        <v>1</v>
      </c>
    </row>
    <row r="770" spans="1:3" x14ac:dyDescent="0.25">
      <c r="A770" s="125" t="s">
        <v>197</v>
      </c>
      <c r="B770" s="125" t="s">
        <v>28314</v>
      </c>
      <c r="C770" s="125">
        <v>1</v>
      </c>
    </row>
    <row r="771" spans="1:3" x14ac:dyDescent="0.25">
      <c r="A771" s="125" t="s">
        <v>25360</v>
      </c>
      <c r="B771" s="125" t="s">
        <v>28409</v>
      </c>
      <c r="C771" s="125">
        <v>1</v>
      </c>
    </row>
    <row r="772" spans="1:3" x14ac:dyDescent="0.25">
      <c r="A772" s="125" t="s">
        <v>25360</v>
      </c>
      <c r="B772" s="125" t="s">
        <v>28367</v>
      </c>
      <c r="C772" s="125">
        <v>1</v>
      </c>
    </row>
    <row r="773" spans="1:3" x14ac:dyDescent="0.25">
      <c r="A773" s="125" t="s">
        <v>25527</v>
      </c>
      <c r="B773" s="125" t="s">
        <v>25334</v>
      </c>
      <c r="C773" s="125">
        <v>1</v>
      </c>
    </row>
    <row r="774" spans="1:3" x14ac:dyDescent="0.25">
      <c r="A774" s="125" t="s">
        <v>25463</v>
      </c>
      <c r="B774" s="125" t="s">
        <v>28318</v>
      </c>
      <c r="C774" s="125">
        <v>1</v>
      </c>
    </row>
    <row r="775" spans="1:3" x14ac:dyDescent="0.25">
      <c r="A775" s="125" t="s">
        <v>25527</v>
      </c>
      <c r="B775" s="125" t="s">
        <v>28277</v>
      </c>
      <c r="C775" s="125">
        <v>1</v>
      </c>
    </row>
    <row r="776" spans="1:3" x14ac:dyDescent="0.25">
      <c r="A776" s="125" t="s">
        <v>25341</v>
      </c>
      <c r="B776" s="125" t="s">
        <v>28348</v>
      </c>
      <c r="C776" s="125">
        <v>1</v>
      </c>
    </row>
    <row r="777" spans="1:3" x14ac:dyDescent="0.25">
      <c r="A777" s="125" t="s">
        <v>107</v>
      </c>
      <c r="B777" s="125" t="s">
        <v>28261</v>
      </c>
      <c r="C777" s="125">
        <v>1</v>
      </c>
    </row>
    <row r="778" spans="1:3" x14ac:dyDescent="0.25">
      <c r="A778" s="125" t="s">
        <v>25356</v>
      </c>
      <c r="B778" s="125" t="s">
        <v>25308</v>
      </c>
      <c r="C778" s="125">
        <v>1</v>
      </c>
    </row>
    <row r="779" spans="1:3" x14ac:dyDescent="0.25">
      <c r="A779" s="125" t="s">
        <v>25478</v>
      </c>
      <c r="B779" s="125" t="s">
        <v>28409</v>
      </c>
      <c r="C779" s="125">
        <v>1</v>
      </c>
    </row>
    <row r="780" spans="1:3" x14ac:dyDescent="0.25">
      <c r="A780" s="125" t="s">
        <v>58</v>
      </c>
      <c r="B780" s="125" t="s">
        <v>28318</v>
      </c>
      <c r="C780" s="125">
        <v>1</v>
      </c>
    </row>
    <row r="781" spans="1:3" x14ac:dyDescent="0.25">
      <c r="A781" s="125" t="s">
        <v>107</v>
      </c>
      <c r="B781" s="125" t="s">
        <v>28277</v>
      </c>
      <c r="C781" s="125">
        <v>1</v>
      </c>
    </row>
    <row r="782" spans="1:3" x14ac:dyDescent="0.25">
      <c r="A782" s="125" t="s">
        <v>215</v>
      </c>
      <c r="B782" s="125" t="s">
        <v>25334</v>
      </c>
      <c r="C782" s="125">
        <v>1</v>
      </c>
    </row>
    <row r="783" spans="1:3" x14ac:dyDescent="0.25">
      <c r="A783" s="125" t="s">
        <v>25427</v>
      </c>
      <c r="B783" s="125" t="s">
        <v>28406</v>
      </c>
      <c r="C783" s="125">
        <v>1</v>
      </c>
    </row>
    <row r="784" spans="1:3" x14ac:dyDescent="0.25">
      <c r="A784" s="125" t="s">
        <v>25466</v>
      </c>
      <c r="B784" s="125" t="s">
        <v>28263</v>
      </c>
      <c r="C784" s="125">
        <v>1</v>
      </c>
    </row>
    <row r="785" spans="1:3" x14ac:dyDescent="0.25">
      <c r="A785" s="125" t="s">
        <v>25475</v>
      </c>
      <c r="B785" s="125" t="s">
        <v>28262</v>
      </c>
      <c r="C785" s="125">
        <v>1</v>
      </c>
    </row>
    <row r="786" spans="1:3" x14ac:dyDescent="0.25">
      <c r="A786" s="125" t="s">
        <v>25354</v>
      </c>
      <c r="B786" s="125" t="s">
        <v>28256</v>
      </c>
      <c r="C786" s="125">
        <v>1</v>
      </c>
    </row>
    <row r="787" spans="1:3" x14ac:dyDescent="0.25">
      <c r="A787" s="125" t="s">
        <v>194</v>
      </c>
      <c r="B787" s="125" t="s">
        <v>28321</v>
      </c>
      <c r="C787" s="125">
        <v>1</v>
      </c>
    </row>
    <row r="788" spans="1:3" x14ac:dyDescent="0.25">
      <c r="A788" s="125" t="s">
        <v>25359</v>
      </c>
      <c r="B788" s="125" t="s">
        <v>28318</v>
      </c>
      <c r="C788" s="125">
        <v>1</v>
      </c>
    </row>
    <row r="789" spans="1:3" x14ac:dyDescent="0.25">
      <c r="A789" s="125" t="s">
        <v>52</v>
      </c>
      <c r="B789" s="125" t="s">
        <v>28282</v>
      </c>
      <c r="C789" s="125">
        <v>1</v>
      </c>
    </row>
    <row r="790" spans="1:3" x14ac:dyDescent="0.25">
      <c r="A790" s="125" t="s">
        <v>96</v>
      </c>
      <c r="B790" s="125" t="s">
        <v>28333</v>
      </c>
      <c r="C790" s="125">
        <v>1</v>
      </c>
    </row>
    <row r="791" spans="1:3" x14ac:dyDescent="0.25">
      <c r="A791" s="125" t="s">
        <v>25390</v>
      </c>
      <c r="B791" s="125" t="s">
        <v>28361</v>
      </c>
      <c r="C791" s="125">
        <v>1</v>
      </c>
    </row>
    <row r="792" spans="1:3" x14ac:dyDescent="0.25">
      <c r="A792" s="125" t="s">
        <v>25354</v>
      </c>
      <c r="B792" s="125" t="s">
        <v>28258</v>
      </c>
      <c r="C792" s="125">
        <v>1</v>
      </c>
    </row>
    <row r="793" spans="1:3" x14ac:dyDescent="0.25">
      <c r="A793" s="125" t="s">
        <v>25347</v>
      </c>
      <c r="B793" s="125" t="s">
        <v>28406</v>
      </c>
      <c r="C793" s="125">
        <v>1</v>
      </c>
    </row>
    <row r="794" spans="1:3" x14ac:dyDescent="0.25">
      <c r="A794" s="125" t="s">
        <v>25433</v>
      </c>
      <c r="B794" s="125" t="s">
        <v>28256</v>
      </c>
      <c r="C794" s="125">
        <v>1</v>
      </c>
    </row>
    <row r="795" spans="1:3" x14ac:dyDescent="0.25">
      <c r="A795" s="125" t="s">
        <v>25445</v>
      </c>
      <c r="B795" s="125" t="s">
        <v>28282</v>
      </c>
      <c r="C795" s="125">
        <v>1</v>
      </c>
    </row>
    <row r="796" spans="1:3" x14ac:dyDescent="0.25">
      <c r="A796" s="125" t="s">
        <v>25347</v>
      </c>
      <c r="B796" s="125" t="s">
        <v>28255</v>
      </c>
      <c r="C796" s="125">
        <v>1</v>
      </c>
    </row>
    <row r="797" spans="1:3" x14ac:dyDescent="0.25">
      <c r="A797" s="125" t="s">
        <v>25341</v>
      </c>
      <c r="B797" s="125" t="s">
        <v>28255</v>
      </c>
      <c r="C797" s="125">
        <v>1</v>
      </c>
    </row>
    <row r="798" spans="1:3" x14ac:dyDescent="0.25">
      <c r="A798" s="125" t="s">
        <v>25350</v>
      </c>
      <c r="B798" s="125" t="s">
        <v>25308</v>
      </c>
      <c r="C798" s="125">
        <v>1</v>
      </c>
    </row>
    <row r="799" spans="1:3" x14ac:dyDescent="0.25">
      <c r="A799" s="125" t="s">
        <v>25346</v>
      </c>
      <c r="B799" s="125" t="s">
        <v>28258</v>
      </c>
      <c r="C799" s="125">
        <v>1</v>
      </c>
    </row>
    <row r="800" spans="1:3" x14ac:dyDescent="0.25">
      <c r="A800" s="125" t="s">
        <v>25427</v>
      </c>
      <c r="B800" s="125" t="s">
        <v>28334</v>
      </c>
      <c r="C800" s="125">
        <v>1</v>
      </c>
    </row>
    <row r="801" spans="1:3" x14ac:dyDescent="0.25">
      <c r="A801" s="125" t="s">
        <v>25345</v>
      </c>
      <c r="B801" s="125" t="s">
        <v>28280</v>
      </c>
      <c r="C801" s="125">
        <v>1</v>
      </c>
    </row>
    <row r="802" spans="1:3" x14ac:dyDescent="0.25">
      <c r="A802" s="125" t="s">
        <v>25341</v>
      </c>
      <c r="B802" s="125" t="s">
        <v>28272</v>
      </c>
      <c r="C802" s="125">
        <v>1</v>
      </c>
    </row>
    <row r="803" spans="1:3" x14ac:dyDescent="0.25">
      <c r="A803" s="125" t="s">
        <v>25369</v>
      </c>
      <c r="B803" s="125" t="s">
        <v>25308</v>
      </c>
      <c r="C803" s="125">
        <v>1</v>
      </c>
    </row>
    <row r="804" spans="1:3" x14ac:dyDescent="0.25">
      <c r="A804" s="125" t="s">
        <v>25387</v>
      </c>
      <c r="B804" s="125" t="s">
        <v>28361</v>
      </c>
      <c r="C804" s="125">
        <v>1</v>
      </c>
    </row>
    <row r="805" spans="1:3" x14ac:dyDescent="0.25">
      <c r="A805" s="125" t="s">
        <v>52</v>
      </c>
      <c r="B805" s="125" t="s">
        <v>28261</v>
      </c>
      <c r="C805" s="125">
        <v>1</v>
      </c>
    </row>
    <row r="806" spans="1:3" x14ac:dyDescent="0.25">
      <c r="A806" s="125" t="s">
        <v>42</v>
      </c>
      <c r="B806" s="125" t="s">
        <v>28277</v>
      </c>
      <c r="C806" s="125">
        <v>1</v>
      </c>
    </row>
    <row r="807" spans="1:3" x14ac:dyDescent="0.25">
      <c r="A807" s="125" t="s">
        <v>25361</v>
      </c>
      <c r="B807" s="125" t="s">
        <v>28261</v>
      </c>
      <c r="C807" s="125">
        <v>1</v>
      </c>
    </row>
    <row r="808" spans="1:3" x14ac:dyDescent="0.25">
      <c r="A808" s="125" t="s">
        <v>28439</v>
      </c>
      <c r="B808" s="125" t="s">
        <v>28276</v>
      </c>
      <c r="C808" s="125">
        <v>1</v>
      </c>
    </row>
    <row r="809" spans="1:3" x14ac:dyDescent="0.25">
      <c r="A809" s="125" t="s">
        <v>25351</v>
      </c>
      <c r="B809" s="125" t="s">
        <v>28321</v>
      </c>
      <c r="C809" s="125">
        <v>1</v>
      </c>
    </row>
    <row r="810" spans="1:3" x14ac:dyDescent="0.25">
      <c r="A810" s="125" t="s">
        <v>25350</v>
      </c>
      <c r="B810" s="125" t="s">
        <v>28345</v>
      </c>
      <c r="C810" s="125">
        <v>1</v>
      </c>
    </row>
    <row r="811" spans="1:3" x14ac:dyDescent="0.25">
      <c r="A811" s="125" t="s">
        <v>25352</v>
      </c>
      <c r="B811" s="125" t="s">
        <v>28348</v>
      </c>
      <c r="C811" s="125">
        <v>1</v>
      </c>
    </row>
    <row r="812" spans="1:3" x14ac:dyDescent="0.25">
      <c r="A812" s="125" t="s">
        <v>25340</v>
      </c>
      <c r="B812" s="125" t="s">
        <v>28318</v>
      </c>
      <c r="C812" s="125">
        <v>1</v>
      </c>
    </row>
    <row r="813" spans="1:3" x14ac:dyDescent="0.25">
      <c r="A813" s="125" t="s">
        <v>25429</v>
      </c>
      <c r="B813" s="125" t="s">
        <v>28348</v>
      </c>
      <c r="C813" s="125">
        <v>1</v>
      </c>
    </row>
    <row r="814" spans="1:3" x14ac:dyDescent="0.25">
      <c r="A814" s="125" t="s">
        <v>25369</v>
      </c>
      <c r="B814" s="125" t="s">
        <v>28261</v>
      </c>
      <c r="C814" s="125">
        <v>1</v>
      </c>
    </row>
    <row r="815" spans="1:3" x14ac:dyDescent="0.25">
      <c r="A815" s="125" t="s">
        <v>25480</v>
      </c>
      <c r="B815" s="125" t="s">
        <v>28313</v>
      </c>
      <c r="C815" s="125">
        <v>1</v>
      </c>
    </row>
    <row r="816" spans="1:3" x14ac:dyDescent="0.25">
      <c r="A816" s="125" t="s">
        <v>25356</v>
      </c>
      <c r="B816" s="125" t="s">
        <v>28318</v>
      </c>
      <c r="C816" s="125">
        <v>1</v>
      </c>
    </row>
    <row r="817" spans="1:3" x14ac:dyDescent="0.25">
      <c r="A817" s="125" t="s">
        <v>194</v>
      </c>
      <c r="B817" s="125" t="s">
        <v>28290</v>
      </c>
      <c r="C817" s="125">
        <v>1</v>
      </c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24"/>
  <sheetViews>
    <sheetView workbookViewId="0">
      <selection sqref="A1:B24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  <row r="18" spans="1:2" x14ac:dyDescent="0.25">
      <c r="A18" s="120" t="s">
        <v>194</v>
      </c>
      <c r="B18" s="121">
        <v>1</v>
      </c>
    </row>
    <row r="19" spans="1:2" x14ac:dyDescent="0.25">
      <c r="A19" s="120" t="s">
        <v>29</v>
      </c>
      <c r="B19" s="121">
        <v>1</v>
      </c>
    </row>
    <row r="20" spans="1:2" x14ac:dyDescent="0.25">
      <c r="A20" s="120" t="s">
        <v>25374</v>
      </c>
      <c r="B20" s="121">
        <v>1</v>
      </c>
    </row>
    <row r="21" spans="1:2" x14ac:dyDescent="0.25">
      <c r="A21" s="120" t="s">
        <v>25408</v>
      </c>
      <c r="B21" s="121">
        <v>1</v>
      </c>
    </row>
    <row r="22" spans="1:2" x14ac:dyDescent="0.25">
      <c r="A22" s="120" t="s">
        <v>25410</v>
      </c>
      <c r="B22" s="121">
        <v>1</v>
      </c>
    </row>
    <row r="23" spans="1:2" x14ac:dyDescent="0.25">
      <c r="A23" s="120" t="s">
        <v>25525</v>
      </c>
      <c r="B23" s="121">
        <v>1</v>
      </c>
    </row>
    <row r="24" spans="1:2" x14ac:dyDescent="0.25">
      <c r="A24" s="120" t="s">
        <v>197</v>
      </c>
      <c r="B24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28440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25639</v>
      </c>
      <c r="B1" s="32">
        <v>1</v>
      </c>
    </row>
    <row r="2" spans="1:2" x14ac:dyDescent="0.25">
      <c r="A2" s="33" t="s">
        <v>25640</v>
      </c>
      <c r="B2" s="32">
        <v>1</v>
      </c>
    </row>
    <row r="3" spans="1:2" x14ac:dyDescent="0.25">
      <c r="A3" s="33" t="s">
        <v>25641</v>
      </c>
      <c r="B3" s="32">
        <v>1</v>
      </c>
    </row>
    <row r="4" spans="1:2" x14ac:dyDescent="0.25">
      <c r="A4" s="33" t="s">
        <v>25642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25643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25644</v>
      </c>
      <c r="B3" s="138">
        <v>1</v>
      </c>
    </row>
    <row r="4" spans="1:2" x14ac:dyDescent="0.25">
      <c r="A4" s="137" t="s">
        <v>25645</v>
      </c>
      <c r="B4" s="138">
        <v>1</v>
      </c>
    </row>
    <row r="5" spans="1:2" x14ac:dyDescent="0.25">
      <c r="A5" s="137" t="s">
        <v>25646</v>
      </c>
      <c r="B5" s="138">
        <v>1</v>
      </c>
    </row>
    <row r="6" spans="1:2" x14ac:dyDescent="0.25">
      <c r="A6" s="137" t="s">
        <v>25647</v>
      </c>
      <c r="B6" s="138">
        <v>1</v>
      </c>
    </row>
    <row r="7" spans="1:2" x14ac:dyDescent="0.25">
      <c r="A7" s="137" t="s">
        <v>25648</v>
      </c>
      <c r="B7" s="138">
        <v>1</v>
      </c>
    </row>
    <row r="8" spans="1:2" x14ac:dyDescent="0.25">
      <c r="A8" s="137" t="s">
        <v>25649</v>
      </c>
      <c r="B8" s="138">
        <v>1</v>
      </c>
    </row>
    <row r="9" spans="1:2" x14ac:dyDescent="0.25">
      <c r="A9" s="137" t="s">
        <v>25650</v>
      </c>
      <c r="B9" s="138">
        <v>1</v>
      </c>
    </row>
    <row r="10" spans="1:2" x14ac:dyDescent="0.25">
      <c r="A10" s="137" t="s">
        <v>25651</v>
      </c>
      <c r="B10" s="138">
        <v>1</v>
      </c>
    </row>
    <row r="11" spans="1:2" x14ac:dyDescent="0.25">
      <c r="A11" s="137" t="s">
        <v>25652</v>
      </c>
      <c r="B11" s="138">
        <v>1</v>
      </c>
    </row>
    <row r="12" spans="1:2" x14ac:dyDescent="0.25">
      <c r="A12" s="137" t="s">
        <v>25653</v>
      </c>
      <c r="B12" s="138">
        <v>1</v>
      </c>
    </row>
    <row r="13" spans="1:2" x14ac:dyDescent="0.25">
      <c r="A13" s="137" t="s">
        <v>25654</v>
      </c>
      <c r="B13" s="138">
        <v>1</v>
      </c>
    </row>
    <row r="14" spans="1:2" x14ac:dyDescent="0.25">
      <c r="A14" s="137" t="s">
        <v>25655</v>
      </c>
      <c r="B14" s="138">
        <v>1</v>
      </c>
    </row>
    <row r="15" spans="1:2" x14ac:dyDescent="0.25">
      <c r="A15" s="137" t="s">
        <v>25656</v>
      </c>
      <c r="B15" s="138">
        <v>1</v>
      </c>
    </row>
    <row r="16" spans="1:2" x14ac:dyDescent="0.25">
      <c r="A16" s="137" t="s">
        <v>25657</v>
      </c>
      <c r="B16" s="138">
        <v>1</v>
      </c>
    </row>
    <row r="17" spans="1:2" x14ac:dyDescent="0.25">
      <c r="A17" s="137" t="s">
        <v>25658</v>
      </c>
      <c r="B17" s="138">
        <v>1</v>
      </c>
    </row>
    <row r="18" spans="1:2" x14ac:dyDescent="0.25">
      <c r="A18" s="137" t="s">
        <v>25659</v>
      </c>
      <c r="B18" s="138">
        <v>1</v>
      </c>
    </row>
    <row r="19" spans="1:2" x14ac:dyDescent="0.25">
      <c r="A19" s="137" t="s">
        <v>25660</v>
      </c>
      <c r="B19" s="138">
        <v>1</v>
      </c>
    </row>
    <row r="20" spans="1:2" x14ac:dyDescent="0.25">
      <c r="A20" s="137" t="s">
        <v>25661</v>
      </c>
      <c r="B20" s="138">
        <v>1</v>
      </c>
    </row>
    <row r="21" spans="1:2" x14ac:dyDescent="0.25">
      <c r="A21" s="137" t="s">
        <v>25662</v>
      </c>
      <c r="B21" s="138">
        <v>1</v>
      </c>
    </row>
    <row r="22" spans="1:2" x14ac:dyDescent="0.25">
      <c r="A22" s="137" t="s">
        <v>25663</v>
      </c>
      <c r="B22" s="138">
        <v>1</v>
      </c>
    </row>
    <row r="23" spans="1:2" x14ac:dyDescent="0.25">
      <c r="A23" s="137" t="s">
        <v>25664</v>
      </c>
      <c r="B23" s="138">
        <v>1</v>
      </c>
    </row>
    <row r="24" spans="1:2" x14ac:dyDescent="0.25">
      <c r="A24" s="137" t="s">
        <v>25665</v>
      </c>
      <c r="B24" s="138">
        <v>1</v>
      </c>
    </row>
    <row r="25" spans="1:2" x14ac:dyDescent="0.25">
      <c r="A25" s="137" t="s">
        <v>25666</v>
      </c>
      <c r="B25" s="138">
        <v>1</v>
      </c>
    </row>
    <row r="26" spans="1:2" x14ac:dyDescent="0.25">
      <c r="A26" s="137" t="s">
        <v>25667</v>
      </c>
      <c r="B26" s="138">
        <v>1</v>
      </c>
    </row>
    <row r="27" spans="1:2" x14ac:dyDescent="0.25">
      <c r="A27" s="137" t="s">
        <v>25668</v>
      </c>
      <c r="B27" s="138">
        <v>1</v>
      </c>
    </row>
    <row r="28" spans="1:2" x14ac:dyDescent="0.25">
      <c r="A28" s="137" t="s">
        <v>25669</v>
      </c>
      <c r="B28" s="138">
        <v>1</v>
      </c>
    </row>
    <row r="29" spans="1:2" x14ac:dyDescent="0.25">
      <c r="A29" s="137" t="s">
        <v>25670</v>
      </c>
      <c r="B29" s="138">
        <v>1</v>
      </c>
    </row>
    <row r="30" spans="1:2" x14ac:dyDescent="0.25">
      <c r="A30" s="137" t="s">
        <v>25671</v>
      </c>
      <c r="B30" s="138">
        <v>1</v>
      </c>
    </row>
    <row r="31" spans="1:2" x14ac:dyDescent="0.25">
      <c r="A31" s="137" t="s">
        <v>25672</v>
      </c>
      <c r="B31" s="138">
        <v>1</v>
      </c>
    </row>
    <row r="32" spans="1:2" x14ac:dyDescent="0.25">
      <c r="A32" s="137" t="s">
        <v>25673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25674</v>
      </c>
      <c r="B34" s="138">
        <v>1</v>
      </c>
    </row>
    <row r="35" spans="1:2" x14ac:dyDescent="0.25">
      <c r="A35" s="137" t="s">
        <v>25675</v>
      </c>
      <c r="B35" s="138">
        <v>1</v>
      </c>
    </row>
    <row r="36" spans="1:2" x14ac:dyDescent="0.25">
      <c r="A36" s="137" t="s">
        <v>25676</v>
      </c>
      <c r="B36" s="138">
        <v>1</v>
      </c>
    </row>
    <row r="37" spans="1:2" x14ac:dyDescent="0.25">
      <c r="A37" s="137" t="s">
        <v>25677</v>
      </c>
      <c r="B37" s="138">
        <v>1</v>
      </c>
    </row>
    <row r="38" spans="1:2" x14ac:dyDescent="0.25">
      <c r="A38" s="137" t="s">
        <v>25678</v>
      </c>
      <c r="B38" s="138">
        <v>1</v>
      </c>
    </row>
    <row r="39" spans="1:2" x14ac:dyDescent="0.25">
      <c r="A39" s="137" t="s">
        <v>25679</v>
      </c>
      <c r="B39" s="138">
        <v>1</v>
      </c>
    </row>
    <row r="40" spans="1:2" x14ac:dyDescent="0.25">
      <c r="A40" s="137" t="s">
        <v>25680</v>
      </c>
      <c r="B40" s="138">
        <v>1</v>
      </c>
    </row>
    <row r="41" spans="1:2" x14ac:dyDescent="0.25">
      <c r="A41" s="137" t="s">
        <v>25681</v>
      </c>
      <c r="B41" s="138">
        <v>1</v>
      </c>
    </row>
    <row r="42" spans="1:2" x14ac:dyDescent="0.25">
      <c r="A42" s="137" t="s">
        <v>25682</v>
      </c>
      <c r="B42" s="138">
        <v>1</v>
      </c>
    </row>
    <row r="43" spans="1:2" x14ac:dyDescent="0.25">
      <c r="A43" s="137" t="s">
        <v>25683</v>
      </c>
      <c r="B43" s="138">
        <v>1</v>
      </c>
    </row>
    <row r="44" spans="1:2" x14ac:dyDescent="0.25">
      <c r="A44" s="137" t="s">
        <v>25684</v>
      </c>
      <c r="B44" s="138">
        <v>1</v>
      </c>
    </row>
    <row r="45" spans="1:2" x14ac:dyDescent="0.25">
      <c r="A45" s="137" t="s">
        <v>25685</v>
      </c>
      <c r="B45" s="138">
        <v>1</v>
      </c>
    </row>
    <row r="46" spans="1:2" x14ac:dyDescent="0.25">
      <c r="A46" s="137" t="s">
        <v>25686</v>
      </c>
      <c r="B46" s="138">
        <v>1</v>
      </c>
    </row>
    <row r="47" spans="1:2" x14ac:dyDescent="0.25">
      <c r="A47" s="137" t="s">
        <v>25687</v>
      </c>
      <c r="B47" s="138">
        <v>1</v>
      </c>
    </row>
    <row r="48" spans="1:2" x14ac:dyDescent="0.25">
      <c r="A48" s="137" t="s">
        <v>25688</v>
      </c>
      <c r="B48" s="138">
        <v>1</v>
      </c>
    </row>
    <row r="49" spans="1:2" x14ac:dyDescent="0.25">
      <c r="A49" s="137" t="s">
        <v>25689</v>
      </c>
      <c r="B49" s="138">
        <v>1</v>
      </c>
    </row>
    <row r="50" spans="1:2" x14ac:dyDescent="0.25">
      <c r="A50" s="137" t="s">
        <v>25690</v>
      </c>
      <c r="B50" s="138">
        <v>1</v>
      </c>
    </row>
    <row r="51" spans="1:2" x14ac:dyDescent="0.25">
      <c r="A51" s="137" t="s">
        <v>25691</v>
      </c>
      <c r="B51" s="138">
        <v>1</v>
      </c>
    </row>
    <row r="52" spans="1:2" x14ac:dyDescent="0.25">
      <c r="A52" s="137" t="s">
        <v>25692</v>
      </c>
      <c r="B52" s="138">
        <v>1</v>
      </c>
    </row>
    <row r="53" spans="1:2" x14ac:dyDescent="0.25">
      <c r="A53" s="137" t="s">
        <v>25693</v>
      </c>
      <c r="B53" s="138">
        <v>1</v>
      </c>
    </row>
    <row r="54" spans="1:2" x14ac:dyDescent="0.25">
      <c r="A54" s="137" t="s">
        <v>25694</v>
      </c>
      <c r="B54" s="138">
        <v>1</v>
      </c>
    </row>
    <row r="55" spans="1:2" x14ac:dyDescent="0.25">
      <c r="A55" s="137" t="s">
        <v>25695</v>
      </c>
      <c r="B55" s="138">
        <v>1</v>
      </c>
    </row>
    <row r="56" spans="1:2" x14ac:dyDescent="0.25">
      <c r="A56" s="137" t="s">
        <v>25696</v>
      </c>
      <c r="B56" s="138">
        <v>1</v>
      </c>
    </row>
    <row r="57" spans="1:2" x14ac:dyDescent="0.25">
      <c r="A57" s="137" t="s">
        <v>25697</v>
      </c>
      <c r="B57" s="138">
        <v>1</v>
      </c>
    </row>
    <row r="58" spans="1:2" x14ac:dyDescent="0.25">
      <c r="A58" s="137" t="s">
        <v>25698</v>
      </c>
      <c r="B58" s="138">
        <v>1</v>
      </c>
    </row>
    <row r="59" spans="1:2" x14ac:dyDescent="0.25">
      <c r="A59" s="137" t="s">
        <v>25699</v>
      </c>
      <c r="B59" s="138">
        <v>1</v>
      </c>
    </row>
    <row r="60" spans="1:2" x14ac:dyDescent="0.25">
      <c r="A60" s="137" t="s">
        <v>25700</v>
      </c>
      <c r="B60" s="138">
        <v>1</v>
      </c>
    </row>
    <row r="61" spans="1:2" x14ac:dyDescent="0.25">
      <c r="A61" s="137" t="s">
        <v>25701</v>
      </c>
      <c r="B61" s="138">
        <v>1</v>
      </c>
    </row>
    <row r="62" spans="1:2" x14ac:dyDescent="0.25">
      <c r="A62" s="137" t="s">
        <v>25702</v>
      </c>
      <c r="B62" s="138">
        <v>1</v>
      </c>
    </row>
    <row r="63" spans="1:2" x14ac:dyDescent="0.25">
      <c r="A63" s="137" t="s">
        <v>25703</v>
      </c>
      <c r="B63" s="138">
        <v>1</v>
      </c>
    </row>
    <row r="64" spans="1:2" x14ac:dyDescent="0.25">
      <c r="A64" s="137" t="s">
        <v>25704</v>
      </c>
      <c r="B64" s="138">
        <v>1</v>
      </c>
    </row>
    <row r="65" spans="1:2" x14ac:dyDescent="0.25">
      <c r="A65" s="137" t="s">
        <v>25705</v>
      </c>
      <c r="B65" s="138">
        <v>1</v>
      </c>
    </row>
    <row r="66" spans="1:2" x14ac:dyDescent="0.25">
      <c r="A66" s="137" t="s">
        <v>25706</v>
      </c>
      <c r="B66" s="138">
        <v>1</v>
      </c>
    </row>
    <row r="67" spans="1:2" x14ac:dyDescent="0.25">
      <c r="A67" s="137" t="s">
        <v>25707</v>
      </c>
      <c r="B67" s="138">
        <v>1</v>
      </c>
    </row>
    <row r="68" spans="1:2" x14ac:dyDescent="0.25">
      <c r="A68" s="137" t="s">
        <v>25708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25709</v>
      </c>
      <c r="B70" s="138">
        <v>1</v>
      </c>
    </row>
    <row r="71" spans="1:2" x14ac:dyDescent="0.25">
      <c r="A71" s="137" t="s">
        <v>25710</v>
      </c>
      <c r="B71" s="138">
        <v>1</v>
      </c>
    </row>
    <row r="72" spans="1:2" x14ac:dyDescent="0.25">
      <c r="A72" s="137" t="s">
        <v>25711</v>
      </c>
      <c r="B72" s="138">
        <v>1</v>
      </c>
    </row>
    <row r="73" spans="1:2" x14ac:dyDescent="0.25">
      <c r="A73" s="137" t="s">
        <v>25712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25713</v>
      </c>
      <c r="B1" s="138">
        <v>1</v>
      </c>
    </row>
    <row r="2" spans="1:2" x14ac:dyDescent="0.25">
      <c r="A2" s="137" t="s">
        <v>25714</v>
      </c>
      <c r="B2" s="138">
        <v>1</v>
      </c>
    </row>
    <row r="3" spans="1:2" x14ac:dyDescent="0.25">
      <c r="A3" s="137" t="s">
        <v>25715</v>
      </c>
      <c r="B3" s="138">
        <v>1</v>
      </c>
    </row>
    <row r="4" spans="1:2" x14ac:dyDescent="0.25">
      <c r="A4" s="137" t="s">
        <v>25716</v>
      </c>
      <c r="B4" s="138">
        <v>1</v>
      </c>
    </row>
    <row r="5" spans="1:2" x14ac:dyDescent="0.25">
      <c r="A5" s="137" t="s">
        <v>25717</v>
      </c>
      <c r="B5" s="138">
        <v>1</v>
      </c>
    </row>
    <row r="6" spans="1:2" x14ac:dyDescent="0.25">
      <c r="A6" s="137" t="s">
        <v>25718</v>
      </c>
      <c r="B6" s="138">
        <v>1</v>
      </c>
    </row>
    <row r="7" spans="1:2" x14ac:dyDescent="0.25">
      <c r="A7" s="137" t="s">
        <v>25719</v>
      </c>
      <c r="B7" s="138">
        <v>1</v>
      </c>
    </row>
    <row r="8" spans="1:2" x14ac:dyDescent="0.25">
      <c r="A8" s="137" t="s">
        <v>25720</v>
      </c>
      <c r="B8" s="138">
        <v>1</v>
      </c>
    </row>
    <row r="9" spans="1:2" x14ac:dyDescent="0.25">
      <c r="A9" s="137" t="s">
        <v>25721</v>
      </c>
      <c r="B9" s="138">
        <v>1</v>
      </c>
    </row>
    <row r="10" spans="1:2" x14ac:dyDescent="0.25">
      <c r="A10" s="137" t="s">
        <v>25722</v>
      </c>
      <c r="B10" s="138">
        <v>1</v>
      </c>
    </row>
    <row r="11" spans="1:2" x14ac:dyDescent="0.25">
      <c r="A11" s="137" t="s">
        <v>25723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25724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25725</v>
      </c>
      <c r="B1" s="135">
        <v>1</v>
      </c>
    </row>
    <row r="2" spans="1:2" x14ac:dyDescent="0.25">
      <c r="A2" s="134" t="s">
        <v>25726</v>
      </c>
      <c r="B2" s="135">
        <v>1</v>
      </c>
    </row>
    <row r="3" spans="1:2" x14ac:dyDescent="0.25">
      <c r="A3" s="134" t="s">
        <v>25727</v>
      </c>
      <c r="B3" s="135">
        <v>1</v>
      </c>
    </row>
    <row r="4" spans="1:2" x14ac:dyDescent="0.25">
      <c r="A4" s="134" t="s">
        <v>25728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25729</v>
      </c>
      <c r="B6" s="135">
        <v>1</v>
      </c>
    </row>
    <row r="7" spans="1:2" x14ac:dyDescent="0.25">
      <c r="A7" s="134" t="s">
        <v>25682</v>
      </c>
      <c r="B7" s="135">
        <v>1</v>
      </c>
    </row>
    <row r="8" spans="1:2" x14ac:dyDescent="0.25">
      <c r="A8" s="134" t="s">
        <v>25730</v>
      </c>
      <c r="B8" s="135">
        <v>1</v>
      </c>
    </row>
    <row r="9" spans="1:2" x14ac:dyDescent="0.25">
      <c r="A9" s="134" t="s">
        <v>25731</v>
      </c>
      <c r="B9" s="135">
        <v>1</v>
      </c>
    </row>
    <row r="10" spans="1:2" x14ac:dyDescent="0.25">
      <c r="A10" s="134" t="s">
        <v>25732</v>
      </c>
      <c r="B10" s="135">
        <v>1</v>
      </c>
    </row>
    <row r="11" spans="1:2" x14ac:dyDescent="0.25">
      <c r="A11" s="134" t="s">
        <v>25733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25684</v>
      </c>
      <c r="B13" s="135">
        <v>1</v>
      </c>
    </row>
    <row r="14" spans="1:2" x14ac:dyDescent="0.25">
      <c r="A14" s="134" t="s">
        <v>25734</v>
      </c>
      <c r="B14" s="135">
        <v>1</v>
      </c>
    </row>
    <row r="15" spans="1:2" x14ac:dyDescent="0.25">
      <c r="A15" s="134" t="s">
        <v>25735</v>
      </c>
      <c r="B15" s="135">
        <v>1</v>
      </c>
    </row>
    <row r="16" spans="1:2" x14ac:dyDescent="0.25">
      <c r="A16" s="134" t="s">
        <v>25736</v>
      </c>
      <c r="B16" s="135">
        <v>1</v>
      </c>
    </row>
    <row r="17" spans="1:2" x14ac:dyDescent="0.25">
      <c r="A17" s="136" t="s">
        <v>25737</v>
      </c>
      <c r="B17" s="135">
        <v>1</v>
      </c>
    </row>
    <row r="18" spans="1:2" x14ac:dyDescent="0.25">
      <c r="A18" s="136" t="s">
        <v>25738</v>
      </c>
      <c r="B18" s="135">
        <v>1</v>
      </c>
    </row>
    <row r="19" spans="1:2" x14ac:dyDescent="0.25">
      <c r="A19" s="136" t="s">
        <v>25739</v>
      </c>
      <c r="B19" s="135">
        <v>1</v>
      </c>
    </row>
    <row r="20" spans="1:2" x14ac:dyDescent="0.25">
      <c r="A20" s="136" t="s">
        <v>25740</v>
      </c>
      <c r="B20" s="135">
        <v>1</v>
      </c>
    </row>
    <row r="21" spans="1:2" x14ac:dyDescent="0.25">
      <c r="A21" s="136" t="s">
        <v>25741</v>
      </c>
      <c r="B21" s="135">
        <v>1</v>
      </c>
    </row>
    <row r="22" spans="1:2" x14ac:dyDescent="0.25">
      <c r="A22" s="136" t="s">
        <v>25742</v>
      </c>
      <c r="B22" s="135">
        <v>1</v>
      </c>
    </row>
    <row r="23" spans="1:2" x14ac:dyDescent="0.25">
      <c r="A23" s="136" t="s">
        <v>28446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25743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25744</v>
      </c>
      <c r="B3" s="132">
        <v>1</v>
      </c>
    </row>
    <row r="4" spans="1:2" x14ac:dyDescent="0.25">
      <c r="A4" s="133" t="s">
        <v>25745</v>
      </c>
      <c r="B4" s="132">
        <v>1</v>
      </c>
    </row>
    <row r="5" spans="1:2" x14ac:dyDescent="0.25">
      <c r="A5" s="133" t="s">
        <v>25746</v>
      </c>
      <c r="B5" s="132">
        <v>1</v>
      </c>
    </row>
    <row r="6" spans="1:2" x14ac:dyDescent="0.25">
      <c r="A6" s="133" t="s">
        <v>25747</v>
      </c>
      <c r="B6" s="132">
        <v>1</v>
      </c>
    </row>
    <row r="7" spans="1:2" x14ac:dyDescent="0.25">
      <c r="A7" s="133" t="s">
        <v>25748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25749</v>
      </c>
      <c r="B9" s="132">
        <v>1</v>
      </c>
    </row>
    <row r="10" spans="1:2" x14ac:dyDescent="0.25">
      <c r="A10" s="133" t="s">
        <v>25750</v>
      </c>
      <c r="B10" s="132">
        <v>1</v>
      </c>
    </row>
    <row r="11" spans="1:2" x14ac:dyDescent="0.25">
      <c r="A11" s="133" t="s">
        <v>25751</v>
      </c>
      <c r="B11" s="132">
        <v>1</v>
      </c>
    </row>
    <row r="12" spans="1:2" x14ac:dyDescent="0.25">
      <c r="A12" s="133" t="s">
        <v>25752</v>
      </c>
      <c r="B12" s="132">
        <v>1</v>
      </c>
    </row>
    <row r="13" spans="1:2" x14ac:dyDescent="0.25">
      <c r="A13" s="133" t="s">
        <v>25753</v>
      </c>
      <c r="B13" s="132">
        <v>1</v>
      </c>
    </row>
    <row r="14" spans="1:2" x14ac:dyDescent="0.25">
      <c r="A14" s="133" t="s">
        <v>25754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25755</v>
      </c>
      <c r="B16" s="132">
        <v>1</v>
      </c>
    </row>
    <row r="17" spans="1:2" x14ac:dyDescent="0.25">
      <c r="A17" s="133" t="s">
        <v>25756</v>
      </c>
      <c r="B17" s="132">
        <v>1</v>
      </c>
    </row>
    <row r="18" spans="1:2" x14ac:dyDescent="0.25">
      <c r="A18" s="133" t="s">
        <v>25757</v>
      </c>
      <c r="B18" s="132">
        <v>1</v>
      </c>
    </row>
    <row r="19" spans="1:2" x14ac:dyDescent="0.25">
      <c r="A19" s="133" t="s">
        <v>25758</v>
      </c>
      <c r="B19" s="132">
        <v>1</v>
      </c>
    </row>
    <row r="20" spans="1:2" x14ac:dyDescent="0.25">
      <c r="A20" s="133" t="s">
        <v>25759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25760</v>
      </c>
      <c r="B22" s="132">
        <v>1</v>
      </c>
    </row>
    <row r="23" spans="1:2" x14ac:dyDescent="0.25">
      <c r="A23" s="133" t="s">
        <v>25761</v>
      </c>
      <c r="B23" s="132">
        <v>1</v>
      </c>
    </row>
    <row r="24" spans="1:2" x14ac:dyDescent="0.25">
      <c r="A24" s="133" t="s">
        <v>25762</v>
      </c>
      <c r="B24" s="132">
        <v>1</v>
      </c>
    </row>
    <row r="25" spans="1:2" x14ac:dyDescent="0.25">
      <c r="A25" s="133" t="s">
        <v>25763</v>
      </c>
      <c r="B25" s="132">
        <v>1</v>
      </c>
    </row>
    <row r="26" spans="1:2" x14ac:dyDescent="0.25">
      <c r="A26" s="133" t="s">
        <v>25764</v>
      </c>
      <c r="B26" s="132">
        <v>1</v>
      </c>
    </row>
    <row r="27" spans="1:2" x14ac:dyDescent="0.25">
      <c r="A27" s="133" t="s">
        <v>25765</v>
      </c>
      <c r="B27" s="132">
        <v>1</v>
      </c>
    </row>
    <row r="28" spans="1:2" x14ac:dyDescent="0.25">
      <c r="A28" s="133" t="s">
        <v>25766</v>
      </c>
      <c r="B28" s="132">
        <v>1</v>
      </c>
    </row>
    <row r="29" spans="1:2" x14ac:dyDescent="0.25">
      <c r="A29" s="133" t="s">
        <v>25767</v>
      </c>
      <c r="B29" s="132">
        <v>1</v>
      </c>
    </row>
    <row r="30" spans="1:2" x14ac:dyDescent="0.25">
      <c r="A30" s="133" t="s">
        <v>25768</v>
      </c>
      <c r="B30" s="132">
        <v>1</v>
      </c>
    </row>
    <row r="31" spans="1:2" x14ac:dyDescent="0.25">
      <c r="A31" s="133" t="s">
        <v>25769</v>
      </c>
      <c r="B31" s="132">
        <v>1</v>
      </c>
    </row>
    <row r="32" spans="1:2" x14ac:dyDescent="0.25">
      <c r="A32" s="133" t="s">
        <v>25770</v>
      </c>
      <c r="B32" s="132">
        <v>1</v>
      </c>
    </row>
    <row r="33" spans="1:2" x14ac:dyDescent="0.25">
      <c r="A33" s="133" t="s">
        <v>25771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25772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25773</v>
      </c>
      <c r="B37" s="132">
        <v>1</v>
      </c>
    </row>
    <row r="38" spans="1:2" x14ac:dyDescent="0.25">
      <c r="A38" s="133" t="s">
        <v>25774</v>
      </c>
      <c r="B38" s="132">
        <v>1</v>
      </c>
    </row>
    <row r="39" spans="1:2" x14ac:dyDescent="0.25">
      <c r="A39" s="133" t="s">
        <v>25775</v>
      </c>
      <c r="B39" s="132">
        <v>1</v>
      </c>
    </row>
    <row r="40" spans="1:2" x14ac:dyDescent="0.25">
      <c r="A40" s="133" t="s">
        <v>25776</v>
      </c>
      <c r="B40" s="132">
        <v>1</v>
      </c>
    </row>
    <row r="41" spans="1:2" x14ac:dyDescent="0.25">
      <c r="A41" s="133" t="s">
        <v>25777</v>
      </c>
      <c r="B41" s="132">
        <v>1</v>
      </c>
    </row>
    <row r="42" spans="1:2" x14ac:dyDescent="0.25">
      <c r="A42" s="133" t="s">
        <v>25778</v>
      </c>
      <c r="B42" s="132">
        <v>1</v>
      </c>
    </row>
    <row r="43" spans="1:2" x14ac:dyDescent="0.25">
      <c r="A43" s="133" t="s">
        <v>25779</v>
      </c>
      <c r="B43" s="132">
        <v>1</v>
      </c>
    </row>
    <row r="44" spans="1:2" x14ac:dyDescent="0.25">
      <c r="A44" s="133" t="s">
        <v>25780</v>
      </c>
      <c r="B44" s="132">
        <v>1</v>
      </c>
    </row>
    <row r="45" spans="1:2" x14ac:dyDescent="0.25">
      <c r="A45" s="133" t="s">
        <v>25781</v>
      </c>
      <c r="B45" s="132">
        <v>1</v>
      </c>
    </row>
    <row r="46" spans="1:2" x14ac:dyDescent="0.25">
      <c r="A46" s="133" t="s">
        <v>25782</v>
      </c>
      <c r="B46" s="132">
        <v>1</v>
      </c>
    </row>
    <row r="47" spans="1:2" x14ac:dyDescent="0.25">
      <c r="A47" s="133" t="s">
        <v>25783</v>
      </c>
      <c r="B47" s="132">
        <v>1</v>
      </c>
    </row>
    <row r="48" spans="1:2" x14ac:dyDescent="0.25">
      <c r="A48" s="133" t="s">
        <v>25784</v>
      </c>
      <c r="B48" s="132">
        <v>1</v>
      </c>
    </row>
    <row r="49" spans="1:2" x14ac:dyDescent="0.25">
      <c r="A49" s="133" t="s">
        <v>25785</v>
      </c>
      <c r="B49" s="132">
        <v>1</v>
      </c>
    </row>
    <row r="50" spans="1:2" x14ac:dyDescent="0.25">
      <c r="A50" s="133" t="s">
        <v>25786</v>
      </c>
      <c r="B50" s="132">
        <v>1</v>
      </c>
    </row>
    <row r="51" spans="1:2" x14ac:dyDescent="0.25">
      <c r="A51" s="133" t="s">
        <v>25787</v>
      </c>
      <c r="B51" s="132">
        <v>1</v>
      </c>
    </row>
    <row r="52" spans="1:2" x14ac:dyDescent="0.25">
      <c r="A52" s="133" t="s">
        <v>25788</v>
      </c>
      <c r="B52" s="132">
        <v>1</v>
      </c>
    </row>
    <row r="53" spans="1:2" x14ac:dyDescent="0.25">
      <c r="A53" s="133" t="s">
        <v>25789</v>
      </c>
      <c r="B53" s="132">
        <v>1</v>
      </c>
    </row>
    <row r="54" spans="1:2" x14ac:dyDescent="0.25">
      <c r="A54" s="133" t="s">
        <v>25790</v>
      </c>
      <c r="B54" s="132">
        <v>1</v>
      </c>
    </row>
    <row r="55" spans="1:2" x14ac:dyDescent="0.25">
      <c r="A55" s="133" t="s">
        <v>25791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25792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25793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25794</v>
      </c>
      <c r="B61" s="132">
        <v>1</v>
      </c>
    </row>
    <row r="62" spans="1:2" x14ac:dyDescent="0.25">
      <c r="A62" s="133" t="s">
        <v>25795</v>
      </c>
      <c r="B62" s="132">
        <v>1</v>
      </c>
    </row>
    <row r="63" spans="1:2" x14ac:dyDescent="0.25">
      <c r="A63" s="133" t="s">
        <v>25796</v>
      </c>
      <c r="B63" s="132">
        <v>1</v>
      </c>
    </row>
    <row r="64" spans="1:2" x14ac:dyDescent="0.25">
      <c r="A64" s="133" t="s">
        <v>25797</v>
      </c>
      <c r="B64" s="132">
        <v>1</v>
      </c>
    </row>
    <row r="65" spans="1:2" x14ac:dyDescent="0.25">
      <c r="A65" s="133" t="s">
        <v>25798</v>
      </c>
      <c r="B65" s="132">
        <v>1</v>
      </c>
    </row>
    <row r="66" spans="1:2" x14ac:dyDescent="0.25">
      <c r="A66" s="133" t="s">
        <v>25799</v>
      </c>
      <c r="B66" s="132">
        <v>1</v>
      </c>
    </row>
    <row r="67" spans="1:2" x14ac:dyDescent="0.25">
      <c r="A67" s="133" t="s">
        <v>25800</v>
      </c>
      <c r="B67" s="132">
        <v>1</v>
      </c>
    </row>
    <row r="68" spans="1:2" x14ac:dyDescent="0.25">
      <c r="A68" s="133" t="s">
        <v>25801</v>
      </c>
      <c r="B68" s="132">
        <v>1</v>
      </c>
    </row>
    <row r="69" spans="1:2" x14ac:dyDescent="0.25">
      <c r="A69" s="133" t="s">
        <v>25802</v>
      </c>
      <c r="B69" s="132">
        <v>1</v>
      </c>
    </row>
    <row r="70" spans="1:2" x14ac:dyDescent="0.25">
      <c r="A70" s="133" t="s">
        <v>25803</v>
      </c>
      <c r="B70" s="132">
        <v>1</v>
      </c>
    </row>
    <row r="71" spans="1:2" x14ac:dyDescent="0.25">
      <c r="A71" s="133" t="s">
        <v>25804</v>
      </c>
      <c r="B71" s="132">
        <v>1</v>
      </c>
    </row>
    <row r="72" spans="1:2" x14ac:dyDescent="0.25">
      <c r="A72" s="133" t="s">
        <v>25805</v>
      </c>
      <c r="B72" s="132">
        <v>1</v>
      </c>
    </row>
    <row r="73" spans="1:2" x14ac:dyDescent="0.25">
      <c r="A73" s="133" t="s">
        <v>25806</v>
      </c>
      <c r="B73" s="132">
        <v>1</v>
      </c>
    </row>
    <row r="74" spans="1:2" x14ac:dyDescent="0.25">
      <c r="A74" s="133" t="s">
        <v>25807</v>
      </c>
      <c r="B74" s="132">
        <v>1</v>
      </c>
    </row>
    <row r="75" spans="1:2" x14ac:dyDescent="0.25">
      <c r="A75" s="133" t="s">
        <v>25808</v>
      </c>
      <c r="B75" s="132">
        <v>1</v>
      </c>
    </row>
    <row r="76" spans="1:2" x14ac:dyDescent="0.25">
      <c r="A76" s="133" t="s">
        <v>25809</v>
      </c>
      <c r="B76" s="132">
        <v>1</v>
      </c>
    </row>
    <row r="77" spans="1:2" x14ac:dyDescent="0.25">
      <c r="A77" s="133" t="s">
        <v>25810</v>
      </c>
      <c r="B77" s="132">
        <v>1</v>
      </c>
    </row>
    <row r="78" spans="1:2" x14ac:dyDescent="0.25">
      <c r="A78" s="133" t="s">
        <v>25811</v>
      </c>
      <c r="B78" s="132">
        <v>1</v>
      </c>
    </row>
    <row r="79" spans="1:2" x14ac:dyDescent="0.25">
      <c r="A79" s="133" t="s">
        <v>25812</v>
      </c>
      <c r="B79" s="132">
        <v>1</v>
      </c>
    </row>
    <row r="80" spans="1:2" x14ac:dyDescent="0.25">
      <c r="A80" s="133" t="s">
        <v>25813</v>
      </c>
      <c r="B80" s="132">
        <v>1</v>
      </c>
    </row>
    <row r="81" spans="1:2" x14ac:dyDescent="0.25">
      <c r="A81" s="133" t="s">
        <v>25814</v>
      </c>
      <c r="B81" s="132">
        <v>1</v>
      </c>
    </row>
    <row r="82" spans="1:2" x14ac:dyDescent="0.25">
      <c r="A82" s="133" t="s">
        <v>25815</v>
      </c>
      <c r="B82" s="132">
        <v>1</v>
      </c>
    </row>
    <row r="83" spans="1:2" x14ac:dyDescent="0.25">
      <c r="A83" s="133" t="s">
        <v>25816</v>
      </c>
      <c r="B83" s="132">
        <v>1</v>
      </c>
    </row>
    <row r="84" spans="1:2" x14ac:dyDescent="0.25">
      <c r="A84" s="133" t="s">
        <v>25817</v>
      </c>
      <c r="B84" s="132">
        <v>1</v>
      </c>
    </row>
    <row r="85" spans="1:2" x14ac:dyDescent="0.25">
      <c r="A85" s="133" t="s">
        <v>25818</v>
      </c>
      <c r="B85" s="132">
        <v>1</v>
      </c>
    </row>
    <row r="86" spans="1:2" x14ac:dyDescent="0.25">
      <c r="A86" s="133" t="s">
        <v>25819</v>
      </c>
      <c r="B86" s="132">
        <v>1</v>
      </c>
    </row>
    <row r="87" spans="1:2" x14ac:dyDescent="0.25">
      <c r="A87" s="133" t="s">
        <v>25820</v>
      </c>
      <c r="B87" s="132">
        <v>1</v>
      </c>
    </row>
    <row r="88" spans="1:2" x14ac:dyDescent="0.25">
      <c r="A88" s="133" t="s">
        <v>25821</v>
      </c>
      <c r="B88" s="132">
        <v>1</v>
      </c>
    </row>
    <row r="89" spans="1:2" x14ac:dyDescent="0.25">
      <c r="A89" s="133" t="s">
        <v>25822</v>
      </c>
      <c r="B89" s="132">
        <v>1</v>
      </c>
    </row>
    <row r="90" spans="1:2" x14ac:dyDescent="0.25">
      <c r="A90" s="133" t="s">
        <v>25823</v>
      </c>
      <c r="B90" s="132">
        <v>1</v>
      </c>
    </row>
    <row r="91" spans="1:2" x14ac:dyDescent="0.25">
      <c r="A91" s="133" t="s">
        <v>25824</v>
      </c>
      <c r="B91" s="132">
        <v>1</v>
      </c>
    </row>
    <row r="92" spans="1:2" x14ac:dyDescent="0.25">
      <c r="A92" s="133" t="s">
        <v>25825</v>
      </c>
      <c r="B92" s="132">
        <v>1</v>
      </c>
    </row>
    <row r="93" spans="1:2" x14ac:dyDescent="0.25">
      <c r="A93" s="133" t="s">
        <v>25826</v>
      </c>
      <c r="B93" s="132">
        <v>1</v>
      </c>
    </row>
    <row r="94" spans="1:2" x14ac:dyDescent="0.25">
      <c r="A94" s="133" t="s">
        <v>25827</v>
      </c>
      <c r="B94" s="132">
        <v>1</v>
      </c>
    </row>
    <row r="95" spans="1:2" x14ac:dyDescent="0.25">
      <c r="A95" s="133" t="s">
        <v>25828</v>
      </c>
      <c r="B95" s="132">
        <v>1</v>
      </c>
    </row>
    <row r="96" spans="1:2" x14ac:dyDescent="0.25">
      <c r="A96" s="133" t="s">
        <v>25829</v>
      </c>
      <c r="B96" s="132">
        <v>1</v>
      </c>
    </row>
    <row r="97" spans="1:2" x14ac:dyDescent="0.25">
      <c r="A97" s="133" t="s">
        <v>25830</v>
      </c>
      <c r="B97" s="132">
        <v>1</v>
      </c>
    </row>
    <row r="98" spans="1:2" x14ac:dyDescent="0.25">
      <c r="A98" s="133" t="s">
        <v>25831</v>
      </c>
      <c r="B98" s="132">
        <v>1</v>
      </c>
    </row>
    <row r="99" spans="1:2" x14ac:dyDescent="0.25">
      <c r="A99" s="133" t="s">
        <v>25832</v>
      </c>
      <c r="B99" s="132">
        <v>1</v>
      </c>
    </row>
    <row r="100" spans="1:2" x14ac:dyDescent="0.25">
      <c r="A100" s="133" t="s">
        <v>25833</v>
      </c>
      <c r="B100" s="132">
        <v>1</v>
      </c>
    </row>
    <row r="101" spans="1:2" x14ac:dyDescent="0.25">
      <c r="A101" s="133" t="s">
        <v>25834</v>
      </c>
      <c r="B101" s="132">
        <v>1</v>
      </c>
    </row>
    <row r="102" spans="1:2" x14ac:dyDescent="0.25">
      <c r="A102" s="133" t="s">
        <v>25835</v>
      </c>
      <c r="B102" s="132">
        <v>1</v>
      </c>
    </row>
    <row r="103" spans="1:2" x14ac:dyDescent="0.25">
      <c r="A103" s="133" t="s">
        <v>25836</v>
      </c>
      <c r="B103" s="132">
        <v>1</v>
      </c>
    </row>
    <row r="104" spans="1:2" x14ac:dyDescent="0.25">
      <c r="A104" s="133" t="s">
        <v>25837</v>
      </c>
      <c r="B104" s="132">
        <v>1</v>
      </c>
    </row>
    <row r="105" spans="1:2" x14ac:dyDescent="0.25">
      <c r="A105" s="133" t="s">
        <v>25838</v>
      </c>
      <c r="B105" s="132">
        <v>1</v>
      </c>
    </row>
    <row r="106" spans="1:2" x14ac:dyDescent="0.25">
      <c r="A106" s="133" t="s">
        <v>25839</v>
      </c>
      <c r="B106" s="132">
        <v>1</v>
      </c>
    </row>
    <row r="107" spans="1:2" x14ac:dyDescent="0.25">
      <c r="A107" s="133" t="s">
        <v>25840</v>
      </c>
      <c r="B107" s="132">
        <v>1</v>
      </c>
    </row>
    <row r="108" spans="1:2" x14ac:dyDescent="0.25">
      <c r="A108" s="133" t="s">
        <v>25841</v>
      </c>
      <c r="B108" s="132">
        <v>1</v>
      </c>
    </row>
    <row r="109" spans="1:2" x14ac:dyDescent="0.25">
      <c r="A109" s="133" t="s">
        <v>25842</v>
      </c>
      <c r="B109" s="132">
        <v>1</v>
      </c>
    </row>
    <row r="110" spans="1:2" x14ac:dyDescent="0.25">
      <c r="A110" s="133" t="s">
        <v>25843</v>
      </c>
      <c r="B110" s="132">
        <v>1</v>
      </c>
    </row>
    <row r="111" spans="1:2" x14ac:dyDescent="0.25">
      <c r="A111" s="133" t="s">
        <v>25844</v>
      </c>
      <c r="B111" s="132">
        <v>1</v>
      </c>
    </row>
    <row r="112" spans="1:2" x14ac:dyDescent="0.25">
      <c r="A112" s="133" t="s">
        <v>25845</v>
      </c>
      <c r="B112" s="132">
        <v>1</v>
      </c>
    </row>
    <row r="113" spans="1:2" x14ac:dyDescent="0.25">
      <c r="A113" s="133" t="s">
        <v>25846</v>
      </c>
      <c r="B113" s="132">
        <v>1</v>
      </c>
    </row>
    <row r="114" spans="1:2" x14ac:dyDescent="0.25">
      <c r="A114" s="133" t="s">
        <v>25847</v>
      </c>
      <c r="B114" s="132">
        <v>1</v>
      </c>
    </row>
    <row r="115" spans="1:2" x14ac:dyDescent="0.25">
      <c r="A115" s="133" t="s">
        <v>25848</v>
      </c>
      <c r="B115" s="132">
        <v>1</v>
      </c>
    </row>
    <row r="116" spans="1:2" x14ac:dyDescent="0.25">
      <c r="A116" s="133" t="s">
        <v>25849</v>
      </c>
      <c r="B116" s="132">
        <v>1</v>
      </c>
    </row>
    <row r="117" spans="1:2" x14ac:dyDescent="0.25">
      <c r="A117" s="133" t="s">
        <v>25850</v>
      </c>
      <c r="B117" s="132">
        <v>1</v>
      </c>
    </row>
    <row r="118" spans="1:2" x14ac:dyDescent="0.25">
      <c r="A118" s="133" t="s">
        <v>25851</v>
      </c>
      <c r="B118" s="132">
        <v>1</v>
      </c>
    </row>
    <row r="119" spans="1:2" x14ac:dyDescent="0.25">
      <c r="A119" s="133" t="s">
        <v>25852</v>
      </c>
      <c r="B119" s="132">
        <v>1</v>
      </c>
    </row>
    <row r="120" spans="1:2" x14ac:dyDescent="0.25">
      <c r="A120" s="133" t="s">
        <v>25853</v>
      </c>
      <c r="B120" s="132">
        <v>1</v>
      </c>
    </row>
    <row r="121" spans="1:2" x14ac:dyDescent="0.25">
      <c r="A121" s="133" t="s">
        <v>25854</v>
      </c>
      <c r="B121" s="132">
        <v>1</v>
      </c>
    </row>
    <row r="122" spans="1:2" x14ac:dyDescent="0.25">
      <c r="A122" s="133" t="s">
        <v>25855</v>
      </c>
      <c r="B122" s="132">
        <v>1</v>
      </c>
    </row>
    <row r="123" spans="1:2" x14ac:dyDescent="0.25">
      <c r="A123" s="133" t="s">
        <v>25856</v>
      </c>
      <c r="B123" s="132">
        <v>1</v>
      </c>
    </row>
    <row r="124" spans="1:2" x14ac:dyDescent="0.25">
      <c r="A124" s="133" t="s">
        <v>25857</v>
      </c>
      <c r="B124" s="132">
        <v>1</v>
      </c>
    </row>
    <row r="125" spans="1:2" x14ac:dyDescent="0.25">
      <c r="A125" s="133" t="s">
        <v>25858</v>
      </c>
      <c r="B125" s="132">
        <v>1</v>
      </c>
    </row>
    <row r="126" spans="1:2" x14ac:dyDescent="0.25">
      <c r="A126" s="133" t="s">
        <v>25859</v>
      </c>
      <c r="B126" s="132">
        <v>1</v>
      </c>
    </row>
    <row r="127" spans="1:2" x14ac:dyDescent="0.25">
      <c r="A127" s="133" t="s">
        <v>25860</v>
      </c>
      <c r="B127" s="132">
        <v>1</v>
      </c>
    </row>
    <row r="128" spans="1:2" x14ac:dyDescent="0.25">
      <c r="A128" s="133" t="s">
        <v>25861</v>
      </c>
      <c r="B128" s="132">
        <v>1</v>
      </c>
    </row>
    <row r="129" spans="1:2" x14ac:dyDescent="0.25">
      <c r="A129" s="133" t="s">
        <v>25862</v>
      </c>
      <c r="B129" s="132">
        <v>1</v>
      </c>
    </row>
    <row r="130" spans="1:2" x14ac:dyDescent="0.25">
      <c r="A130" s="133" t="s">
        <v>25863</v>
      </c>
      <c r="B130" s="132">
        <v>1</v>
      </c>
    </row>
    <row r="131" spans="1:2" x14ac:dyDescent="0.25">
      <c r="A131" s="133" t="s">
        <v>25864</v>
      </c>
      <c r="B131" s="132">
        <v>1</v>
      </c>
    </row>
    <row r="132" spans="1:2" x14ac:dyDescent="0.25">
      <c r="A132" s="133" t="s">
        <v>25865</v>
      </c>
      <c r="B132" s="132">
        <v>1</v>
      </c>
    </row>
    <row r="133" spans="1:2" x14ac:dyDescent="0.25">
      <c r="A133" s="133" t="s">
        <v>25866</v>
      </c>
      <c r="B133" s="132">
        <v>1</v>
      </c>
    </row>
    <row r="134" spans="1:2" x14ac:dyDescent="0.25">
      <c r="A134" s="133" t="s">
        <v>25867</v>
      </c>
      <c r="B134" s="132">
        <v>1</v>
      </c>
    </row>
    <row r="135" spans="1:2" x14ac:dyDescent="0.25">
      <c r="A135" s="133" t="s">
        <v>25868</v>
      </c>
      <c r="B135" s="132">
        <v>1</v>
      </c>
    </row>
    <row r="136" spans="1:2" x14ac:dyDescent="0.25">
      <c r="A136" s="133" t="s">
        <v>25869</v>
      </c>
      <c r="B136" s="132">
        <v>1</v>
      </c>
    </row>
    <row r="137" spans="1:2" x14ac:dyDescent="0.25">
      <c r="A137" s="133" t="s">
        <v>25870</v>
      </c>
      <c r="B137" s="132">
        <v>1</v>
      </c>
    </row>
    <row r="138" spans="1:2" x14ac:dyDescent="0.25">
      <c r="A138" s="133" t="s">
        <v>25871</v>
      </c>
      <c r="B138" s="132">
        <v>1</v>
      </c>
    </row>
    <row r="139" spans="1:2" x14ac:dyDescent="0.25">
      <c r="A139" s="133" t="s">
        <v>25872</v>
      </c>
      <c r="B139" s="132">
        <v>1</v>
      </c>
    </row>
    <row r="140" spans="1:2" x14ac:dyDescent="0.25">
      <c r="A140" s="133" t="s">
        <v>25873</v>
      </c>
      <c r="B140" s="132">
        <v>1</v>
      </c>
    </row>
    <row r="141" spans="1:2" x14ac:dyDescent="0.25">
      <c r="A141" s="133" t="s">
        <v>25874</v>
      </c>
      <c r="B141" s="132">
        <v>1</v>
      </c>
    </row>
    <row r="142" spans="1:2" x14ac:dyDescent="0.25">
      <c r="A142" s="133" t="s">
        <v>25875</v>
      </c>
      <c r="B142" s="132">
        <v>1</v>
      </c>
    </row>
    <row r="143" spans="1:2" x14ac:dyDescent="0.25">
      <c r="A143" s="133" t="s">
        <v>25876</v>
      </c>
      <c r="B143" s="132">
        <v>1</v>
      </c>
    </row>
    <row r="144" spans="1:2" x14ac:dyDescent="0.25">
      <c r="A144" s="133" t="s">
        <v>25877</v>
      </c>
      <c r="B144" s="132">
        <v>1</v>
      </c>
    </row>
    <row r="145" spans="1:2" x14ac:dyDescent="0.25">
      <c r="A145" s="133" t="s">
        <v>25878</v>
      </c>
      <c r="B145" s="132">
        <v>1</v>
      </c>
    </row>
    <row r="146" spans="1:2" x14ac:dyDescent="0.25">
      <c r="A146" s="133" t="s">
        <v>25879</v>
      </c>
      <c r="B146" s="132">
        <v>1</v>
      </c>
    </row>
    <row r="147" spans="1:2" x14ac:dyDescent="0.25">
      <c r="A147" s="133" t="s">
        <v>25880</v>
      </c>
      <c r="B147" s="132">
        <v>1</v>
      </c>
    </row>
    <row r="148" spans="1:2" x14ac:dyDescent="0.25">
      <c r="A148" s="133" t="s">
        <v>25881</v>
      </c>
      <c r="B148" s="132">
        <v>1</v>
      </c>
    </row>
    <row r="149" spans="1:2" x14ac:dyDescent="0.25">
      <c r="A149" s="133" t="s">
        <v>25882</v>
      </c>
      <c r="B149" s="132">
        <v>1</v>
      </c>
    </row>
    <row r="150" spans="1:2" x14ac:dyDescent="0.25">
      <c r="A150" s="133" t="s">
        <v>25883</v>
      </c>
      <c r="B150" s="132">
        <v>1</v>
      </c>
    </row>
    <row r="151" spans="1:2" x14ac:dyDescent="0.25">
      <c r="A151" s="133" t="s">
        <v>25884</v>
      </c>
      <c r="B151" s="132">
        <v>1</v>
      </c>
    </row>
    <row r="152" spans="1:2" x14ac:dyDescent="0.25">
      <c r="A152" s="133" t="s">
        <v>25885</v>
      </c>
      <c r="B152" s="132">
        <v>1</v>
      </c>
    </row>
    <row r="153" spans="1:2" x14ac:dyDescent="0.25">
      <c r="A153" s="133" t="s">
        <v>25886</v>
      </c>
      <c r="B153" s="132">
        <v>1</v>
      </c>
    </row>
    <row r="154" spans="1:2" x14ac:dyDescent="0.25">
      <c r="A154" s="133" t="s">
        <v>25887</v>
      </c>
      <c r="B154" s="132">
        <v>1</v>
      </c>
    </row>
    <row r="155" spans="1:2" x14ac:dyDescent="0.25">
      <c r="A155" s="133" t="s">
        <v>25888</v>
      </c>
      <c r="B155" s="132">
        <v>1</v>
      </c>
    </row>
    <row r="156" spans="1:2" x14ac:dyDescent="0.25">
      <c r="A156" s="133" t="s">
        <v>25889</v>
      </c>
      <c r="B156" s="132">
        <v>1</v>
      </c>
    </row>
    <row r="157" spans="1:2" x14ac:dyDescent="0.25">
      <c r="A157" s="133" t="s">
        <v>25890</v>
      </c>
      <c r="B157" s="132">
        <v>1</v>
      </c>
    </row>
    <row r="158" spans="1:2" x14ac:dyDescent="0.25">
      <c r="A158" s="133" t="s">
        <v>25891</v>
      </c>
      <c r="B158" s="132">
        <v>1</v>
      </c>
    </row>
    <row r="159" spans="1:2" x14ac:dyDescent="0.25">
      <c r="A159" s="133" t="s">
        <v>25892</v>
      </c>
      <c r="B159" s="132">
        <v>1</v>
      </c>
    </row>
    <row r="160" spans="1:2" x14ac:dyDescent="0.25">
      <c r="A160" s="133" t="s">
        <v>25893</v>
      </c>
      <c r="B160" s="132">
        <v>1</v>
      </c>
    </row>
    <row r="161" spans="1:2" x14ac:dyDescent="0.25">
      <c r="A161" s="133" t="s">
        <v>25894</v>
      </c>
      <c r="B161" s="132">
        <v>1</v>
      </c>
    </row>
    <row r="162" spans="1:2" x14ac:dyDescent="0.25">
      <c r="A162" s="133" t="s">
        <v>25895</v>
      </c>
      <c r="B162" s="132">
        <v>1</v>
      </c>
    </row>
    <row r="163" spans="1:2" x14ac:dyDescent="0.25">
      <c r="A163" s="133" t="s">
        <v>25896</v>
      </c>
      <c r="B163" s="132">
        <v>1</v>
      </c>
    </row>
    <row r="164" spans="1:2" x14ac:dyDescent="0.25">
      <c r="A164" s="133" t="s">
        <v>25897</v>
      </c>
      <c r="B164" s="132">
        <v>1</v>
      </c>
    </row>
    <row r="165" spans="1:2" x14ac:dyDescent="0.25">
      <c r="A165" s="133" t="s">
        <v>25898</v>
      </c>
      <c r="B165" s="132">
        <v>1</v>
      </c>
    </row>
    <row r="166" spans="1:2" x14ac:dyDescent="0.25">
      <c r="A166" s="133" t="s">
        <v>25899</v>
      </c>
      <c r="B166" s="132">
        <v>1</v>
      </c>
    </row>
    <row r="167" spans="1:2" x14ac:dyDescent="0.25">
      <c r="A167" s="133" t="s">
        <v>25900</v>
      </c>
      <c r="B167" s="132">
        <v>1</v>
      </c>
    </row>
    <row r="168" spans="1:2" x14ac:dyDescent="0.25">
      <c r="A168" s="133" t="s">
        <v>25901</v>
      </c>
      <c r="B168" s="132">
        <v>1</v>
      </c>
    </row>
    <row r="169" spans="1:2" x14ac:dyDescent="0.25">
      <c r="A169" s="133" t="s">
        <v>25902</v>
      </c>
      <c r="B169" s="132">
        <v>1</v>
      </c>
    </row>
    <row r="170" spans="1:2" x14ac:dyDescent="0.25">
      <c r="A170" s="133" t="s">
        <v>25903</v>
      </c>
      <c r="B170" s="132">
        <v>1</v>
      </c>
    </row>
    <row r="171" spans="1:2" x14ac:dyDescent="0.25">
      <c r="A171" s="133" t="s">
        <v>25904</v>
      </c>
      <c r="B171" s="132">
        <v>1</v>
      </c>
    </row>
    <row r="172" spans="1:2" x14ac:dyDescent="0.25">
      <c r="A172" s="133" t="s">
        <v>25905</v>
      </c>
      <c r="B172" s="132">
        <v>1</v>
      </c>
    </row>
    <row r="173" spans="1:2" x14ac:dyDescent="0.25">
      <c r="A173" s="133" t="s">
        <v>25906</v>
      </c>
      <c r="B173" s="132">
        <v>1</v>
      </c>
    </row>
    <row r="174" spans="1:2" x14ac:dyDescent="0.25">
      <c r="A174" s="133" t="s">
        <v>25907</v>
      </c>
      <c r="B174" s="132">
        <v>1</v>
      </c>
    </row>
    <row r="175" spans="1:2" x14ac:dyDescent="0.25">
      <c r="A175" s="133" t="s">
        <v>25908</v>
      </c>
      <c r="B175" s="132">
        <v>1</v>
      </c>
    </row>
    <row r="176" spans="1:2" x14ac:dyDescent="0.25">
      <c r="A176" s="133" t="s">
        <v>25909</v>
      </c>
      <c r="B176" s="132">
        <v>1</v>
      </c>
    </row>
    <row r="177" spans="1:2" x14ac:dyDescent="0.25">
      <c r="A177" s="133" t="s">
        <v>25910</v>
      </c>
      <c r="B177" s="132">
        <v>1</v>
      </c>
    </row>
    <row r="178" spans="1:2" x14ac:dyDescent="0.25">
      <c r="A178" s="133" t="s">
        <v>25911</v>
      </c>
      <c r="B178" s="132">
        <v>1</v>
      </c>
    </row>
    <row r="179" spans="1:2" x14ac:dyDescent="0.25">
      <c r="A179" s="133" t="s">
        <v>25912</v>
      </c>
      <c r="B179" s="132">
        <v>1</v>
      </c>
    </row>
    <row r="180" spans="1:2" x14ac:dyDescent="0.25">
      <c r="A180" s="133" t="s">
        <v>25913</v>
      </c>
      <c r="B180" s="132">
        <v>1</v>
      </c>
    </row>
    <row r="181" spans="1:2" x14ac:dyDescent="0.25">
      <c r="A181" s="133" t="s">
        <v>25914</v>
      </c>
      <c r="B181" s="132">
        <v>1</v>
      </c>
    </row>
    <row r="182" spans="1:2" x14ac:dyDescent="0.25">
      <c r="A182" s="133" t="s">
        <v>25915</v>
      </c>
      <c r="B182" s="132">
        <v>1</v>
      </c>
    </row>
    <row r="183" spans="1:2" x14ac:dyDescent="0.25">
      <c r="A183" s="133" t="s">
        <v>25916</v>
      </c>
      <c r="B183" s="132">
        <v>1</v>
      </c>
    </row>
    <row r="184" spans="1:2" x14ac:dyDescent="0.25">
      <c r="A184" s="133" t="s">
        <v>25917</v>
      </c>
      <c r="B184" s="132">
        <v>1</v>
      </c>
    </row>
    <row r="185" spans="1:2" x14ac:dyDescent="0.25">
      <c r="A185" s="133" t="s">
        <v>25918</v>
      </c>
      <c r="B185" s="132">
        <v>1</v>
      </c>
    </row>
    <row r="186" spans="1:2" x14ac:dyDescent="0.25">
      <c r="A186" s="133" t="s">
        <v>25919</v>
      </c>
      <c r="B186" s="132">
        <v>1</v>
      </c>
    </row>
    <row r="187" spans="1:2" x14ac:dyDescent="0.25">
      <c r="A187" s="133" t="s">
        <v>25920</v>
      </c>
      <c r="B187" s="132">
        <v>1</v>
      </c>
    </row>
    <row r="188" spans="1:2" x14ac:dyDescent="0.25">
      <c r="A188" s="133" t="s">
        <v>25921</v>
      </c>
      <c r="B188" s="132">
        <v>1</v>
      </c>
    </row>
    <row r="189" spans="1:2" x14ac:dyDescent="0.25">
      <c r="A189" s="133" t="s">
        <v>25922</v>
      </c>
      <c r="B189" s="132">
        <v>1</v>
      </c>
    </row>
    <row r="190" spans="1:2" x14ac:dyDescent="0.25">
      <c r="A190" s="133" t="s">
        <v>25923</v>
      </c>
      <c r="B190" s="132">
        <v>1</v>
      </c>
    </row>
    <row r="191" spans="1:2" x14ac:dyDescent="0.25">
      <c r="A191" s="133" t="s">
        <v>25924</v>
      </c>
      <c r="B191" s="132">
        <v>1</v>
      </c>
    </row>
    <row r="192" spans="1:2" x14ac:dyDescent="0.25">
      <c r="A192" s="133" t="s">
        <v>25925</v>
      </c>
      <c r="B192" s="132">
        <v>1</v>
      </c>
    </row>
    <row r="193" spans="1:2" x14ac:dyDescent="0.25">
      <c r="A193" s="133" t="s">
        <v>25926</v>
      </c>
      <c r="B193" s="132">
        <v>1</v>
      </c>
    </row>
    <row r="194" spans="1:2" x14ac:dyDescent="0.25">
      <c r="A194" s="133" t="s">
        <v>25927</v>
      </c>
      <c r="B194" s="132">
        <v>1</v>
      </c>
    </row>
    <row r="195" spans="1:2" x14ac:dyDescent="0.25">
      <c r="A195" s="133" t="s">
        <v>25928</v>
      </c>
      <c r="B195" s="132">
        <v>1</v>
      </c>
    </row>
    <row r="196" spans="1:2" x14ac:dyDescent="0.25">
      <c r="A196" s="133" t="s">
        <v>25929</v>
      </c>
      <c r="B196" s="132">
        <v>1</v>
      </c>
    </row>
    <row r="197" spans="1:2" x14ac:dyDescent="0.25">
      <c r="A197" s="133" t="s">
        <v>25930</v>
      </c>
      <c r="B197" s="132">
        <v>1</v>
      </c>
    </row>
    <row r="198" spans="1:2" x14ac:dyDescent="0.25">
      <c r="A198" s="133" t="s">
        <v>25931</v>
      </c>
      <c r="B198" s="132">
        <v>1</v>
      </c>
    </row>
    <row r="199" spans="1:2" x14ac:dyDescent="0.25">
      <c r="A199" s="133" t="s">
        <v>25932</v>
      </c>
      <c r="B199" s="132">
        <v>1</v>
      </c>
    </row>
    <row r="200" spans="1:2" x14ac:dyDescent="0.25">
      <c r="A200" s="133" t="s">
        <v>25933</v>
      </c>
      <c r="B200" s="132">
        <v>1</v>
      </c>
    </row>
    <row r="201" spans="1:2" x14ac:dyDescent="0.25">
      <c r="A201" s="133" t="s">
        <v>25934</v>
      </c>
      <c r="B201" s="132">
        <v>1</v>
      </c>
    </row>
    <row r="202" spans="1:2" x14ac:dyDescent="0.25">
      <c r="A202" s="133" t="s">
        <v>25935</v>
      </c>
      <c r="B202" s="132">
        <v>1</v>
      </c>
    </row>
    <row r="203" spans="1:2" x14ac:dyDescent="0.25">
      <c r="A203" s="133" t="s">
        <v>25936</v>
      </c>
      <c r="B203" s="132">
        <v>1</v>
      </c>
    </row>
    <row r="204" spans="1:2" x14ac:dyDescent="0.25">
      <c r="A204" s="133" t="s">
        <v>25937</v>
      </c>
      <c r="B204" s="132">
        <v>1</v>
      </c>
    </row>
    <row r="205" spans="1:2" x14ac:dyDescent="0.25">
      <c r="A205" s="133" t="s">
        <v>25938</v>
      </c>
      <c r="B205" s="132">
        <v>1</v>
      </c>
    </row>
    <row r="206" spans="1:2" x14ac:dyDescent="0.25">
      <c r="A206" s="133" t="s">
        <v>25939</v>
      </c>
      <c r="B206" s="132">
        <v>1</v>
      </c>
    </row>
    <row r="207" spans="1:2" x14ac:dyDescent="0.25">
      <c r="A207" s="133" t="s">
        <v>25940</v>
      </c>
      <c r="B207" s="132">
        <v>1</v>
      </c>
    </row>
    <row r="208" spans="1:2" x14ac:dyDescent="0.25">
      <c r="A208" s="133" t="s">
        <v>25941</v>
      </c>
      <c r="B208" s="132">
        <v>1</v>
      </c>
    </row>
    <row r="209" spans="1:2" x14ac:dyDescent="0.25">
      <c r="A209" s="133" t="s">
        <v>25942</v>
      </c>
      <c r="B209" s="132">
        <v>1</v>
      </c>
    </row>
    <row r="210" spans="1:2" x14ac:dyDescent="0.25">
      <c r="A210" s="133" t="s">
        <v>25943</v>
      </c>
      <c r="B210" s="132">
        <v>1</v>
      </c>
    </row>
    <row r="211" spans="1:2" x14ac:dyDescent="0.25">
      <c r="A211" s="133" t="s">
        <v>25944</v>
      </c>
      <c r="B211" s="132">
        <v>1</v>
      </c>
    </row>
    <row r="212" spans="1:2" x14ac:dyDescent="0.25">
      <c r="A212" s="133" t="s">
        <v>25945</v>
      </c>
      <c r="B212" s="132">
        <v>1</v>
      </c>
    </row>
    <row r="213" spans="1:2" x14ac:dyDescent="0.25">
      <c r="A213" s="133" t="s">
        <v>25946</v>
      </c>
      <c r="B213" s="132">
        <v>1</v>
      </c>
    </row>
    <row r="214" spans="1:2" x14ac:dyDescent="0.25">
      <c r="A214" s="133" t="s">
        <v>25947</v>
      </c>
      <c r="B214" s="132">
        <v>1</v>
      </c>
    </row>
    <row r="215" spans="1:2" x14ac:dyDescent="0.25">
      <c r="A215" s="133" t="s">
        <v>25948</v>
      </c>
      <c r="B215" s="132">
        <v>1</v>
      </c>
    </row>
    <row r="216" spans="1:2" x14ac:dyDescent="0.25">
      <c r="A216" s="133" t="s">
        <v>25949</v>
      </c>
      <c r="B216" s="132">
        <v>1</v>
      </c>
    </row>
    <row r="217" spans="1:2" x14ac:dyDescent="0.25">
      <c r="A217" s="133" t="s">
        <v>25950</v>
      </c>
      <c r="B217" s="132">
        <v>1</v>
      </c>
    </row>
    <row r="218" spans="1:2" x14ac:dyDescent="0.25">
      <c r="A218" s="133" t="s">
        <v>25951</v>
      </c>
      <c r="B218" s="132">
        <v>1</v>
      </c>
    </row>
    <row r="219" spans="1:2" x14ac:dyDescent="0.25">
      <c r="A219" s="133" t="s">
        <v>25952</v>
      </c>
      <c r="B219" s="132">
        <v>1</v>
      </c>
    </row>
    <row r="220" spans="1:2" x14ac:dyDescent="0.25">
      <c r="A220" s="133" t="s">
        <v>25953</v>
      </c>
      <c r="B220" s="132">
        <v>1</v>
      </c>
    </row>
    <row r="221" spans="1:2" x14ac:dyDescent="0.25">
      <c r="A221" s="133" t="s">
        <v>25954</v>
      </c>
      <c r="B221" s="132">
        <v>1</v>
      </c>
    </row>
    <row r="222" spans="1:2" x14ac:dyDescent="0.25">
      <c r="A222" s="133" t="s">
        <v>25955</v>
      </c>
      <c r="B222" s="132">
        <v>1</v>
      </c>
    </row>
    <row r="223" spans="1:2" x14ac:dyDescent="0.25">
      <c r="A223" s="133" t="s">
        <v>25956</v>
      </c>
      <c r="B223" s="132">
        <v>1</v>
      </c>
    </row>
    <row r="224" spans="1:2" x14ac:dyDescent="0.25">
      <c r="A224" s="133" t="s">
        <v>25957</v>
      </c>
      <c r="B224" s="132">
        <v>1</v>
      </c>
    </row>
    <row r="225" spans="1:2" x14ac:dyDescent="0.25">
      <c r="A225" s="133" t="s">
        <v>25958</v>
      </c>
      <c r="B225" s="132">
        <v>1</v>
      </c>
    </row>
    <row r="226" spans="1:2" x14ac:dyDescent="0.25">
      <c r="A226" s="133" t="s">
        <v>25959</v>
      </c>
      <c r="B226" s="132">
        <v>1</v>
      </c>
    </row>
    <row r="227" spans="1:2" x14ac:dyDescent="0.25">
      <c r="A227" s="133" t="s">
        <v>25960</v>
      </c>
      <c r="B227" s="132">
        <v>1</v>
      </c>
    </row>
    <row r="228" spans="1:2" x14ac:dyDescent="0.25">
      <c r="A228" s="133" t="s">
        <v>25961</v>
      </c>
      <c r="B228" s="132">
        <v>1</v>
      </c>
    </row>
    <row r="229" spans="1:2" x14ac:dyDescent="0.25">
      <c r="A229" s="133" t="s">
        <v>25962</v>
      </c>
      <c r="B229" s="132">
        <v>1</v>
      </c>
    </row>
    <row r="230" spans="1:2" x14ac:dyDescent="0.25">
      <c r="A230" s="133" t="s">
        <v>25963</v>
      </c>
      <c r="B230" s="132">
        <v>1</v>
      </c>
    </row>
    <row r="231" spans="1:2" x14ac:dyDescent="0.25">
      <c r="A231" s="133" t="s">
        <v>25964</v>
      </c>
      <c r="B231" s="132">
        <v>1</v>
      </c>
    </row>
    <row r="232" spans="1:2" x14ac:dyDescent="0.25">
      <c r="A232" s="133" t="s">
        <v>25965</v>
      </c>
      <c r="B232" s="132">
        <v>1</v>
      </c>
    </row>
    <row r="233" spans="1:2" x14ac:dyDescent="0.25">
      <c r="A233" s="133" t="s">
        <v>25966</v>
      </c>
      <c r="B233" s="132">
        <v>1</v>
      </c>
    </row>
    <row r="234" spans="1:2" x14ac:dyDescent="0.25">
      <c r="A234" s="133" t="s">
        <v>25967</v>
      </c>
      <c r="B234" s="132">
        <v>1</v>
      </c>
    </row>
    <row r="235" spans="1:2" x14ac:dyDescent="0.25">
      <c r="A235" s="133" t="s">
        <v>25968</v>
      </c>
      <c r="B235" s="132">
        <v>1</v>
      </c>
    </row>
    <row r="236" spans="1:2" x14ac:dyDescent="0.25">
      <c r="A236" s="133" t="s">
        <v>25969</v>
      </c>
      <c r="B236" s="132">
        <v>1</v>
      </c>
    </row>
    <row r="237" spans="1:2" x14ac:dyDescent="0.25">
      <c r="A237" s="133" t="s">
        <v>25970</v>
      </c>
      <c r="B237" s="132">
        <v>1</v>
      </c>
    </row>
    <row r="238" spans="1:2" x14ac:dyDescent="0.25">
      <c r="A238" s="133" t="s">
        <v>25971</v>
      </c>
      <c r="B238" s="132">
        <v>1</v>
      </c>
    </row>
    <row r="239" spans="1:2" x14ac:dyDescent="0.25">
      <c r="A239" s="133" t="s">
        <v>25972</v>
      </c>
      <c r="B239" s="132">
        <v>1</v>
      </c>
    </row>
    <row r="240" spans="1:2" x14ac:dyDescent="0.25">
      <c r="A240" s="133" t="s">
        <v>25973</v>
      </c>
      <c r="B240" s="132">
        <v>1</v>
      </c>
    </row>
    <row r="241" spans="1:2" x14ac:dyDescent="0.25">
      <c r="A241" s="133" t="s">
        <v>25974</v>
      </c>
      <c r="B241" s="132">
        <v>1</v>
      </c>
    </row>
    <row r="242" spans="1:2" x14ac:dyDescent="0.25">
      <c r="A242" s="133" t="s">
        <v>25975</v>
      </c>
      <c r="B242" s="132">
        <v>1</v>
      </c>
    </row>
    <row r="243" spans="1:2" x14ac:dyDescent="0.25">
      <c r="A243" s="133" t="s">
        <v>25976</v>
      </c>
      <c r="B243" s="132">
        <v>1</v>
      </c>
    </row>
    <row r="244" spans="1:2" x14ac:dyDescent="0.25">
      <c r="A244" s="133" t="s">
        <v>25977</v>
      </c>
      <c r="B244" s="132">
        <v>1</v>
      </c>
    </row>
    <row r="245" spans="1:2" x14ac:dyDescent="0.25">
      <c r="A245" s="133" t="s">
        <v>25978</v>
      </c>
      <c r="B245" s="132">
        <v>1</v>
      </c>
    </row>
    <row r="246" spans="1:2" x14ac:dyDescent="0.25">
      <c r="A246" s="133" t="s">
        <v>25979</v>
      </c>
      <c r="B246" s="132">
        <v>1</v>
      </c>
    </row>
    <row r="247" spans="1:2" x14ac:dyDescent="0.25">
      <c r="A247" s="133" t="s">
        <v>25980</v>
      </c>
      <c r="B247" s="132">
        <v>1</v>
      </c>
    </row>
    <row r="248" spans="1:2" x14ac:dyDescent="0.25">
      <c r="A248" s="133" t="s">
        <v>25981</v>
      </c>
      <c r="B248" s="132">
        <v>1</v>
      </c>
    </row>
    <row r="249" spans="1:2" x14ac:dyDescent="0.25">
      <c r="A249" s="133" t="s">
        <v>25982</v>
      </c>
      <c r="B249" s="132">
        <v>1</v>
      </c>
    </row>
    <row r="250" spans="1:2" x14ac:dyDescent="0.25">
      <c r="A250" s="133" t="s">
        <v>25983</v>
      </c>
      <c r="B250" s="132">
        <v>1</v>
      </c>
    </row>
    <row r="251" spans="1:2" x14ac:dyDescent="0.25">
      <c r="A251" s="133" t="s">
        <v>25984</v>
      </c>
      <c r="B251" s="132">
        <v>1</v>
      </c>
    </row>
    <row r="252" spans="1:2" x14ac:dyDescent="0.25">
      <c r="A252" s="133" t="s">
        <v>25985</v>
      </c>
      <c r="B252" s="132">
        <v>1</v>
      </c>
    </row>
    <row r="253" spans="1:2" x14ac:dyDescent="0.25">
      <c r="A253" s="133" t="s">
        <v>25986</v>
      </c>
      <c r="B253" s="132">
        <v>1</v>
      </c>
    </row>
    <row r="254" spans="1:2" x14ac:dyDescent="0.25">
      <c r="A254" s="133" t="s">
        <v>25987</v>
      </c>
      <c r="B254" s="132">
        <v>1</v>
      </c>
    </row>
    <row r="255" spans="1:2" x14ac:dyDescent="0.25">
      <c r="A255" s="133" t="s">
        <v>25988</v>
      </c>
      <c r="B255" s="132">
        <v>1</v>
      </c>
    </row>
    <row r="256" spans="1:2" x14ac:dyDescent="0.25">
      <c r="A256" s="133" t="s">
        <v>25989</v>
      </c>
      <c r="B256" s="132">
        <v>1</v>
      </c>
    </row>
    <row r="257" spans="1:2" x14ac:dyDescent="0.25">
      <c r="A257" s="133" t="s">
        <v>25990</v>
      </c>
      <c r="B257" s="132">
        <v>1</v>
      </c>
    </row>
    <row r="258" spans="1:2" x14ac:dyDescent="0.25">
      <c r="A258" s="133" t="s">
        <v>25991</v>
      </c>
      <c r="B258" s="132">
        <v>1</v>
      </c>
    </row>
    <row r="259" spans="1:2" x14ac:dyDescent="0.25">
      <c r="A259" s="133" t="s">
        <v>25992</v>
      </c>
      <c r="B259" s="132">
        <v>1</v>
      </c>
    </row>
    <row r="260" spans="1:2" x14ac:dyDescent="0.25">
      <c r="A260" s="133" t="s">
        <v>25993</v>
      </c>
      <c r="B260" s="132">
        <v>1</v>
      </c>
    </row>
    <row r="261" spans="1:2" x14ac:dyDescent="0.25">
      <c r="A261" s="133" t="s">
        <v>25994</v>
      </c>
      <c r="B261" s="132">
        <v>1</v>
      </c>
    </row>
    <row r="262" spans="1:2" x14ac:dyDescent="0.25">
      <c r="A262" s="133" t="s">
        <v>25995</v>
      </c>
      <c r="B262" s="132">
        <v>1</v>
      </c>
    </row>
    <row r="263" spans="1:2" x14ac:dyDescent="0.25">
      <c r="A263" s="133" t="s">
        <v>25996</v>
      </c>
      <c r="B263" s="132">
        <v>1</v>
      </c>
    </row>
    <row r="264" spans="1:2" x14ac:dyDescent="0.25">
      <c r="A264" s="133" t="s">
        <v>25997</v>
      </c>
      <c r="B264" s="132">
        <v>1</v>
      </c>
    </row>
    <row r="265" spans="1:2" x14ac:dyDescent="0.25">
      <c r="A265" s="133" t="s">
        <v>25998</v>
      </c>
      <c r="B265" s="132">
        <v>1</v>
      </c>
    </row>
    <row r="266" spans="1:2" x14ac:dyDescent="0.25">
      <c r="A266" s="133" t="s">
        <v>25999</v>
      </c>
      <c r="B266" s="132">
        <v>1</v>
      </c>
    </row>
    <row r="267" spans="1:2" x14ac:dyDescent="0.25">
      <c r="A267" s="133" t="s">
        <v>26000</v>
      </c>
      <c r="B267" s="132">
        <v>1</v>
      </c>
    </row>
    <row r="268" spans="1:2" x14ac:dyDescent="0.25">
      <c r="A268" s="133" t="s">
        <v>26001</v>
      </c>
      <c r="B268" s="132">
        <v>1</v>
      </c>
    </row>
    <row r="269" spans="1:2" x14ac:dyDescent="0.25">
      <c r="A269" s="133" t="s">
        <v>26002</v>
      </c>
      <c r="B269" s="132">
        <v>1</v>
      </c>
    </row>
    <row r="270" spans="1:2" x14ac:dyDescent="0.25">
      <c r="A270" s="133" t="s">
        <v>26003</v>
      </c>
      <c r="B270" s="132">
        <v>1</v>
      </c>
    </row>
    <row r="271" spans="1:2" x14ac:dyDescent="0.25">
      <c r="A271" s="133" t="s">
        <v>26004</v>
      </c>
      <c r="B271" s="132">
        <v>1</v>
      </c>
    </row>
    <row r="272" spans="1:2" x14ac:dyDescent="0.25">
      <c r="A272" s="133" t="s">
        <v>26005</v>
      </c>
      <c r="B272" s="132">
        <v>1</v>
      </c>
    </row>
    <row r="273" spans="1:2" x14ac:dyDescent="0.25">
      <c r="A273" s="133" t="s">
        <v>26006</v>
      </c>
      <c r="B273" s="132">
        <v>1</v>
      </c>
    </row>
    <row r="274" spans="1:2" x14ac:dyDescent="0.25">
      <c r="A274" s="133" t="s">
        <v>26007</v>
      </c>
      <c r="B274" s="132">
        <v>1</v>
      </c>
    </row>
    <row r="275" spans="1:2" x14ac:dyDescent="0.25">
      <c r="A275" s="133" t="s">
        <v>26008</v>
      </c>
      <c r="B275" s="132">
        <v>1</v>
      </c>
    </row>
    <row r="276" spans="1:2" x14ac:dyDescent="0.25">
      <c r="A276" s="133" t="s">
        <v>26009</v>
      </c>
      <c r="B276" s="132">
        <v>1</v>
      </c>
    </row>
    <row r="277" spans="1:2" x14ac:dyDescent="0.25">
      <c r="A277" s="133" t="s">
        <v>26010</v>
      </c>
      <c r="B277" s="132">
        <v>1</v>
      </c>
    </row>
    <row r="278" spans="1:2" x14ac:dyDescent="0.25">
      <c r="A278" s="133" t="s">
        <v>26011</v>
      </c>
      <c r="B278" s="132">
        <v>1</v>
      </c>
    </row>
    <row r="279" spans="1:2" x14ac:dyDescent="0.25">
      <c r="A279" s="133" t="s">
        <v>26012</v>
      </c>
      <c r="B279" s="132">
        <v>1</v>
      </c>
    </row>
    <row r="280" spans="1:2" x14ac:dyDescent="0.25">
      <c r="A280" s="133" t="s">
        <v>26013</v>
      </c>
      <c r="B280" s="132">
        <v>1</v>
      </c>
    </row>
    <row r="281" spans="1:2" x14ac:dyDescent="0.25">
      <c r="A281" s="133" t="s">
        <v>26014</v>
      </c>
      <c r="B281" s="132">
        <v>1</v>
      </c>
    </row>
    <row r="282" spans="1:2" x14ac:dyDescent="0.25">
      <c r="A282" s="133" t="s">
        <v>26015</v>
      </c>
      <c r="B282" s="132">
        <v>1</v>
      </c>
    </row>
    <row r="283" spans="1:2" x14ac:dyDescent="0.25">
      <c r="A283" s="133" t="s">
        <v>26016</v>
      </c>
      <c r="B283" s="132">
        <v>1</v>
      </c>
    </row>
    <row r="284" spans="1:2" x14ac:dyDescent="0.25">
      <c r="A284" s="133" t="s">
        <v>26017</v>
      </c>
      <c r="B284" s="132">
        <v>1</v>
      </c>
    </row>
    <row r="285" spans="1:2" x14ac:dyDescent="0.25">
      <c r="A285" s="133" t="s">
        <v>26018</v>
      </c>
      <c r="B285" s="132">
        <v>1</v>
      </c>
    </row>
    <row r="286" spans="1:2" x14ac:dyDescent="0.25">
      <c r="A286" s="133" t="s">
        <v>26019</v>
      </c>
      <c r="B286" s="132">
        <v>1</v>
      </c>
    </row>
    <row r="287" spans="1:2" x14ac:dyDescent="0.25">
      <c r="A287" s="133" t="s">
        <v>26020</v>
      </c>
      <c r="B287" s="132">
        <v>1</v>
      </c>
    </row>
    <row r="288" spans="1:2" x14ac:dyDescent="0.25">
      <c r="A288" s="133" t="s">
        <v>26021</v>
      </c>
      <c r="B288" s="132">
        <v>1</v>
      </c>
    </row>
    <row r="289" spans="1:2" x14ac:dyDescent="0.25">
      <c r="A289" s="133" t="s">
        <v>26022</v>
      </c>
      <c r="B289" s="132">
        <v>1</v>
      </c>
    </row>
    <row r="290" spans="1:2" x14ac:dyDescent="0.25">
      <c r="A290" s="133" t="s">
        <v>26023</v>
      </c>
      <c r="B290" s="132">
        <v>1</v>
      </c>
    </row>
    <row r="291" spans="1:2" x14ac:dyDescent="0.25">
      <c r="A291" s="133" t="s">
        <v>26024</v>
      </c>
      <c r="B291" s="132">
        <v>1</v>
      </c>
    </row>
    <row r="292" spans="1:2" x14ac:dyDescent="0.25">
      <c r="A292" s="133" t="s">
        <v>26025</v>
      </c>
      <c r="B292" s="132">
        <v>1</v>
      </c>
    </row>
    <row r="293" spans="1:2" x14ac:dyDescent="0.25">
      <c r="A293" s="133" t="s">
        <v>26026</v>
      </c>
      <c r="B293" s="132">
        <v>1</v>
      </c>
    </row>
    <row r="294" spans="1:2" x14ac:dyDescent="0.25">
      <c r="A294" s="133" t="s">
        <v>26027</v>
      </c>
      <c r="B294" s="132">
        <v>1</v>
      </c>
    </row>
    <row r="295" spans="1:2" x14ac:dyDescent="0.25">
      <c r="A295" s="133" t="s">
        <v>26028</v>
      </c>
      <c r="B295" s="132">
        <v>1</v>
      </c>
    </row>
    <row r="296" spans="1:2" x14ac:dyDescent="0.25">
      <c r="A296" s="133" t="s">
        <v>26029</v>
      </c>
      <c r="B296" s="132">
        <v>1</v>
      </c>
    </row>
    <row r="297" spans="1:2" x14ac:dyDescent="0.25">
      <c r="A297" s="133" t="s">
        <v>26030</v>
      </c>
      <c r="B297" s="132">
        <v>1</v>
      </c>
    </row>
    <row r="298" spans="1:2" x14ac:dyDescent="0.25">
      <c r="A298" s="133" t="s">
        <v>26031</v>
      </c>
      <c r="B298" s="132">
        <v>1</v>
      </c>
    </row>
    <row r="299" spans="1:2" x14ac:dyDescent="0.25">
      <c r="A299" s="133" t="s">
        <v>26032</v>
      </c>
      <c r="B299" s="132">
        <v>1</v>
      </c>
    </row>
    <row r="300" spans="1:2" x14ac:dyDescent="0.25">
      <c r="A300" s="133" t="s">
        <v>26033</v>
      </c>
      <c r="B300" s="132">
        <v>1</v>
      </c>
    </row>
    <row r="301" spans="1:2" x14ac:dyDescent="0.25">
      <c r="A301" s="133" t="s">
        <v>26034</v>
      </c>
      <c r="B301" s="132">
        <v>1</v>
      </c>
    </row>
    <row r="302" spans="1:2" x14ac:dyDescent="0.25">
      <c r="A302" s="133" t="s">
        <v>26035</v>
      </c>
      <c r="B302" s="132">
        <v>1</v>
      </c>
    </row>
    <row r="303" spans="1:2" x14ac:dyDescent="0.25">
      <c r="A303" s="133" t="s">
        <v>26036</v>
      </c>
      <c r="B303" s="132">
        <v>1</v>
      </c>
    </row>
    <row r="304" spans="1:2" x14ac:dyDescent="0.25">
      <c r="A304" s="133" t="s">
        <v>26037</v>
      </c>
      <c r="B304" s="132">
        <v>1</v>
      </c>
    </row>
    <row r="305" spans="1:2" x14ac:dyDescent="0.25">
      <c r="A305" s="133" t="s">
        <v>26038</v>
      </c>
      <c r="B305" s="132">
        <v>1</v>
      </c>
    </row>
    <row r="306" spans="1:2" x14ac:dyDescent="0.25">
      <c r="A306" s="133" t="s">
        <v>26039</v>
      </c>
      <c r="B306" s="132">
        <v>1</v>
      </c>
    </row>
    <row r="307" spans="1:2" x14ac:dyDescent="0.25">
      <c r="A307" s="133" t="s">
        <v>26040</v>
      </c>
      <c r="B307" s="132">
        <v>1</v>
      </c>
    </row>
    <row r="308" spans="1:2" x14ac:dyDescent="0.25">
      <c r="A308" s="133" t="s">
        <v>26041</v>
      </c>
      <c r="B308" s="132">
        <v>1</v>
      </c>
    </row>
    <row r="309" spans="1:2" x14ac:dyDescent="0.25">
      <c r="A309" s="133" t="s">
        <v>26042</v>
      </c>
      <c r="B309" s="132">
        <v>1</v>
      </c>
    </row>
    <row r="310" spans="1:2" x14ac:dyDescent="0.25">
      <c r="A310" s="133" t="s">
        <v>26043</v>
      </c>
      <c r="B310" s="132">
        <v>1</v>
      </c>
    </row>
    <row r="311" spans="1:2" x14ac:dyDescent="0.25">
      <c r="A311" s="133" t="s">
        <v>26044</v>
      </c>
      <c r="B311" s="132">
        <v>1</v>
      </c>
    </row>
    <row r="312" spans="1:2" x14ac:dyDescent="0.25">
      <c r="A312" s="133" t="s">
        <v>26045</v>
      </c>
      <c r="B312" s="132">
        <v>1</v>
      </c>
    </row>
    <row r="313" spans="1:2" x14ac:dyDescent="0.25">
      <c r="A313" s="133" t="s">
        <v>26046</v>
      </c>
      <c r="B313" s="132">
        <v>1</v>
      </c>
    </row>
    <row r="314" spans="1:2" x14ac:dyDescent="0.25">
      <c r="A314" s="133" t="s">
        <v>26047</v>
      </c>
      <c r="B314" s="132">
        <v>1</v>
      </c>
    </row>
    <row r="315" spans="1:2" x14ac:dyDescent="0.25">
      <c r="A315" s="133" t="s">
        <v>26048</v>
      </c>
      <c r="B315" s="132">
        <v>1</v>
      </c>
    </row>
    <row r="316" spans="1:2" x14ac:dyDescent="0.25">
      <c r="A316" s="133" t="s">
        <v>26049</v>
      </c>
      <c r="B316" s="132">
        <v>1</v>
      </c>
    </row>
    <row r="317" spans="1:2" x14ac:dyDescent="0.25">
      <c r="A317" s="133" t="s">
        <v>26050</v>
      </c>
      <c r="B317" s="132">
        <v>1</v>
      </c>
    </row>
    <row r="318" spans="1:2" x14ac:dyDescent="0.25">
      <c r="A318" s="133" t="s">
        <v>26051</v>
      </c>
      <c r="B318" s="132">
        <v>1</v>
      </c>
    </row>
    <row r="319" spans="1:2" x14ac:dyDescent="0.25">
      <c r="A319" s="133" t="s">
        <v>26052</v>
      </c>
      <c r="B319" s="132">
        <v>1</v>
      </c>
    </row>
    <row r="320" spans="1:2" x14ac:dyDescent="0.25">
      <c r="A320" s="133" t="s">
        <v>26053</v>
      </c>
      <c r="B320" s="132">
        <v>1</v>
      </c>
    </row>
    <row r="321" spans="1:2" x14ac:dyDescent="0.25">
      <c r="A321" s="133" t="s">
        <v>26054</v>
      </c>
      <c r="B321" s="132">
        <v>1</v>
      </c>
    </row>
    <row r="322" spans="1:2" x14ac:dyDescent="0.25">
      <c r="A322" s="133" t="s">
        <v>26055</v>
      </c>
      <c r="B322" s="132">
        <v>1</v>
      </c>
    </row>
    <row r="323" spans="1:2" x14ac:dyDescent="0.25">
      <c r="A323" s="133" t="s">
        <v>26056</v>
      </c>
      <c r="B323" s="132">
        <v>1</v>
      </c>
    </row>
    <row r="324" spans="1:2" x14ac:dyDescent="0.25">
      <c r="A324" s="133" t="s">
        <v>26057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26058</v>
      </c>
      <c r="B326" s="132">
        <v>1</v>
      </c>
    </row>
    <row r="327" spans="1:2" x14ac:dyDescent="0.25">
      <c r="A327" s="133" t="s">
        <v>26059</v>
      </c>
      <c r="B327" s="132">
        <v>1</v>
      </c>
    </row>
    <row r="328" spans="1:2" x14ac:dyDescent="0.25">
      <c r="A328" s="133" t="s">
        <v>26060</v>
      </c>
      <c r="B328" s="132">
        <v>1</v>
      </c>
    </row>
    <row r="329" spans="1:2" x14ac:dyDescent="0.25">
      <c r="A329" s="133" t="s">
        <v>26061</v>
      </c>
      <c r="B329" s="132">
        <v>1</v>
      </c>
    </row>
    <row r="330" spans="1:2" x14ac:dyDescent="0.25">
      <c r="A330" s="133" t="s">
        <v>26062</v>
      </c>
      <c r="B330" s="132">
        <v>1</v>
      </c>
    </row>
    <row r="331" spans="1:2" x14ac:dyDescent="0.25">
      <c r="A331" s="133" t="s">
        <v>26063</v>
      </c>
      <c r="B331" s="132">
        <v>1</v>
      </c>
    </row>
    <row r="332" spans="1:2" x14ac:dyDescent="0.25">
      <c r="A332" s="133" t="s">
        <v>26064</v>
      </c>
      <c r="B332" s="132">
        <v>1</v>
      </c>
    </row>
    <row r="333" spans="1:2" x14ac:dyDescent="0.25">
      <c r="A333" s="133" t="s">
        <v>26065</v>
      </c>
      <c r="B333" s="132">
        <v>1</v>
      </c>
    </row>
    <row r="334" spans="1:2" x14ac:dyDescent="0.25">
      <c r="A334" s="133" t="s">
        <v>26066</v>
      </c>
      <c r="B334" s="132">
        <v>1</v>
      </c>
    </row>
    <row r="335" spans="1:2" x14ac:dyDescent="0.25">
      <c r="A335" s="133" t="s">
        <v>26067</v>
      </c>
      <c r="B335" s="132">
        <v>1</v>
      </c>
    </row>
    <row r="336" spans="1:2" x14ac:dyDescent="0.25">
      <c r="A336" s="133" t="s">
        <v>26068</v>
      </c>
      <c r="B336" s="132">
        <v>1</v>
      </c>
    </row>
    <row r="337" spans="1:2" x14ac:dyDescent="0.25">
      <c r="A337" s="133" t="s">
        <v>26069</v>
      </c>
      <c r="B337" s="132">
        <v>1</v>
      </c>
    </row>
    <row r="338" spans="1:2" x14ac:dyDescent="0.25">
      <c r="A338" s="133" t="s">
        <v>26070</v>
      </c>
      <c r="B338" s="132">
        <v>1</v>
      </c>
    </row>
    <row r="339" spans="1:2" x14ac:dyDescent="0.25">
      <c r="A339" s="133" t="s">
        <v>26071</v>
      </c>
      <c r="B339" s="132">
        <v>1</v>
      </c>
    </row>
    <row r="340" spans="1:2" x14ac:dyDescent="0.25">
      <c r="A340" s="133" t="s">
        <v>26072</v>
      </c>
      <c r="B340" s="132">
        <v>1</v>
      </c>
    </row>
    <row r="341" spans="1:2" x14ac:dyDescent="0.25">
      <c r="A341" s="133" t="s">
        <v>26073</v>
      </c>
      <c r="B341" s="132">
        <v>1</v>
      </c>
    </row>
    <row r="342" spans="1:2" x14ac:dyDescent="0.25">
      <c r="A342" s="133" t="s">
        <v>26074</v>
      </c>
      <c r="B342" s="132">
        <v>1</v>
      </c>
    </row>
    <row r="343" spans="1:2" x14ac:dyDescent="0.25">
      <c r="A343" s="133" t="s">
        <v>26075</v>
      </c>
      <c r="B343" s="132">
        <v>1</v>
      </c>
    </row>
    <row r="344" spans="1:2" x14ac:dyDescent="0.25">
      <c r="A344" s="133" t="s">
        <v>26076</v>
      </c>
      <c r="B344" s="132">
        <v>1</v>
      </c>
    </row>
    <row r="345" spans="1:2" x14ac:dyDescent="0.25">
      <c r="A345" s="133" t="s">
        <v>26077</v>
      </c>
      <c r="B345" s="132">
        <v>1</v>
      </c>
    </row>
    <row r="346" spans="1:2" x14ac:dyDescent="0.25">
      <c r="A346" s="133" t="s">
        <v>26078</v>
      </c>
      <c r="B346" s="132">
        <v>1</v>
      </c>
    </row>
    <row r="347" spans="1:2" x14ac:dyDescent="0.25">
      <c r="A347" s="133" t="s">
        <v>26079</v>
      </c>
      <c r="B347" s="132">
        <v>1</v>
      </c>
    </row>
    <row r="348" spans="1:2" x14ac:dyDescent="0.25">
      <c r="A348" s="133" t="s">
        <v>26080</v>
      </c>
      <c r="B348" s="132">
        <v>1</v>
      </c>
    </row>
    <row r="349" spans="1:2" x14ac:dyDescent="0.25">
      <c r="A349" s="133" t="s">
        <v>26081</v>
      </c>
      <c r="B349" s="132">
        <v>1</v>
      </c>
    </row>
    <row r="350" spans="1:2" x14ac:dyDescent="0.25">
      <c r="A350" s="133" t="s">
        <v>26082</v>
      </c>
      <c r="B350" s="132">
        <v>1</v>
      </c>
    </row>
    <row r="351" spans="1:2" x14ac:dyDescent="0.25">
      <c r="A351" s="133" t="s">
        <v>26083</v>
      </c>
      <c r="B351" s="132">
        <v>1</v>
      </c>
    </row>
    <row r="352" spans="1:2" x14ac:dyDescent="0.25">
      <c r="A352" s="133" t="s">
        <v>26084</v>
      </c>
      <c r="B352" s="132">
        <v>1</v>
      </c>
    </row>
    <row r="353" spans="1:2" x14ac:dyDescent="0.25">
      <c r="A353" s="133" t="s">
        <v>26085</v>
      </c>
      <c r="B353" s="132">
        <v>1</v>
      </c>
    </row>
    <row r="354" spans="1:2" x14ac:dyDescent="0.25">
      <c r="A354" s="133" t="s">
        <v>26086</v>
      </c>
      <c r="B354" s="132">
        <v>1</v>
      </c>
    </row>
    <row r="355" spans="1:2" x14ac:dyDescent="0.25">
      <c r="A355" s="133" t="s">
        <v>26087</v>
      </c>
      <c r="B355" s="132">
        <v>1</v>
      </c>
    </row>
    <row r="356" spans="1:2" x14ac:dyDescent="0.25">
      <c r="A356" s="133" t="s">
        <v>26088</v>
      </c>
      <c r="B356" s="132">
        <v>1</v>
      </c>
    </row>
    <row r="357" spans="1:2" x14ac:dyDescent="0.25">
      <c r="A357" s="133" t="s">
        <v>26089</v>
      </c>
      <c r="B357" s="132">
        <v>1</v>
      </c>
    </row>
    <row r="358" spans="1:2" x14ac:dyDescent="0.25">
      <c r="A358" s="133" t="s">
        <v>26090</v>
      </c>
      <c r="B358" s="132">
        <v>1</v>
      </c>
    </row>
    <row r="359" spans="1:2" x14ac:dyDescent="0.25">
      <c r="A359" s="133" t="s">
        <v>26091</v>
      </c>
      <c r="B359" s="132">
        <v>1</v>
      </c>
    </row>
    <row r="360" spans="1:2" x14ac:dyDescent="0.25">
      <c r="A360" s="133" t="s">
        <v>26092</v>
      </c>
      <c r="B360" s="132">
        <v>1</v>
      </c>
    </row>
    <row r="361" spans="1:2" x14ac:dyDescent="0.25">
      <c r="A361" s="133" t="s">
        <v>26093</v>
      </c>
      <c r="B361" s="132">
        <v>1</v>
      </c>
    </row>
    <row r="362" spans="1:2" x14ac:dyDescent="0.25">
      <c r="A362" s="133" t="s">
        <v>26094</v>
      </c>
      <c r="B362" s="132">
        <v>1</v>
      </c>
    </row>
    <row r="363" spans="1:2" x14ac:dyDescent="0.25">
      <c r="A363" s="133" t="s">
        <v>26095</v>
      </c>
      <c r="B363" s="132">
        <v>1</v>
      </c>
    </row>
    <row r="364" spans="1:2" x14ac:dyDescent="0.25">
      <c r="A364" s="133" t="s">
        <v>26096</v>
      </c>
      <c r="B364" s="132">
        <v>1</v>
      </c>
    </row>
    <row r="365" spans="1:2" x14ac:dyDescent="0.25">
      <c r="A365" s="133" t="s">
        <v>26097</v>
      </c>
      <c r="B365" s="132">
        <v>1</v>
      </c>
    </row>
    <row r="366" spans="1:2" x14ac:dyDescent="0.25">
      <c r="A366" s="133" t="s">
        <v>26098</v>
      </c>
      <c r="B366" s="132">
        <v>1</v>
      </c>
    </row>
    <row r="367" spans="1:2" x14ac:dyDescent="0.25">
      <c r="A367" s="133" t="s">
        <v>26099</v>
      </c>
      <c r="B367" s="132">
        <v>1</v>
      </c>
    </row>
    <row r="368" spans="1:2" x14ac:dyDescent="0.25">
      <c r="A368" s="133" t="s">
        <v>26100</v>
      </c>
      <c r="B368" s="132">
        <v>1</v>
      </c>
    </row>
    <row r="369" spans="1:2" x14ac:dyDescent="0.25">
      <c r="A369" s="133" t="s">
        <v>26101</v>
      </c>
      <c r="B369" s="132">
        <v>1</v>
      </c>
    </row>
    <row r="370" spans="1:2" x14ac:dyDescent="0.25">
      <c r="A370" s="133" t="s">
        <v>26102</v>
      </c>
      <c r="B370" s="132">
        <v>1</v>
      </c>
    </row>
    <row r="371" spans="1:2" x14ac:dyDescent="0.25">
      <c r="A371" s="133" t="s">
        <v>26103</v>
      </c>
      <c r="B371" s="132">
        <v>1</v>
      </c>
    </row>
    <row r="372" spans="1:2" x14ac:dyDescent="0.25">
      <c r="A372" s="133" t="s">
        <v>26104</v>
      </c>
      <c r="B372" s="132">
        <v>1</v>
      </c>
    </row>
    <row r="373" spans="1:2" x14ac:dyDescent="0.25">
      <c r="A373" s="133" t="s">
        <v>26105</v>
      </c>
      <c r="B373" s="132">
        <v>1</v>
      </c>
    </row>
    <row r="374" spans="1:2" x14ac:dyDescent="0.25">
      <c r="A374" s="133" t="s">
        <v>26106</v>
      </c>
      <c r="B374" s="132">
        <v>1</v>
      </c>
    </row>
    <row r="375" spans="1:2" x14ac:dyDescent="0.25">
      <c r="A375" s="133" t="s">
        <v>26107</v>
      </c>
      <c r="B375" s="132">
        <v>1</v>
      </c>
    </row>
    <row r="376" spans="1:2" x14ac:dyDescent="0.25">
      <c r="A376" s="133" t="s">
        <v>26108</v>
      </c>
      <c r="B376" s="132">
        <v>1</v>
      </c>
    </row>
    <row r="377" spans="1:2" x14ac:dyDescent="0.25">
      <c r="A377" s="133" t="s">
        <v>26109</v>
      </c>
      <c r="B377" s="132">
        <v>1</v>
      </c>
    </row>
    <row r="378" spans="1:2" x14ac:dyDescent="0.25">
      <c r="A378" s="133" t="s">
        <v>26110</v>
      </c>
      <c r="B378" s="132">
        <v>1</v>
      </c>
    </row>
    <row r="379" spans="1:2" x14ac:dyDescent="0.25">
      <c r="A379" s="133" t="s">
        <v>26111</v>
      </c>
      <c r="B379" s="132">
        <v>1</v>
      </c>
    </row>
    <row r="380" spans="1:2" x14ac:dyDescent="0.25">
      <c r="A380" s="133" t="s">
        <v>26112</v>
      </c>
      <c r="B380" s="132">
        <v>1</v>
      </c>
    </row>
    <row r="381" spans="1:2" x14ac:dyDescent="0.25">
      <c r="A381" s="133" t="s">
        <v>26113</v>
      </c>
      <c r="B381" s="132">
        <v>1</v>
      </c>
    </row>
    <row r="382" spans="1:2" x14ac:dyDescent="0.25">
      <c r="A382" s="133" t="s">
        <v>26114</v>
      </c>
      <c r="B382" s="132">
        <v>1</v>
      </c>
    </row>
    <row r="383" spans="1:2" x14ac:dyDescent="0.25">
      <c r="A383" s="133" t="s">
        <v>26115</v>
      </c>
      <c r="B383" s="132">
        <v>1</v>
      </c>
    </row>
    <row r="384" spans="1:2" x14ac:dyDescent="0.25">
      <c r="A384" s="133" t="s">
        <v>26116</v>
      </c>
      <c r="B384" s="132">
        <v>1</v>
      </c>
    </row>
    <row r="385" spans="1:2" x14ac:dyDescent="0.25">
      <c r="A385" s="133" t="s">
        <v>26117</v>
      </c>
      <c r="B385" s="132">
        <v>1</v>
      </c>
    </row>
    <row r="386" spans="1:2" x14ac:dyDescent="0.25">
      <c r="A386" s="133" t="s">
        <v>26118</v>
      </c>
      <c r="B386" s="132">
        <v>1</v>
      </c>
    </row>
    <row r="387" spans="1:2" x14ac:dyDescent="0.25">
      <c r="A387" s="133" t="s">
        <v>26119</v>
      </c>
      <c r="B387" s="132">
        <v>1</v>
      </c>
    </row>
    <row r="388" spans="1:2" x14ac:dyDescent="0.25">
      <c r="A388" s="133" t="s">
        <v>26120</v>
      </c>
      <c r="B388" s="132">
        <v>1</v>
      </c>
    </row>
    <row r="389" spans="1:2" x14ac:dyDescent="0.25">
      <c r="A389" s="133" t="s">
        <v>26121</v>
      </c>
      <c r="B389" s="132">
        <v>1</v>
      </c>
    </row>
    <row r="390" spans="1:2" x14ac:dyDescent="0.25">
      <c r="A390" s="133" t="s">
        <v>26122</v>
      </c>
      <c r="B390" s="132">
        <v>1</v>
      </c>
    </row>
    <row r="391" spans="1:2" x14ac:dyDescent="0.25">
      <c r="A391" s="133" t="s">
        <v>26123</v>
      </c>
      <c r="B391" s="132">
        <v>1</v>
      </c>
    </row>
    <row r="392" spans="1:2" x14ac:dyDescent="0.25">
      <c r="A392" s="133" t="s">
        <v>26124</v>
      </c>
      <c r="B392" s="132">
        <v>1</v>
      </c>
    </row>
    <row r="393" spans="1:2" x14ac:dyDescent="0.25">
      <c r="A393" s="133" t="s">
        <v>26125</v>
      </c>
      <c r="B393" s="132">
        <v>1</v>
      </c>
    </row>
    <row r="394" spans="1:2" x14ac:dyDescent="0.25">
      <c r="A394" s="133" t="s">
        <v>26126</v>
      </c>
      <c r="B394" s="132">
        <v>1</v>
      </c>
    </row>
    <row r="395" spans="1:2" x14ac:dyDescent="0.25">
      <c r="A395" s="133" t="s">
        <v>26127</v>
      </c>
      <c r="B395" s="132">
        <v>1</v>
      </c>
    </row>
    <row r="396" spans="1:2" x14ac:dyDescent="0.25">
      <c r="A396" s="133" t="s">
        <v>26128</v>
      </c>
      <c r="B396" s="132">
        <v>1</v>
      </c>
    </row>
    <row r="397" spans="1:2" x14ac:dyDescent="0.25">
      <c r="A397" s="133" t="s">
        <v>26129</v>
      </c>
      <c r="B397" s="132">
        <v>1</v>
      </c>
    </row>
    <row r="398" spans="1:2" x14ac:dyDescent="0.25">
      <c r="A398" s="133" t="s">
        <v>26130</v>
      </c>
      <c r="B398" s="132">
        <v>1</v>
      </c>
    </row>
    <row r="399" spans="1:2" x14ac:dyDescent="0.25">
      <c r="A399" s="133" t="s">
        <v>26131</v>
      </c>
      <c r="B399" s="132">
        <v>1</v>
      </c>
    </row>
    <row r="400" spans="1:2" x14ac:dyDescent="0.25">
      <c r="A400" s="133" t="s">
        <v>26132</v>
      </c>
      <c r="B400" s="132">
        <v>1</v>
      </c>
    </row>
    <row r="401" spans="1:2" x14ac:dyDescent="0.25">
      <c r="A401" s="133" t="s">
        <v>26133</v>
      </c>
      <c r="B401" s="132">
        <v>1</v>
      </c>
    </row>
    <row r="402" spans="1:2" x14ac:dyDescent="0.25">
      <c r="A402" s="133" t="s">
        <v>26134</v>
      </c>
      <c r="B402" s="132">
        <v>1</v>
      </c>
    </row>
    <row r="403" spans="1:2" x14ac:dyDescent="0.25">
      <c r="A403" s="133" t="s">
        <v>26135</v>
      </c>
      <c r="B403" s="132">
        <v>1</v>
      </c>
    </row>
    <row r="404" spans="1:2" x14ac:dyDescent="0.25">
      <c r="A404" s="133" t="s">
        <v>26136</v>
      </c>
      <c r="B404" s="132">
        <v>1</v>
      </c>
    </row>
    <row r="405" spans="1:2" x14ac:dyDescent="0.25">
      <c r="A405" s="133" t="s">
        <v>26137</v>
      </c>
      <c r="B405" s="132">
        <v>1</v>
      </c>
    </row>
    <row r="406" spans="1:2" x14ac:dyDescent="0.25">
      <c r="A406" s="133" t="s">
        <v>26138</v>
      </c>
      <c r="B406" s="132">
        <v>1</v>
      </c>
    </row>
    <row r="407" spans="1:2" x14ac:dyDescent="0.25">
      <c r="A407" s="133" t="s">
        <v>26139</v>
      </c>
      <c r="B407" s="132">
        <v>1</v>
      </c>
    </row>
    <row r="408" spans="1:2" x14ac:dyDescent="0.25">
      <c r="A408" s="133" t="s">
        <v>26140</v>
      </c>
      <c r="B408" s="132">
        <v>1</v>
      </c>
    </row>
    <row r="409" spans="1:2" x14ac:dyDescent="0.25">
      <c r="A409" s="133" t="s">
        <v>26141</v>
      </c>
      <c r="B409" s="132">
        <v>1</v>
      </c>
    </row>
    <row r="410" spans="1:2" x14ac:dyDescent="0.25">
      <c r="A410" s="133" t="s">
        <v>26142</v>
      </c>
      <c r="B410" s="132">
        <v>1</v>
      </c>
    </row>
    <row r="411" spans="1:2" x14ac:dyDescent="0.25">
      <c r="A411" s="133" t="s">
        <v>26143</v>
      </c>
      <c r="B411" s="132">
        <v>1</v>
      </c>
    </row>
    <row r="412" spans="1:2" x14ac:dyDescent="0.25">
      <c r="A412" s="133" t="s">
        <v>26144</v>
      </c>
      <c r="B412" s="132">
        <v>1</v>
      </c>
    </row>
    <row r="413" spans="1:2" x14ac:dyDescent="0.25">
      <c r="A413" s="133" t="s">
        <v>26145</v>
      </c>
      <c r="B413" s="132">
        <v>1</v>
      </c>
    </row>
    <row r="414" spans="1:2" x14ac:dyDescent="0.25">
      <c r="A414" s="133" t="s">
        <v>26146</v>
      </c>
      <c r="B414" s="132">
        <v>1</v>
      </c>
    </row>
    <row r="415" spans="1:2" x14ac:dyDescent="0.25">
      <c r="A415" s="133" t="s">
        <v>26147</v>
      </c>
      <c r="B415" s="132">
        <v>1</v>
      </c>
    </row>
    <row r="416" spans="1:2" x14ac:dyDescent="0.25">
      <c r="A416" s="133" t="s">
        <v>26148</v>
      </c>
      <c r="B416" s="132">
        <v>1</v>
      </c>
    </row>
    <row r="417" spans="1:2" x14ac:dyDescent="0.25">
      <c r="A417" s="133" t="s">
        <v>26149</v>
      </c>
      <c r="B417" s="132">
        <v>1</v>
      </c>
    </row>
    <row r="418" spans="1:2" x14ac:dyDescent="0.25">
      <c r="A418" s="133" t="s">
        <v>26150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26151</v>
      </c>
      <c r="B420" s="132">
        <v>1</v>
      </c>
    </row>
    <row r="421" spans="1:2" x14ac:dyDescent="0.25">
      <c r="A421" s="133" t="s">
        <v>26152</v>
      </c>
      <c r="B421" s="132">
        <v>1</v>
      </c>
    </row>
    <row r="422" spans="1:2" x14ac:dyDescent="0.25">
      <c r="A422" s="133" t="s">
        <v>26153</v>
      </c>
      <c r="B422" s="132">
        <v>1</v>
      </c>
    </row>
    <row r="423" spans="1:2" x14ac:dyDescent="0.25">
      <c r="A423" s="133" t="s">
        <v>26154</v>
      </c>
      <c r="B423" s="132">
        <v>1</v>
      </c>
    </row>
    <row r="424" spans="1:2" x14ac:dyDescent="0.25">
      <c r="A424" s="133" t="s">
        <v>26155</v>
      </c>
      <c r="B424" s="132">
        <v>1</v>
      </c>
    </row>
    <row r="425" spans="1:2" x14ac:dyDescent="0.25">
      <c r="A425" s="133" t="s">
        <v>26156</v>
      </c>
      <c r="B425" s="132">
        <v>1</v>
      </c>
    </row>
    <row r="426" spans="1:2" x14ac:dyDescent="0.25">
      <c r="A426" s="133" t="s">
        <v>26157</v>
      </c>
      <c r="B426" s="132">
        <v>1</v>
      </c>
    </row>
    <row r="427" spans="1:2" x14ac:dyDescent="0.25">
      <c r="A427" s="133" t="s">
        <v>26158</v>
      </c>
      <c r="B427" s="132">
        <v>1</v>
      </c>
    </row>
    <row r="428" spans="1:2" x14ac:dyDescent="0.25">
      <c r="A428" s="133" t="s">
        <v>26159</v>
      </c>
      <c r="B428" s="132">
        <v>1</v>
      </c>
    </row>
    <row r="429" spans="1:2" x14ac:dyDescent="0.25">
      <c r="A429" s="133" t="s">
        <v>26160</v>
      </c>
      <c r="B429" s="132">
        <v>1</v>
      </c>
    </row>
    <row r="430" spans="1:2" x14ac:dyDescent="0.25">
      <c r="A430" s="133" t="s">
        <v>26161</v>
      </c>
      <c r="B430" s="132">
        <v>1</v>
      </c>
    </row>
    <row r="431" spans="1:2" x14ac:dyDescent="0.25">
      <c r="A431" s="133" t="s">
        <v>26162</v>
      </c>
      <c r="B431" s="132">
        <v>1</v>
      </c>
    </row>
    <row r="432" spans="1:2" x14ac:dyDescent="0.25">
      <c r="A432" s="133" t="s">
        <v>26163</v>
      </c>
      <c r="B432" s="132">
        <v>1</v>
      </c>
    </row>
    <row r="433" spans="1:2" x14ac:dyDescent="0.25">
      <c r="A433" s="133" t="s">
        <v>26164</v>
      </c>
      <c r="B433" s="132">
        <v>1</v>
      </c>
    </row>
    <row r="434" spans="1:2" x14ac:dyDescent="0.25">
      <c r="A434" s="133" t="s">
        <v>26165</v>
      </c>
      <c r="B434" s="132">
        <v>1</v>
      </c>
    </row>
    <row r="435" spans="1:2" x14ac:dyDescent="0.25">
      <c r="A435" s="133" t="s">
        <v>26166</v>
      </c>
      <c r="B435" s="132">
        <v>1</v>
      </c>
    </row>
    <row r="436" spans="1:2" x14ac:dyDescent="0.25">
      <c r="A436" s="133" t="s">
        <v>26167</v>
      </c>
      <c r="B436" s="132">
        <v>1</v>
      </c>
    </row>
    <row r="437" spans="1:2" x14ac:dyDescent="0.25">
      <c r="A437" s="133" t="s">
        <v>26168</v>
      </c>
      <c r="B437" s="132">
        <v>1</v>
      </c>
    </row>
    <row r="438" spans="1:2" x14ac:dyDescent="0.25">
      <c r="A438" s="133" t="s">
        <v>26169</v>
      </c>
      <c r="B438" s="132">
        <v>1</v>
      </c>
    </row>
    <row r="439" spans="1:2" x14ac:dyDescent="0.25">
      <c r="A439" s="133" t="s">
        <v>26170</v>
      </c>
      <c r="B439" s="132">
        <v>1</v>
      </c>
    </row>
    <row r="440" spans="1:2" x14ac:dyDescent="0.25">
      <c r="A440" s="133" t="s">
        <v>26171</v>
      </c>
      <c r="B440" s="132">
        <v>1</v>
      </c>
    </row>
    <row r="441" spans="1:2" x14ac:dyDescent="0.25">
      <c r="A441" s="133" t="s">
        <v>26172</v>
      </c>
      <c r="B441" s="132">
        <v>1</v>
      </c>
    </row>
    <row r="442" spans="1:2" x14ac:dyDescent="0.25">
      <c r="A442" s="133" t="s">
        <v>26173</v>
      </c>
      <c r="B442" s="132">
        <v>1</v>
      </c>
    </row>
    <row r="443" spans="1:2" x14ac:dyDescent="0.25">
      <c r="A443" s="133" t="s">
        <v>26174</v>
      </c>
      <c r="B443" s="132">
        <v>1</v>
      </c>
    </row>
    <row r="444" spans="1:2" x14ac:dyDescent="0.25">
      <c r="A444" s="133" t="s">
        <v>26175</v>
      </c>
      <c r="B444" s="132">
        <v>1</v>
      </c>
    </row>
    <row r="445" spans="1:2" x14ac:dyDescent="0.25">
      <c r="A445" s="133" t="s">
        <v>26176</v>
      </c>
      <c r="B445" s="132">
        <v>1</v>
      </c>
    </row>
    <row r="446" spans="1:2" x14ac:dyDescent="0.25">
      <c r="A446" s="133" t="s">
        <v>26177</v>
      </c>
      <c r="B446" s="132">
        <v>1</v>
      </c>
    </row>
    <row r="447" spans="1:2" x14ac:dyDescent="0.25">
      <c r="A447" s="133" t="s">
        <v>26178</v>
      </c>
      <c r="B447" s="132">
        <v>1</v>
      </c>
    </row>
    <row r="448" spans="1:2" x14ac:dyDescent="0.25">
      <c r="A448" s="133" t="s">
        <v>26179</v>
      </c>
      <c r="B448" s="132">
        <v>1</v>
      </c>
    </row>
    <row r="449" spans="1:2" x14ac:dyDescent="0.25">
      <c r="A449" s="133" t="s">
        <v>26180</v>
      </c>
      <c r="B449" s="132">
        <v>1</v>
      </c>
    </row>
    <row r="450" spans="1:2" x14ac:dyDescent="0.25">
      <c r="A450" s="133" t="s">
        <v>26181</v>
      </c>
      <c r="B450" s="132">
        <v>1</v>
      </c>
    </row>
    <row r="451" spans="1:2" x14ac:dyDescent="0.25">
      <c r="A451" s="133" t="s">
        <v>26182</v>
      </c>
      <c r="B451" s="132">
        <v>1</v>
      </c>
    </row>
    <row r="452" spans="1:2" x14ac:dyDescent="0.25">
      <c r="A452" s="133" t="s">
        <v>26183</v>
      </c>
      <c r="B452" s="132">
        <v>1</v>
      </c>
    </row>
    <row r="453" spans="1:2" x14ac:dyDescent="0.25">
      <c r="A453" s="133" t="s">
        <v>26184</v>
      </c>
      <c r="B453" s="132">
        <v>1</v>
      </c>
    </row>
    <row r="454" spans="1:2" x14ac:dyDescent="0.25">
      <c r="A454" s="133" t="s">
        <v>26185</v>
      </c>
      <c r="B454" s="132">
        <v>1</v>
      </c>
    </row>
    <row r="455" spans="1:2" x14ac:dyDescent="0.25">
      <c r="A455" s="133" t="s">
        <v>26186</v>
      </c>
      <c r="B455" s="132">
        <v>1</v>
      </c>
    </row>
    <row r="456" spans="1:2" x14ac:dyDescent="0.25">
      <c r="A456" s="133" t="s">
        <v>26187</v>
      </c>
      <c r="B456" s="132">
        <v>1</v>
      </c>
    </row>
    <row r="457" spans="1:2" x14ac:dyDescent="0.25">
      <c r="A457" s="133" t="s">
        <v>26188</v>
      </c>
      <c r="B457" s="132">
        <v>1</v>
      </c>
    </row>
    <row r="458" spans="1:2" x14ac:dyDescent="0.25">
      <c r="A458" s="133" t="s">
        <v>26189</v>
      </c>
      <c r="B458" s="132">
        <v>1</v>
      </c>
    </row>
    <row r="459" spans="1:2" x14ac:dyDescent="0.25">
      <c r="A459" s="133" t="s">
        <v>26190</v>
      </c>
      <c r="B459" s="132">
        <v>1</v>
      </c>
    </row>
    <row r="460" spans="1:2" x14ac:dyDescent="0.25">
      <c r="A460" s="133" t="s">
        <v>26191</v>
      </c>
      <c r="B460" s="132">
        <v>1</v>
      </c>
    </row>
    <row r="461" spans="1:2" x14ac:dyDescent="0.25">
      <c r="A461" s="133" t="s">
        <v>26192</v>
      </c>
      <c r="B461" s="132">
        <v>1</v>
      </c>
    </row>
    <row r="462" spans="1:2" x14ac:dyDescent="0.25">
      <c r="A462" s="133" t="s">
        <v>26193</v>
      </c>
      <c r="B462" s="132">
        <v>1</v>
      </c>
    </row>
    <row r="463" spans="1:2" x14ac:dyDescent="0.25">
      <c r="A463" s="133" t="s">
        <v>26194</v>
      </c>
      <c r="B463" s="132">
        <v>1</v>
      </c>
    </row>
    <row r="464" spans="1:2" x14ac:dyDescent="0.25">
      <c r="A464" s="133" t="s">
        <v>26195</v>
      </c>
      <c r="B464" s="132">
        <v>1</v>
      </c>
    </row>
    <row r="465" spans="1:2" x14ac:dyDescent="0.25">
      <c r="A465" s="133" t="s">
        <v>26196</v>
      </c>
      <c r="B465" s="132">
        <v>1</v>
      </c>
    </row>
    <row r="466" spans="1:2" x14ac:dyDescent="0.25">
      <c r="A466" s="133" t="s">
        <v>26197</v>
      </c>
      <c r="B466" s="132">
        <v>1</v>
      </c>
    </row>
    <row r="467" spans="1:2" x14ac:dyDescent="0.25">
      <c r="A467" s="133" t="s">
        <v>26198</v>
      </c>
      <c r="B467" s="132">
        <v>1</v>
      </c>
    </row>
    <row r="468" spans="1:2" x14ac:dyDescent="0.25">
      <c r="A468" s="133" t="s">
        <v>26199</v>
      </c>
      <c r="B468" s="132">
        <v>1</v>
      </c>
    </row>
    <row r="469" spans="1:2" x14ac:dyDescent="0.25">
      <c r="A469" s="133" t="s">
        <v>26200</v>
      </c>
      <c r="B469" s="132">
        <v>1</v>
      </c>
    </row>
    <row r="470" spans="1:2" x14ac:dyDescent="0.25">
      <c r="A470" s="133" t="s">
        <v>26201</v>
      </c>
      <c r="B470" s="132">
        <v>1</v>
      </c>
    </row>
    <row r="471" spans="1:2" x14ac:dyDescent="0.25">
      <c r="A471" s="133" t="s">
        <v>26202</v>
      </c>
      <c r="B471" s="132">
        <v>1</v>
      </c>
    </row>
    <row r="472" spans="1:2" x14ac:dyDescent="0.25">
      <c r="A472" s="133" t="s">
        <v>26203</v>
      </c>
      <c r="B472" s="132">
        <v>1</v>
      </c>
    </row>
    <row r="473" spans="1:2" x14ac:dyDescent="0.25">
      <c r="A473" s="133" t="s">
        <v>26204</v>
      </c>
      <c r="B473" s="132">
        <v>1</v>
      </c>
    </row>
    <row r="474" spans="1:2" x14ac:dyDescent="0.25">
      <c r="A474" s="133" t="s">
        <v>26205</v>
      </c>
      <c r="B474" s="132">
        <v>1</v>
      </c>
    </row>
    <row r="475" spans="1:2" x14ac:dyDescent="0.25">
      <c r="A475" s="133" t="s">
        <v>26206</v>
      </c>
      <c r="B475" s="132">
        <v>1</v>
      </c>
    </row>
    <row r="476" spans="1:2" x14ac:dyDescent="0.25">
      <c r="A476" s="133" t="s">
        <v>26207</v>
      </c>
      <c r="B476" s="132">
        <v>1</v>
      </c>
    </row>
    <row r="477" spans="1:2" x14ac:dyDescent="0.25">
      <c r="A477" s="133" t="s">
        <v>26208</v>
      </c>
      <c r="B477" s="132">
        <v>1</v>
      </c>
    </row>
    <row r="478" spans="1:2" x14ac:dyDescent="0.25">
      <c r="A478" s="133" t="s">
        <v>26209</v>
      </c>
      <c r="B478" s="132">
        <v>1</v>
      </c>
    </row>
    <row r="479" spans="1:2" x14ac:dyDescent="0.25">
      <c r="A479" s="133" t="s">
        <v>26210</v>
      </c>
      <c r="B479" s="132">
        <v>1</v>
      </c>
    </row>
    <row r="480" spans="1:2" x14ac:dyDescent="0.25">
      <c r="A480" s="133" t="s">
        <v>26211</v>
      </c>
      <c r="B480" s="132">
        <v>1</v>
      </c>
    </row>
    <row r="481" spans="1:2" x14ac:dyDescent="0.25">
      <c r="A481" s="133" t="s">
        <v>26212</v>
      </c>
      <c r="B481" s="132">
        <v>1</v>
      </c>
    </row>
    <row r="482" spans="1:2" x14ac:dyDescent="0.25">
      <c r="A482" s="133" t="s">
        <v>26213</v>
      </c>
      <c r="B482" s="132">
        <v>1</v>
      </c>
    </row>
    <row r="483" spans="1:2" x14ac:dyDescent="0.25">
      <c r="A483" s="133" t="s">
        <v>26214</v>
      </c>
      <c r="B483" s="132">
        <v>1</v>
      </c>
    </row>
    <row r="484" spans="1:2" x14ac:dyDescent="0.25">
      <c r="A484" s="133" t="s">
        <v>26215</v>
      </c>
      <c r="B484" s="132">
        <v>1</v>
      </c>
    </row>
    <row r="485" spans="1:2" x14ac:dyDescent="0.25">
      <c r="A485" s="133" t="s">
        <v>26216</v>
      </c>
      <c r="B485" s="132">
        <v>1</v>
      </c>
    </row>
    <row r="486" spans="1:2" x14ac:dyDescent="0.25">
      <c r="A486" s="133" t="s">
        <v>26217</v>
      </c>
      <c r="B486" s="132">
        <v>1</v>
      </c>
    </row>
    <row r="487" spans="1:2" x14ac:dyDescent="0.25">
      <c r="A487" s="133" t="s">
        <v>26218</v>
      </c>
      <c r="B487" s="132">
        <v>1</v>
      </c>
    </row>
    <row r="488" spans="1:2" x14ac:dyDescent="0.25">
      <c r="A488" s="133" t="s">
        <v>26219</v>
      </c>
      <c r="B488" s="132">
        <v>1</v>
      </c>
    </row>
    <row r="489" spans="1:2" x14ac:dyDescent="0.25">
      <c r="A489" s="133" t="s">
        <v>26220</v>
      </c>
      <c r="B489" s="132">
        <v>1</v>
      </c>
    </row>
    <row r="490" spans="1:2" x14ac:dyDescent="0.25">
      <c r="A490" s="133" t="s">
        <v>26221</v>
      </c>
      <c r="B490" s="132">
        <v>1</v>
      </c>
    </row>
    <row r="491" spans="1:2" x14ac:dyDescent="0.25">
      <c r="A491" s="133" t="s">
        <v>26222</v>
      </c>
      <c r="B491" s="132">
        <v>1</v>
      </c>
    </row>
    <row r="492" spans="1:2" x14ac:dyDescent="0.25">
      <c r="A492" s="133" t="s">
        <v>26223</v>
      </c>
      <c r="B492" s="132">
        <v>1</v>
      </c>
    </row>
    <row r="493" spans="1:2" x14ac:dyDescent="0.25">
      <c r="A493" s="133" t="s">
        <v>26224</v>
      </c>
      <c r="B493" s="132">
        <v>1</v>
      </c>
    </row>
    <row r="494" spans="1:2" x14ac:dyDescent="0.25">
      <c r="A494" s="133" t="s">
        <v>26225</v>
      </c>
      <c r="B494" s="132">
        <v>1</v>
      </c>
    </row>
    <row r="495" spans="1:2" x14ac:dyDescent="0.25">
      <c r="A495" s="133" t="s">
        <v>26226</v>
      </c>
      <c r="B495" s="132">
        <v>1</v>
      </c>
    </row>
    <row r="496" spans="1:2" x14ac:dyDescent="0.25">
      <c r="A496" s="133" t="s">
        <v>26227</v>
      </c>
      <c r="B496" s="132">
        <v>1</v>
      </c>
    </row>
    <row r="497" spans="1:2" x14ac:dyDescent="0.25">
      <c r="A497" s="133" t="s">
        <v>26228</v>
      </c>
      <c r="B497" s="132">
        <v>1</v>
      </c>
    </row>
    <row r="498" spans="1:2" x14ac:dyDescent="0.25">
      <c r="A498" s="133" t="s">
        <v>26229</v>
      </c>
      <c r="B498" s="132">
        <v>1</v>
      </c>
    </row>
    <row r="499" spans="1:2" x14ac:dyDescent="0.25">
      <c r="A499" s="133" t="s">
        <v>26230</v>
      </c>
      <c r="B499" s="132">
        <v>1</v>
      </c>
    </row>
    <row r="500" spans="1:2" x14ac:dyDescent="0.25">
      <c r="A500" s="133" t="s">
        <v>26231</v>
      </c>
      <c r="B500" s="132">
        <v>1</v>
      </c>
    </row>
    <row r="501" spans="1:2" x14ac:dyDescent="0.25">
      <c r="A501" s="133" t="s">
        <v>26232</v>
      </c>
      <c r="B501" s="132">
        <v>1</v>
      </c>
    </row>
    <row r="502" spans="1:2" x14ac:dyDescent="0.25">
      <c r="A502" s="133" t="s">
        <v>26233</v>
      </c>
      <c r="B502" s="132">
        <v>1</v>
      </c>
    </row>
    <row r="503" spans="1:2" x14ac:dyDescent="0.25">
      <c r="A503" s="133" t="s">
        <v>26234</v>
      </c>
      <c r="B503" s="132">
        <v>1</v>
      </c>
    </row>
    <row r="504" spans="1:2" x14ac:dyDescent="0.25">
      <c r="A504" s="133" t="s">
        <v>26235</v>
      </c>
      <c r="B504" s="132">
        <v>1</v>
      </c>
    </row>
    <row r="505" spans="1:2" x14ac:dyDescent="0.25">
      <c r="A505" s="133" t="s">
        <v>26236</v>
      </c>
      <c r="B505" s="132">
        <v>1</v>
      </c>
    </row>
    <row r="506" spans="1:2" x14ac:dyDescent="0.25">
      <c r="A506" s="133" t="s">
        <v>26237</v>
      </c>
      <c r="B506" s="132">
        <v>1</v>
      </c>
    </row>
    <row r="507" spans="1:2" x14ac:dyDescent="0.25">
      <c r="A507" s="133" t="s">
        <v>26238</v>
      </c>
      <c r="B507" s="132">
        <v>1</v>
      </c>
    </row>
    <row r="508" spans="1:2" x14ac:dyDescent="0.25">
      <c r="A508" s="133" t="s">
        <v>26239</v>
      </c>
      <c r="B508" s="132">
        <v>1</v>
      </c>
    </row>
    <row r="509" spans="1:2" x14ac:dyDescent="0.25">
      <c r="A509" s="133" t="s">
        <v>26240</v>
      </c>
      <c r="B509" s="132">
        <v>1</v>
      </c>
    </row>
    <row r="510" spans="1:2" x14ac:dyDescent="0.25">
      <c r="A510" s="133" t="s">
        <v>26241</v>
      </c>
      <c r="B510" s="132">
        <v>1</v>
      </c>
    </row>
    <row r="511" spans="1:2" x14ac:dyDescent="0.25">
      <c r="A511" s="133" t="s">
        <v>26242</v>
      </c>
      <c r="B511" s="132">
        <v>1</v>
      </c>
    </row>
    <row r="512" spans="1:2" x14ac:dyDescent="0.25">
      <c r="A512" s="133" t="s">
        <v>26243</v>
      </c>
      <c r="B512" s="132">
        <v>1</v>
      </c>
    </row>
    <row r="513" spans="1:2" x14ac:dyDescent="0.25">
      <c r="A513" s="133" t="s">
        <v>26244</v>
      </c>
      <c r="B513" s="132">
        <v>1</v>
      </c>
    </row>
    <row r="514" spans="1:2" x14ac:dyDescent="0.25">
      <c r="A514" s="133" t="s">
        <v>26245</v>
      </c>
      <c r="B514" s="132">
        <v>1</v>
      </c>
    </row>
    <row r="515" spans="1:2" x14ac:dyDescent="0.25">
      <c r="A515" s="133" t="s">
        <v>26246</v>
      </c>
      <c r="B515" s="132">
        <v>1</v>
      </c>
    </row>
    <row r="516" spans="1:2" x14ac:dyDescent="0.25">
      <c r="A516" s="133" t="s">
        <v>26247</v>
      </c>
      <c r="B516" s="132">
        <v>1</v>
      </c>
    </row>
    <row r="517" spans="1:2" x14ac:dyDescent="0.25">
      <c r="A517" s="133" t="s">
        <v>26248</v>
      </c>
      <c r="B517" s="132">
        <v>1</v>
      </c>
    </row>
    <row r="518" spans="1:2" x14ac:dyDescent="0.25">
      <c r="A518" s="133" t="s">
        <v>26249</v>
      </c>
      <c r="B518" s="132">
        <v>1</v>
      </c>
    </row>
    <row r="519" spans="1:2" x14ac:dyDescent="0.25">
      <c r="A519" s="133" t="s">
        <v>26250</v>
      </c>
      <c r="B519" s="132">
        <v>1</v>
      </c>
    </row>
    <row r="520" spans="1:2" x14ac:dyDescent="0.25">
      <c r="A520" s="133" t="s">
        <v>26251</v>
      </c>
      <c r="B520" s="132">
        <v>1</v>
      </c>
    </row>
    <row r="521" spans="1:2" x14ac:dyDescent="0.25">
      <c r="A521" s="133" t="s">
        <v>26252</v>
      </c>
      <c r="B521" s="132">
        <v>1</v>
      </c>
    </row>
    <row r="522" spans="1:2" x14ac:dyDescent="0.25">
      <c r="A522" s="133" t="s">
        <v>26253</v>
      </c>
      <c r="B522" s="132">
        <v>1</v>
      </c>
    </row>
    <row r="523" spans="1:2" x14ac:dyDescent="0.25">
      <c r="A523" s="133" t="s">
        <v>26254</v>
      </c>
      <c r="B523" s="132">
        <v>1</v>
      </c>
    </row>
    <row r="524" spans="1:2" x14ac:dyDescent="0.25">
      <c r="A524" s="133" t="s">
        <v>26255</v>
      </c>
      <c r="B524" s="132">
        <v>1</v>
      </c>
    </row>
    <row r="525" spans="1:2" x14ac:dyDescent="0.25">
      <c r="A525" s="133" t="s">
        <v>26256</v>
      </c>
      <c r="B525" s="132">
        <v>1</v>
      </c>
    </row>
    <row r="526" spans="1:2" x14ac:dyDescent="0.25">
      <c r="A526" s="133" t="s">
        <v>26257</v>
      </c>
      <c r="B526" s="132">
        <v>1</v>
      </c>
    </row>
    <row r="527" spans="1:2" x14ac:dyDescent="0.25">
      <c r="A527" s="133" t="s">
        <v>26258</v>
      </c>
      <c r="B527" s="132">
        <v>1</v>
      </c>
    </row>
    <row r="528" spans="1:2" x14ac:dyDescent="0.25">
      <c r="A528" s="133" t="s">
        <v>26259</v>
      </c>
      <c r="B528" s="132">
        <v>1</v>
      </c>
    </row>
    <row r="529" spans="1:2" x14ac:dyDescent="0.25">
      <c r="A529" s="133" t="s">
        <v>26260</v>
      </c>
      <c r="B529" s="132">
        <v>1</v>
      </c>
    </row>
    <row r="530" spans="1:2" x14ac:dyDescent="0.25">
      <c r="A530" s="133" t="s">
        <v>26261</v>
      </c>
      <c r="B530" s="132">
        <v>1</v>
      </c>
    </row>
    <row r="531" spans="1:2" x14ac:dyDescent="0.25">
      <c r="A531" s="133" t="s">
        <v>26262</v>
      </c>
      <c r="B531" s="132">
        <v>1</v>
      </c>
    </row>
    <row r="532" spans="1:2" x14ac:dyDescent="0.25">
      <c r="A532" s="133" t="s">
        <v>26263</v>
      </c>
      <c r="B532" s="132">
        <v>1</v>
      </c>
    </row>
    <row r="533" spans="1:2" x14ac:dyDescent="0.25">
      <c r="A533" s="133" t="s">
        <v>26264</v>
      </c>
      <c r="B533" s="132">
        <v>1</v>
      </c>
    </row>
    <row r="534" spans="1:2" x14ac:dyDescent="0.25">
      <c r="A534" s="133" t="s">
        <v>26265</v>
      </c>
      <c r="B534" s="132">
        <v>1</v>
      </c>
    </row>
    <row r="535" spans="1:2" x14ac:dyDescent="0.25">
      <c r="A535" s="133" t="s">
        <v>26266</v>
      </c>
      <c r="B535" s="132">
        <v>1</v>
      </c>
    </row>
    <row r="536" spans="1:2" x14ac:dyDescent="0.25">
      <c r="A536" s="133" t="s">
        <v>26267</v>
      </c>
      <c r="B536" s="132">
        <v>1</v>
      </c>
    </row>
    <row r="537" spans="1:2" x14ac:dyDescent="0.25">
      <c r="A537" s="133" t="s">
        <v>26268</v>
      </c>
      <c r="B537" s="132">
        <v>1</v>
      </c>
    </row>
    <row r="538" spans="1:2" x14ac:dyDescent="0.25">
      <c r="A538" s="133" t="s">
        <v>26269</v>
      </c>
      <c r="B538" s="132">
        <v>1</v>
      </c>
    </row>
    <row r="539" spans="1:2" x14ac:dyDescent="0.25">
      <c r="A539" s="133" t="s">
        <v>26270</v>
      </c>
      <c r="B539" s="132">
        <v>1</v>
      </c>
    </row>
    <row r="540" spans="1:2" x14ac:dyDescent="0.25">
      <c r="A540" s="133" t="s">
        <v>26271</v>
      </c>
      <c r="B540" s="132">
        <v>1</v>
      </c>
    </row>
    <row r="541" spans="1:2" x14ac:dyDescent="0.25">
      <c r="A541" s="133" t="s">
        <v>26272</v>
      </c>
      <c r="B541" s="132">
        <v>1</v>
      </c>
    </row>
    <row r="542" spans="1:2" x14ac:dyDescent="0.25">
      <c r="A542" s="133" t="s">
        <v>26273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26274</v>
      </c>
      <c r="B544" s="132">
        <v>1</v>
      </c>
    </row>
    <row r="545" spans="1:2" x14ac:dyDescent="0.25">
      <c r="A545" s="133" t="s">
        <v>26275</v>
      </c>
      <c r="B545" s="132">
        <v>1</v>
      </c>
    </row>
    <row r="546" spans="1:2" x14ac:dyDescent="0.25">
      <c r="A546" s="133" t="s">
        <v>26276</v>
      </c>
      <c r="B546" s="132">
        <v>1</v>
      </c>
    </row>
    <row r="547" spans="1:2" x14ac:dyDescent="0.25">
      <c r="A547" s="133" t="s">
        <v>26277</v>
      </c>
      <c r="B547" s="132">
        <v>1</v>
      </c>
    </row>
    <row r="548" spans="1:2" x14ac:dyDescent="0.25">
      <c r="A548" s="133" t="s">
        <v>26278</v>
      </c>
      <c r="B548" s="132">
        <v>1</v>
      </c>
    </row>
    <row r="549" spans="1:2" x14ac:dyDescent="0.25">
      <c r="A549" s="133" t="s">
        <v>26279</v>
      </c>
      <c r="B549" s="132">
        <v>1</v>
      </c>
    </row>
    <row r="550" spans="1:2" x14ac:dyDescent="0.25">
      <c r="A550" s="133" t="s">
        <v>26280</v>
      </c>
      <c r="B550" s="132">
        <v>1</v>
      </c>
    </row>
    <row r="551" spans="1:2" x14ac:dyDescent="0.25">
      <c r="A551" s="133" t="s">
        <v>26281</v>
      </c>
      <c r="B551" s="132">
        <v>1</v>
      </c>
    </row>
    <row r="552" spans="1:2" x14ac:dyDescent="0.25">
      <c r="A552" s="133" t="s">
        <v>26282</v>
      </c>
      <c r="B552" s="132">
        <v>1</v>
      </c>
    </row>
    <row r="553" spans="1:2" x14ac:dyDescent="0.25">
      <c r="A553" s="133" t="s">
        <v>26283</v>
      </c>
      <c r="B553" s="132">
        <v>1</v>
      </c>
    </row>
    <row r="554" spans="1:2" x14ac:dyDescent="0.25">
      <c r="A554" s="133" t="s">
        <v>26284</v>
      </c>
      <c r="B554" s="132">
        <v>1</v>
      </c>
    </row>
    <row r="555" spans="1:2" x14ac:dyDescent="0.25">
      <c r="A555" s="133" t="s">
        <v>26285</v>
      </c>
      <c r="B555" s="132">
        <v>1</v>
      </c>
    </row>
    <row r="556" spans="1:2" x14ac:dyDescent="0.25">
      <c r="A556" s="133" t="s">
        <v>26286</v>
      </c>
      <c r="B556" s="132">
        <v>1</v>
      </c>
    </row>
    <row r="557" spans="1:2" x14ac:dyDescent="0.25">
      <c r="A557" s="133" t="s">
        <v>26287</v>
      </c>
      <c r="B557" s="132">
        <v>1</v>
      </c>
    </row>
    <row r="558" spans="1:2" x14ac:dyDescent="0.25">
      <c r="A558" s="133" t="s">
        <v>26288</v>
      </c>
      <c r="B558" s="132">
        <v>1</v>
      </c>
    </row>
    <row r="559" spans="1:2" x14ac:dyDescent="0.25">
      <c r="A559" s="133" t="s">
        <v>26289</v>
      </c>
      <c r="B559" s="132">
        <v>1</v>
      </c>
    </row>
    <row r="560" spans="1:2" x14ac:dyDescent="0.25">
      <c r="A560" s="133" t="s">
        <v>26290</v>
      </c>
      <c r="B560" s="132">
        <v>1</v>
      </c>
    </row>
    <row r="561" spans="1:2" x14ac:dyDescent="0.25">
      <c r="A561" s="133" t="s">
        <v>26291</v>
      </c>
      <c r="B561" s="132">
        <v>1</v>
      </c>
    </row>
    <row r="562" spans="1:2" x14ac:dyDescent="0.25">
      <c r="A562" s="133" t="s">
        <v>26292</v>
      </c>
      <c r="B562" s="132">
        <v>1</v>
      </c>
    </row>
    <row r="563" spans="1:2" x14ac:dyDescent="0.25">
      <c r="A563" s="133" t="s">
        <v>26293</v>
      </c>
      <c r="B563" s="132">
        <v>1</v>
      </c>
    </row>
    <row r="564" spans="1:2" x14ac:dyDescent="0.25">
      <c r="A564" s="133" t="s">
        <v>26294</v>
      </c>
      <c r="B564" s="132">
        <v>1</v>
      </c>
    </row>
    <row r="565" spans="1:2" x14ac:dyDescent="0.25">
      <c r="A565" s="133" t="s">
        <v>26295</v>
      </c>
      <c r="B565" s="132">
        <v>1</v>
      </c>
    </row>
    <row r="566" spans="1:2" x14ac:dyDescent="0.25">
      <c r="A566" s="133" t="s">
        <v>26296</v>
      </c>
      <c r="B566" s="132">
        <v>1</v>
      </c>
    </row>
    <row r="567" spans="1:2" x14ac:dyDescent="0.25">
      <c r="A567" s="133" t="s">
        <v>26297</v>
      </c>
      <c r="B567" s="132">
        <v>1</v>
      </c>
    </row>
    <row r="568" spans="1:2" x14ac:dyDescent="0.25">
      <c r="A568" s="133" t="s">
        <v>26298</v>
      </c>
      <c r="B568" s="132">
        <v>1</v>
      </c>
    </row>
    <row r="569" spans="1:2" x14ac:dyDescent="0.25">
      <c r="A569" s="133" t="s">
        <v>26299</v>
      </c>
      <c r="B569" s="132">
        <v>1</v>
      </c>
    </row>
    <row r="570" spans="1:2" x14ac:dyDescent="0.25">
      <c r="A570" s="133" t="s">
        <v>26300</v>
      </c>
      <c r="B570" s="132">
        <v>1</v>
      </c>
    </row>
    <row r="571" spans="1:2" x14ac:dyDescent="0.25">
      <c r="A571" s="133" t="s">
        <v>26301</v>
      </c>
      <c r="B571" s="132">
        <v>1</v>
      </c>
    </row>
    <row r="572" spans="1:2" x14ac:dyDescent="0.25">
      <c r="A572" s="133" t="s">
        <v>26302</v>
      </c>
      <c r="B572" s="132">
        <v>1</v>
      </c>
    </row>
    <row r="573" spans="1:2" x14ac:dyDescent="0.25">
      <c r="A573" s="133" t="s">
        <v>26303</v>
      </c>
      <c r="B573" s="132">
        <v>1</v>
      </c>
    </row>
    <row r="574" spans="1:2" x14ac:dyDescent="0.25">
      <c r="A574" s="133" t="s">
        <v>26304</v>
      </c>
      <c r="B574" s="132">
        <v>1</v>
      </c>
    </row>
    <row r="575" spans="1:2" x14ac:dyDescent="0.25">
      <c r="A575" s="133" t="s">
        <v>26305</v>
      </c>
      <c r="B575" s="132">
        <v>1</v>
      </c>
    </row>
    <row r="576" spans="1:2" x14ac:dyDescent="0.25">
      <c r="A576" s="133" t="s">
        <v>26306</v>
      </c>
      <c r="B576" s="132">
        <v>1</v>
      </c>
    </row>
    <row r="577" spans="1:2" x14ac:dyDescent="0.25">
      <c r="A577" s="133" t="s">
        <v>26307</v>
      </c>
      <c r="B577" s="132">
        <v>1</v>
      </c>
    </row>
    <row r="578" spans="1:2" x14ac:dyDescent="0.25">
      <c r="A578" s="133" t="s">
        <v>26308</v>
      </c>
      <c r="B578" s="132">
        <v>1</v>
      </c>
    </row>
    <row r="579" spans="1:2" x14ac:dyDescent="0.25">
      <c r="A579" s="133" t="s">
        <v>26309</v>
      </c>
      <c r="B579" s="132">
        <v>1</v>
      </c>
    </row>
    <row r="580" spans="1:2" x14ac:dyDescent="0.25">
      <c r="A580" s="133" t="s">
        <v>26310</v>
      </c>
      <c r="B580" s="132">
        <v>1</v>
      </c>
    </row>
    <row r="581" spans="1:2" x14ac:dyDescent="0.25">
      <c r="A581" s="133" t="s">
        <v>26311</v>
      </c>
      <c r="B581" s="132">
        <v>1</v>
      </c>
    </row>
    <row r="582" spans="1:2" x14ac:dyDescent="0.25">
      <c r="A582" s="133" t="s">
        <v>26312</v>
      </c>
      <c r="B582" s="132">
        <v>1</v>
      </c>
    </row>
    <row r="583" spans="1:2" x14ac:dyDescent="0.25">
      <c r="A583" s="133" t="s">
        <v>26313</v>
      </c>
      <c r="B583" s="132">
        <v>1</v>
      </c>
    </row>
    <row r="584" spans="1:2" x14ac:dyDescent="0.25">
      <c r="A584" s="133" t="s">
        <v>26314</v>
      </c>
      <c r="B584" s="132">
        <v>1</v>
      </c>
    </row>
    <row r="585" spans="1:2" x14ac:dyDescent="0.25">
      <c r="A585" s="133" t="s">
        <v>26315</v>
      </c>
      <c r="B585" s="132">
        <v>1</v>
      </c>
    </row>
    <row r="586" spans="1:2" x14ac:dyDescent="0.25">
      <c r="A586" s="133" t="s">
        <v>26316</v>
      </c>
      <c r="B586" s="132">
        <v>1</v>
      </c>
    </row>
    <row r="587" spans="1:2" x14ac:dyDescent="0.25">
      <c r="A587" s="133" t="s">
        <v>26317</v>
      </c>
      <c r="B587" s="132">
        <v>1</v>
      </c>
    </row>
    <row r="588" spans="1:2" x14ac:dyDescent="0.25">
      <c r="A588" s="133" t="s">
        <v>26318</v>
      </c>
      <c r="B588" s="132">
        <v>1</v>
      </c>
    </row>
    <row r="589" spans="1:2" x14ac:dyDescent="0.25">
      <c r="A589" s="133" t="s">
        <v>26319</v>
      </c>
      <c r="B589" s="132">
        <v>1</v>
      </c>
    </row>
    <row r="590" spans="1:2" x14ac:dyDescent="0.25">
      <c r="A590" s="133" t="s">
        <v>26320</v>
      </c>
      <c r="B590" s="132">
        <v>1</v>
      </c>
    </row>
    <row r="591" spans="1:2" x14ac:dyDescent="0.25">
      <c r="A591" s="133" t="s">
        <v>26321</v>
      </c>
      <c r="B591" s="132">
        <v>1</v>
      </c>
    </row>
    <row r="592" spans="1:2" x14ac:dyDescent="0.25">
      <c r="A592" s="133" t="s">
        <v>26322</v>
      </c>
      <c r="B592" s="132">
        <v>1</v>
      </c>
    </row>
    <row r="593" spans="1:2" x14ac:dyDescent="0.25">
      <c r="A593" s="133" t="s">
        <v>26323</v>
      </c>
      <c r="B593" s="132">
        <v>1</v>
      </c>
    </row>
    <row r="594" spans="1:2" x14ac:dyDescent="0.25">
      <c r="A594" s="133" t="s">
        <v>26324</v>
      </c>
      <c r="B594" s="132">
        <v>1</v>
      </c>
    </row>
    <row r="595" spans="1:2" x14ac:dyDescent="0.25">
      <c r="A595" s="133" t="s">
        <v>26325</v>
      </c>
      <c r="B595" s="132">
        <v>1</v>
      </c>
    </row>
    <row r="596" spans="1:2" x14ac:dyDescent="0.25">
      <c r="A596" s="133" t="s">
        <v>26326</v>
      </c>
      <c r="B596" s="132">
        <v>1</v>
      </c>
    </row>
    <row r="597" spans="1:2" x14ac:dyDescent="0.25">
      <c r="A597" s="133" t="s">
        <v>26327</v>
      </c>
      <c r="B597" s="132">
        <v>1</v>
      </c>
    </row>
    <row r="598" spans="1:2" x14ac:dyDescent="0.25">
      <c r="A598" s="133" t="s">
        <v>26328</v>
      </c>
      <c r="B598" s="132">
        <v>1</v>
      </c>
    </row>
    <row r="599" spans="1:2" x14ac:dyDescent="0.25">
      <c r="A599" s="133" t="s">
        <v>26329</v>
      </c>
      <c r="B599" s="132">
        <v>1</v>
      </c>
    </row>
    <row r="600" spans="1:2" x14ac:dyDescent="0.25">
      <c r="A600" s="133" t="s">
        <v>26330</v>
      </c>
      <c r="B600" s="132">
        <v>1</v>
      </c>
    </row>
    <row r="601" spans="1:2" x14ac:dyDescent="0.25">
      <c r="A601" s="133" t="s">
        <v>26331</v>
      </c>
      <c r="B601" s="132">
        <v>1</v>
      </c>
    </row>
    <row r="602" spans="1:2" x14ac:dyDescent="0.25">
      <c r="A602" s="133" t="s">
        <v>26332</v>
      </c>
      <c r="B602" s="132">
        <v>1</v>
      </c>
    </row>
    <row r="603" spans="1:2" x14ac:dyDescent="0.25">
      <c r="A603" s="133" t="s">
        <v>26333</v>
      </c>
      <c r="B603" s="132">
        <v>1</v>
      </c>
    </row>
    <row r="604" spans="1:2" x14ac:dyDescent="0.25">
      <c r="A604" s="133" t="s">
        <v>26334</v>
      </c>
      <c r="B604" s="132">
        <v>1</v>
      </c>
    </row>
    <row r="605" spans="1:2" x14ac:dyDescent="0.25">
      <c r="A605" s="133" t="s">
        <v>26335</v>
      </c>
      <c r="B605" s="132">
        <v>1</v>
      </c>
    </row>
    <row r="606" spans="1:2" x14ac:dyDescent="0.25">
      <c r="A606" s="133" t="s">
        <v>26336</v>
      </c>
      <c r="B606" s="132">
        <v>1</v>
      </c>
    </row>
    <row r="607" spans="1:2" x14ac:dyDescent="0.25">
      <c r="A607" s="133" t="s">
        <v>26337</v>
      </c>
      <c r="B607" s="132">
        <v>1</v>
      </c>
    </row>
    <row r="608" spans="1:2" x14ac:dyDescent="0.25">
      <c r="A608" s="133" t="s">
        <v>26338</v>
      </c>
      <c r="B608" s="132">
        <v>1</v>
      </c>
    </row>
    <row r="609" spans="1:2" x14ac:dyDescent="0.25">
      <c r="A609" s="133" t="s">
        <v>26339</v>
      </c>
      <c r="B609" s="132">
        <v>1</v>
      </c>
    </row>
    <row r="610" spans="1:2" x14ac:dyDescent="0.25">
      <c r="A610" s="133" t="s">
        <v>26340</v>
      </c>
      <c r="B610" s="132">
        <v>1</v>
      </c>
    </row>
    <row r="611" spans="1:2" x14ac:dyDescent="0.25">
      <c r="A611" s="133" t="s">
        <v>26341</v>
      </c>
      <c r="B611" s="132">
        <v>1</v>
      </c>
    </row>
    <row r="612" spans="1:2" x14ac:dyDescent="0.25">
      <c r="A612" s="133" t="s">
        <v>26342</v>
      </c>
      <c r="B612" s="132">
        <v>1</v>
      </c>
    </row>
    <row r="613" spans="1:2" x14ac:dyDescent="0.25">
      <c r="A613" s="133" t="s">
        <v>26343</v>
      </c>
      <c r="B613" s="132">
        <v>1</v>
      </c>
    </row>
    <row r="614" spans="1:2" x14ac:dyDescent="0.25">
      <c r="A614" s="133" t="s">
        <v>26344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26345</v>
      </c>
      <c r="B616" s="132">
        <v>1</v>
      </c>
    </row>
    <row r="617" spans="1:2" x14ac:dyDescent="0.25">
      <c r="A617" s="133" t="s">
        <v>26346</v>
      </c>
      <c r="B617" s="132">
        <v>1</v>
      </c>
    </row>
    <row r="618" spans="1:2" x14ac:dyDescent="0.25">
      <c r="A618" s="133" t="s">
        <v>26347</v>
      </c>
      <c r="B618" s="132">
        <v>1</v>
      </c>
    </row>
    <row r="619" spans="1:2" x14ac:dyDescent="0.25">
      <c r="A619" s="133" t="s">
        <v>26348</v>
      </c>
      <c r="B619" s="132">
        <v>1</v>
      </c>
    </row>
    <row r="620" spans="1:2" x14ac:dyDescent="0.25">
      <c r="A620" s="133" t="s">
        <v>26349</v>
      </c>
      <c r="B620" s="132">
        <v>1</v>
      </c>
    </row>
    <row r="621" spans="1:2" x14ac:dyDescent="0.25">
      <c r="A621" s="133" t="s">
        <v>26350</v>
      </c>
      <c r="B621" s="132">
        <v>1</v>
      </c>
    </row>
    <row r="622" spans="1:2" x14ac:dyDescent="0.25">
      <c r="A622" s="133" t="s">
        <v>26351</v>
      </c>
      <c r="B622" s="132">
        <v>1</v>
      </c>
    </row>
    <row r="623" spans="1:2" x14ac:dyDescent="0.25">
      <c r="A623" s="133" t="s">
        <v>26352</v>
      </c>
      <c r="B623" s="132">
        <v>1</v>
      </c>
    </row>
    <row r="624" spans="1:2" x14ac:dyDescent="0.25">
      <c r="A624" s="133" t="s">
        <v>26353</v>
      </c>
      <c r="B624" s="132">
        <v>1</v>
      </c>
    </row>
    <row r="625" spans="1:2" x14ac:dyDescent="0.25">
      <c r="A625" s="133" t="s">
        <v>26354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26355</v>
      </c>
      <c r="B627" s="132">
        <v>1</v>
      </c>
    </row>
    <row r="628" spans="1:2" x14ac:dyDescent="0.25">
      <c r="A628" s="133" t="s">
        <v>26356</v>
      </c>
      <c r="B628" s="132">
        <v>1</v>
      </c>
    </row>
    <row r="629" spans="1:2" x14ac:dyDescent="0.25">
      <c r="A629" s="133" t="s">
        <v>26357</v>
      </c>
      <c r="B629" s="132">
        <v>1</v>
      </c>
    </row>
    <row r="630" spans="1:2" x14ac:dyDescent="0.25">
      <c r="A630" s="133" t="s">
        <v>26358</v>
      </c>
      <c r="B630" s="132">
        <v>1</v>
      </c>
    </row>
    <row r="631" spans="1:2" x14ac:dyDescent="0.25">
      <c r="A631" s="133" t="s">
        <v>26359</v>
      </c>
      <c r="B631" s="132">
        <v>1</v>
      </c>
    </row>
    <row r="632" spans="1:2" x14ac:dyDescent="0.25">
      <c r="A632" s="133" t="s">
        <v>26360</v>
      </c>
      <c r="B632" s="132">
        <v>1</v>
      </c>
    </row>
    <row r="633" spans="1:2" x14ac:dyDescent="0.25">
      <c r="A633" s="133" t="s">
        <v>26361</v>
      </c>
      <c r="B633" s="132">
        <v>1</v>
      </c>
    </row>
    <row r="634" spans="1:2" x14ac:dyDescent="0.25">
      <c r="A634" s="133" t="s">
        <v>26362</v>
      </c>
      <c r="B634" s="132">
        <v>1</v>
      </c>
    </row>
    <row r="635" spans="1:2" x14ac:dyDescent="0.25">
      <c r="A635" s="133" t="s">
        <v>26363</v>
      </c>
      <c r="B635" s="132">
        <v>1</v>
      </c>
    </row>
    <row r="636" spans="1:2" x14ac:dyDescent="0.25">
      <c r="A636" s="133" t="s">
        <v>26364</v>
      </c>
      <c r="B636" s="132">
        <v>1</v>
      </c>
    </row>
    <row r="637" spans="1:2" x14ac:dyDescent="0.25">
      <c r="A637" s="133" t="s">
        <v>26365</v>
      </c>
      <c r="B637" s="132">
        <v>1</v>
      </c>
    </row>
    <row r="638" spans="1:2" x14ac:dyDescent="0.25">
      <c r="A638" s="133" t="s">
        <v>26366</v>
      </c>
      <c r="B638" s="132">
        <v>1</v>
      </c>
    </row>
    <row r="639" spans="1:2" x14ac:dyDescent="0.25">
      <c r="A639" s="133" t="s">
        <v>26367</v>
      </c>
      <c r="B639" s="132">
        <v>1</v>
      </c>
    </row>
    <row r="640" spans="1:2" x14ac:dyDescent="0.25">
      <c r="A640" s="133" t="s">
        <v>26368</v>
      </c>
      <c r="B640" s="132">
        <v>1</v>
      </c>
    </row>
    <row r="641" spans="1:2" x14ac:dyDescent="0.25">
      <c r="A641" s="133" t="s">
        <v>26369</v>
      </c>
      <c r="B641" s="132">
        <v>1</v>
      </c>
    </row>
    <row r="642" spans="1:2" x14ac:dyDescent="0.25">
      <c r="A642" s="133" t="s">
        <v>26370</v>
      </c>
      <c r="B642" s="132">
        <v>1</v>
      </c>
    </row>
    <row r="643" spans="1:2" x14ac:dyDescent="0.25">
      <c r="A643" s="133" t="s">
        <v>26371</v>
      </c>
      <c r="B643" s="132">
        <v>1</v>
      </c>
    </row>
    <row r="644" spans="1:2" x14ac:dyDescent="0.25">
      <c r="A644" s="133" t="s">
        <v>26372</v>
      </c>
      <c r="B644" s="132">
        <v>1</v>
      </c>
    </row>
    <row r="645" spans="1:2" x14ac:dyDescent="0.25">
      <c r="A645" s="133" t="s">
        <v>26373</v>
      </c>
      <c r="B645" s="132">
        <v>1</v>
      </c>
    </row>
    <row r="646" spans="1:2" x14ac:dyDescent="0.25">
      <c r="A646" s="133" t="s">
        <v>26374</v>
      </c>
      <c r="B646" s="132">
        <v>1</v>
      </c>
    </row>
    <row r="647" spans="1:2" x14ac:dyDescent="0.25">
      <c r="A647" s="133" t="s">
        <v>26375</v>
      </c>
      <c r="B647" s="132">
        <v>1</v>
      </c>
    </row>
    <row r="648" spans="1:2" x14ac:dyDescent="0.25">
      <c r="A648" s="133" t="s">
        <v>26376</v>
      </c>
      <c r="B648" s="132">
        <v>1</v>
      </c>
    </row>
    <row r="649" spans="1:2" x14ac:dyDescent="0.25">
      <c r="A649" s="133" t="s">
        <v>26377</v>
      </c>
      <c r="B649" s="132">
        <v>1</v>
      </c>
    </row>
    <row r="650" spans="1:2" x14ac:dyDescent="0.25">
      <c r="A650" s="133" t="s">
        <v>26378</v>
      </c>
      <c r="B650" s="132">
        <v>1</v>
      </c>
    </row>
    <row r="651" spans="1:2" x14ac:dyDescent="0.25">
      <c r="A651" s="133" t="s">
        <v>26379</v>
      </c>
      <c r="B651" s="132">
        <v>1</v>
      </c>
    </row>
    <row r="652" spans="1:2" x14ac:dyDescent="0.25">
      <c r="A652" s="133" t="s">
        <v>26380</v>
      </c>
      <c r="B652" s="132">
        <v>1</v>
      </c>
    </row>
    <row r="653" spans="1:2" x14ac:dyDescent="0.25">
      <c r="A653" s="133" t="s">
        <v>26381</v>
      </c>
      <c r="B653" s="132">
        <v>1</v>
      </c>
    </row>
    <row r="654" spans="1:2" x14ac:dyDescent="0.25">
      <c r="A654" s="133" t="s">
        <v>26382</v>
      </c>
      <c r="B654" s="132">
        <v>1</v>
      </c>
    </row>
    <row r="655" spans="1:2" x14ac:dyDescent="0.25">
      <c r="A655" s="133" t="s">
        <v>26383</v>
      </c>
      <c r="B655" s="132">
        <v>1</v>
      </c>
    </row>
    <row r="656" spans="1:2" x14ac:dyDescent="0.25">
      <c r="A656" s="133" t="s">
        <v>26384</v>
      </c>
      <c r="B656" s="132">
        <v>1</v>
      </c>
    </row>
    <row r="657" spans="1:2" x14ac:dyDescent="0.25">
      <c r="A657" s="133" t="s">
        <v>26385</v>
      </c>
      <c r="B657" s="132">
        <v>1</v>
      </c>
    </row>
    <row r="658" spans="1:2" x14ac:dyDescent="0.25">
      <c r="A658" s="133" t="s">
        <v>26386</v>
      </c>
      <c r="B658" s="132">
        <v>1</v>
      </c>
    </row>
    <row r="659" spans="1:2" x14ac:dyDescent="0.25">
      <c r="A659" s="133" t="s">
        <v>26387</v>
      </c>
      <c r="B659" s="132">
        <v>1</v>
      </c>
    </row>
    <row r="660" spans="1:2" x14ac:dyDescent="0.25">
      <c r="A660" s="133" t="s">
        <v>26388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26389</v>
      </c>
      <c r="B662" s="132">
        <v>1</v>
      </c>
    </row>
    <row r="663" spans="1:2" x14ac:dyDescent="0.25">
      <c r="A663" s="133" t="s">
        <v>26390</v>
      </c>
      <c r="B663" s="132">
        <v>1</v>
      </c>
    </row>
    <row r="664" spans="1:2" x14ac:dyDescent="0.25">
      <c r="A664" s="133" t="s">
        <v>26391</v>
      </c>
      <c r="B664" s="132">
        <v>1</v>
      </c>
    </row>
    <row r="665" spans="1:2" x14ac:dyDescent="0.25">
      <c r="A665" s="133" t="s">
        <v>26392</v>
      </c>
      <c r="B665" s="132">
        <v>1</v>
      </c>
    </row>
    <row r="666" spans="1:2" x14ac:dyDescent="0.25">
      <c r="A666" s="133" t="s">
        <v>26393</v>
      </c>
      <c r="B666" s="132">
        <v>1</v>
      </c>
    </row>
    <row r="667" spans="1:2" x14ac:dyDescent="0.25">
      <c r="A667" s="133" t="s">
        <v>26394</v>
      </c>
      <c r="B667" s="132">
        <v>1</v>
      </c>
    </row>
    <row r="668" spans="1:2" x14ac:dyDescent="0.25">
      <c r="A668" s="133" t="s">
        <v>26395</v>
      </c>
      <c r="B668" s="132">
        <v>1</v>
      </c>
    </row>
    <row r="669" spans="1:2" x14ac:dyDescent="0.25">
      <c r="A669" s="133" t="s">
        <v>26396</v>
      </c>
      <c r="B669" s="132">
        <v>1</v>
      </c>
    </row>
    <row r="670" spans="1:2" x14ac:dyDescent="0.25">
      <c r="A670" s="133" t="s">
        <v>26397</v>
      </c>
      <c r="B670" s="132">
        <v>1</v>
      </c>
    </row>
    <row r="671" spans="1:2" x14ac:dyDescent="0.25">
      <c r="A671" s="133" t="s">
        <v>26398</v>
      </c>
      <c r="B671" s="132">
        <v>1</v>
      </c>
    </row>
    <row r="672" spans="1:2" x14ac:dyDescent="0.25">
      <c r="A672" s="133" t="s">
        <v>26399</v>
      </c>
      <c r="B672" s="132">
        <v>1</v>
      </c>
    </row>
    <row r="673" spans="1:2" x14ac:dyDescent="0.25">
      <c r="A673" s="133" t="s">
        <v>26400</v>
      </c>
      <c r="B673" s="132">
        <v>1</v>
      </c>
    </row>
    <row r="674" spans="1:2" x14ac:dyDescent="0.25">
      <c r="A674" s="133" t="s">
        <v>26401</v>
      </c>
      <c r="B674" s="132">
        <v>1</v>
      </c>
    </row>
    <row r="675" spans="1:2" x14ac:dyDescent="0.25">
      <c r="A675" s="133" t="s">
        <v>26402</v>
      </c>
      <c r="B675" s="132">
        <v>1</v>
      </c>
    </row>
    <row r="676" spans="1:2" x14ac:dyDescent="0.25">
      <c r="A676" s="133" t="s">
        <v>26403</v>
      </c>
      <c r="B676" s="132">
        <v>1</v>
      </c>
    </row>
    <row r="677" spans="1:2" x14ac:dyDescent="0.25">
      <c r="A677" s="133" t="s">
        <v>26404</v>
      </c>
      <c r="B677" s="132">
        <v>1</v>
      </c>
    </row>
    <row r="678" spans="1:2" x14ac:dyDescent="0.25">
      <c r="A678" s="133" t="s">
        <v>26405</v>
      </c>
      <c r="B678" s="132">
        <v>1</v>
      </c>
    </row>
    <row r="679" spans="1:2" x14ac:dyDescent="0.25">
      <c r="A679" s="133" t="s">
        <v>26406</v>
      </c>
      <c r="B679" s="132">
        <v>1</v>
      </c>
    </row>
    <row r="680" spans="1:2" x14ac:dyDescent="0.25">
      <c r="A680" s="133" t="s">
        <v>26407</v>
      </c>
      <c r="B680" s="132">
        <v>1</v>
      </c>
    </row>
    <row r="681" spans="1:2" x14ac:dyDescent="0.25">
      <c r="A681" s="133" t="s">
        <v>26408</v>
      </c>
      <c r="B681" s="132">
        <v>1</v>
      </c>
    </row>
    <row r="682" spans="1:2" x14ac:dyDescent="0.25">
      <c r="A682" s="133" t="s">
        <v>26409</v>
      </c>
      <c r="B682" s="132">
        <v>1</v>
      </c>
    </row>
    <row r="683" spans="1:2" x14ac:dyDescent="0.25">
      <c r="A683" s="133" t="s">
        <v>26410</v>
      </c>
      <c r="B683" s="132">
        <v>1</v>
      </c>
    </row>
    <row r="684" spans="1:2" x14ac:dyDescent="0.25">
      <c r="A684" s="133" t="s">
        <v>26411</v>
      </c>
      <c r="B684" s="132">
        <v>1</v>
      </c>
    </row>
    <row r="685" spans="1:2" x14ac:dyDescent="0.25">
      <c r="A685" s="133" t="s">
        <v>26412</v>
      </c>
      <c r="B685" s="132">
        <v>1</v>
      </c>
    </row>
    <row r="686" spans="1:2" x14ac:dyDescent="0.25">
      <c r="A686" s="133" t="s">
        <v>26413</v>
      </c>
      <c r="B686" s="132">
        <v>1</v>
      </c>
    </row>
    <row r="687" spans="1:2" x14ac:dyDescent="0.25">
      <c r="A687" s="133" t="s">
        <v>26414</v>
      </c>
      <c r="B687" s="132">
        <v>1</v>
      </c>
    </row>
    <row r="688" spans="1:2" x14ac:dyDescent="0.25">
      <c r="A688" s="133" t="s">
        <v>26415</v>
      </c>
      <c r="B688" s="132">
        <v>1</v>
      </c>
    </row>
    <row r="689" spans="1:2" x14ac:dyDescent="0.25">
      <c r="A689" s="133" t="s">
        <v>26416</v>
      </c>
      <c r="B689" s="132">
        <v>1</v>
      </c>
    </row>
    <row r="690" spans="1:2" x14ac:dyDescent="0.25">
      <c r="A690" s="133" t="s">
        <v>26417</v>
      </c>
      <c r="B690" s="132">
        <v>1</v>
      </c>
    </row>
    <row r="691" spans="1:2" x14ac:dyDescent="0.25">
      <c r="A691" s="133" t="s">
        <v>26418</v>
      </c>
      <c r="B691" s="132">
        <v>1</v>
      </c>
    </row>
    <row r="692" spans="1:2" x14ac:dyDescent="0.25">
      <c r="A692" s="133" t="s">
        <v>26419</v>
      </c>
      <c r="B692" s="132">
        <v>1</v>
      </c>
    </row>
    <row r="693" spans="1:2" x14ac:dyDescent="0.25">
      <c r="A693" s="133" t="s">
        <v>26420</v>
      </c>
      <c r="B693" s="132">
        <v>1</v>
      </c>
    </row>
    <row r="694" spans="1:2" x14ac:dyDescent="0.25">
      <c r="A694" s="133" t="s">
        <v>26421</v>
      </c>
      <c r="B694" s="132">
        <v>1</v>
      </c>
    </row>
    <row r="695" spans="1:2" x14ac:dyDescent="0.25">
      <c r="A695" s="133" t="s">
        <v>26422</v>
      </c>
      <c r="B695" s="132">
        <v>1</v>
      </c>
    </row>
    <row r="696" spans="1:2" x14ac:dyDescent="0.25">
      <c r="A696" s="133" t="s">
        <v>26423</v>
      </c>
      <c r="B696" s="132">
        <v>1</v>
      </c>
    </row>
    <row r="697" spans="1:2" x14ac:dyDescent="0.25">
      <c r="A697" s="133" t="s">
        <v>26424</v>
      </c>
      <c r="B697" s="132">
        <v>1</v>
      </c>
    </row>
    <row r="698" spans="1:2" x14ac:dyDescent="0.25">
      <c r="A698" s="133" t="s">
        <v>26425</v>
      </c>
      <c r="B698" s="132">
        <v>1</v>
      </c>
    </row>
    <row r="699" spans="1:2" x14ac:dyDescent="0.25">
      <c r="A699" s="133" t="s">
        <v>26426</v>
      </c>
      <c r="B699" s="132">
        <v>1</v>
      </c>
    </row>
    <row r="700" spans="1:2" x14ac:dyDescent="0.25">
      <c r="A700" s="133" t="s">
        <v>26427</v>
      </c>
      <c r="B700" s="132">
        <v>1</v>
      </c>
    </row>
    <row r="701" spans="1:2" x14ac:dyDescent="0.25">
      <c r="A701" s="133" t="s">
        <v>26428</v>
      </c>
      <c r="B701" s="132">
        <v>1</v>
      </c>
    </row>
    <row r="702" spans="1:2" x14ac:dyDescent="0.25">
      <c r="A702" s="133" t="s">
        <v>26429</v>
      </c>
      <c r="B702" s="132">
        <v>1</v>
      </c>
    </row>
    <row r="703" spans="1:2" x14ac:dyDescent="0.25">
      <c r="A703" s="133" t="s">
        <v>26430</v>
      </c>
      <c r="B703" s="132">
        <v>1</v>
      </c>
    </row>
    <row r="704" spans="1:2" x14ac:dyDescent="0.25">
      <c r="A704" s="133" t="s">
        <v>26431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26432</v>
      </c>
      <c r="B706" s="132">
        <v>1</v>
      </c>
    </row>
    <row r="707" spans="1:2" x14ac:dyDescent="0.25">
      <c r="A707" s="133" t="s">
        <v>26433</v>
      </c>
      <c r="B707" s="132">
        <v>1</v>
      </c>
    </row>
    <row r="708" spans="1:2" x14ac:dyDescent="0.25">
      <c r="A708" s="133" t="s">
        <v>26434</v>
      </c>
      <c r="B708" s="132">
        <v>1</v>
      </c>
    </row>
    <row r="709" spans="1:2" x14ac:dyDescent="0.25">
      <c r="A709" s="133" t="s">
        <v>26435</v>
      </c>
      <c r="B709" s="132">
        <v>1</v>
      </c>
    </row>
    <row r="710" spans="1:2" x14ac:dyDescent="0.25">
      <c r="A710" s="133" t="s">
        <v>26436</v>
      </c>
      <c r="B710" s="132">
        <v>1</v>
      </c>
    </row>
    <row r="711" spans="1:2" x14ac:dyDescent="0.25">
      <c r="A711" s="133" t="s">
        <v>26437</v>
      </c>
      <c r="B711" s="132">
        <v>1</v>
      </c>
    </row>
    <row r="712" spans="1:2" x14ac:dyDescent="0.25">
      <c r="A712" s="133" t="s">
        <v>26438</v>
      </c>
      <c r="B712" s="132">
        <v>1</v>
      </c>
    </row>
    <row r="713" spans="1:2" x14ac:dyDescent="0.25">
      <c r="A713" s="133" t="s">
        <v>26439</v>
      </c>
      <c r="B713" s="132">
        <v>1</v>
      </c>
    </row>
    <row r="714" spans="1:2" x14ac:dyDescent="0.25">
      <c r="A714" s="133" t="s">
        <v>26440</v>
      </c>
      <c r="B714" s="132">
        <v>1</v>
      </c>
    </row>
    <row r="715" spans="1:2" x14ac:dyDescent="0.25">
      <c r="A715" s="133" t="s">
        <v>26441</v>
      </c>
      <c r="B715" s="132">
        <v>1</v>
      </c>
    </row>
    <row r="716" spans="1:2" x14ac:dyDescent="0.25">
      <c r="A716" s="133" t="s">
        <v>26442</v>
      </c>
      <c r="B716" s="132">
        <v>1</v>
      </c>
    </row>
    <row r="717" spans="1:2" x14ac:dyDescent="0.25">
      <c r="A717" s="133" t="s">
        <v>26443</v>
      </c>
      <c r="B717" s="132">
        <v>1</v>
      </c>
    </row>
    <row r="718" spans="1:2" x14ac:dyDescent="0.25">
      <c r="A718" s="133" t="s">
        <v>26444</v>
      </c>
      <c r="B718" s="132">
        <v>1</v>
      </c>
    </row>
    <row r="719" spans="1:2" x14ac:dyDescent="0.25">
      <c r="A719" s="133" t="s">
        <v>26445</v>
      </c>
      <c r="B719" s="132">
        <v>1</v>
      </c>
    </row>
    <row r="720" spans="1:2" x14ac:dyDescent="0.25">
      <c r="A720" s="133" t="s">
        <v>26446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26447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26448</v>
      </c>
      <c r="B724" s="132">
        <v>1</v>
      </c>
    </row>
    <row r="725" spans="1:2" x14ac:dyDescent="0.25">
      <c r="A725" s="133" t="s">
        <v>26449</v>
      </c>
      <c r="B725" s="132">
        <v>1</v>
      </c>
    </row>
    <row r="726" spans="1:2" x14ac:dyDescent="0.25">
      <c r="A726" s="133" t="s">
        <v>26450</v>
      </c>
      <c r="B726" s="132">
        <v>1</v>
      </c>
    </row>
    <row r="727" spans="1:2" x14ac:dyDescent="0.25">
      <c r="A727" s="133" t="s">
        <v>26451</v>
      </c>
      <c r="B727" s="132">
        <v>1</v>
      </c>
    </row>
    <row r="728" spans="1:2" x14ac:dyDescent="0.25">
      <c r="A728" s="133" t="s">
        <v>26452</v>
      </c>
      <c r="B728" s="132">
        <v>1</v>
      </c>
    </row>
    <row r="729" spans="1:2" x14ac:dyDescent="0.25">
      <c r="A729" s="133" t="s">
        <v>26453</v>
      </c>
      <c r="B729" s="132">
        <v>1</v>
      </c>
    </row>
    <row r="730" spans="1:2" x14ac:dyDescent="0.25">
      <c r="A730" s="133" t="s">
        <v>26454</v>
      </c>
      <c r="B730" s="132">
        <v>1</v>
      </c>
    </row>
    <row r="731" spans="1:2" x14ac:dyDescent="0.25">
      <c r="A731" s="133" t="s">
        <v>26455</v>
      </c>
      <c r="B731" s="132">
        <v>1</v>
      </c>
    </row>
    <row r="732" spans="1:2" x14ac:dyDescent="0.25">
      <c r="A732" s="133" t="s">
        <v>26456</v>
      </c>
      <c r="B732" s="132">
        <v>1</v>
      </c>
    </row>
    <row r="733" spans="1:2" x14ac:dyDescent="0.25">
      <c r="A733" s="133" t="s">
        <v>26457</v>
      </c>
      <c r="B733" s="132">
        <v>1</v>
      </c>
    </row>
    <row r="734" spans="1:2" x14ac:dyDescent="0.25">
      <c r="A734" s="133" t="s">
        <v>26458</v>
      </c>
      <c r="B734" s="132">
        <v>1</v>
      </c>
    </row>
    <row r="735" spans="1:2" x14ac:dyDescent="0.25">
      <c r="A735" s="133" t="s">
        <v>26459</v>
      </c>
      <c r="B735" s="132">
        <v>1</v>
      </c>
    </row>
    <row r="736" spans="1:2" x14ac:dyDescent="0.25">
      <c r="A736" s="133" t="s">
        <v>26460</v>
      </c>
      <c r="B736" s="132">
        <v>1</v>
      </c>
    </row>
    <row r="737" spans="1:2" x14ac:dyDescent="0.25">
      <c r="A737" s="133" t="s">
        <v>26461</v>
      </c>
      <c r="B737" s="132">
        <v>1</v>
      </c>
    </row>
    <row r="738" spans="1:2" x14ac:dyDescent="0.25">
      <c r="A738" s="133" t="s">
        <v>26462</v>
      </c>
      <c r="B738" s="132">
        <v>1</v>
      </c>
    </row>
    <row r="739" spans="1:2" x14ac:dyDescent="0.25">
      <c r="A739" s="133" t="s">
        <v>26463</v>
      </c>
      <c r="B739" s="132">
        <v>1</v>
      </c>
    </row>
    <row r="740" spans="1:2" x14ac:dyDescent="0.25">
      <c r="A740" s="133" t="s">
        <v>26464</v>
      </c>
      <c r="B740" s="132">
        <v>1</v>
      </c>
    </row>
    <row r="741" spans="1:2" x14ac:dyDescent="0.25">
      <c r="A741" s="133" t="s">
        <v>26465</v>
      </c>
      <c r="B741" s="132">
        <v>1</v>
      </c>
    </row>
    <row r="742" spans="1:2" x14ac:dyDescent="0.25">
      <c r="A742" s="133" t="s">
        <v>26466</v>
      </c>
      <c r="B742" s="132">
        <v>1</v>
      </c>
    </row>
    <row r="743" spans="1:2" x14ac:dyDescent="0.25">
      <c r="A743" s="133" t="s">
        <v>26467</v>
      </c>
      <c r="B743" s="132">
        <v>1</v>
      </c>
    </row>
    <row r="744" spans="1:2" x14ac:dyDescent="0.25">
      <c r="A744" s="133" t="s">
        <v>26468</v>
      </c>
      <c r="B744" s="132">
        <v>1</v>
      </c>
    </row>
    <row r="745" spans="1:2" x14ac:dyDescent="0.25">
      <c r="A745" s="133" t="s">
        <v>26469</v>
      </c>
      <c r="B745" s="132">
        <v>1</v>
      </c>
    </row>
    <row r="746" spans="1:2" x14ac:dyDescent="0.25">
      <c r="A746" s="133" t="s">
        <v>26470</v>
      </c>
      <c r="B746" s="132">
        <v>1</v>
      </c>
    </row>
    <row r="747" spans="1:2" x14ac:dyDescent="0.25">
      <c r="A747" s="133" t="s">
        <v>26471</v>
      </c>
      <c r="B747" s="132">
        <v>1</v>
      </c>
    </row>
    <row r="748" spans="1:2" x14ac:dyDescent="0.25">
      <c r="A748" s="133" t="s">
        <v>26472</v>
      </c>
      <c r="B748" s="132">
        <v>1</v>
      </c>
    </row>
    <row r="749" spans="1:2" x14ac:dyDescent="0.25">
      <c r="A749" s="133" t="s">
        <v>26473</v>
      </c>
      <c r="B749" s="132">
        <v>1</v>
      </c>
    </row>
    <row r="750" spans="1:2" x14ac:dyDescent="0.25">
      <c r="A750" s="133" t="s">
        <v>26474</v>
      </c>
      <c r="B750" s="132">
        <v>1</v>
      </c>
    </row>
    <row r="751" spans="1:2" x14ac:dyDescent="0.25">
      <c r="A751" s="133" t="s">
        <v>26475</v>
      </c>
      <c r="B751" s="132">
        <v>1</v>
      </c>
    </row>
    <row r="752" spans="1:2" x14ac:dyDescent="0.25">
      <c r="A752" s="133" t="s">
        <v>26476</v>
      </c>
      <c r="B752" s="132">
        <v>1</v>
      </c>
    </row>
    <row r="753" spans="1:2" x14ac:dyDescent="0.25">
      <c r="A753" s="133" t="s">
        <v>26477</v>
      </c>
      <c r="B753" s="132">
        <v>1</v>
      </c>
    </row>
    <row r="754" spans="1:2" x14ac:dyDescent="0.25">
      <c r="A754" s="133" t="s">
        <v>26478</v>
      </c>
      <c r="B754" s="132">
        <v>1</v>
      </c>
    </row>
    <row r="755" spans="1:2" x14ac:dyDescent="0.25">
      <c r="A755" s="133" t="s">
        <v>26479</v>
      </c>
      <c r="B755" s="132">
        <v>1</v>
      </c>
    </row>
    <row r="756" spans="1:2" x14ac:dyDescent="0.25">
      <c r="A756" s="133" t="s">
        <v>26480</v>
      </c>
      <c r="B756" s="132">
        <v>1</v>
      </c>
    </row>
    <row r="757" spans="1:2" x14ac:dyDescent="0.25">
      <c r="A757" s="133" t="s">
        <v>26481</v>
      </c>
      <c r="B757" s="132">
        <v>1</v>
      </c>
    </row>
    <row r="758" spans="1:2" x14ac:dyDescent="0.25">
      <c r="A758" s="133" t="s">
        <v>26482</v>
      </c>
      <c r="B758" s="132">
        <v>1</v>
      </c>
    </row>
    <row r="759" spans="1:2" x14ac:dyDescent="0.25">
      <c r="A759" s="133" t="s">
        <v>26483</v>
      </c>
      <c r="B759" s="132">
        <v>1</v>
      </c>
    </row>
    <row r="760" spans="1:2" x14ac:dyDescent="0.25">
      <c r="A760" s="133" t="s">
        <v>26484</v>
      </c>
      <c r="B760" s="132">
        <v>1</v>
      </c>
    </row>
    <row r="761" spans="1:2" x14ac:dyDescent="0.25">
      <c r="A761" s="133" t="s">
        <v>26485</v>
      </c>
      <c r="B761" s="132">
        <v>1</v>
      </c>
    </row>
    <row r="762" spans="1:2" x14ac:dyDescent="0.25">
      <c r="A762" s="133" t="s">
        <v>26486</v>
      </c>
      <c r="B762" s="132">
        <v>1</v>
      </c>
    </row>
    <row r="763" spans="1:2" x14ac:dyDescent="0.25">
      <c r="A763" s="133" t="s">
        <v>26487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26488</v>
      </c>
      <c r="B765" s="132">
        <v>1</v>
      </c>
    </row>
    <row r="766" spans="1:2" x14ac:dyDescent="0.25">
      <c r="A766" s="133" t="s">
        <v>26489</v>
      </c>
      <c r="B766" s="132">
        <v>1</v>
      </c>
    </row>
    <row r="767" spans="1:2" x14ac:dyDescent="0.25">
      <c r="A767" s="133" t="s">
        <v>26490</v>
      </c>
      <c r="B767" s="132">
        <v>1</v>
      </c>
    </row>
    <row r="768" spans="1:2" x14ac:dyDescent="0.25">
      <c r="A768" s="133" t="s">
        <v>26491</v>
      </c>
      <c r="B768" s="132">
        <v>1</v>
      </c>
    </row>
    <row r="769" spans="1:2" x14ac:dyDescent="0.25">
      <c r="A769" s="133" t="s">
        <v>26492</v>
      </c>
      <c r="B769" s="132">
        <v>1</v>
      </c>
    </row>
    <row r="770" spans="1:2" x14ac:dyDescent="0.25">
      <c r="A770" s="133" t="s">
        <v>26493</v>
      </c>
      <c r="B770" s="132">
        <v>1</v>
      </c>
    </row>
    <row r="771" spans="1:2" x14ac:dyDescent="0.25">
      <c r="A771" s="133" t="s">
        <v>26494</v>
      </c>
      <c r="B771" s="132">
        <v>1</v>
      </c>
    </row>
    <row r="772" spans="1:2" x14ac:dyDescent="0.25">
      <c r="A772" s="133" t="s">
        <v>26495</v>
      </c>
      <c r="B772" s="132">
        <v>1</v>
      </c>
    </row>
    <row r="773" spans="1:2" x14ac:dyDescent="0.25">
      <c r="A773" s="133" t="s">
        <v>26496</v>
      </c>
      <c r="B773" s="132">
        <v>1</v>
      </c>
    </row>
    <row r="774" spans="1:2" x14ac:dyDescent="0.25">
      <c r="A774" s="133" t="s">
        <v>26497</v>
      </c>
      <c r="B774" s="132">
        <v>1</v>
      </c>
    </row>
    <row r="775" spans="1:2" x14ac:dyDescent="0.25">
      <c r="A775" s="133" t="s">
        <v>26498</v>
      </c>
      <c r="B775" s="132">
        <v>1</v>
      </c>
    </row>
    <row r="776" spans="1:2" x14ac:dyDescent="0.25">
      <c r="A776" s="133" t="s">
        <v>26499</v>
      </c>
      <c r="B776" s="132">
        <v>1</v>
      </c>
    </row>
    <row r="777" spans="1:2" x14ac:dyDescent="0.25">
      <c r="A777" s="133" t="s">
        <v>26500</v>
      </c>
      <c r="B777" s="132">
        <v>1</v>
      </c>
    </row>
    <row r="778" spans="1:2" x14ac:dyDescent="0.25">
      <c r="A778" s="133" t="s">
        <v>26501</v>
      </c>
      <c r="B778" s="132">
        <v>1</v>
      </c>
    </row>
    <row r="779" spans="1:2" x14ac:dyDescent="0.25">
      <c r="A779" s="133" t="s">
        <v>26502</v>
      </c>
      <c r="B779" s="132">
        <v>1</v>
      </c>
    </row>
    <row r="780" spans="1:2" x14ac:dyDescent="0.25">
      <c r="A780" s="133" t="s">
        <v>26503</v>
      </c>
      <c r="B780" s="132">
        <v>1</v>
      </c>
    </row>
    <row r="781" spans="1:2" x14ac:dyDescent="0.25">
      <c r="A781" s="133" t="s">
        <v>26504</v>
      </c>
      <c r="B781" s="132">
        <v>1</v>
      </c>
    </row>
    <row r="782" spans="1:2" x14ac:dyDescent="0.25">
      <c r="A782" s="133" t="s">
        <v>26505</v>
      </c>
      <c r="B782" s="132">
        <v>1</v>
      </c>
    </row>
    <row r="783" spans="1:2" x14ac:dyDescent="0.25">
      <c r="A783" s="133" t="s">
        <v>26506</v>
      </c>
      <c r="B783" s="132">
        <v>1</v>
      </c>
    </row>
    <row r="784" spans="1:2" x14ac:dyDescent="0.25">
      <c r="A784" s="133" t="s">
        <v>26507</v>
      </c>
      <c r="B784" s="132">
        <v>1</v>
      </c>
    </row>
    <row r="785" spans="1:2" x14ac:dyDescent="0.25">
      <c r="A785" s="133" t="s">
        <v>26508</v>
      </c>
      <c r="B785" s="132">
        <v>1</v>
      </c>
    </row>
    <row r="786" spans="1:2" x14ac:dyDescent="0.25">
      <c r="A786" s="133" t="s">
        <v>26509</v>
      </c>
      <c r="B786" s="132">
        <v>1</v>
      </c>
    </row>
    <row r="787" spans="1:2" x14ac:dyDescent="0.25">
      <c r="A787" s="133" t="s">
        <v>26510</v>
      </c>
      <c r="B787" s="132">
        <v>1</v>
      </c>
    </row>
    <row r="788" spans="1:2" x14ac:dyDescent="0.25">
      <c r="A788" s="133" t="s">
        <v>26511</v>
      </c>
      <c r="B788" s="132">
        <v>1</v>
      </c>
    </row>
    <row r="789" spans="1:2" x14ac:dyDescent="0.25">
      <c r="A789" s="133" t="s">
        <v>26512</v>
      </c>
      <c r="B789" s="132">
        <v>1</v>
      </c>
    </row>
    <row r="790" spans="1:2" x14ac:dyDescent="0.25">
      <c r="A790" s="133" t="s">
        <v>26513</v>
      </c>
      <c r="B790" s="132">
        <v>1</v>
      </c>
    </row>
    <row r="791" spans="1:2" x14ac:dyDescent="0.25">
      <c r="A791" s="133" t="s">
        <v>26514</v>
      </c>
      <c r="B791" s="132">
        <v>1</v>
      </c>
    </row>
    <row r="792" spans="1:2" x14ac:dyDescent="0.25">
      <c r="A792" s="133" t="s">
        <v>26515</v>
      </c>
      <c r="B792" s="132">
        <v>1</v>
      </c>
    </row>
    <row r="793" spans="1:2" x14ac:dyDescent="0.25">
      <c r="A793" s="133" t="s">
        <v>26516</v>
      </c>
      <c r="B793" s="132">
        <v>1</v>
      </c>
    </row>
    <row r="794" spans="1:2" x14ac:dyDescent="0.25">
      <c r="A794" s="133" t="s">
        <v>26517</v>
      </c>
      <c r="B794" s="132">
        <v>1</v>
      </c>
    </row>
    <row r="795" spans="1:2" x14ac:dyDescent="0.25">
      <c r="A795" s="133" t="s">
        <v>26518</v>
      </c>
      <c r="B795" s="132">
        <v>1</v>
      </c>
    </row>
    <row r="796" spans="1:2" x14ac:dyDescent="0.25">
      <c r="A796" s="133" t="s">
        <v>26519</v>
      </c>
      <c r="B796" s="132">
        <v>1</v>
      </c>
    </row>
    <row r="797" spans="1:2" x14ac:dyDescent="0.25">
      <c r="A797" s="133" t="s">
        <v>26520</v>
      </c>
      <c r="B797" s="132">
        <v>1</v>
      </c>
    </row>
    <row r="798" spans="1:2" x14ac:dyDescent="0.25">
      <c r="A798" s="133" t="s">
        <v>26521</v>
      </c>
      <c r="B798" s="132">
        <v>1</v>
      </c>
    </row>
    <row r="799" spans="1:2" x14ac:dyDescent="0.25">
      <c r="A799" s="133" t="s">
        <v>26522</v>
      </c>
      <c r="B799" s="132">
        <v>1</v>
      </c>
    </row>
    <row r="800" spans="1:2" x14ac:dyDescent="0.25">
      <c r="A800" s="133" t="s">
        <v>26523</v>
      </c>
      <c r="B800" s="132">
        <v>1</v>
      </c>
    </row>
    <row r="801" spans="1:2" x14ac:dyDescent="0.25">
      <c r="A801" s="133" t="s">
        <v>26524</v>
      </c>
      <c r="B801" s="132">
        <v>1</v>
      </c>
    </row>
    <row r="802" spans="1:2" x14ac:dyDescent="0.25">
      <c r="A802" s="133" t="s">
        <v>26525</v>
      </c>
      <c r="B802" s="132">
        <v>1</v>
      </c>
    </row>
    <row r="803" spans="1:2" x14ac:dyDescent="0.25">
      <c r="A803" s="133" t="s">
        <v>26526</v>
      </c>
      <c r="B803" s="132">
        <v>1</v>
      </c>
    </row>
    <row r="804" spans="1:2" x14ac:dyDescent="0.25">
      <c r="A804" s="133" t="s">
        <v>26527</v>
      </c>
      <c r="B804" s="132">
        <v>1</v>
      </c>
    </row>
    <row r="805" spans="1:2" x14ac:dyDescent="0.25">
      <c r="A805" s="133" t="s">
        <v>26528</v>
      </c>
      <c r="B805" s="132">
        <v>1</v>
      </c>
    </row>
    <row r="806" spans="1:2" x14ac:dyDescent="0.25">
      <c r="A806" s="133" t="s">
        <v>26529</v>
      </c>
      <c r="B806" s="132">
        <v>1</v>
      </c>
    </row>
    <row r="807" spans="1:2" x14ac:dyDescent="0.25">
      <c r="A807" s="133" t="s">
        <v>26530</v>
      </c>
      <c r="B807" s="132">
        <v>1</v>
      </c>
    </row>
    <row r="808" spans="1:2" x14ac:dyDescent="0.25">
      <c r="A808" s="133" t="s">
        <v>26531</v>
      </c>
      <c r="B808" s="132">
        <v>1</v>
      </c>
    </row>
    <row r="809" spans="1:2" x14ac:dyDescent="0.25">
      <c r="A809" s="133" t="s">
        <v>26532</v>
      </c>
      <c r="B809" s="132">
        <v>1</v>
      </c>
    </row>
    <row r="810" spans="1:2" x14ac:dyDescent="0.25">
      <c r="A810" s="133" t="s">
        <v>26533</v>
      </c>
      <c r="B810" s="132">
        <v>1</v>
      </c>
    </row>
    <row r="811" spans="1:2" x14ac:dyDescent="0.25">
      <c r="A811" s="133" t="s">
        <v>26534</v>
      </c>
      <c r="B811" s="132">
        <v>1</v>
      </c>
    </row>
    <row r="812" spans="1:2" x14ac:dyDescent="0.25">
      <c r="A812" s="133" t="s">
        <v>26535</v>
      </c>
      <c r="B812" s="132">
        <v>1</v>
      </c>
    </row>
    <row r="813" spans="1:2" x14ac:dyDescent="0.25">
      <c r="A813" s="133" t="s">
        <v>26536</v>
      </c>
      <c r="B813" s="132">
        <v>1</v>
      </c>
    </row>
    <row r="814" spans="1:2" x14ac:dyDescent="0.25">
      <c r="A814" s="133" t="s">
        <v>26537</v>
      </c>
      <c r="B814" s="132">
        <v>1</v>
      </c>
    </row>
    <row r="815" spans="1:2" x14ac:dyDescent="0.25">
      <c r="A815" s="133" t="s">
        <v>26538</v>
      </c>
      <c r="B815" s="132">
        <v>1</v>
      </c>
    </row>
    <row r="816" spans="1:2" x14ac:dyDescent="0.25">
      <c r="A816" s="133" t="s">
        <v>26539</v>
      </c>
      <c r="B816" s="132">
        <v>1</v>
      </c>
    </row>
    <row r="817" spans="1:2" x14ac:dyDescent="0.25">
      <c r="A817" s="133" t="s">
        <v>26540</v>
      </c>
      <c r="B817" s="132">
        <v>1</v>
      </c>
    </row>
    <row r="818" spans="1:2" x14ac:dyDescent="0.25">
      <c r="A818" s="133" t="s">
        <v>26541</v>
      </c>
      <c r="B818" s="132">
        <v>1</v>
      </c>
    </row>
    <row r="819" spans="1:2" x14ac:dyDescent="0.25">
      <c r="A819" s="133" t="s">
        <v>26542</v>
      </c>
      <c r="B819" s="132">
        <v>1</v>
      </c>
    </row>
    <row r="820" spans="1:2" x14ac:dyDescent="0.25">
      <c r="A820" s="133" t="s">
        <v>26543</v>
      </c>
      <c r="B820" s="132">
        <v>1</v>
      </c>
    </row>
    <row r="821" spans="1:2" x14ac:dyDescent="0.25">
      <c r="A821" s="133" t="s">
        <v>26544</v>
      </c>
      <c r="B821" s="132">
        <v>1</v>
      </c>
    </row>
    <row r="822" spans="1:2" x14ac:dyDescent="0.25">
      <c r="A822" s="133" t="s">
        <v>26545</v>
      </c>
      <c r="B822" s="132">
        <v>1</v>
      </c>
    </row>
    <row r="823" spans="1:2" x14ac:dyDescent="0.25">
      <c r="A823" s="133" t="s">
        <v>26546</v>
      </c>
      <c r="B823" s="132">
        <v>1</v>
      </c>
    </row>
    <row r="824" spans="1:2" x14ac:dyDescent="0.25">
      <c r="A824" s="133" t="s">
        <v>26547</v>
      </c>
      <c r="B824" s="132">
        <v>1</v>
      </c>
    </row>
    <row r="825" spans="1:2" x14ac:dyDescent="0.25">
      <c r="A825" s="133" t="s">
        <v>26548</v>
      </c>
      <c r="B825" s="132">
        <v>1</v>
      </c>
    </row>
    <row r="826" spans="1:2" x14ac:dyDescent="0.25">
      <c r="A826" s="133" t="s">
        <v>26549</v>
      </c>
      <c r="B826" s="132">
        <v>1</v>
      </c>
    </row>
    <row r="827" spans="1:2" x14ac:dyDescent="0.25">
      <c r="A827" s="133" t="s">
        <v>26550</v>
      </c>
      <c r="B827" s="132">
        <v>1</v>
      </c>
    </row>
    <row r="828" spans="1:2" x14ac:dyDescent="0.25">
      <c r="A828" s="133" t="s">
        <v>26551</v>
      </c>
      <c r="B828" s="132">
        <v>1</v>
      </c>
    </row>
    <row r="829" spans="1:2" x14ac:dyDescent="0.25">
      <c r="A829" s="133" t="s">
        <v>26552</v>
      </c>
      <c r="B829" s="132">
        <v>1</v>
      </c>
    </row>
    <row r="830" spans="1:2" x14ac:dyDescent="0.25">
      <c r="A830" s="133" t="s">
        <v>26553</v>
      </c>
      <c r="B830" s="132">
        <v>1</v>
      </c>
    </row>
    <row r="831" spans="1:2" x14ac:dyDescent="0.25">
      <c r="A831" s="133" t="s">
        <v>26554</v>
      </c>
      <c r="B831" s="132">
        <v>1</v>
      </c>
    </row>
    <row r="832" spans="1:2" x14ac:dyDescent="0.25">
      <c r="A832" s="133" t="s">
        <v>26555</v>
      </c>
      <c r="B832" s="132">
        <v>1</v>
      </c>
    </row>
    <row r="833" spans="1:2" x14ac:dyDescent="0.25">
      <c r="A833" s="133" t="s">
        <v>26556</v>
      </c>
      <c r="B833" s="132">
        <v>1</v>
      </c>
    </row>
    <row r="834" spans="1:2" x14ac:dyDescent="0.25">
      <c r="A834" s="133" t="s">
        <v>26557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26558</v>
      </c>
      <c r="B836" s="132">
        <v>1</v>
      </c>
    </row>
    <row r="837" spans="1:2" x14ac:dyDescent="0.25">
      <c r="A837" s="133" t="s">
        <v>26559</v>
      </c>
      <c r="B837" s="132">
        <v>1</v>
      </c>
    </row>
    <row r="838" spans="1:2" x14ac:dyDescent="0.25">
      <c r="A838" s="133" t="s">
        <v>26560</v>
      </c>
      <c r="B838" s="132">
        <v>1</v>
      </c>
    </row>
    <row r="839" spans="1:2" x14ac:dyDescent="0.25">
      <c r="A839" s="133" t="s">
        <v>26561</v>
      </c>
      <c r="B839" s="132">
        <v>1</v>
      </c>
    </row>
    <row r="840" spans="1:2" x14ac:dyDescent="0.25">
      <c r="A840" s="133" t="s">
        <v>26562</v>
      </c>
      <c r="B840" s="132">
        <v>1</v>
      </c>
    </row>
    <row r="841" spans="1:2" x14ac:dyDescent="0.25">
      <c r="A841" s="133" t="s">
        <v>26563</v>
      </c>
      <c r="B841" s="132">
        <v>1</v>
      </c>
    </row>
    <row r="842" spans="1:2" x14ac:dyDescent="0.25">
      <c r="A842" s="133" t="s">
        <v>26564</v>
      </c>
      <c r="B842" s="132">
        <v>1</v>
      </c>
    </row>
    <row r="843" spans="1:2" x14ac:dyDescent="0.25">
      <c r="A843" s="133" t="s">
        <v>26565</v>
      </c>
      <c r="B843" s="132">
        <v>1</v>
      </c>
    </row>
    <row r="844" spans="1:2" x14ac:dyDescent="0.25">
      <c r="A844" s="133" t="s">
        <v>26566</v>
      </c>
      <c r="B844" s="132">
        <v>1</v>
      </c>
    </row>
    <row r="845" spans="1:2" x14ac:dyDescent="0.25">
      <c r="A845" s="133" t="s">
        <v>26567</v>
      </c>
      <c r="B845" s="132">
        <v>1</v>
      </c>
    </row>
    <row r="846" spans="1:2" x14ac:dyDescent="0.25">
      <c r="A846" s="133" t="s">
        <v>26568</v>
      </c>
      <c r="B846" s="132">
        <v>1</v>
      </c>
    </row>
    <row r="847" spans="1:2" x14ac:dyDescent="0.25">
      <c r="A847" s="133" t="s">
        <v>26569</v>
      </c>
      <c r="B847" s="132">
        <v>1</v>
      </c>
    </row>
    <row r="848" spans="1:2" x14ac:dyDescent="0.25">
      <c r="A848" s="133" t="s">
        <v>26570</v>
      </c>
      <c r="B848" s="132">
        <v>1</v>
      </c>
    </row>
    <row r="849" spans="1:2" x14ac:dyDescent="0.25">
      <c r="A849" s="133" t="s">
        <v>26571</v>
      </c>
      <c r="B849" s="132">
        <v>1</v>
      </c>
    </row>
    <row r="850" spans="1:2" x14ac:dyDescent="0.25">
      <c r="A850" s="133" t="s">
        <v>26572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26573</v>
      </c>
      <c r="B852" s="132">
        <v>1</v>
      </c>
    </row>
    <row r="853" spans="1:2" x14ac:dyDescent="0.25">
      <c r="A853" s="133" t="s">
        <v>26574</v>
      </c>
      <c r="B853" s="132">
        <v>1</v>
      </c>
    </row>
    <row r="854" spans="1:2" x14ac:dyDescent="0.25">
      <c r="A854" s="133" t="s">
        <v>26575</v>
      </c>
      <c r="B854" s="132">
        <v>1</v>
      </c>
    </row>
    <row r="855" spans="1:2" x14ac:dyDescent="0.25">
      <c r="A855" s="133" t="s">
        <v>26576</v>
      </c>
      <c r="B855" s="132">
        <v>1</v>
      </c>
    </row>
    <row r="856" spans="1:2" x14ac:dyDescent="0.25">
      <c r="A856" s="133" t="s">
        <v>26577</v>
      </c>
      <c r="B856" s="132">
        <v>1</v>
      </c>
    </row>
    <row r="857" spans="1:2" x14ac:dyDescent="0.25">
      <c r="A857" s="133" t="s">
        <v>26578</v>
      </c>
      <c r="B857" s="132">
        <v>1</v>
      </c>
    </row>
    <row r="858" spans="1:2" x14ac:dyDescent="0.25">
      <c r="A858" s="133" t="s">
        <v>26579</v>
      </c>
      <c r="B858" s="132">
        <v>1</v>
      </c>
    </row>
    <row r="859" spans="1:2" x14ac:dyDescent="0.25">
      <c r="A859" s="133" t="s">
        <v>26580</v>
      </c>
      <c r="B859" s="132">
        <v>1</v>
      </c>
    </row>
    <row r="860" spans="1:2" x14ac:dyDescent="0.25">
      <c r="A860" s="133" t="s">
        <v>26581</v>
      </c>
      <c r="B860" s="132">
        <v>1</v>
      </c>
    </row>
    <row r="861" spans="1:2" x14ac:dyDescent="0.25">
      <c r="A861" s="133" t="s">
        <v>26582</v>
      </c>
      <c r="B861" s="132">
        <v>1</v>
      </c>
    </row>
    <row r="862" spans="1:2" x14ac:dyDescent="0.25">
      <c r="A862" s="133" t="s">
        <v>26583</v>
      </c>
      <c r="B862" s="132">
        <v>1</v>
      </c>
    </row>
    <row r="863" spans="1:2" x14ac:dyDescent="0.25">
      <c r="A863" s="133" t="s">
        <v>26584</v>
      </c>
      <c r="B863" s="132">
        <v>1</v>
      </c>
    </row>
    <row r="864" spans="1:2" x14ac:dyDescent="0.25">
      <c r="A864" s="133" t="s">
        <v>26585</v>
      </c>
      <c r="B864" s="132">
        <v>1</v>
      </c>
    </row>
    <row r="865" spans="1:2" x14ac:dyDescent="0.25">
      <c r="A865" s="133" t="s">
        <v>26586</v>
      </c>
      <c r="B865" s="132">
        <v>1</v>
      </c>
    </row>
    <row r="866" spans="1:2" x14ac:dyDescent="0.25">
      <c r="A866" s="133" t="s">
        <v>26587</v>
      </c>
      <c r="B866" s="132">
        <v>1</v>
      </c>
    </row>
    <row r="867" spans="1:2" x14ac:dyDescent="0.25">
      <c r="A867" s="133" t="s">
        <v>26588</v>
      </c>
      <c r="B867" s="132">
        <v>1</v>
      </c>
    </row>
    <row r="868" spans="1:2" x14ac:dyDescent="0.25">
      <c r="A868" s="133" t="s">
        <v>26589</v>
      </c>
      <c r="B868" s="132">
        <v>1</v>
      </c>
    </row>
    <row r="869" spans="1:2" x14ac:dyDescent="0.25">
      <c r="A869" s="133" t="s">
        <v>26590</v>
      </c>
      <c r="B869" s="132">
        <v>1</v>
      </c>
    </row>
    <row r="870" spans="1:2" x14ac:dyDescent="0.25">
      <c r="A870" s="133" t="s">
        <v>26591</v>
      </c>
      <c r="B870" s="132">
        <v>1</v>
      </c>
    </row>
    <row r="871" spans="1:2" x14ac:dyDescent="0.25">
      <c r="A871" s="133" t="s">
        <v>26592</v>
      </c>
      <c r="B871" s="132">
        <v>1</v>
      </c>
    </row>
    <row r="872" spans="1:2" x14ac:dyDescent="0.25">
      <c r="A872" s="133" t="s">
        <v>26593</v>
      </c>
      <c r="B872" s="132">
        <v>1</v>
      </c>
    </row>
    <row r="873" spans="1:2" x14ac:dyDescent="0.25">
      <c r="A873" s="133" t="s">
        <v>26594</v>
      </c>
      <c r="B873" s="132">
        <v>1</v>
      </c>
    </row>
    <row r="874" spans="1:2" x14ac:dyDescent="0.25">
      <c r="A874" s="133" t="s">
        <v>26595</v>
      </c>
      <c r="B874" s="132">
        <v>1</v>
      </c>
    </row>
    <row r="875" spans="1:2" x14ac:dyDescent="0.25">
      <c r="A875" s="133" t="s">
        <v>26596</v>
      </c>
      <c r="B875" s="132">
        <v>1</v>
      </c>
    </row>
    <row r="876" spans="1:2" x14ac:dyDescent="0.25">
      <c r="A876" s="133" t="s">
        <v>26597</v>
      </c>
      <c r="B876" s="132">
        <v>1</v>
      </c>
    </row>
    <row r="877" spans="1:2" x14ac:dyDescent="0.25">
      <c r="A877" s="133" t="s">
        <v>26598</v>
      </c>
      <c r="B877" s="132">
        <v>1</v>
      </c>
    </row>
    <row r="878" spans="1:2" x14ac:dyDescent="0.25">
      <c r="A878" s="133" t="s">
        <v>26599</v>
      </c>
      <c r="B878" s="132">
        <v>1</v>
      </c>
    </row>
    <row r="879" spans="1:2" x14ac:dyDescent="0.25">
      <c r="A879" s="133" t="s">
        <v>26600</v>
      </c>
      <c r="B879" s="132">
        <v>1</v>
      </c>
    </row>
    <row r="880" spans="1:2" x14ac:dyDescent="0.25">
      <c r="A880" s="133" t="s">
        <v>26601</v>
      </c>
      <c r="B880" s="132">
        <v>1</v>
      </c>
    </row>
    <row r="881" spans="1:2" x14ac:dyDescent="0.25">
      <c r="A881" s="133" t="s">
        <v>26602</v>
      </c>
      <c r="B881" s="132">
        <v>1</v>
      </c>
    </row>
    <row r="882" spans="1:2" x14ac:dyDescent="0.25">
      <c r="A882" s="133" t="s">
        <v>26603</v>
      </c>
      <c r="B882" s="132">
        <v>1</v>
      </c>
    </row>
    <row r="883" spans="1:2" x14ac:dyDescent="0.25">
      <c r="A883" s="133" t="s">
        <v>26604</v>
      </c>
      <c r="B883" s="132">
        <v>1</v>
      </c>
    </row>
    <row r="884" spans="1:2" x14ac:dyDescent="0.25">
      <c r="A884" s="133" t="s">
        <v>26605</v>
      </c>
      <c r="B884" s="132">
        <v>1</v>
      </c>
    </row>
    <row r="885" spans="1:2" x14ac:dyDescent="0.25">
      <c r="A885" s="133" t="s">
        <v>26606</v>
      </c>
      <c r="B885" s="132">
        <v>1</v>
      </c>
    </row>
    <row r="886" spans="1:2" x14ac:dyDescent="0.25">
      <c r="A886" s="133" t="s">
        <v>26607</v>
      </c>
      <c r="B886" s="132">
        <v>1</v>
      </c>
    </row>
    <row r="887" spans="1:2" x14ac:dyDescent="0.25">
      <c r="A887" s="133" t="s">
        <v>26608</v>
      </c>
      <c r="B887" s="132">
        <v>1</v>
      </c>
    </row>
    <row r="888" spans="1:2" x14ac:dyDescent="0.25">
      <c r="A888" s="133" t="s">
        <v>26609</v>
      </c>
      <c r="B888" s="132">
        <v>1</v>
      </c>
    </row>
    <row r="889" spans="1:2" x14ac:dyDescent="0.25">
      <c r="A889" s="133" t="s">
        <v>26610</v>
      </c>
      <c r="B889" s="132">
        <v>1</v>
      </c>
    </row>
    <row r="890" spans="1:2" x14ac:dyDescent="0.25">
      <c r="A890" s="133" t="s">
        <v>26611</v>
      </c>
      <c r="B890" s="132">
        <v>1</v>
      </c>
    </row>
    <row r="891" spans="1:2" x14ac:dyDescent="0.25">
      <c r="A891" s="133" t="s">
        <v>26612</v>
      </c>
      <c r="B891" s="132">
        <v>1</v>
      </c>
    </row>
    <row r="892" spans="1:2" x14ac:dyDescent="0.25">
      <c r="A892" s="133" t="s">
        <v>26613</v>
      </c>
      <c r="B892" s="132">
        <v>1</v>
      </c>
    </row>
    <row r="893" spans="1:2" x14ac:dyDescent="0.25">
      <c r="A893" s="133" t="s">
        <v>26614</v>
      </c>
      <c r="B893" s="132">
        <v>1</v>
      </c>
    </row>
    <row r="894" spans="1:2" x14ac:dyDescent="0.25">
      <c r="A894" s="133" t="s">
        <v>26615</v>
      </c>
      <c r="B894" s="132">
        <v>1</v>
      </c>
    </row>
    <row r="895" spans="1:2" x14ac:dyDescent="0.25">
      <c r="A895" s="133" t="s">
        <v>26616</v>
      </c>
      <c r="B895" s="132">
        <v>1</v>
      </c>
    </row>
    <row r="896" spans="1:2" x14ac:dyDescent="0.25">
      <c r="A896" s="133" t="s">
        <v>26617</v>
      </c>
      <c r="B896" s="132">
        <v>1</v>
      </c>
    </row>
    <row r="897" spans="1:2" x14ac:dyDescent="0.25">
      <c r="A897" s="133" t="s">
        <v>26618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26619</v>
      </c>
      <c r="B899" s="132">
        <v>1</v>
      </c>
    </row>
    <row r="900" spans="1:2" x14ac:dyDescent="0.25">
      <c r="A900" s="133" t="s">
        <v>26620</v>
      </c>
      <c r="B900" s="132">
        <v>1</v>
      </c>
    </row>
    <row r="901" spans="1:2" x14ac:dyDescent="0.25">
      <c r="A901" s="133" t="s">
        <v>26621</v>
      </c>
      <c r="B901" s="132">
        <v>1</v>
      </c>
    </row>
    <row r="902" spans="1:2" x14ac:dyDescent="0.25">
      <c r="A902" s="133" t="s">
        <v>26622</v>
      </c>
      <c r="B902" s="132">
        <v>1</v>
      </c>
    </row>
    <row r="903" spans="1:2" x14ac:dyDescent="0.25">
      <c r="A903" s="133" t="s">
        <v>26623</v>
      </c>
      <c r="B903" s="132">
        <v>1</v>
      </c>
    </row>
    <row r="904" spans="1:2" x14ac:dyDescent="0.25">
      <c r="A904" s="133" t="s">
        <v>26624</v>
      </c>
      <c r="B904" s="132">
        <v>1</v>
      </c>
    </row>
    <row r="905" spans="1:2" x14ac:dyDescent="0.25">
      <c r="A905" s="133" t="s">
        <v>26625</v>
      </c>
      <c r="B905" s="132">
        <v>1</v>
      </c>
    </row>
    <row r="906" spans="1:2" x14ac:dyDescent="0.25">
      <c r="A906" s="133" t="s">
        <v>26626</v>
      </c>
      <c r="B906" s="132">
        <v>1</v>
      </c>
    </row>
    <row r="907" spans="1:2" x14ac:dyDescent="0.25">
      <c r="A907" s="133" t="s">
        <v>26627</v>
      </c>
      <c r="B907" s="132">
        <v>1</v>
      </c>
    </row>
    <row r="908" spans="1:2" x14ac:dyDescent="0.25">
      <c r="A908" s="133" t="s">
        <v>26628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26629</v>
      </c>
      <c r="B910" s="132">
        <v>1</v>
      </c>
    </row>
    <row r="911" spans="1:2" x14ac:dyDescent="0.25">
      <c r="A911" s="133" t="s">
        <v>26630</v>
      </c>
      <c r="B911" s="132">
        <v>1</v>
      </c>
    </row>
    <row r="912" spans="1:2" x14ac:dyDescent="0.25">
      <c r="A912" s="133" t="s">
        <v>26631</v>
      </c>
      <c r="B912" s="132">
        <v>1</v>
      </c>
    </row>
    <row r="913" spans="1:2" x14ac:dyDescent="0.25">
      <c r="A913" s="133" t="s">
        <v>26632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25725</v>
      </c>
      <c r="B1" s="34" t="s">
        <v>26633</v>
      </c>
    </row>
    <row r="2" spans="1:2" ht="15" customHeight="1" x14ac:dyDescent="0.25">
      <c r="A2" s="34" t="s">
        <v>25733</v>
      </c>
      <c r="B2" s="34" t="s">
        <v>26633</v>
      </c>
    </row>
    <row r="3" spans="1:2" ht="15" customHeight="1" x14ac:dyDescent="0.25">
      <c r="A3" s="34" t="s">
        <v>26634</v>
      </c>
      <c r="B3" s="34" t="s">
        <v>26633</v>
      </c>
    </row>
    <row r="4" spans="1:2" ht="15" customHeight="1" x14ac:dyDescent="0.25">
      <c r="A4" s="34" t="s">
        <v>90</v>
      </c>
      <c r="B4" s="34" t="s">
        <v>26635</v>
      </c>
    </row>
    <row r="5" spans="1:2" ht="15" customHeight="1" x14ac:dyDescent="0.25">
      <c r="A5" s="34" t="s">
        <v>25732</v>
      </c>
      <c r="B5" s="34" t="s">
        <v>26633</v>
      </c>
    </row>
    <row r="6" spans="1:2" x14ac:dyDescent="0.25">
      <c r="A6" s="34" t="s">
        <v>25729</v>
      </c>
      <c r="B6" s="34" t="s">
        <v>26636</v>
      </c>
    </row>
    <row r="7" spans="1:2" x14ac:dyDescent="0.25">
      <c r="A7" s="34" t="s">
        <v>25731</v>
      </c>
      <c r="B7" s="34" t="s">
        <v>26636</v>
      </c>
    </row>
    <row r="8" spans="1:2" x14ac:dyDescent="0.25">
      <c r="A8" s="34" t="s">
        <v>25682</v>
      </c>
      <c r="B8" s="34" t="s">
        <v>26636</v>
      </c>
    </row>
    <row r="9" spans="1:2" x14ac:dyDescent="0.25">
      <c r="A9" s="34" t="s">
        <v>25684</v>
      </c>
      <c r="B9" s="34" t="s">
        <v>26636</v>
      </c>
    </row>
    <row r="10" spans="1:2" x14ac:dyDescent="0.25">
      <c r="A10" s="34" t="s">
        <v>25726</v>
      </c>
      <c r="B10" s="34" t="s">
        <v>26637</v>
      </c>
    </row>
    <row r="11" spans="1:2" x14ac:dyDescent="0.25">
      <c r="A11" s="34" t="s">
        <v>93</v>
      </c>
      <c r="B11" s="34" t="s">
        <v>26638</v>
      </c>
    </row>
    <row r="12" spans="1:2" x14ac:dyDescent="0.25">
      <c r="A12" s="34" t="s">
        <v>25734</v>
      </c>
      <c r="B12" s="34" t="s">
        <v>26639</v>
      </c>
    </row>
    <row r="13" spans="1:2" x14ac:dyDescent="0.25">
      <c r="A13" s="34" t="s">
        <v>25735</v>
      </c>
      <c r="B13" s="34" t="s">
        <v>26640</v>
      </c>
    </row>
    <row r="14" spans="1:2" x14ac:dyDescent="0.25">
      <c r="A14" s="34" t="s">
        <v>25736</v>
      </c>
      <c r="B14" s="34" t="s">
        <v>26641</v>
      </c>
    </row>
    <row r="15" spans="1:2" ht="15" customHeight="1" x14ac:dyDescent="0.25">
      <c r="A15" s="34" t="s">
        <v>26642</v>
      </c>
      <c r="B15" s="34" t="s">
        <v>26633</v>
      </c>
    </row>
    <row r="16" spans="1:2" ht="15" customHeight="1" x14ac:dyDescent="0.25">
      <c r="A16" s="34" t="s">
        <v>25737</v>
      </c>
      <c r="B16" s="34" t="s">
        <v>26643</v>
      </c>
    </row>
    <row r="17" spans="1:2" ht="15" customHeight="1" x14ac:dyDescent="0.25">
      <c r="A17" s="34" t="s">
        <v>25738</v>
      </c>
      <c r="B17" s="34" t="s">
        <v>26644</v>
      </c>
    </row>
    <row r="18" spans="1:2" ht="15" customHeight="1" x14ac:dyDescent="0.25">
      <c r="A18" s="34" t="s">
        <v>25739</v>
      </c>
      <c r="B18" s="34" t="s">
        <v>26645</v>
      </c>
    </row>
    <row r="19" spans="1:2" x14ac:dyDescent="0.25">
      <c r="A19" s="34" t="s">
        <v>25740</v>
      </c>
      <c r="B19" s="34" t="s">
        <v>26646</v>
      </c>
    </row>
    <row r="20" spans="1:2" x14ac:dyDescent="0.25">
      <c r="A20" s="34" t="s">
        <v>25741</v>
      </c>
      <c r="B20" s="34" t="s">
        <v>26647</v>
      </c>
    </row>
    <row r="21" spans="1:2" x14ac:dyDescent="0.25">
      <c r="A21" s="34" t="s">
        <v>25742</v>
      </c>
      <c r="B21" s="34" t="s">
        <v>26648</v>
      </c>
    </row>
    <row r="22" spans="1:2" x14ac:dyDescent="0.25">
      <c r="A22" s="34" t="s">
        <v>28446</v>
      </c>
      <c r="B22" s="34" t="s">
        <v>28454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26649</v>
      </c>
      <c r="B1" s="125" t="s">
        <v>25547</v>
      </c>
      <c r="C1" s="125">
        <v>1</v>
      </c>
    </row>
    <row r="2" spans="1:4" x14ac:dyDescent="0.25">
      <c r="A2" s="125" t="s">
        <v>26650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26651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26652</v>
      </c>
      <c r="B6" s="125" t="s">
        <v>25553</v>
      </c>
      <c r="C6" s="125">
        <v>1</v>
      </c>
    </row>
    <row r="7" spans="1:4" x14ac:dyDescent="0.25">
      <c r="A7" s="125" t="s">
        <v>26653</v>
      </c>
      <c r="B7" s="125" t="s">
        <v>25554</v>
      </c>
      <c r="C7" s="125">
        <v>1</v>
      </c>
    </row>
    <row r="8" spans="1:4" x14ac:dyDescent="0.25">
      <c r="A8" s="125" t="s">
        <v>26654</v>
      </c>
      <c r="B8" s="125" t="s">
        <v>26655</v>
      </c>
      <c r="C8" s="125">
        <v>1</v>
      </c>
    </row>
    <row r="9" spans="1:4" x14ac:dyDescent="0.25">
      <c r="A9" s="125" t="s">
        <v>31</v>
      </c>
      <c r="B9" s="125" t="s">
        <v>26656</v>
      </c>
      <c r="C9" s="125">
        <v>1</v>
      </c>
    </row>
    <row r="10" spans="1:4" x14ac:dyDescent="0.25">
      <c r="A10" s="126" t="s">
        <v>26848</v>
      </c>
      <c r="B10" s="126" t="s">
        <v>25561</v>
      </c>
      <c r="C10" s="126">
        <v>1</v>
      </c>
      <c r="D10" s="68"/>
    </row>
    <row r="11" spans="1:4" x14ac:dyDescent="0.25">
      <c r="A11" s="125" t="s">
        <v>26657</v>
      </c>
      <c r="B11" s="125" t="s">
        <v>26658</v>
      </c>
      <c r="C11" s="125">
        <v>1</v>
      </c>
    </row>
    <row r="12" spans="1:4" x14ac:dyDescent="0.25">
      <c r="A12" s="125" t="s">
        <v>26659</v>
      </c>
      <c r="B12" s="125" t="s">
        <v>25562</v>
      </c>
      <c r="C12" s="125">
        <v>1</v>
      </c>
    </row>
    <row r="13" spans="1:4" x14ac:dyDescent="0.25">
      <c r="A13" s="125" t="s">
        <v>26660</v>
      </c>
      <c r="B13" s="125" t="s">
        <v>26660</v>
      </c>
      <c r="C13" s="125">
        <v>1</v>
      </c>
    </row>
    <row r="14" spans="1:4" x14ac:dyDescent="0.25">
      <c r="A14" s="125" t="s">
        <v>26661</v>
      </c>
      <c r="B14" s="125" t="s">
        <v>26662</v>
      </c>
      <c r="C14" s="125">
        <v>1</v>
      </c>
    </row>
    <row r="15" spans="1:4" x14ac:dyDescent="0.25">
      <c r="A15" s="125" t="s">
        <v>26663</v>
      </c>
      <c r="B15" s="125" t="s">
        <v>26663</v>
      </c>
      <c r="C15" s="125">
        <v>1</v>
      </c>
    </row>
    <row r="16" spans="1:4" x14ac:dyDescent="0.25">
      <c r="A16" s="125" t="s">
        <v>26664</v>
      </c>
      <c r="B16" s="125" t="s">
        <v>26665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26666</v>
      </c>
      <c r="B19" s="125" t="s">
        <v>26667</v>
      </c>
      <c r="C19" s="125">
        <v>1</v>
      </c>
    </row>
    <row r="20" spans="1:3" x14ac:dyDescent="0.25">
      <c r="A20" s="125" t="s">
        <v>26668</v>
      </c>
      <c r="B20" s="125" t="s">
        <v>25568</v>
      </c>
      <c r="C20" s="125">
        <v>1</v>
      </c>
    </row>
    <row r="21" spans="1:3" x14ac:dyDescent="0.25">
      <c r="A21" s="125" t="s">
        <v>26669</v>
      </c>
      <c r="B21" s="125" t="s">
        <v>25569</v>
      </c>
      <c r="C21" s="125">
        <v>1</v>
      </c>
    </row>
    <row r="22" spans="1:3" x14ac:dyDescent="0.25">
      <c r="A22" s="125" t="s">
        <v>26670</v>
      </c>
      <c r="B22" s="125" t="s">
        <v>26671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26672</v>
      </c>
      <c r="B24" s="125" t="s">
        <v>26673</v>
      </c>
      <c r="C24" s="125">
        <v>1</v>
      </c>
    </row>
    <row r="25" spans="1:3" x14ac:dyDescent="0.25">
      <c r="A25" s="125" t="s">
        <v>26674</v>
      </c>
      <c r="B25" s="125" t="s">
        <v>26675</v>
      </c>
      <c r="C25" s="125">
        <v>1</v>
      </c>
    </row>
    <row r="26" spans="1:3" x14ac:dyDescent="0.25">
      <c r="A26" s="125" t="s">
        <v>26676</v>
      </c>
      <c r="B26" s="125" t="s">
        <v>25573</v>
      </c>
      <c r="C26" s="125">
        <v>1</v>
      </c>
    </row>
    <row r="27" spans="1:3" x14ac:dyDescent="0.25">
      <c r="A27" s="125" t="s">
        <v>26677</v>
      </c>
      <c r="B27" s="125" t="s">
        <v>26678</v>
      </c>
      <c r="C27" s="125">
        <v>1</v>
      </c>
    </row>
    <row r="28" spans="1:3" x14ac:dyDescent="0.25">
      <c r="A28" s="125" t="s">
        <v>26679</v>
      </c>
      <c r="B28" s="125" t="s">
        <v>25575</v>
      </c>
      <c r="C28" s="125">
        <v>1</v>
      </c>
    </row>
    <row r="29" spans="1:3" x14ac:dyDescent="0.25">
      <c r="A29" s="125" t="s">
        <v>26680</v>
      </c>
      <c r="B29" s="125" t="s">
        <v>26681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26682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26683</v>
      </c>
      <c r="C32" s="125">
        <v>1</v>
      </c>
    </row>
    <row r="33" spans="1:3" x14ac:dyDescent="0.25">
      <c r="A33" s="125" t="s">
        <v>26684</v>
      </c>
      <c r="B33" s="125" t="s">
        <v>26685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26686</v>
      </c>
      <c r="B2" s="125">
        <v>1</v>
      </c>
    </row>
    <row r="3" spans="1:2" x14ac:dyDescent="0.25">
      <c r="A3" s="125" t="s">
        <v>26687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26688</v>
      </c>
      <c r="B1" s="128">
        <v>1</v>
      </c>
    </row>
    <row r="2" spans="1:2" x14ac:dyDescent="0.25">
      <c r="A2" s="127" t="s">
        <v>26689</v>
      </c>
      <c r="B2" s="128">
        <v>1</v>
      </c>
    </row>
    <row r="3" spans="1:2" x14ac:dyDescent="0.25">
      <c r="A3" s="127" t="s">
        <v>26690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26691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26692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26693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26694</v>
      </c>
      <c r="B11" s="128">
        <v>1</v>
      </c>
    </row>
    <row r="12" spans="1:2" x14ac:dyDescent="0.25">
      <c r="A12" s="127" t="s">
        <v>26695</v>
      </c>
      <c r="B12" s="128">
        <v>1</v>
      </c>
    </row>
    <row r="13" spans="1:2" x14ac:dyDescent="0.25">
      <c r="A13" s="127" t="s">
        <v>26696</v>
      </c>
      <c r="B13" s="128">
        <v>1</v>
      </c>
    </row>
    <row r="14" spans="1:2" x14ac:dyDescent="0.25">
      <c r="A14" s="127" t="s">
        <v>26697</v>
      </c>
      <c r="B14" s="128">
        <v>1</v>
      </c>
    </row>
    <row r="15" spans="1:2" x14ac:dyDescent="0.25">
      <c r="A15" s="127" t="s">
        <v>26698</v>
      </c>
      <c r="B15" s="128">
        <v>1</v>
      </c>
    </row>
    <row r="16" spans="1:2" x14ac:dyDescent="0.25">
      <c r="A16" s="127" t="s">
        <v>26699</v>
      </c>
      <c r="B16" s="128">
        <v>1</v>
      </c>
    </row>
    <row r="17" spans="1:2" x14ac:dyDescent="0.25">
      <c r="A17" s="127" t="s">
        <v>26700</v>
      </c>
      <c r="B17" s="128">
        <v>1</v>
      </c>
    </row>
    <row r="18" spans="1:2" x14ac:dyDescent="0.25">
      <c r="A18" s="127" t="s">
        <v>26701</v>
      </c>
      <c r="B18" s="128">
        <v>1</v>
      </c>
    </row>
    <row r="19" spans="1:2" x14ac:dyDescent="0.25">
      <c r="A19" s="127" t="s">
        <v>26702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26703</v>
      </c>
      <c r="B21" s="128">
        <v>1</v>
      </c>
    </row>
    <row r="22" spans="1:2" x14ac:dyDescent="0.25">
      <c r="A22" s="127" t="s">
        <v>26704</v>
      </c>
      <c r="B22" s="128">
        <v>1</v>
      </c>
    </row>
    <row r="23" spans="1:2" x14ac:dyDescent="0.25">
      <c r="A23" s="127" t="s">
        <v>26705</v>
      </c>
      <c r="B23" s="128">
        <v>1</v>
      </c>
    </row>
    <row r="24" spans="1:2" x14ac:dyDescent="0.25">
      <c r="A24" s="127" t="s">
        <v>26706</v>
      </c>
      <c r="B24" s="128">
        <v>1</v>
      </c>
    </row>
    <row r="25" spans="1:2" x14ac:dyDescent="0.25">
      <c r="A25" s="127" t="s">
        <v>26707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R230"/>
  <sheetViews>
    <sheetView topLeftCell="E1" workbookViewId="0">
      <pane ySplit="1" topLeftCell="A2" activePane="bottomLeft" state="frozen"/>
      <selection pane="bottomLeft" activeCell="N160" sqref="N160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" style="103" customWidth="1"/>
    <col min="19" max="19" width="5" style="115" customWidth="1"/>
    <col min="20" max="20" width="5" style="104" customWidth="1"/>
    <col min="21" max="44" width="4" style="81" bestFit="1" customWidth="1"/>
    <col min="45" max="45" width="9.140625" customWidth="1"/>
  </cols>
  <sheetData>
    <row r="1" spans="1:44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27620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28701</v>
      </c>
      <c r="P1" s="79" t="s">
        <v>28702</v>
      </c>
      <c r="Q1" s="79" t="s">
        <v>2</v>
      </c>
      <c r="R1" s="105" t="s">
        <v>249</v>
      </c>
      <c r="S1" s="114" t="s">
        <v>3</v>
      </c>
      <c r="T1" s="106" t="s">
        <v>245</v>
      </c>
      <c r="U1" s="86" t="s">
        <v>26847</v>
      </c>
      <c r="V1" s="86" t="s">
        <v>26834</v>
      </c>
      <c r="W1" s="86" t="s">
        <v>26835</v>
      </c>
      <c r="X1" s="86" t="s">
        <v>26836</v>
      </c>
      <c r="Y1" s="86" t="s">
        <v>26837</v>
      </c>
      <c r="Z1" s="86" t="s">
        <v>26838</v>
      </c>
      <c r="AA1" s="86" t="s">
        <v>26839</v>
      </c>
      <c r="AB1" s="86" t="s">
        <v>26840</v>
      </c>
      <c r="AC1" s="86" t="s">
        <v>26841</v>
      </c>
      <c r="AD1" s="86" t="s">
        <v>26842</v>
      </c>
      <c r="AE1" s="86" t="s">
        <v>26843</v>
      </c>
      <c r="AF1" s="86" t="s">
        <v>26844</v>
      </c>
      <c r="AG1" s="86" t="s">
        <v>26845</v>
      </c>
      <c r="AH1" s="86" t="s">
        <v>26846</v>
      </c>
      <c r="AI1" s="85">
        <v>6</v>
      </c>
      <c r="AJ1" s="85">
        <v>6.5</v>
      </c>
      <c r="AK1" s="85">
        <v>7</v>
      </c>
      <c r="AL1" s="85">
        <v>7.5</v>
      </c>
      <c r="AM1" s="85">
        <v>8</v>
      </c>
      <c r="AN1" s="85">
        <v>8.5</v>
      </c>
      <c r="AO1" s="85">
        <v>9</v>
      </c>
      <c r="AP1" s="85">
        <v>9.5</v>
      </c>
      <c r="AQ1" s="85">
        <v>10</v>
      </c>
      <c r="AR1" s="85">
        <v>10.5</v>
      </c>
    </row>
    <row r="2" spans="1:44" ht="15" customHeight="1" x14ac:dyDescent="0.2">
      <c r="A2" s="80" t="s">
        <v>7857</v>
      </c>
      <c r="B2" s="80" t="s">
        <v>25615</v>
      </c>
      <c r="C2" s="80" t="s">
        <v>8</v>
      </c>
      <c r="D2" s="80" t="s">
        <v>21</v>
      </c>
      <c r="E2" s="80" t="s">
        <v>25711</v>
      </c>
      <c r="F2" s="80" t="s">
        <v>91</v>
      </c>
      <c r="G2" s="80" t="s">
        <v>28588</v>
      </c>
      <c r="H2" s="80" t="s">
        <v>28442</v>
      </c>
      <c r="I2" s="80" t="s">
        <v>1</v>
      </c>
      <c r="J2" s="83" t="s">
        <v>28589</v>
      </c>
      <c r="K2" s="80" t="s">
        <v>25722</v>
      </c>
      <c r="L2" s="80" t="s">
        <v>25642</v>
      </c>
      <c r="M2" s="80" t="s">
        <v>12</v>
      </c>
      <c r="N2" s="80">
        <v>2053.35</v>
      </c>
      <c r="O2" s="80"/>
      <c r="P2" s="80"/>
      <c r="Q2" s="80"/>
      <c r="R2" s="103" t="str">
        <f>A2&amp;"-"&amp;S2</f>
        <v>21-267-09-</v>
      </c>
      <c r="Z2" s="81">
        <v>7</v>
      </c>
      <c r="AB2" s="81">
        <v>9</v>
      </c>
      <c r="AD2" s="81">
        <v>8</v>
      </c>
      <c r="AF2" s="81">
        <v>2</v>
      </c>
    </row>
    <row r="3" spans="1:44" ht="15" customHeight="1" x14ac:dyDescent="0.2">
      <c r="A3" s="81" t="s">
        <v>7855</v>
      </c>
      <c r="B3" s="81" t="s">
        <v>25615</v>
      </c>
      <c r="C3" s="81" t="s">
        <v>8</v>
      </c>
      <c r="D3" s="81" t="s">
        <v>21</v>
      </c>
      <c r="E3" s="81" t="s">
        <v>25711</v>
      </c>
      <c r="F3" s="81" t="s">
        <v>91</v>
      </c>
      <c r="G3" s="81" t="s">
        <v>28588</v>
      </c>
      <c r="H3" s="81" t="s">
        <v>28590</v>
      </c>
      <c r="I3" s="81" t="s">
        <v>25472</v>
      </c>
      <c r="J3" s="84" t="s">
        <v>28589</v>
      </c>
      <c r="K3" s="81" t="s">
        <v>25722</v>
      </c>
      <c r="L3" s="81" t="s">
        <v>25642</v>
      </c>
      <c r="M3" s="81" t="s">
        <v>12</v>
      </c>
      <c r="N3" s="81">
        <v>2053.35</v>
      </c>
      <c r="Q3" s="80"/>
      <c r="R3" s="103" t="str">
        <f t="shared" ref="R3:R66" si="0">A3&amp;"-"&amp;S3</f>
        <v>21-267-08-</v>
      </c>
      <c r="Z3" s="81">
        <v>7</v>
      </c>
      <c r="AB3" s="81">
        <v>10</v>
      </c>
      <c r="AD3" s="81">
        <v>5</v>
      </c>
      <c r="AF3" s="81">
        <v>2</v>
      </c>
    </row>
    <row r="4" spans="1:44" ht="15" customHeight="1" x14ac:dyDescent="0.2">
      <c r="A4" s="81" t="s">
        <v>7859</v>
      </c>
      <c r="B4" s="81" t="s">
        <v>25615</v>
      </c>
      <c r="C4" s="81" t="s">
        <v>8</v>
      </c>
      <c r="D4" s="81" t="s">
        <v>21</v>
      </c>
      <c r="E4" s="81" t="s">
        <v>25711</v>
      </c>
      <c r="F4" s="81" t="s">
        <v>91</v>
      </c>
      <c r="G4" s="81" t="s">
        <v>28588</v>
      </c>
      <c r="H4" s="81" t="s">
        <v>28441</v>
      </c>
      <c r="I4" s="81" t="s">
        <v>23</v>
      </c>
      <c r="J4" s="84" t="s">
        <v>28589</v>
      </c>
      <c r="K4" s="81" t="s">
        <v>25722</v>
      </c>
      <c r="L4" s="81" t="s">
        <v>25642</v>
      </c>
      <c r="M4" s="81" t="s">
        <v>12</v>
      </c>
      <c r="N4" s="81">
        <v>2053.35</v>
      </c>
      <c r="Q4" s="80"/>
      <c r="R4" s="103" t="str">
        <f t="shared" si="0"/>
        <v>21-267-16-</v>
      </c>
      <c r="Z4" s="81">
        <v>1</v>
      </c>
      <c r="AB4" s="81">
        <v>2</v>
      </c>
      <c r="AD4" s="81">
        <v>3</v>
      </c>
      <c r="AF4" s="81">
        <v>1</v>
      </c>
    </row>
    <row r="5" spans="1:44" ht="15" customHeight="1" x14ac:dyDescent="0.2">
      <c r="A5" s="81" t="s">
        <v>7851</v>
      </c>
      <c r="B5" s="81" t="s">
        <v>25615</v>
      </c>
      <c r="C5" s="81" t="s">
        <v>8</v>
      </c>
      <c r="D5" s="81" t="s">
        <v>21</v>
      </c>
      <c r="E5" s="81" t="s">
        <v>25711</v>
      </c>
      <c r="F5" s="81" t="s">
        <v>91</v>
      </c>
      <c r="G5" s="81" t="s">
        <v>28588</v>
      </c>
      <c r="H5" s="81" t="s">
        <v>28591</v>
      </c>
      <c r="I5" s="81" t="s">
        <v>52</v>
      </c>
      <c r="J5" s="84" t="s">
        <v>28589</v>
      </c>
      <c r="K5" s="81" t="s">
        <v>25722</v>
      </c>
      <c r="L5" s="81" t="s">
        <v>25642</v>
      </c>
      <c r="M5" s="81" t="s">
        <v>12</v>
      </c>
      <c r="N5" s="81">
        <v>2053.35</v>
      </c>
      <c r="Q5" s="80"/>
      <c r="R5" s="103" t="str">
        <f t="shared" si="0"/>
        <v>21-267-02-</v>
      </c>
      <c r="Z5" s="81">
        <v>4</v>
      </c>
    </row>
    <row r="6" spans="1:44" ht="15" customHeight="1" x14ac:dyDescent="0.2">
      <c r="A6" s="81" t="s">
        <v>6875</v>
      </c>
      <c r="B6" s="81" t="s">
        <v>25601</v>
      </c>
      <c r="C6" s="81" t="s">
        <v>31</v>
      </c>
      <c r="D6" s="81" t="s">
        <v>32</v>
      </c>
      <c r="E6" s="81" t="s">
        <v>25711</v>
      </c>
      <c r="F6" s="81" t="s">
        <v>26687</v>
      </c>
      <c r="G6" s="81" t="s">
        <v>28588</v>
      </c>
      <c r="H6" s="81" t="s">
        <v>28442</v>
      </c>
      <c r="I6" s="81" t="s">
        <v>1</v>
      </c>
      <c r="J6" s="84" t="s">
        <v>28589</v>
      </c>
      <c r="K6" s="81" t="s">
        <v>25722</v>
      </c>
      <c r="L6" s="81" t="s">
        <v>25642</v>
      </c>
      <c r="M6" s="81" t="s">
        <v>12</v>
      </c>
      <c r="N6" s="81">
        <v>1649.7000000000003</v>
      </c>
      <c r="Q6" s="80"/>
      <c r="R6" s="103" t="str">
        <f t="shared" si="0"/>
        <v>21-018-09-</v>
      </c>
      <c r="X6" s="81">
        <v>2</v>
      </c>
      <c r="Z6" s="81">
        <v>4</v>
      </c>
      <c r="AB6" s="81">
        <v>7</v>
      </c>
      <c r="AF6" s="81">
        <v>1</v>
      </c>
    </row>
    <row r="7" spans="1:44" ht="15" customHeight="1" x14ac:dyDescent="0.2">
      <c r="A7" s="81" t="s">
        <v>6877</v>
      </c>
      <c r="B7" s="81" t="s">
        <v>25601</v>
      </c>
      <c r="C7" s="81" t="s">
        <v>31</v>
      </c>
      <c r="D7" s="81" t="s">
        <v>32</v>
      </c>
      <c r="E7" s="81" t="s">
        <v>25711</v>
      </c>
      <c r="F7" s="81" t="s">
        <v>26687</v>
      </c>
      <c r="G7" s="81" t="s">
        <v>28588</v>
      </c>
      <c r="H7" s="81" t="s">
        <v>28590</v>
      </c>
      <c r="I7" s="81" t="s">
        <v>194</v>
      </c>
      <c r="J7" s="84" t="s">
        <v>28589</v>
      </c>
      <c r="K7" s="81" t="s">
        <v>25722</v>
      </c>
      <c r="L7" s="81" t="s">
        <v>25642</v>
      </c>
      <c r="M7" s="81" t="s">
        <v>12</v>
      </c>
      <c r="N7" s="81">
        <v>1649.7000000000003</v>
      </c>
      <c r="Q7" s="80"/>
      <c r="R7" s="103" t="str">
        <f t="shared" si="0"/>
        <v>21-018-36-</v>
      </c>
      <c r="X7" s="81">
        <v>1</v>
      </c>
      <c r="Z7" s="81">
        <v>4</v>
      </c>
      <c r="AB7" s="81">
        <v>6</v>
      </c>
      <c r="AD7" s="81">
        <v>3</v>
      </c>
      <c r="AF7" s="81">
        <v>2</v>
      </c>
    </row>
    <row r="8" spans="1:44" ht="15" customHeight="1" x14ac:dyDescent="0.2">
      <c r="A8" s="81" t="s">
        <v>6869</v>
      </c>
      <c r="B8" s="81" t="s">
        <v>25601</v>
      </c>
      <c r="C8" s="81" t="s">
        <v>31</v>
      </c>
      <c r="D8" s="81" t="s">
        <v>32</v>
      </c>
      <c r="E8" s="81" t="s">
        <v>25711</v>
      </c>
      <c r="F8" s="81" t="s">
        <v>26687</v>
      </c>
      <c r="G8" s="81" t="s">
        <v>28588</v>
      </c>
      <c r="H8" s="81" t="s">
        <v>28591</v>
      </c>
      <c r="I8" s="81" t="s">
        <v>52</v>
      </c>
      <c r="J8" s="84" t="s">
        <v>28589</v>
      </c>
      <c r="K8" s="81" t="s">
        <v>25722</v>
      </c>
      <c r="L8" s="81" t="s">
        <v>25642</v>
      </c>
      <c r="M8" s="81" t="s">
        <v>12</v>
      </c>
      <c r="N8" s="81">
        <v>1649.7000000000003</v>
      </c>
      <c r="Q8" s="80"/>
      <c r="R8" s="103" t="str">
        <f t="shared" si="0"/>
        <v>21-018-02-</v>
      </c>
      <c r="AB8" s="81">
        <v>3</v>
      </c>
      <c r="AD8" s="81">
        <v>3</v>
      </c>
      <c r="AF8" s="81">
        <v>2</v>
      </c>
    </row>
    <row r="9" spans="1:44" ht="15" customHeight="1" x14ac:dyDescent="0.2">
      <c r="A9" s="81" t="s">
        <v>7447</v>
      </c>
      <c r="B9" s="81" t="s">
        <v>25625</v>
      </c>
      <c r="C9" s="81" t="s">
        <v>8</v>
      </c>
      <c r="D9" s="81" t="s">
        <v>21</v>
      </c>
      <c r="E9" s="81" t="s">
        <v>25711</v>
      </c>
      <c r="F9" s="81" t="s">
        <v>26687</v>
      </c>
      <c r="G9" s="81" t="s">
        <v>28588</v>
      </c>
      <c r="H9" s="81" t="s">
        <v>28592</v>
      </c>
      <c r="I9" s="81" t="s">
        <v>58</v>
      </c>
      <c r="J9" s="84" t="s">
        <v>25789</v>
      </c>
      <c r="K9" s="81" t="s">
        <v>25720</v>
      </c>
      <c r="L9" s="81" t="s">
        <v>25642</v>
      </c>
      <c r="M9" s="81" t="s">
        <v>26700</v>
      </c>
      <c r="N9" s="81">
        <v>6066.45</v>
      </c>
      <c r="Q9" s="80"/>
      <c r="R9" s="103" t="str">
        <f t="shared" si="0"/>
        <v>21-133-03-</v>
      </c>
      <c r="Z9" s="81">
        <v>1</v>
      </c>
      <c r="AB9" s="81">
        <v>2</v>
      </c>
      <c r="AD9" s="81">
        <v>1</v>
      </c>
    </row>
    <row r="10" spans="1:44" ht="15" customHeight="1" x14ac:dyDescent="0.2">
      <c r="A10" s="81" t="s">
        <v>7653</v>
      </c>
      <c r="B10" s="81" t="s">
        <v>25589</v>
      </c>
      <c r="C10" s="81" t="s">
        <v>8</v>
      </c>
      <c r="D10" s="81" t="s">
        <v>21</v>
      </c>
      <c r="E10" s="81" t="s">
        <v>25711</v>
      </c>
      <c r="F10" s="81" t="s">
        <v>26687</v>
      </c>
      <c r="G10" s="81" t="s">
        <v>28588</v>
      </c>
      <c r="H10" s="81" t="s">
        <v>28593</v>
      </c>
      <c r="I10" s="81" t="s">
        <v>27</v>
      </c>
      <c r="J10" s="84" t="s">
        <v>25789</v>
      </c>
      <c r="K10" s="81" t="s">
        <v>25720</v>
      </c>
      <c r="L10" s="81" t="s">
        <v>25642</v>
      </c>
      <c r="M10" s="81" t="s">
        <v>26700</v>
      </c>
      <c r="N10" s="81">
        <v>6002.0999999999995</v>
      </c>
      <c r="Q10" s="80"/>
      <c r="R10" s="103" t="str">
        <f t="shared" si="0"/>
        <v>21-209-06-</v>
      </c>
      <c r="X10" s="81">
        <v>1</v>
      </c>
      <c r="Z10" s="81">
        <v>3</v>
      </c>
      <c r="AB10" s="81">
        <v>4</v>
      </c>
      <c r="AD10" s="81">
        <v>3</v>
      </c>
      <c r="AF10" s="81">
        <v>1</v>
      </c>
    </row>
    <row r="11" spans="1:44" ht="15" customHeight="1" x14ac:dyDescent="0.2">
      <c r="A11" s="81" t="s">
        <v>7655</v>
      </c>
      <c r="B11" s="81" t="s">
        <v>25589</v>
      </c>
      <c r="C11" s="81" t="s">
        <v>8</v>
      </c>
      <c r="D11" s="81" t="s">
        <v>21</v>
      </c>
      <c r="E11" s="81" t="s">
        <v>25711</v>
      </c>
      <c r="F11" s="81" t="s">
        <v>26687</v>
      </c>
      <c r="G11" s="81" t="s">
        <v>28588</v>
      </c>
      <c r="H11" s="81" t="s">
        <v>28594</v>
      </c>
      <c r="I11" s="81" t="s">
        <v>54</v>
      </c>
      <c r="J11" s="84" t="s">
        <v>25775</v>
      </c>
      <c r="K11" s="81" t="s">
        <v>25720</v>
      </c>
      <c r="L11" s="81" t="s">
        <v>25642</v>
      </c>
      <c r="M11" s="81" t="s">
        <v>26700</v>
      </c>
      <c r="N11" s="81">
        <v>6002.0999999999995</v>
      </c>
      <c r="Q11" s="80"/>
      <c r="R11" s="103" t="str">
        <f t="shared" si="0"/>
        <v>21-209-11-</v>
      </c>
      <c r="Z11" s="81">
        <v>2</v>
      </c>
      <c r="AB11" s="81">
        <v>4</v>
      </c>
      <c r="AD11" s="81">
        <v>2</v>
      </c>
    </row>
    <row r="12" spans="1:44" ht="15" customHeight="1" x14ac:dyDescent="0.2">
      <c r="A12" s="81" t="s">
        <v>7661</v>
      </c>
      <c r="B12" s="81" t="s">
        <v>25589</v>
      </c>
      <c r="C12" s="81" t="s">
        <v>8</v>
      </c>
      <c r="D12" s="81" t="s">
        <v>21</v>
      </c>
      <c r="E12" s="81" t="s">
        <v>25711</v>
      </c>
      <c r="F12" s="81" t="s">
        <v>26687</v>
      </c>
      <c r="G12" s="81" t="s">
        <v>28588</v>
      </c>
      <c r="H12" s="81" t="s">
        <v>28595</v>
      </c>
      <c r="I12" s="81" t="s">
        <v>100</v>
      </c>
      <c r="J12" s="84" t="s">
        <v>25775</v>
      </c>
      <c r="K12" s="81" t="s">
        <v>25720</v>
      </c>
      <c r="L12" s="81" t="s">
        <v>25642</v>
      </c>
      <c r="M12" s="81" t="s">
        <v>26700</v>
      </c>
      <c r="N12" s="81">
        <v>6002.0999999999995</v>
      </c>
      <c r="Q12" s="80"/>
      <c r="R12" s="103" t="str">
        <f t="shared" si="0"/>
        <v>21-209-17-</v>
      </c>
      <c r="X12" s="81">
        <v>2</v>
      </c>
      <c r="Z12" s="81">
        <v>5</v>
      </c>
      <c r="AB12" s="81">
        <v>7</v>
      </c>
      <c r="AD12" s="81">
        <v>5</v>
      </c>
      <c r="AF12" s="81">
        <v>2</v>
      </c>
    </row>
    <row r="13" spans="1:44" ht="15" customHeight="1" x14ac:dyDescent="0.2">
      <c r="A13" s="80" t="s">
        <v>7671</v>
      </c>
      <c r="B13" s="81" t="s">
        <v>25589</v>
      </c>
      <c r="C13" s="81" t="s">
        <v>8</v>
      </c>
      <c r="D13" s="81" t="s">
        <v>21</v>
      </c>
      <c r="E13" s="81" t="s">
        <v>25711</v>
      </c>
      <c r="F13" s="81" t="s">
        <v>26687</v>
      </c>
      <c r="G13" s="81" t="s">
        <v>28588</v>
      </c>
      <c r="H13" s="81" t="s">
        <v>28596</v>
      </c>
      <c r="I13" s="80" t="s">
        <v>25411</v>
      </c>
      <c r="J13" s="84" t="s">
        <v>25789</v>
      </c>
      <c r="K13" s="81" t="s">
        <v>25720</v>
      </c>
      <c r="L13" s="81" t="s">
        <v>25642</v>
      </c>
      <c r="M13" s="81" t="s">
        <v>26700</v>
      </c>
      <c r="N13" s="81">
        <v>6002.0999999999995</v>
      </c>
      <c r="Q13" s="80"/>
      <c r="R13" s="103" t="str">
        <f t="shared" si="0"/>
        <v>21-209-99-</v>
      </c>
      <c r="Z13" s="81">
        <v>2</v>
      </c>
      <c r="AB13" s="81">
        <v>4</v>
      </c>
      <c r="AD13" s="81">
        <v>2</v>
      </c>
    </row>
    <row r="14" spans="1:44" ht="15" customHeight="1" x14ac:dyDescent="0.2">
      <c r="A14" s="81" t="s">
        <v>7649</v>
      </c>
      <c r="B14" s="81" t="s">
        <v>25589</v>
      </c>
      <c r="C14" s="81" t="s">
        <v>8</v>
      </c>
      <c r="D14" s="81" t="s">
        <v>21</v>
      </c>
      <c r="E14" s="81" t="s">
        <v>25711</v>
      </c>
      <c r="F14" s="81" t="s">
        <v>26687</v>
      </c>
      <c r="G14" s="81" t="s">
        <v>28588</v>
      </c>
      <c r="H14" s="81" t="s">
        <v>28597</v>
      </c>
      <c r="I14" s="81" t="s">
        <v>52</v>
      </c>
      <c r="J14" s="84" t="s">
        <v>25789</v>
      </c>
      <c r="K14" s="81" t="s">
        <v>25720</v>
      </c>
      <c r="L14" s="81" t="s">
        <v>25642</v>
      </c>
      <c r="M14" s="81" t="s">
        <v>26700</v>
      </c>
      <c r="N14" s="81">
        <v>6002.0999999999995</v>
      </c>
      <c r="Q14" s="80"/>
      <c r="R14" s="103" t="str">
        <f t="shared" si="0"/>
        <v>21-209-02-</v>
      </c>
      <c r="X14" s="81">
        <v>2</v>
      </c>
      <c r="Z14" s="81">
        <v>2</v>
      </c>
      <c r="AB14" s="81">
        <v>3</v>
      </c>
      <c r="AD14" s="81">
        <v>3</v>
      </c>
      <c r="AF14" s="81">
        <v>2</v>
      </c>
    </row>
    <row r="15" spans="1:44" ht="15" customHeight="1" x14ac:dyDescent="0.2">
      <c r="A15" s="81" t="s">
        <v>7779</v>
      </c>
      <c r="B15" s="81" t="s">
        <v>25590</v>
      </c>
      <c r="C15" s="81" t="s">
        <v>8</v>
      </c>
      <c r="D15" s="81" t="s">
        <v>21</v>
      </c>
      <c r="E15" s="81" t="s">
        <v>25711</v>
      </c>
      <c r="F15" s="81" t="s">
        <v>26687</v>
      </c>
      <c r="G15" s="81" t="s">
        <v>28588</v>
      </c>
      <c r="H15" s="81" t="s">
        <v>28597</v>
      </c>
      <c r="I15" s="81" t="s">
        <v>100</v>
      </c>
      <c r="J15" s="84" t="s">
        <v>25744</v>
      </c>
      <c r="K15" s="81" t="s">
        <v>25715</v>
      </c>
      <c r="L15" s="81" t="s">
        <v>25642</v>
      </c>
      <c r="M15" s="81" t="s">
        <v>26700</v>
      </c>
      <c r="N15" s="81">
        <v>5733</v>
      </c>
      <c r="Q15" s="80"/>
      <c r="R15" s="103" t="str">
        <f t="shared" si="0"/>
        <v>21-242-17-</v>
      </c>
      <c r="X15" s="81">
        <v>2</v>
      </c>
      <c r="Z15" s="81">
        <v>3</v>
      </c>
      <c r="AB15" s="81">
        <v>4</v>
      </c>
      <c r="AD15" s="81">
        <v>2</v>
      </c>
    </row>
    <row r="16" spans="1:44" ht="15" customHeight="1" x14ac:dyDescent="0.2">
      <c r="A16" s="81" t="s">
        <v>27092</v>
      </c>
      <c r="B16" s="81" t="s">
        <v>25590</v>
      </c>
      <c r="C16" s="81" t="s">
        <v>8</v>
      </c>
      <c r="D16" s="81" t="s">
        <v>21</v>
      </c>
      <c r="E16" s="81" t="s">
        <v>25711</v>
      </c>
      <c r="F16" s="81" t="s">
        <v>26687</v>
      </c>
      <c r="G16" s="81" t="s">
        <v>28588</v>
      </c>
      <c r="H16" s="81" t="s">
        <v>28598</v>
      </c>
      <c r="I16" s="81" t="s">
        <v>147</v>
      </c>
      <c r="J16" s="84" t="s">
        <v>25744</v>
      </c>
      <c r="K16" s="81" t="s">
        <v>25715</v>
      </c>
      <c r="L16" s="81" t="s">
        <v>25642</v>
      </c>
      <c r="M16" s="81" t="s">
        <v>26700</v>
      </c>
      <c r="N16" s="81">
        <v>5733</v>
      </c>
      <c r="Q16" s="80"/>
      <c r="R16" s="103" t="str">
        <f t="shared" si="0"/>
        <v>21-242-19-</v>
      </c>
      <c r="Z16" s="81">
        <v>1</v>
      </c>
      <c r="AB16" s="81">
        <v>2</v>
      </c>
      <c r="AD16" s="81">
        <v>1</v>
      </c>
    </row>
    <row r="17" spans="1:32" ht="15" customHeight="1" x14ac:dyDescent="0.2">
      <c r="A17" s="81" t="s">
        <v>7228</v>
      </c>
      <c r="B17" s="81" t="s">
        <v>25604</v>
      </c>
      <c r="C17" s="81" t="s">
        <v>8</v>
      </c>
      <c r="D17" s="81" t="s">
        <v>14</v>
      </c>
      <c r="E17" s="81" t="s">
        <v>25711</v>
      </c>
      <c r="F17" s="81" t="s">
        <v>26687</v>
      </c>
      <c r="G17" s="81" t="s">
        <v>28588</v>
      </c>
      <c r="H17" s="81" t="s">
        <v>28442</v>
      </c>
      <c r="I17" s="81" t="s">
        <v>1</v>
      </c>
      <c r="J17" s="84" t="s">
        <v>26108</v>
      </c>
      <c r="K17" s="81" t="s">
        <v>25715</v>
      </c>
      <c r="L17" s="81" t="s">
        <v>25642</v>
      </c>
      <c r="M17" s="81" t="s">
        <v>12</v>
      </c>
      <c r="N17" s="81">
        <v>2094.3000000000002</v>
      </c>
      <c r="Q17" s="80"/>
      <c r="R17" s="103" t="str">
        <f t="shared" si="0"/>
        <v>21-089-09-</v>
      </c>
      <c r="Z17" s="81">
        <v>4</v>
      </c>
      <c r="AB17" s="81">
        <v>6</v>
      </c>
      <c r="AD17" s="81">
        <v>4</v>
      </c>
      <c r="AF17" s="81">
        <v>1</v>
      </c>
    </row>
    <row r="18" spans="1:32" ht="15" customHeight="1" x14ac:dyDescent="0.2">
      <c r="A18" s="81" t="s">
        <v>7236</v>
      </c>
      <c r="B18" s="81" t="s">
        <v>25604</v>
      </c>
      <c r="C18" s="81" t="s">
        <v>8</v>
      </c>
      <c r="D18" s="81" t="s">
        <v>14</v>
      </c>
      <c r="E18" s="81" t="s">
        <v>25711</v>
      </c>
      <c r="F18" s="81" t="s">
        <v>26687</v>
      </c>
      <c r="G18" s="81" t="s">
        <v>28588</v>
      </c>
      <c r="H18" s="81" t="s">
        <v>28599</v>
      </c>
      <c r="I18" s="81" t="s">
        <v>25503</v>
      </c>
      <c r="J18" s="84" t="s">
        <v>26092</v>
      </c>
      <c r="K18" s="81" t="s">
        <v>25715</v>
      </c>
      <c r="L18" s="81" t="s">
        <v>25642</v>
      </c>
      <c r="M18" s="81" t="s">
        <v>12</v>
      </c>
      <c r="N18" s="81">
        <v>2094.3000000000002</v>
      </c>
      <c r="Q18" s="80"/>
      <c r="R18" s="103" t="str">
        <f t="shared" si="0"/>
        <v>21-089-15-</v>
      </c>
      <c r="Z18" s="81">
        <v>4</v>
      </c>
      <c r="AB18" s="81">
        <v>6</v>
      </c>
      <c r="AD18" s="81">
        <v>4</v>
      </c>
    </row>
    <row r="19" spans="1:32" ht="15" customHeight="1" x14ac:dyDescent="0.2">
      <c r="A19" s="81" t="s">
        <v>7240</v>
      </c>
      <c r="B19" s="81" t="s">
        <v>25604</v>
      </c>
      <c r="C19" s="81" t="s">
        <v>8</v>
      </c>
      <c r="D19" s="81" t="s">
        <v>14</v>
      </c>
      <c r="E19" s="81" t="s">
        <v>25711</v>
      </c>
      <c r="F19" s="81" t="s">
        <v>26687</v>
      </c>
      <c r="G19" s="81" t="s">
        <v>28588</v>
      </c>
      <c r="H19" s="81" t="s">
        <v>28597</v>
      </c>
      <c r="I19" s="81" t="s">
        <v>194</v>
      </c>
      <c r="J19" s="84" t="s">
        <v>26092</v>
      </c>
      <c r="K19" s="81" t="s">
        <v>25715</v>
      </c>
      <c r="L19" s="81" t="s">
        <v>25642</v>
      </c>
      <c r="M19" s="81" t="s">
        <v>12</v>
      </c>
      <c r="N19" s="81">
        <v>2094.3000000000002</v>
      </c>
      <c r="Q19" s="80"/>
      <c r="R19" s="103" t="str">
        <f t="shared" si="0"/>
        <v>21-089-36-</v>
      </c>
      <c r="X19" s="81">
        <v>2</v>
      </c>
      <c r="Z19" s="81">
        <v>7</v>
      </c>
      <c r="AB19" s="81">
        <v>8</v>
      </c>
      <c r="AD19" s="81">
        <v>5</v>
      </c>
      <c r="AF19" s="81">
        <v>2</v>
      </c>
    </row>
    <row r="20" spans="1:32" ht="15" customHeight="1" x14ac:dyDescent="0.2">
      <c r="A20" s="81" t="s">
        <v>7232</v>
      </c>
      <c r="B20" s="81" t="s">
        <v>25604</v>
      </c>
      <c r="C20" s="81" t="s">
        <v>8</v>
      </c>
      <c r="D20" s="81" t="s">
        <v>14</v>
      </c>
      <c r="E20" s="81" t="s">
        <v>25711</v>
      </c>
      <c r="F20" s="81" t="s">
        <v>26687</v>
      </c>
      <c r="G20" s="81" t="s">
        <v>28588</v>
      </c>
      <c r="H20" s="81" t="s">
        <v>28600</v>
      </c>
      <c r="I20" s="81" t="s">
        <v>197</v>
      </c>
      <c r="J20" s="84" t="s">
        <v>26092</v>
      </c>
      <c r="K20" s="81" t="s">
        <v>25715</v>
      </c>
      <c r="L20" s="81" t="s">
        <v>25642</v>
      </c>
      <c r="M20" s="81" t="s">
        <v>12</v>
      </c>
      <c r="N20" s="81">
        <v>2094.3000000000002</v>
      </c>
      <c r="Q20" s="80"/>
      <c r="R20" s="103" t="str">
        <f t="shared" si="0"/>
        <v>21-089-13-</v>
      </c>
      <c r="Z20" s="81">
        <v>4</v>
      </c>
      <c r="AB20" s="81">
        <v>6</v>
      </c>
      <c r="AD20" s="81">
        <v>4</v>
      </c>
      <c r="AF20" s="81">
        <v>1</v>
      </c>
    </row>
    <row r="21" spans="1:32" ht="15" customHeight="1" x14ac:dyDescent="0.2">
      <c r="A21" s="81" t="s">
        <v>28521</v>
      </c>
      <c r="B21" s="81" t="s">
        <v>25604</v>
      </c>
      <c r="C21" s="81" t="s">
        <v>8</v>
      </c>
      <c r="D21" s="81" t="s">
        <v>14</v>
      </c>
      <c r="E21" s="81" t="s">
        <v>25711</v>
      </c>
      <c r="F21" s="81" t="s">
        <v>26687</v>
      </c>
      <c r="G21" s="81" t="s">
        <v>28588</v>
      </c>
      <c r="H21" s="81" t="s">
        <v>28601</v>
      </c>
      <c r="I21" s="81" t="s">
        <v>26</v>
      </c>
      <c r="J21" s="84" t="s">
        <v>26108</v>
      </c>
      <c r="K21" s="81" t="s">
        <v>25715</v>
      </c>
      <c r="L21" s="81" t="s">
        <v>25642</v>
      </c>
      <c r="M21" s="81" t="s">
        <v>12</v>
      </c>
      <c r="N21" s="81">
        <v>2094.3000000000002</v>
      </c>
      <c r="Q21" s="80"/>
      <c r="R21" s="103" t="str">
        <f t="shared" si="0"/>
        <v>21-089-05-</v>
      </c>
      <c r="Z21" s="81">
        <v>4</v>
      </c>
      <c r="AB21" s="81">
        <v>6</v>
      </c>
      <c r="AD21" s="81">
        <v>4</v>
      </c>
      <c r="AF21" s="81">
        <v>1</v>
      </c>
    </row>
    <row r="22" spans="1:32" ht="15" customHeight="1" x14ac:dyDescent="0.2">
      <c r="A22" s="81" t="s">
        <v>7238</v>
      </c>
      <c r="B22" s="81" t="s">
        <v>25604</v>
      </c>
      <c r="C22" s="81" t="s">
        <v>8</v>
      </c>
      <c r="D22" s="81" t="s">
        <v>14</v>
      </c>
      <c r="E22" s="81" t="s">
        <v>25711</v>
      </c>
      <c r="F22" s="81" t="s">
        <v>26687</v>
      </c>
      <c r="G22" s="81" t="s">
        <v>28588</v>
      </c>
      <c r="H22" s="81" t="s">
        <v>28602</v>
      </c>
      <c r="I22" s="81" t="s">
        <v>100</v>
      </c>
      <c r="J22" s="84" t="s">
        <v>26092</v>
      </c>
      <c r="K22" s="81" t="s">
        <v>25715</v>
      </c>
      <c r="L22" s="81" t="s">
        <v>25642</v>
      </c>
      <c r="M22" s="81" t="s">
        <v>12</v>
      </c>
      <c r="N22" s="81">
        <v>2094.3000000000002</v>
      </c>
      <c r="Q22" s="80"/>
      <c r="R22" s="103" t="str">
        <f t="shared" si="0"/>
        <v>21-089-17-</v>
      </c>
      <c r="X22" s="81">
        <v>2</v>
      </c>
      <c r="Z22" s="81">
        <v>6</v>
      </c>
      <c r="AB22" s="81">
        <v>9</v>
      </c>
      <c r="AD22" s="81">
        <v>7</v>
      </c>
      <c r="AF22" s="81">
        <v>2</v>
      </c>
    </row>
    <row r="23" spans="1:32" ht="15" customHeight="1" x14ac:dyDescent="0.2">
      <c r="A23" s="81" t="s">
        <v>7487</v>
      </c>
      <c r="B23" s="81" t="s">
        <v>25637</v>
      </c>
      <c r="C23" s="81" t="s">
        <v>8</v>
      </c>
      <c r="D23" s="81" t="s">
        <v>21</v>
      </c>
      <c r="E23" s="81" t="s">
        <v>25711</v>
      </c>
      <c r="F23" s="81" t="s">
        <v>26687</v>
      </c>
      <c r="G23" s="81" t="s">
        <v>28588</v>
      </c>
      <c r="H23" s="81" t="s">
        <v>28597</v>
      </c>
      <c r="I23" s="81" t="s">
        <v>52</v>
      </c>
      <c r="J23" s="84" t="s">
        <v>25979</v>
      </c>
      <c r="K23" s="81" t="s">
        <v>25715</v>
      </c>
      <c r="L23" s="81" t="s">
        <v>25642</v>
      </c>
      <c r="M23" s="81" t="s">
        <v>12</v>
      </c>
      <c r="N23" s="81">
        <v>2018.25</v>
      </c>
      <c r="Q23" s="80"/>
      <c r="R23" s="103" t="str">
        <f t="shared" si="0"/>
        <v>21-145-02-</v>
      </c>
      <c r="X23" s="81">
        <v>1</v>
      </c>
      <c r="Z23" s="81">
        <v>3</v>
      </c>
      <c r="AB23" s="81">
        <v>2</v>
      </c>
      <c r="AD23" s="81">
        <v>4</v>
      </c>
    </row>
    <row r="24" spans="1:32" ht="15" customHeight="1" x14ac:dyDescent="0.2">
      <c r="A24" s="81" t="s">
        <v>7256</v>
      </c>
      <c r="B24" s="81" t="s">
        <v>25591</v>
      </c>
      <c r="C24" s="81" t="s">
        <v>8</v>
      </c>
      <c r="D24" s="81" t="s">
        <v>14</v>
      </c>
      <c r="E24" s="81" t="s">
        <v>25711</v>
      </c>
      <c r="F24" s="81" t="s">
        <v>26687</v>
      </c>
      <c r="G24" s="81" t="s">
        <v>28588</v>
      </c>
      <c r="H24" s="81" t="s">
        <v>28442</v>
      </c>
      <c r="I24" s="81" t="s">
        <v>1</v>
      </c>
      <c r="J24" s="84" t="s">
        <v>26092</v>
      </c>
      <c r="K24" s="81" t="s">
        <v>25715</v>
      </c>
      <c r="L24" s="81" t="s">
        <v>25642</v>
      </c>
      <c r="M24" s="81" t="s">
        <v>12</v>
      </c>
      <c r="N24" s="81">
        <v>2094.3000000000002</v>
      </c>
      <c r="Q24" s="80"/>
      <c r="R24" s="103" t="str">
        <f t="shared" si="0"/>
        <v>21-090-09-</v>
      </c>
      <c r="X24" s="81">
        <v>2</v>
      </c>
      <c r="Z24" s="81">
        <v>7</v>
      </c>
      <c r="AB24" s="81">
        <v>10</v>
      </c>
      <c r="AD24" s="81">
        <v>6</v>
      </c>
      <c r="AF24" s="81">
        <v>3</v>
      </c>
    </row>
    <row r="25" spans="1:32" ht="15" customHeight="1" x14ac:dyDescent="0.2">
      <c r="A25" s="81" t="s">
        <v>7280</v>
      </c>
      <c r="B25" s="81" t="s">
        <v>25591</v>
      </c>
      <c r="C25" s="81" t="s">
        <v>8</v>
      </c>
      <c r="D25" s="81" t="s">
        <v>14</v>
      </c>
      <c r="E25" s="81" t="s">
        <v>25711</v>
      </c>
      <c r="F25" s="81" t="s">
        <v>26687</v>
      </c>
      <c r="G25" s="81" t="s">
        <v>28588</v>
      </c>
      <c r="H25" s="81" t="s">
        <v>28603</v>
      </c>
      <c r="I25" s="81" t="s">
        <v>25427</v>
      </c>
      <c r="J25" s="84" t="s">
        <v>26092</v>
      </c>
      <c r="K25" s="81" t="s">
        <v>25715</v>
      </c>
      <c r="L25" s="81" t="s">
        <v>25642</v>
      </c>
      <c r="M25" s="81" t="s">
        <v>12</v>
      </c>
      <c r="N25" s="81">
        <v>2094.3000000000002</v>
      </c>
      <c r="Q25" s="80"/>
      <c r="R25" s="103" t="str">
        <f t="shared" si="0"/>
        <v>21-090-82-</v>
      </c>
      <c r="X25" s="81">
        <v>1</v>
      </c>
      <c r="Z25" s="81">
        <v>3</v>
      </c>
      <c r="AB25" s="81">
        <v>5</v>
      </c>
      <c r="AD25" s="81">
        <v>5</v>
      </c>
      <c r="AF25" s="81">
        <v>2</v>
      </c>
    </row>
    <row r="26" spans="1:32" ht="15" customHeight="1" x14ac:dyDescent="0.2">
      <c r="A26" s="81" t="s">
        <v>7278</v>
      </c>
      <c r="B26" s="81" t="s">
        <v>25591</v>
      </c>
      <c r="C26" s="81" t="s">
        <v>8</v>
      </c>
      <c r="D26" s="81" t="s">
        <v>14</v>
      </c>
      <c r="E26" s="81" t="s">
        <v>25711</v>
      </c>
      <c r="F26" s="81" t="s">
        <v>26687</v>
      </c>
      <c r="G26" s="81" t="s">
        <v>28588</v>
      </c>
      <c r="H26" s="81" t="s">
        <v>28604</v>
      </c>
      <c r="I26" s="81" t="s">
        <v>42</v>
      </c>
      <c r="J26" s="84" t="s">
        <v>26092</v>
      </c>
      <c r="K26" s="81" t="s">
        <v>25715</v>
      </c>
      <c r="L26" s="81" t="s">
        <v>25642</v>
      </c>
      <c r="M26" s="81" t="s">
        <v>12</v>
      </c>
      <c r="N26" s="81">
        <v>2094.3000000000002</v>
      </c>
      <c r="Q26" s="80"/>
      <c r="R26" s="103" t="str">
        <f t="shared" si="0"/>
        <v>21-090-53-</v>
      </c>
      <c r="Z26" s="81">
        <v>4</v>
      </c>
      <c r="AB26" s="81">
        <v>7</v>
      </c>
      <c r="AD26" s="81">
        <v>6</v>
      </c>
      <c r="AF26" s="81">
        <v>2</v>
      </c>
    </row>
    <row r="27" spans="1:32" ht="15" customHeight="1" x14ac:dyDescent="0.2">
      <c r="A27" s="81" t="s">
        <v>7246</v>
      </c>
      <c r="B27" s="81" t="s">
        <v>25591</v>
      </c>
      <c r="C27" s="81" t="s">
        <v>8</v>
      </c>
      <c r="D27" s="81" t="s">
        <v>14</v>
      </c>
      <c r="E27" s="81" t="s">
        <v>25711</v>
      </c>
      <c r="F27" s="81" t="s">
        <v>26687</v>
      </c>
      <c r="G27" s="81" t="s">
        <v>28588</v>
      </c>
      <c r="H27" s="81" t="s">
        <v>28591</v>
      </c>
      <c r="I27" s="81" t="s">
        <v>29</v>
      </c>
      <c r="J27" s="84" t="s">
        <v>26092</v>
      </c>
      <c r="K27" s="81" t="s">
        <v>25715</v>
      </c>
      <c r="L27" s="81" t="s">
        <v>25642</v>
      </c>
      <c r="M27" s="81" t="s">
        <v>12</v>
      </c>
      <c r="N27" s="81">
        <v>2094.3000000000002</v>
      </c>
      <c r="Q27" s="80"/>
      <c r="R27" s="103" t="str">
        <f t="shared" si="0"/>
        <v>21-090-02-</v>
      </c>
      <c r="X27" s="81">
        <v>1</v>
      </c>
      <c r="Z27" s="81">
        <v>6</v>
      </c>
      <c r="AB27" s="81">
        <v>8</v>
      </c>
      <c r="AD27" s="81">
        <v>5</v>
      </c>
      <c r="AF27" s="81">
        <v>3</v>
      </c>
    </row>
    <row r="28" spans="1:32" ht="15" customHeight="1" x14ac:dyDescent="0.2">
      <c r="A28" s="81" t="s">
        <v>7268</v>
      </c>
      <c r="B28" s="81" t="s">
        <v>25591</v>
      </c>
      <c r="C28" s="81" t="s">
        <v>8</v>
      </c>
      <c r="D28" s="81" t="s">
        <v>14</v>
      </c>
      <c r="E28" s="81" t="s">
        <v>25711</v>
      </c>
      <c r="F28" s="81" t="s">
        <v>26687</v>
      </c>
      <c r="G28" s="81" t="s">
        <v>28588</v>
      </c>
      <c r="H28" s="81" t="s">
        <v>28602</v>
      </c>
      <c r="I28" s="81" t="s">
        <v>100</v>
      </c>
      <c r="J28" s="84" t="s">
        <v>26092</v>
      </c>
      <c r="K28" s="81" t="s">
        <v>25715</v>
      </c>
      <c r="L28" s="81" t="s">
        <v>25642</v>
      </c>
      <c r="M28" s="81" t="s">
        <v>12</v>
      </c>
      <c r="N28" s="81">
        <v>2094.3000000000002</v>
      </c>
      <c r="Q28" s="80"/>
      <c r="R28" s="103" t="str">
        <f t="shared" si="0"/>
        <v>21-090-17-</v>
      </c>
      <c r="X28" s="81">
        <v>3</v>
      </c>
      <c r="Z28" s="81">
        <v>11</v>
      </c>
      <c r="AB28" s="81">
        <v>14</v>
      </c>
      <c r="AD28" s="81">
        <v>10</v>
      </c>
      <c r="AF28" s="81">
        <v>3</v>
      </c>
    </row>
    <row r="29" spans="1:32" ht="15" customHeight="1" x14ac:dyDescent="0.2">
      <c r="A29" s="81" t="s">
        <v>7310</v>
      </c>
      <c r="B29" s="81" t="s">
        <v>25592</v>
      </c>
      <c r="C29" s="81" t="s">
        <v>8</v>
      </c>
      <c r="D29" s="81" t="s">
        <v>14</v>
      </c>
      <c r="E29" s="81" t="s">
        <v>25711</v>
      </c>
      <c r="F29" s="81" t="s">
        <v>91</v>
      </c>
      <c r="G29" s="81" t="s">
        <v>28588</v>
      </c>
      <c r="H29" s="81" t="s">
        <v>28605</v>
      </c>
      <c r="I29" s="81" t="s">
        <v>147</v>
      </c>
      <c r="J29" s="84" t="s">
        <v>25770</v>
      </c>
      <c r="L29" s="81" t="s">
        <v>25642</v>
      </c>
      <c r="M29" s="81" t="s">
        <v>12</v>
      </c>
      <c r="N29" s="81">
        <v>2094.3000000000002</v>
      </c>
      <c r="Q29" s="80"/>
      <c r="R29" s="103" t="str">
        <f t="shared" si="0"/>
        <v>21-091-60-</v>
      </c>
      <c r="X29" s="81">
        <v>2</v>
      </c>
      <c r="Z29" s="81">
        <v>7</v>
      </c>
      <c r="AB29" s="81">
        <v>9</v>
      </c>
      <c r="AD29" s="81">
        <v>5</v>
      </c>
      <c r="AF29" s="81">
        <v>1</v>
      </c>
    </row>
    <row r="30" spans="1:32" ht="15" customHeight="1" x14ac:dyDescent="0.2">
      <c r="A30" s="81" t="s">
        <v>27084</v>
      </c>
      <c r="B30" s="81" t="s">
        <v>25592</v>
      </c>
      <c r="C30" s="81" t="s">
        <v>8</v>
      </c>
      <c r="D30" s="81" t="s">
        <v>14</v>
      </c>
      <c r="E30" s="81" t="s">
        <v>25711</v>
      </c>
      <c r="F30" s="81" t="s">
        <v>26687</v>
      </c>
      <c r="G30" s="81" t="s">
        <v>28588</v>
      </c>
      <c r="H30" s="81" t="s">
        <v>28606</v>
      </c>
      <c r="I30" s="81" t="s">
        <v>25406</v>
      </c>
      <c r="J30" s="84" t="s">
        <v>25770</v>
      </c>
      <c r="L30" s="81" t="s">
        <v>25642</v>
      </c>
      <c r="M30" s="81" t="s">
        <v>12</v>
      </c>
      <c r="N30" s="81">
        <v>2094.3000000000002</v>
      </c>
      <c r="Q30" s="80"/>
      <c r="R30" s="103" t="str">
        <f t="shared" si="0"/>
        <v>21-091-00-</v>
      </c>
      <c r="X30" s="81">
        <v>3</v>
      </c>
      <c r="Z30" s="81">
        <v>9</v>
      </c>
      <c r="AB30" s="81">
        <v>11</v>
      </c>
      <c r="AD30" s="81">
        <v>8</v>
      </c>
      <c r="AF30" s="81">
        <v>3</v>
      </c>
    </row>
    <row r="31" spans="1:32" ht="15" customHeight="1" x14ac:dyDescent="0.2">
      <c r="A31" s="81" t="s">
        <v>28522</v>
      </c>
      <c r="B31" s="81" t="s">
        <v>25592</v>
      </c>
      <c r="C31" s="81" t="s">
        <v>8</v>
      </c>
      <c r="D31" s="81" t="s">
        <v>14</v>
      </c>
      <c r="E31" s="81" t="s">
        <v>25711</v>
      </c>
      <c r="F31" s="81" t="s">
        <v>26687</v>
      </c>
      <c r="G31" s="81" t="s">
        <v>28588</v>
      </c>
      <c r="H31" s="81" t="s">
        <v>28607</v>
      </c>
      <c r="I31" s="81" t="s">
        <v>28</v>
      </c>
      <c r="J31" s="84" t="s">
        <v>25770</v>
      </c>
      <c r="L31" s="81" t="s">
        <v>25642</v>
      </c>
      <c r="M31" s="81" t="s">
        <v>12</v>
      </c>
      <c r="N31" s="81">
        <v>2094.3000000000002</v>
      </c>
      <c r="Q31" s="80"/>
      <c r="R31" s="103" t="str">
        <f t="shared" si="0"/>
        <v>21-091-08-</v>
      </c>
      <c r="X31" s="81">
        <v>3</v>
      </c>
      <c r="Z31" s="81">
        <v>9</v>
      </c>
      <c r="AB31" s="81">
        <v>11</v>
      </c>
      <c r="AD31" s="81">
        <v>8</v>
      </c>
      <c r="AF31" s="81">
        <v>3</v>
      </c>
    </row>
    <row r="32" spans="1:32" ht="15" customHeight="1" x14ac:dyDescent="0.2">
      <c r="A32" s="81" t="s">
        <v>7296</v>
      </c>
      <c r="B32" s="81" t="s">
        <v>25592</v>
      </c>
      <c r="C32" s="81" t="s">
        <v>8</v>
      </c>
      <c r="D32" s="81" t="s">
        <v>14</v>
      </c>
      <c r="E32" s="81" t="s">
        <v>25711</v>
      </c>
      <c r="F32" s="81" t="s">
        <v>26687</v>
      </c>
      <c r="G32" s="81" t="s">
        <v>28588</v>
      </c>
      <c r="H32" s="81" t="s">
        <v>28608</v>
      </c>
      <c r="I32" s="81" t="s">
        <v>22</v>
      </c>
      <c r="J32" s="84" t="s">
        <v>25770</v>
      </c>
      <c r="L32" s="81" t="s">
        <v>25642</v>
      </c>
      <c r="M32" s="81" t="s">
        <v>12</v>
      </c>
      <c r="N32" s="81">
        <v>2094.3000000000002</v>
      </c>
      <c r="Q32" s="80"/>
      <c r="R32" s="103" t="str">
        <f t="shared" si="0"/>
        <v>21-091-14-</v>
      </c>
      <c r="X32" s="81">
        <v>3</v>
      </c>
      <c r="Z32" s="81">
        <v>9</v>
      </c>
      <c r="AB32" s="81">
        <v>11</v>
      </c>
      <c r="AD32" s="81">
        <v>8</v>
      </c>
      <c r="AF32" s="81">
        <v>3</v>
      </c>
    </row>
    <row r="33" spans="1:32" ht="15" customHeight="1" x14ac:dyDescent="0.2">
      <c r="A33" s="81" t="s">
        <v>7284</v>
      </c>
      <c r="B33" s="81" t="s">
        <v>25592</v>
      </c>
      <c r="C33" s="81" t="s">
        <v>8</v>
      </c>
      <c r="D33" s="81" t="s">
        <v>14</v>
      </c>
      <c r="E33" s="81" t="s">
        <v>25711</v>
      </c>
      <c r="F33" s="81" t="s">
        <v>26687</v>
      </c>
      <c r="G33" s="81" t="s">
        <v>28588</v>
      </c>
      <c r="H33" s="81" t="s">
        <v>28609</v>
      </c>
      <c r="I33" s="81" t="s">
        <v>25472</v>
      </c>
      <c r="J33" s="84" t="s">
        <v>25770</v>
      </c>
      <c r="L33" s="81" t="s">
        <v>25642</v>
      </c>
      <c r="M33" s="81" t="s">
        <v>12</v>
      </c>
      <c r="N33" s="81">
        <v>2094.3000000000002</v>
      </c>
      <c r="Q33" s="80"/>
      <c r="R33" s="103" t="str">
        <f t="shared" si="0"/>
        <v>21-091-01-</v>
      </c>
      <c r="X33" s="81">
        <v>3</v>
      </c>
      <c r="Z33" s="81">
        <v>9</v>
      </c>
      <c r="AB33" s="81">
        <v>10</v>
      </c>
      <c r="AD33" s="81">
        <v>8</v>
      </c>
      <c r="AF33" s="81">
        <v>3</v>
      </c>
    </row>
    <row r="34" spans="1:32" ht="15" customHeight="1" x14ac:dyDescent="0.2">
      <c r="A34" s="81" t="s">
        <v>28523</v>
      </c>
      <c r="B34" s="81" t="s">
        <v>25592</v>
      </c>
      <c r="C34" s="81" t="s">
        <v>8</v>
      </c>
      <c r="D34" s="81" t="s">
        <v>14</v>
      </c>
      <c r="E34" s="81" t="s">
        <v>25711</v>
      </c>
      <c r="F34" s="81" t="s">
        <v>26687</v>
      </c>
      <c r="G34" s="81" t="s">
        <v>28588</v>
      </c>
      <c r="H34" s="81" t="s">
        <v>28610</v>
      </c>
      <c r="I34" s="81" t="s">
        <v>29</v>
      </c>
      <c r="J34" s="84" t="s">
        <v>25770</v>
      </c>
      <c r="L34" s="81" t="s">
        <v>25642</v>
      </c>
      <c r="M34" s="81" t="s">
        <v>12</v>
      </c>
      <c r="N34" s="81">
        <v>2094.3000000000002</v>
      </c>
      <c r="Q34" s="80"/>
      <c r="R34" s="103" t="str">
        <f t="shared" si="0"/>
        <v>21-091-02-</v>
      </c>
      <c r="X34" s="81">
        <v>3</v>
      </c>
      <c r="Z34" s="81">
        <v>10</v>
      </c>
      <c r="AB34" s="81">
        <v>13</v>
      </c>
      <c r="AD34" s="81">
        <v>9</v>
      </c>
      <c r="AF34" s="81">
        <v>3</v>
      </c>
    </row>
    <row r="35" spans="1:32" ht="15" customHeight="1" x14ac:dyDescent="0.2">
      <c r="A35" s="81" t="s">
        <v>7312</v>
      </c>
      <c r="B35" s="81" t="s">
        <v>25592</v>
      </c>
      <c r="C35" s="81" t="s">
        <v>8</v>
      </c>
      <c r="D35" s="81" t="s">
        <v>14</v>
      </c>
      <c r="E35" s="81" t="s">
        <v>25711</v>
      </c>
      <c r="F35" s="81" t="s">
        <v>26687</v>
      </c>
      <c r="G35" s="81" t="s">
        <v>28588</v>
      </c>
      <c r="H35" s="81" t="s">
        <v>28611</v>
      </c>
      <c r="I35" s="81" t="s">
        <v>25346</v>
      </c>
      <c r="J35" s="84" t="s">
        <v>25770</v>
      </c>
      <c r="L35" s="81" t="s">
        <v>25642</v>
      </c>
      <c r="M35" s="81" t="s">
        <v>12</v>
      </c>
      <c r="N35" s="81">
        <v>2094.3000000000002</v>
      </c>
      <c r="Q35" s="80"/>
      <c r="R35" s="103" t="str">
        <f t="shared" si="0"/>
        <v>21-091-73-</v>
      </c>
      <c r="X35" s="81">
        <v>3</v>
      </c>
      <c r="Z35" s="81">
        <v>10</v>
      </c>
      <c r="AB35" s="81">
        <v>11</v>
      </c>
      <c r="AD35" s="81">
        <v>9</v>
      </c>
      <c r="AF35" s="81">
        <v>4</v>
      </c>
    </row>
    <row r="36" spans="1:32" ht="15" customHeight="1" x14ac:dyDescent="0.2">
      <c r="A36" s="81" t="s">
        <v>28524</v>
      </c>
      <c r="B36" s="81" t="s">
        <v>25616</v>
      </c>
      <c r="C36" s="81" t="s">
        <v>8</v>
      </c>
      <c r="D36" s="81" t="s">
        <v>21</v>
      </c>
      <c r="E36" s="81" t="s">
        <v>25711</v>
      </c>
      <c r="F36" s="81" t="s">
        <v>91</v>
      </c>
      <c r="G36" s="81" t="s">
        <v>28588</v>
      </c>
      <c r="H36" s="81" t="s">
        <v>28612</v>
      </c>
      <c r="I36" s="81" t="s">
        <v>100</v>
      </c>
      <c r="J36" s="84" t="s">
        <v>25770</v>
      </c>
      <c r="L36" s="81" t="s">
        <v>25642</v>
      </c>
      <c r="M36" s="81" t="s">
        <v>12</v>
      </c>
      <c r="N36" s="81">
        <v>2094.3000000000002</v>
      </c>
      <c r="Q36" s="80"/>
      <c r="R36" s="103" t="str">
        <f t="shared" si="0"/>
        <v>21-150-17-</v>
      </c>
      <c r="X36" s="81">
        <v>2</v>
      </c>
      <c r="Z36" s="81">
        <v>5</v>
      </c>
      <c r="AB36" s="81">
        <v>8</v>
      </c>
      <c r="AD36" s="81">
        <v>7</v>
      </c>
      <c r="AF36" s="81">
        <v>2</v>
      </c>
    </row>
    <row r="37" spans="1:32" ht="15" customHeight="1" x14ac:dyDescent="0.2">
      <c r="A37" s="81" t="s">
        <v>7521</v>
      </c>
      <c r="B37" s="81" t="s">
        <v>25619</v>
      </c>
      <c r="C37" s="81" t="s">
        <v>8</v>
      </c>
      <c r="D37" s="81" t="s">
        <v>17</v>
      </c>
      <c r="E37" s="81" t="s">
        <v>25711</v>
      </c>
      <c r="F37" s="81" t="s">
        <v>26687</v>
      </c>
      <c r="G37" s="81" t="s">
        <v>28588</v>
      </c>
      <c r="H37" s="81" t="s">
        <v>28442</v>
      </c>
      <c r="I37" s="81" t="s">
        <v>1</v>
      </c>
      <c r="J37" s="84" t="s">
        <v>25979</v>
      </c>
      <c r="K37" s="81" t="s">
        <v>25715</v>
      </c>
      <c r="L37" s="81" t="s">
        <v>25642</v>
      </c>
      <c r="M37" s="81" t="s">
        <v>12</v>
      </c>
      <c r="N37" s="81">
        <v>2380.9500000000003</v>
      </c>
      <c r="Q37" s="80"/>
      <c r="R37" s="103" t="str">
        <f t="shared" si="0"/>
        <v>21-155-09-</v>
      </c>
      <c r="X37" s="81">
        <v>3</v>
      </c>
      <c r="Z37" s="81">
        <v>9</v>
      </c>
      <c r="AB37" s="81">
        <v>12</v>
      </c>
      <c r="AD37" s="81">
        <v>7</v>
      </c>
      <c r="AF37" s="81">
        <v>3</v>
      </c>
    </row>
    <row r="38" spans="1:32" ht="15" customHeight="1" x14ac:dyDescent="0.2">
      <c r="A38" s="81" t="s">
        <v>7525</v>
      </c>
      <c r="B38" s="81" t="s">
        <v>25619</v>
      </c>
      <c r="C38" s="81" t="s">
        <v>8</v>
      </c>
      <c r="D38" s="81" t="s">
        <v>17</v>
      </c>
      <c r="E38" s="81" t="s">
        <v>25711</v>
      </c>
      <c r="F38" s="81" t="s">
        <v>26687</v>
      </c>
      <c r="G38" s="81" t="s">
        <v>28588</v>
      </c>
      <c r="H38" s="81" t="s">
        <v>28613</v>
      </c>
      <c r="I38" s="81" t="s">
        <v>141</v>
      </c>
      <c r="J38" s="84" t="s">
        <v>25979</v>
      </c>
      <c r="K38" s="81" t="s">
        <v>25715</v>
      </c>
      <c r="L38" s="81" t="s">
        <v>25642</v>
      </c>
      <c r="M38" s="81" t="s">
        <v>12</v>
      </c>
      <c r="N38" s="81">
        <v>2380.9500000000003</v>
      </c>
      <c r="Q38" s="80"/>
      <c r="R38" s="103" t="str">
        <f t="shared" si="0"/>
        <v>21-155-18-</v>
      </c>
      <c r="Z38" s="81">
        <v>2</v>
      </c>
      <c r="AB38" s="81">
        <v>7</v>
      </c>
      <c r="AD38" s="81">
        <v>3</v>
      </c>
      <c r="AF38" s="81">
        <v>1</v>
      </c>
    </row>
    <row r="39" spans="1:32" ht="15" customHeight="1" x14ac:dyDescent="0.2">
      <c r="A39" s="81" t="s">
        <v>7523</v>
      </c>
      <c r="B39" s="81" t="s">
        <v>25619</v>
      </c>
      <c r="C39" s="81" t="s">
        <v>8</v>
      </c>
      <c r="D39" s="81" t="s">
        <v>17</v>
      </c>
      <c r="E39" s="81" t="s">
        <v>25711</v>
      </c>
      <c r="F39" s="81" t="s">
        <v>26687</v>
      </c>
      <c r="G39" s="81" t="s">
        <v>28588</v>
      </c>
      <c r="H39" s="81" t="s">
        <v>28614</v>
      </c>
      <c r="I39" s="81" t="s">
        <v>25411</v>
      </c>
      <c r="J39" s="84" t="s">
        <v>25979</v>
      </c>
      <c r="K39" s="81" t="s">
        <v>25715</v>
      </c>
      <c r="L39" s="81" t="s">
        <v>25642</v>
      </c>
      <c r="M39" s="81" t="s">
        <v>12</v>
      </c>
      <c r="N39" s="81">
        <v>2380.9500000000003</v>
      </c>
      <c r="Q39" s="80"/>
      <c r="R39" s="103" t="str">
        <f t="shared" si="0"/>
        <v>21-155-15-</v>
      </c>
      <c r="X39" s="81">
        <v>2</v>
      </c>
      <c r="Z39" s="81">
        <v>9</v>
      </c>
      <c r="AB39" s="81">
        <v>10</v>
      </c>
      <c r="AD39" s="81">
        <v>6</v>
      </c>
      <c r="AF39" s="81">
        <v>2</v>
      </c>
    </row>
    <row r="40" spans="1:32" ht="15" customHeight="1" x14ac:dyDescent="0.2">
      <c r="A40" s="81" t="s">
        <v>7515</v>
      </c>
      <c r="B40" s="81" t="s">
        <v>25619</v>
      </c>
      <c r="C40" s="81" t="s">
        <v>8</v>
      </c>
      <c r="D40" s="81" t="s">
        <v>17</v>
      </c>
      <c r="E40" s="81" t="s">
        <v>25711</v>
      </c>
      <c r="F40" s="81" t="s">
        <v>26687</v>
      </c>
      <c r="G40" s="81" t="s">
        <v>28588</v>
      </c>
      <c r="H40" s="81" t="s">
        <v>28615</v>
      </c>
      <c r="I40" s="81" t="s">
        <v>52</v>
      </c>
      <c r="J40" s="84" t="s">
        <v>25979</v>
      </c>
      <c r="K40" s="81" t="s">
        <v>25715</v>
      </c>
      <c r="L40" s="81" t="s">
        <v>25642</v>
      </c>
      <c r="M40" s="81" t="s">
        <v>12</v>
      </c>
      <c r="N40" s="81">
        <v>2380.9500000000003</v>
      </c>
      <c r="Q40" s="80"/>
      <c r="R40" s="103" t="str">
        <f t="shared" si="0"/>
        <v>21-155-02-</v>
      </c>
      <c r="X40" s="81">
        <v>4</v>
      </c>
      <c r="Z40" s="81">
        <v>9</v>
      </c>
      <c r="AB40" s="81">
        <v>16</v>
      </c>
      <c r="AD40" s="81">
        <v>10</v>
      </c>
      <c r="AF40" s="81">
        <v>4</v>
      </c>
    </row>
    <row r="41" spans="1:32" ht="15" customHeight="1" x14ac:dyDescent="0.2">
      <c r="A41" s="81" t="s">
        <v>7527</v>
      </c>
      <c r="B41" s="81" t="s">
        <v>25619</v>
      </c>
      <c r="C41" s="81" t="s">
        <v>8</v>
      </c>
      <c r="D41" s="81" t="s">
        <v>17</v>
      </c>
      <c r="E41" s="81" t="s">
        <v>25711</v>
      </c>
      <c r="F41" s="81" t="s">
        <v>26687</v>
      </c>
      <c r="G41" s="81" t="s">
        <v>28588</v>
      </c>
      <c r="H41" s="81" t="s">
        <v>28616</v>
      </c>
      <c r="I41" s="81" t="s">
        <v>25472</v>
      </c>
      <c r="J41" s="84" t="s">
        <v>25979</v>
      </c>
      <c r="K41" s="81" t="s">
        <v>25715</v>
      </c>
      <c r="L41" s="81" t="s">
        <v>25642</v>
      </c>
      <c r="M41" s="81" t="s">
        <v>12</v>
      </c>
      <c r="N41" s="81">
        <v>2380.9500000000003</v>
      </c>
      <c r="Q41" s="80"/>
      <c r="R41" s="103" t="str">
        <f t="shared" si="0"/>
        <v>21-155-36-</v>
      </c>
      <c r="X41" s="81">
        <v>2</v>
      </c>
      <c r="Z41" s="81">
        <v>8</v>
      </c>
      <c r="AB41" s="81">
        <v>9</v>
      </c>
      <c r="AD41" s="81">
        <v>5</v>
      </c>
      <c r="AF41" s="81">
        <v>2</v>
      </c>
    </row>
    <row r="42" spans="1:32" ht="15" customHeight="1" x14ac:dyDescent="0.2">
      <c r="A42" s="81" t="s">
        <v>27086</v>
      </c>
      <c r="B42" s="81" t="s">
        <v>25619</v>
      </c>
      <c r="C42" s="81" t="s">
        <v>8</v>
      </c>
      <c r="D42" s="81" t="s">
        <v>17</v>
      </c>
      <c r="E42" s="81" t="s">
        <v>25711</v>
      </c>
      <c r="F42" s="81" t="s">
        <v>26687</v>
      </c>
      <c r="G42" s="81" t="s">
        <v>28588</v>
      </c>
      <c r="H42" s="81" t="s">
        <v>28617</v>
      </c>
      <c r="I42" s="81" t="s">
        <v>25471</v>
      </c>
      <c r="J42" s="84" t="s">
        <v>25979</v>
      </c>
      <c r="K42" s="81" t="s">
        <v>25715</v>
      </c>
      <c r="L42" s="81" t="s">
        <v>25642</v>
      </c>
      <c r="M42" s="81" t="s">
        <v>12</v>
      </c>
      <c r="N42" s="81">
        <v>2380.9500000000003</v>
      </c>
      <c r="Q42" s="80"/>
      <c r="R42" s="103" t="str">
        <f t="shared" si="0"/>
        <v>21-155-86-</v>
      </c>
      <c r="X42" s="81">
        <v>3</v>
      </c>
      <c r="Z42" s="81">
        <v>7</v>
      </c>
      <c r="AB42" s="81">
        <v>11</v>
      </c>
      <c r="AD42" s="81">
        <v>6</v>
      </c>
      <c r="AF42" s="81">
        <v>3</v>
      </c>
    </row>
    <row r="43" spans="1:32" ht="15" customHeight="1" x14ac:dyDescent="0.2">
      <c r="A43" s="81" t="s">
        <v>7926</v>
      </c>
      <c r="B43" s="81" t="s">
        <v>25635</v>
      </c>
      <c r="C43" s="81" t="s">
        <v>8</v>
      </c>
      <c r="D43" s="81" t="s">
        <v>21</v>
      </c>
      <c r="E43" s="81" t="s">
        <v>25711</v>
      </c>
      <c r="F43" s="81" t="s">
        <v>26687</v>
      </c>
      <c r="G43" s="81" t="s">
        <v>28588</v>
      </c>
      <c r="H43" s="81" t="s">
        <v>28597</v>
      </c>
      <c r="I43" s="81" t="s">
        <v>52</v>
      </c>
      <c r="J43" s="84" t="s">
        <v>25789</v>
      </c>
      <c r="K43" s="81" t="s">
        <v>25720</v>
      </c>
      <c r="L43" s="81" t="s">
        <v>25642</v>
      </c>
      <c r="M43" s="81" t="s">
        <v>26700</v>
      </c>
      <c r="N43" s="81">
        <v>10945.35</v>
      </c>
      <c r="Q43" s="80"/>
      <c r="R43" s="103" t="str">
        <f t="shared" si="0"/>
        <v>21-288-02-</v>
      </c>
      <c r="AB43" s="81">
        <v>1</v>
      </c>
      <c r="AD43" s="81">
        <v>2</v>
      </c>
      <c r="AF43" s="81">
        <v>1</v>
      </c>
    </row>
    <row r="44" spans="1:32" ht="15" customHeight="1" x14ac:dyDescent="0.2">
      <c r="A44" s="81" t="s">
        <v>7952</v>
      </c>
      <c r="B44" s="81" t="s">
        <v>25636</v>
      </c>
      <c r="C44" s="81" t="s">
        <v>8</v>
      </c>
      <c r="D44" s="81" t="s">
        <v>21</v>
      </c>
      <c r="E44" s="81" t="s">
        <v>25711</v>
      </c>
      <c r="F44" s="81" t="s">
        <v>26687</v>
      </c>
      <c r="G44" s="81" t="s">
        <v>28588</v>
      </c>
      <c r="H44" s="81" t="s">
        <v>28597</v>
      </c>
      <c r="I44" s="81" t="s">
        <v>52</v>
      </c>
      <c r="J44" s="84" t="s">
        <v>25775</v>
      </c>
      <c r="K44" s="81" t="s">
        <v>25720</v>
      </c>
      <c r="L44" s="81" t="s">
        <v>25642</v>
      </c>
      <c r="M44" s="81" t="s">
        <v>26700</v>
      </c>
      <c r="N44" s="81">
        <v>10711.35</v>
      </c>
      <c r="Q44" s="80"/>
      <c r="R44" s="103" t="str">
        <f t="shared" si="0"/>
        <v>21-297-02-</v>
      </c>
      <c r="Z44" s="81">
        <v>1</v>
      </c>
      <c r="AB44" s="81">
        <v>2</v>
      </c>
    </row>
    <row r="45" spans="1:32" ht="15" customHeight="1" x14ac:dyDescent="0.2">
      <c r="A45" s="81" t="s">
        <v>8608</v>
      </c>
      <c r="B45" s="81" t="s">
        <v>25603</v>
      </c>
      <c r="C45" s="81" t="s">
        <v>8</v>
      </c>
      <c r="D45" s="81" t="s">
        <v>21</v>
      </c>
      <c r="E45" s="81" t="s">
        <v>25711</v>
      </c>
      <c r="F45" s="81" t="s">
        <v>26687</v>
      </c>
      <c r="G45" s="81" t="s">
        <v>28588</v>
      </c>
      <c r="H45" s="81" t="s">
        <v>28597</v>
      </c>
      <c r="I45" s="81" t="s">
        <v>52</v>
      </c>
      <c r="J45" s="84" t="s">
        <v>25790</v>
      </c>
      <c r="K45" s="81" t="s">
        <v>25720</v>
      </c>
      <c r="L45" s="81" t="s">
        <v>25642</v>
      </c>
      <c r="M45" s="81" t="s">
        <v>26700</v>
      </c>
      <c r="N45" s="81">
        <v>6171.75</v>
      </c>
      <c r="Q45" s="80"/>
      <c r="R45" s="103" t="str">
        <f t="shared" si="0"/>
        <v>21-478-02-</v>
      </c>
      <c r="Z45" s="81">
        <v>1</v>
      </c>
      <c r="AB45" s="81">
        <v>1</v>
      </c>
    </row>
    <row r="46" spans="1:32" ht="15" customHeight="1" x14ac:dyDescent="0.2">
      <c r="A46" s="81" t="s">
        <v>28525</v>
      </c>
      <c r="B46" s="81" t="s">
        <v>28455</v>
      </c>
      <c r="C46" s="81" t="s">
        <v>8</v>
      </c>
      <c r="D46" s="81" t="s">
        <v>21</v>
      </c>
      <c r="E46" s="81" t="s">
        <v>25711</v>
      </c>
      <c r="F46" s="81" t="s">
        <v>26687</v>
      </c>
      <c r="G46" s="81" t="s">
        <v>28588</v>
      </c>
      <c r="H46" s="81" t="s">
        <v>28618</v>
      </c>
      <c r="I46" s="81" t="s">
        <v>25411</v>
      </c>
      <c r="J46" s="84" t="s">
        <v>25775</v>
      </c>
      <c r="K46" s="81" t="s">
        <v>25720</v>
      </c>
      <c r="L46" s="81" t="s">
        <v>25642</v>
      </c>
      <c r="M46" s="81" t="s">
        <v>26700</v>
      </c>
      <c r="N46" s="81">
        <v>6095.7000000000007</v>
      </c>
      <c r="Q46" s="80"/>
      <c r="R46" s="103" t="str">
        <f t="shared" si="0"/>
        <v>21-587-90-</v>
      </c>
      <c r="Z46" s="81">
        <v>1</v>
      </c>
      <c r="AB46" s="81">
        <v>2</v>
      </c>
      <c r="AD46" s="81">
        <v>1</v>
      </c>
    </row>
    <row r="47" spans="1:32" ht="15" customHeight="1" x14ac:dyDescent="0.2">
      <c r="A47" s="81" t="s">
        <v>8972</v>
      </c>
      <c r="B47" s="81" t="s">
        <v>28455</v>
      </c>
      <c r="C47" s="81" t="s">
        <v>8</v>
      </c>
      <c r="D47" s="81" t="s">
        <v>21</v>
      </c>
      <c r="E47" s="81" t="s">
        <v>25711</v>
      </c>
      <c r="F47" s="81" t="s">
        <v>26687</v>
      </c>
      <c r="G47" s="81" t="s">
        <v>28588</v>
      </c>
      <c r="H47" s="81" t="s">
        <v>28597</v>
      </c>
      <c r="I47" s="81" t="s">
        <v>194</v>
      </c>
      <c r="J47" s="84" t="s">
        <v>25775</v>
      </c>
      <c r="K47" s="81" t="s">
        <v>25720</v>
      </c>
      <c r="L47" s="81" t="s">
        <v>25642</v>
      </c>
      <c r="M47" s="81" t="s">
        <v>26700</v>
      </c>
      <c r="N47" s="81">
        <v>6095.7000000000007</v>
      </c>
      <c r="Q47" s="80"/>
      <c r="R47" s="103" t="str">
        <f t="shared" si="0"/>
        <v>21-587-36-</v>
      </c>
      <c r="Z47" s="81">
        <v>1</v>
      </c>
      <c r="AB47" s="81">
        <v>1</v>
      </c>
    </row>
    <row r="48" spans="1:32" ht="15" customHeight="1" x14ac:dyDescent="0.2">
      <c r="A48" s="81" t="s">
        <v>9117</v>
      </c>
      <c r="B48" s="81" t="s">
        <v>28456</v>
      </c>
      <c r="C48" s="81" t="s">
        <v>8</v>
      </c>
      <c r="D48" s="81" t="s">
        <v>21</v>
      </c>
      <c r="E48" s="81" t="s">
        <v>25711</v>
      </c>
      <c r="F48" s="81" t="s">
        <v>26687</v>
      </c>
      <c r="G48" s="81" t="s">
        <v>28588</v>
      </c>
      <c r="H48" s="81" t="s">
        <v>28619</v>
      </c>
      <c r="I48" s="81" t="s">
        <v>194</v>
      </c>
      <c r="J48" s="84" t="s">
        <v>25775</v>
      </c>
      <c r="K48" s="81" t="s">
        <v>25720</v>
      </c>
      <c r="L48" s="81" t="s">
        <v>25642</v>
      </c>
      <c r="M48" s="81" t="s">
        <v>26700</v>
      </c>
      <c r="N48" s="81">
        <v>6259.5</v>
      </c>
      <c r="Q48" s="80"/>
      <c r="R48" s="103" t="str">
        <f t="shared" si="0"/>
        <v>21-632-36-</v>
      </c>
      <c r="AB48" s="81">
        <v>1</v>
      </c>
    </row>
    <row r="49" spans="1:32" ht="15" customHeight="1" x14ac:dyDescent="0.2">
      <c r="A49" s="81" t="s">
        <v>28526</v>
      </c>
      <c r="B49" s="81" t="s">
        <v>28457</v>
      </c>
      <c r="C49" s="81" t="s">
        <v>8</v>
      </c>
      <c r="D49" s="81" t="s">
        <v>21</v>
      </c>
      <c r="E49" s="81" t="s">
        <v>25711</v>
      </c>
      <c r="F49" s="81" t="s">
        <v>26687</v>
      </c>
      <c r="G49" s="81" t="s">
        <v>28588</v>
      </c>
      <c r="H49" s="81" t="s">
        <v>28617</v>
      </c>
      <c r="I49" s="81" t="s">
        <v>194</v>
      </c>
      <c r="J49" s="84" t="s">
        <v>25789</v>
      </c>
      <c r="K49" s="81" t="s">
        <v>25720</v>
      </c>
      <c r="L49" s="81" t="s">
        <v>25642</v>
      </c>
      <c r="M49" s="81" t="s">
        <v>26700</v>
      </c>
      <c r="N49" s="81">
        <v>7195.5</v>
      </c>
      <c r="Q49" s="80"/>
      <c r="R49" s="103" t="str">
        <f t="shared" si="0"/>
        <v>21-782-26-</v>
      </c>
      <c r="Z49" s="81">
        <v>1</v>
      </c>
      <c r="AB49" s="81">
        <v>2</v>
      </c>
      <c r="AD49" s="81">
        <v>1</v>
      </c>
    </row>
    <row r="50" spans="1:32" ht="15" customHeight="1" x14ac:dyDescent="0.2">
      <c r="A50" s="81" t="s">
        <v>8690</v>
      </c>
      <c r="B50" s="81" t="s">
        <v>28458</v>
      </c>
      <c r="C50" s="81" t="s">
        <v>8</v>
      </c>
      <c r="D50" s="81" t="s">
        <v>14</v>
      </c>
      <c r="E50" s="81" t="s">
        <v>25711</v>
      </c>
      <c r="F50" s="81" t="s">
        <v>26687</v>
      </c>
      <c r="G50" s="81" t="s">
        <v>28588</v>
      </c>
      <c r="H50" s="81" t="s">
        <v>28594</v>
      </c>
      <c r="I50" s="81" t="s">
        <v>54</v>
      </c>
      <c r="J50" s="84" t="s">
        <v>26532</v>
      </c>
      <c r="K50" s="81" t="s">
        <v>25715</v>
      </c>
      <c r="L50" s="81" t="s">
        <v>25642</v>
      </c>
      <c r="M50" s="81" t="s">
        <v>12</v>
      </c>
      <c r="N50" s="81">
        <v>2568.15</v>
      </c>
      <c r="Q50" s="80"/>
      <c r="R50" s="103" t="str">
        <f t="shared" si="0"/>
        <v>21-505-03-</v>
      </c>
      <c r="X50" s="81">
        <v>2</v>
      </c>
      <c r="Z50" s="81">
        <v>6</v>
      </c>
      <c r="AB50" s="81">
        <v>7</v>
      </c>
      <c r="AD50" s="81">
        <v>4</v>
      </c>
    </row>
    <row r="51" spans="1:32" ht="15" customHeight="1" x14ac:dyDescent="0.2">
      <c r="A51" s="81" t="s">
        <v>28527</v>
      </c>
      <c r="B51" s="81" t="s">
        <v>28458</v>
      </c>
      <c r="C51" s="81" t="s">
        <v>8</v>
      </c>
      <c r="D51" s="81" t="s">
        <v>14</v>
      </c>
      <c r="E51" s="81" t="s">
        <v>25711</v>
      </c>
      <c r="F51" s="81" t="s">
        <v>26687</v>
      </c>
      <c r="G51" s="81" t="s">
        <v>28588</v>
      </c>
      <c r="H51" s="81" t="s">
        <v>28597</v>
      </c>
      <c r="I51" s="81" t="s">
        <v>52</v>
      </c>
      <c r="J51" s="84" t="s">
        <v>26532</v>
      </c>
      <c r="K51" s="81" t="s">
        <v>25715</v>
      </c>
      <c r="L51" s="81" t="s">
        <v>25642</v>
      </c>
      <c r="M51" s="81" t="s">
        <v>12</v>
      </c>
      <c r="N51" s="81">
        <v>2568.15</v>
      </c>
      <c r="Q51" s="80"/>
      <c r="R51" s="103" t="str">
        <f t="shared" si="0"/>
        <v>21-505-02-</v>
      </c>
      <c r="X51" s="81">
        <v>2</v>
      </c>
      <c r="Z51" s="81">
        <v>6</v>
      </c>
      <c r="AB51" s="81">
        <v>8</v>
      </c>
      <c r="AD51" s="81">
        <v>4</v>
      </c>
    </row>
    <row r="52" spans="1:32" ht="15" customHeight="1" x14ac:dyDescent="0.2">
      <c r="A52" s="81" t="s">
        <v>8994</v>
      </c>
      <c r="B52" s="81" t="s">
        <v>28459</v>
      </c>
      <c r="C52" s="81" t="s">
        <v>8</v>
      </c>
      <c r="D52" s="81" t="s">
        <v>21</v>
      </c>
      <c r="E52" s="81" t="s">
        <v>25711</v>
      </c>
      <c r="F52" s="81" t="s">
        <v>26687</v>
      </c>
      <c r="G52" s="81" t="s">
        <v>28588</v>
      </c>
      <c r="H52" s="81" t="s">
        <v>28597</v>
      </c>
      <c r="I52" s="81" t="s">
        <v>52</v>
      </c>
      <c r="J52" s="84" t="s">
        <v>25744</v>
      </c>
      <c r="K52" s="81" t="s">
        <v>25715</v>
      </c>
      <c r="L52" s="81" t="s">
        <v>25642</v>
      </c>
      <c r="M52" s="81" t="s">
        <v>12</v>
      </c>
      <c r="N52" s="81">
        <v>2152.7999999999997</v>
      </c>
      <c r="Q52" s="80"/>
      <c r="R52" s="103" t="str">
        <f t="shared" si="0"/>
        <v>21-596-02-</v>
      </c>
      <c r="X52" s="81">
        <v>3</v>
      </c>
      <c r="Z52" s="81">
        <v>7</v>
      </c>
      <c r="AB52" s="81">
        <v>9</v>
      </c>
      <c r="AD52" s="81">
        <v>3</v>
      </c>
    </row>
    <row r="53" spans="1:32" ht="15" customHeight="1" x14ac:dyDescent="0.2">
      <c r="A53" s="81" t="s">
        <v>8996</v>
      </c>
      <c r="B53" s="81" t="s">
        <v>28459</v>
      </c>
      <c r="C53" s="81" t="s">
        <v>8</v>
      </c>
      <c r="D53" s="81" t="s">
        <v>21</v>
      </c>
      <c r="E53" s="81" t="s">
        <v>25711</v>
      </c>
      <c r="F53" s="81" t="s">
        <v>26687</v>
      </c>
      <c r="G53" s="81" t="s">
        <v>28588</v>
      </c>
      <c r="H53" s="81" t="s">
        <v>28620</v>
      </c>
      <c r="I53" s="81" t="s">
        <v>215</v>
      </c>
      <c r="J53" s="84" t="s">
        <v>25744</v>
      </c>
      <c r="K53" s="81" t="s">
        <v>25715</v>
      </c>
      <c r="L53" s="81" t="s">
        <v>25641</v>
      </c>
      <c r="M53" s="81" t="s">
        <v>12</v>
      </c>
      <c r="N53" s="81">
        <v>2152.7999999999997</v>
      </c>
      <c r="Q53" s="80"/>
      <c r="R53" s="103" t="str">
        <f t="shared" si="0"/>
        <v>21-596-91-</v>
      </c>
      <c r="X53" s="81">
        <v>2</v>
      </c>
      <c r="Z53" s="81">
        <v>6</v>
      </c>
      <c r="AB53" s="81">
        <v>8</v>
      </c>
      <c r="AD53" s="81">
        <v>5</v>
      </c>
    </row>
    <row r="54" spans="1:32" ht="15" customHeight="1" x14ac:dyDescent="0.2">
      <c r="A54" s="81" t="s">
        <v>28528</v>
      </c>
      <c r="B54" s="81" t="s">
        <v>28460</v>
      </c>
      <c r="C54" s="81" t="s">
        <v>8</v>
      </c>
      <c r="D54" s="81" t="s">
        <v>14</v>
      </c>
      <c r="E54" s="81" t="s">
        <v>25711</v>
      </c>
      <c r="F54" s="81" t="s">
        <v>26687</v>
      </c>
      <c r="G54" s="81" t="s">
        <v>28588</v>
      </c>
      <c r="H54" s="81" t="s">
        <v>28621</v>
      </c>
      <c r="I54" s="81" t="s">
        <v>26</v>
      </c>
      <c r="J54" s="84" t="s">
        <v>25979</v>
      </c>
      <c r="K54" s="81" t="s">
        <v>25715</v>
      </c>
      <c r="L54" s="81" t="s">
        <v>25642</v>
      </c>
      <c r="M54" s="81" t="s">
        <v>12</v>
      </c>
      <c r="N54" s="81">
        <v>2094.3000000000002</v>
      </c>
      <c r="Q54" s="80"/>
      <c r="R54" s="103" t="str">
        <f t="shared" si="0"/>
        <v>21-396-05-</v>
      </c>
      <c r="X54" s="81">
        <v>1</v>
      </c>
      <c r="Z54" s="81">
        <v>4</v>
      </c>
      <c r="AB54" s="81">
        <v>7</v>
      </c>
      <c r="AD54" s="81">
        <v>4</v>
      </c>
    </row>
    <row r="55" spans="1:32" ht="15" customHeight="1" x14ac:dyDescent="0.2">
      <c r="A55" s="81" t="s">
        <v>8718</v>
      </c>
      <c r="B55" s="81" t="s">
        <v>25605</v>
      </c>
      <c r="C55" s="81" t="s">
        <v>8</v>
      </c>
      <c r="D55" s="81" t="s">
        <v>9</v>
      </c>
      <c r="E55" s="81" t="s">
        <v>25711</v>
      </c>
      <c r="F55" s="81" t="s">
        <v>91</v>
      </c>
      <c r="G55" s="81" t="s">
        <v>28588</v>
      </c>
      <c r="H55" s="81" t="s">
        <v>28597</v>
      </c>
      <c r="I55" s="81" t="s">
        <v>52</v>
      </c>
      <c r="J55" s="84" t="s">
        <v>25770</v>
      </c>
      <c r="L55" s="81" t="s">
        <v>25642</v>
      </c>
      <c r="M55" s="81" t="s">
        <v>12</v>
      </c>
      <c r="N55" s="81">
        <v>2234.7000000000003</v>
      </c>
      <c r="Q55" s="80"/>
      <c r="R55" s="103" t="str">
        <f t="shared" si="0"/>
        <v>21-512-02-</v>
      </c>
      <c r="Z55" s="81">
        <v>2</v>
      </c>
      <c r="AB55" s="81">
        <v>4</v>
      </c>
      <c r="AD55" s="81">
        <v>5</v>
      </c>
    </row>
    <row r="56" spans="1:32" ht="15" customHeight="1" x14ac:dyDescent="0.2">
      <c r="A56" s="81" t="s">
        <v>8720</v>
      </c>
      <c r="B56" s="81" t="s">
        <v>25605</v>
      </c>
      <c r="C56" s="81" t="s">
        <v>8</v>
      </c>
      <c r="D56" s="81" t="s">
        <v>9</v>
      </c>
      <c r="E56" s="81" t="s">
        <v>25711</v>
      </c>
      <c r="F56" s="81" t="s">
        <v>26687</v>
      </c>
      <c r="G56" s="81" t="s">
        <v>28588</v>
      </c>
      <c r="H56" s="81" t="s">
        <v>28591</v>
      </c>
      <c r="I56" s="81" t="s">
        <v>43</v>
      </c>
      <c r="J56" s="84" t="s">
        <v>25770</v>
      </c>
      <c r="L56" s="81" t="s">
        <v>25642</v>
      </c>
      <c r="M56" s="81" t="s">
        <v>12</v>
      </c>
      <c r="N56" s="81">
        <v>2234.7000000000003</v>
      </c>
      <c r="Q56" s="80"/>
      <c r="R56" s="103" t="str">
        <f t="shared" si="0"/>
        <v>21-512-15-</v>
      </c>
      <c r="Z56" s="81">
        <v>2</v>
      </c>
      <c r="AB56" s="81">
        <v>3</v>
      </c>
      <c r="AD56" s="81">
        <v>2</v>
      </c>
    </row>
    <row r="57" spans="1:32" ht="15" customHeight="1" x14ac:dyDescent="0.2">
      <c r="A57" s="81" t="s">
        <v>8724</v>
      </c>
      <c r="B57" s="81" t="s">
        <v>25605</v>
      </c>
      <c r="C57" s="81" t="s">
        <v>8</v>
      </c>
      <c r="D57" s="81" t="s">
        <v>9</v>
      </c>
      <c r="E57" s="81" t="s">
        <v>25711</v>
      </c>
      <c r="F57" s="81" t="s">
        <v>26687</v>
      </c>
      <c r="G57" s="81" t="s">
        <v>28588</v>
      </c>
      <c r="H57" s="81" t="s">
        <v>28602</v>
      </c>
      <c r="I57" s="81" t="s">
        <v>100</v>
      </c>
      <c r="J57" s="84" t="s">
        <v>25770</v>
      </c>
      <c r="L57" s="81" t="s">
        <v>25642</v>
      </c>
      <c r="M57" s="81" t="s">
        <v>12</v>
      </c>
      <c r="N57" s="81">
        <v>2234.7000000000003</v>
      </c>
      <c r="Q57" s="80"/>
      <c r="R57" s="103" t="str">
        <f t="shared" si="0"/>
        <v>21-512-17-</v>
      </c>
      <c r="Z57" s="81">
        <v>4</v>
      </c>
      <c r="AB57" s="81">
        <v>6</v>
      </c>
      <c r="AD57" s="81">
        <v>4</v>
      </c>
    </row>
    <row r="58" spans="1:32" ht="15" customHeight="1" x14ac:dyDescent="0.2">
      <c r="A58" s="81" t="s">
        <v>8734</v>
      </c>
      <c r="B58" s="81" t="s">
        <v>25617</v>
      </c>
      <c r="C58" s="81" t="s">
        <v>8</v>
      </c>
      <c r="D58" s="81" t="s">
        <v>21</v>
      </c>
      <c r="E58" s="81" t="s">
        <v>25711</v>
      </c>
      <c r="F58" s="81" t="s">
        <v>26687</v>
      </c>
      <c r="G58" s="81" t="s">
        <v>28588</v>
      </c>
      <c r="H58" s="81" t="s">
        <v>28614</v>
      </c>
      <c r="I58" s="81" t="s">
        <v>22</v>
      </c>
      <c r="J58" s="84" t="s">
        <v>25979</v>
      </c>
      <c r="K58" s="81" t="s">
        <v>25715</v>
      </c>
      <c r="L58" s="81" t="s">
        <v>25642</v>
      </c>
      <c r="M58" s="81" t="s">
        <v>12</v>
      </c>
      <c r="N58" s="81">
        <v>2310.75</v>
      </c>
      <c r="Q58" s="80"/>
      <c r="R58" s="103" t="str">
        <f t="shared" si="0"/>
        <v>21-514-14-</v>
      </c>
      <c r="X58" s="81">
        <v>5</v>
      </c>
      <c r="Z58" s="81">
        <v>12</v>
      </c>
      <c r="AB58" s="81">
        <v>14</v>
      </c>
      <c r="AD58" s="81">
        <v>8</v>
      </c>
    </row>
    <row r="59" spans="1:32" ht="15" customHeight="1" x14ac:dyDescent="0.2">
      <c r="A59" s="81" t="s">
        <v>8738</v>
      </c>
      <c r="B59" s="81" t="s">
        <v>25617</v>
      </c>
      <c r="C59" s="81" t="s">
        <v>8</v>
      </c>
      <c r="D59" s="81" t="s">
        <v>21</v>
      </c>
      <c r="E59" s="81" t="s">
        <v>25711</v>
      </c>
      <c r="F59" s="81" t="s">
        <v>26687</v>
      </c>
      <c r="G59" s="81" t="s">
        <v>28588</v>
      </c>
      <c r="H59" s="81" t="s">
        <v>28615</v>
      </c>
      <c r="I59" s="81" t="s">
        <v>42</v>
      </c>
      <c r="J59" s="84" t="s">
        <v>25979</v>
      </c>
      <c r="K59" s="81" t="s">
        <v>25715</v>
      </c>
      <c r="L59" s="81" t="s">
        <v>25642</v>
      </c>
      <c r="M59" s="81" t="s">
        <v>12</v>
      </c>
      <c r="N59" s="81">
        <v>2310.75</v>
      </c>
      <c r="Q59" s="80"/>
      <c r="R59" s="103" t="str">
        <f t="shared" si="0"/>
        <v>21-514-53-</v>
      </c>
      <c r="X59" s="81">
        <v>4</v>
      </c>
      <c r="Z59" s="81">
        <v>12</v>
      </c>
      <c r="AB59" s="81">
        <v>13</v>
      </c>
      <c r="AD59" s="81">
        <v>9</v>
      </c>
    </row>
    <row r="60" spans="1:32" ht="15" customHeight="1" x14ac:dyDescent="0.2">
      <c r="A60" s="81" t="s">
        <v>8744</v>
      </c>
      <c r="B60" s="81" t="s">
        <v>25618</v>
      </c>
      <c r="C60" s="81" t="s">
        <v>8</v>
      </c>
      <c r="D60" s="81" t="s">
        <v>14</v>
      </c>
      <c r="E60" s="81" t="s">
        <v>25711</v>
      </c>
      <c r="F60" s="81" t="s">
        <v>26687</v>
      </c>
      <c r="G60" s="81" t="s">
        <v>28588</v>
      </c>
      <c r="H60" s="81" t="s">
        <v>28622</v>
      </c>
      <c r="I60" s="81" t="s">
        <v>25486</v>
      </c>
      <c r="J60" s="84" t="s">
        <v>26092</v>
      </c>
      <c r="K60" s="81" t="s">
        <v>25715</v>
      </c>
      <c r="L60" s="81" t="s">
        <v>25642</v>
      </c>
      <c r="M60" s="81" t="s">
        <v>12</v>
      </c>
      <c r="N60" s="81">
        <v>2380.9500000000003</v>
      </c>
      <c r="Q60" s="80"/>
      <c r="R60" s="103" t="str">
        <f t="shared" si="0"/>
        <v>21-515-81-</v>
      </c>
      <c r="Z60" s="81">
        <v>4</v>
      </c>
      <c r="AB60" s="81">
        <v>6</v>
      </c>
      <c r="AD60" s="81">
        <v>4</v>
      </c>
    </row>
    <row r="61" spans="1:32" ht="15" customHeight="1" x14ac:dyDescent="0.2">
      <c r="A61" s="81" t="s">
        <v>28529</v>
      </c>
      <c r="B61" s="81" t="s">
        <v>25618</v>
      </c>
      <c r="C61" s="81" t="s">
        <v>8</v>
      </c>
      <c r="D61" s="81" t="s">
        <v>14</v>
      </c>
      <c r="E61" s="81" t="s">
        <v>25711</v>
      </c>
      <c r="F61" s="81" t="s">
        <v>26687</v>
      </c>
      <c r="G61" s="81" t="s">
        <v>28588</v>
      </c>
      <c r="H61" s="81" t="s">
        <v>28623</v>
      </c>
      <c r="I61" s="81" t="s">
        <v>27815</v>
      </c>
      <c r="J61" s="84" t="s">
        <v>26092</v>
      </c>
      <c r="K61" s="81" t="s">
        <v>25715</v>
      </c>
      <c r="L61" s="81" t="s">
        <v>25642</v>
      </c>
      <c r="M61" s="81" t="s">
        <v>12</v>
      </c>
      <c r="N61" s="81">
        <v>2380.9500000000003</v>
      </c>
      <c r="Q61" s="80"/>
      <c r="R61" s="103" t="str">
        <f t="shared" si="0"/>
        <v>21-515-06-</v>
      </c>
      <c r="X61" s="81">
        <v>3</v>
      </c>
      <c r="Z61" s="81">
        <v>9</v>
      </c>
      <c r="AB61" s="81">
        <v>12</v>
      </c>
      <c r="AD61" s="81">
        <v>4</v>
      </c>
    </row>
    <row r="62" spans="1:32" ht="15" customHeight="1" x14ac:dyDescent="0.2">
      <c r="A62" s="81" t="s">
        <v>9004</v>
      </c>
      <c r="B62" s="81" t="s">
        <v>28461</v>
      </c>
      <c r="C62" s="81" t="s">
        <v>8</v>
      </c>
      <c r="D62" s="81" t="s">
        <v>21</v>
      </c>
      <c r="E62" s="81" t="s">
        <v>25711</v>
      </c>
      <c r="F62" s="81" t="s">
        <v>26687</v>
      </c>
      <c r="G62" s="81" t="s">
        <v>28588</v>
      </c>
      <c r="H62" s="81" t="s">
        <v>28614</v>
      </c>
      <c r="I62" s="81" t="s">
        <v>25503</v>
      </c>
      <c r="J62" s="84" t="s">
        <v>25979</v>
      </c>
      <c r="K62" s="81" t="s">
        <v>25715</v>
      </c>
      <c r="L62" s="81" t="s">
        <v>25642</v>
      </c>
      <c r="M62" s="81" t="s">
        <v>12</v>
      </c>
      <c r="N62" s="81">
        <v>2263.9500000000003</v>
      </c>
      <c r="Q62" s="80"/>
      <c r="R62" s="103" t="str">
        <f t="shared" si="0"/>
        <v>21-599-00-</v>
      </c>
      <c r="X62" s="81">
        <v>4</v>
      </c>
      <c r="Z62" s="81">
        <v>10</v>
      </c>
      <c r="AB62" s="81">
        <v>20</v>
      </c>
      <c r="AD62" s="81">
        <v>12</v>
      </c>
      <c r="AF62" s="81">
        <v>0</v>
      </c>
    </row>
    <row r="63" spans="1:32" ht="15" customHeight="1" x14ac:dyDescent="0.2">
      <c r="A63" s="81" t="s">
        <v>9006</v>
      </c>
      <c r="B63" s="81" t="s">
        <v>28461</v>
      </c>
      <c r="C63" s="81" t="s">
        <v>8</v>
      </c>
      <c r="D63" s="81" t="s">
        <v>21</v>
      </c>
      <c r="E63" s="81" t="s">
        <v>25711</v>
      </c>
      <c r="F63" s="81" t="s">
        <v>26687</v>
      </c>
      <c r="G63" s="81" t="s">
        <v>28588</v>
      </c>
      <c r="H63" s="81" t="s">
        <v>28624</v>
      </c>
      <c r="I63" s="81" t="s">
        <v>27</v>
      </c>
      <c r="J63" s="84" t="s">
        <v>25979</v>
      </c>
      <c r="K63" s="81" t="s">
        <v>25715</v>
      </c>
      <c r="L63" s="81" t="s">
        <v>25642</v>
      </c>
      <c r="M63" s="81" t="s">
        <v>12</v>
      </c>
      <c r="N63" s="81">
        <v>2263.9500000000003</v>
      </c>
      <c r="Q63" s="80"/>
      <c r="R63" s="103" t="str">
        <f t="shared" si="0"/>
        <v>21-599-06-</v>
      </c>
      <c r="Z63" s="81">
        <v>3</v>
      </c>
      <c r="AB63" s="81">
        <v>8</v>
      </c>
      <c r="AD63" s="81">
        <v>4</v>
      </c>
    </row>
    <row r="64" spans="1:32" ht="15" customHeight="1" x14ac:dyDescent="0.2">
      <c r="A64" s="81" t="s">
        <v>27114</v>
      </c>
      <c r="B64" s="81" t="s">
        <v>28461</v>
      </c>
      <c r="C64" s="81" t="s">
        <v>8</v>
      </c>
      <c r="D64" s="81" t="s">
        <v>21</v>
      </c>
      <c r="E64" s="81" t="s">
        <v>25711</v>
      </c>
      <c r="F64" s="81" t="s">
        <v>26687</v>
      </c>
      <c r="G64" s="81" t="s">
        <v>28588</v>
      </c>
      <c r="H64" s="81" t="s">
        <v>28598</v>
      </c>
      <c r="I64" s="81" t="s">
        <v>25464</v>
      </c>
      <c r="J64" s="84" t="s">
        <v>25979</v>
      </c>
      <c r="K64" s="81" t="s">
        <v>25715</v>
      </c>
      <c r="L64" s="81" t="s">
        <v>25642</v>
      </c>
      <c r="M64" s="81" t="s">
        <v>12</v>
      </c>
      <c r="N64" s="81">
        <v>2263.9500000000003</v>
      </c>
      <c r="Q64" s="80"/>
      <c r="R64" s="103" t="str">
        <f t="shared" si="0"/>
        <v>21-599-19-</v>
      </c>
      <c r="X64" s="81">
        <v>2</v>
      </c>
      <c r="Z64" s="81">
        <v>7</v>
      </c>
      <c r="AB64" s="81">
        <v>11</v>
      </c>
      <c r="AD64" s="81">
        <v>7</v>
      </c>
    </row>
    <row r="65" spans="1:30" ht="15" customHeight="1" x14ac:dyDescent="0.2">
      <c r="A65" s="81" t="s">
        <v>9010</v>
      </c>
      <c r="B65" s="81" t="s">
        <v>28461</v>
      </c>
      <c r="C65" s="81" t="s">
        <v>8</v>
      </c>
      <c r="D65" s="81" t="s">
        <v>21</v>
      </c>
      <c r="E65" s="81" t="s">
        <v>25711</v>
      </c>
      <c r="F65" s="81" t="s">
        <v>26687</v>
      </c>
      <c r="G65" s="81" t="s">
        <v>28588</v>
      </c>
      <c r="H65" s="81" t="s">
        <v>28615</v>
      </c>
      <c r="I65" s="81" t="s">
        <v>25463</v>
      </c>
      <c r="J65" s="84" t="s">
        <v>25979</v>
      </c>
      <c r="K65" s="81" t="s">
        <v>25715</v>
      </c>
      <c r="L65" s="81" t="s">
        <v>25642</v>
      </c>
      <c r="M65" s="81" t="s">
        <v>12</v>
      </c>
      <c r="N65" s="81">
        <v>2263.9500000000003</v>
      </c>
      <c r="Q65" s="80"/>
      <c r="R65" s="103" t="str">
        <f t="shared" si="0"/>
        <v>21-599-79-</v>
      </c>
      <c r="X65" s="81">
        <v>4</v>
      </c>
      <c r="Z65" s="81">
        <v>12</v>
      </c>
      <c r="AB65" s="81">
        <v>20</v>
      </c>
      <c r="AD65" s="81">
        <v>12</v>
      </c>
    </row>
    <row r="66" spans="1:30" ht="15" customHeight="1" x14ac:dyDescent="0.2">
      <c r="A66" s="81" t="s">
        <v>9014</v>
      </c>
      <c r="B66" s="81" t="s">
        <v>28462</v>
      </c>
      <c r="C66" s="81" t="s">
        <v>8</v>
      </c>
      <c r="D66" s="81" t="s">
        <v>21</v>
      </c>
      <c r="E66" s="81" t="s">
        <v>25711</v>
      </c>
      <c r="F66" s="81" t="s">
        <v>26687</v>
      </c>
      <c r="G66" s="81" t="s">
        <v>28588</v>
      </c>
      <c r="H66" s="81" t="s">
        <v>28442</v>
      </c>
      <c r="I66" s="81" t="s">
        <v>1</v>
      </c>
      <c r="J66" s="84" t="s">
        <v>26092</v>
      </c>
      <c r="K66" s="81" t="s">
        <v>25715</v>
      </c>
      <c r="L66" s="81" t="s">
        <v>25642</v>
      </c>
      <c r="M66" s="81" t="s">
        <v>12</v>
      </c>
      <c r="N66" s="81">
        <v>2106</v>
      </c>
      <c r="Q66" s="80"/>
      <c r="R66" s="103" t="str">
        <f t="shared" si="0"/>
        <v>21-600-09-</v>
      </c>
      <c r="Z66" s="81">
        <v>3</v>
      </c>
      <c r="AB66" s="81">
        <v>5</v>
      </c>
      <c r="AD66" s="81">
        <v>3</v>
      </c>
    </row>
    <row r="67" spans="1:30" ht="15" customHeight="1" x14ac:dyDescent="0.2">
      <c r="A67" s="81" t="s">
        <v>9012</v>
      </c>
      <c r="B67" s="81" t="s">
        <v>28462</v>
      </c>
      <c r="C67" s="81" t="s">
        <v>8</v>
      </c>
      <c r="D67" s="81" t="s">
        <v>21</v>
      </c>
      <c r="E67" s="81" t="s">
        <v>25711</v>
      </c>
      <c r="F67" s="81" t="s">
        <v>26687</v>
      </c>
      <c r="G67" s="81" t="s">
        <v>28588</v>
      </c>
      <c r="H67" s="81" t="s">
        <v>28603</v>
      </c>
      <c r="I67" s="81" t="s">
        <v>52</v>
      </c>
      <c r="J67" s="84" t="s">
        <v>26092</v>
      </c>
      <c r="K67" s="81" t="s">
        <v>25715</v>
      </c>
      <c r="L67" s="81" t="s">
        <v>25642</v>
      </c>
      <c r="M67" s="81" t="s">
        <v>12</v>
      </c>
      <c r="N67" s="81">
        <v>2106</v>
      </c>
      <c r="Q67" s="80"/>
      <c r="R67" s="103" t="str">
        <f t="shared" ref="R67:R130" si="1">A67&amp;"-"&amp;S67</f>
        <v>21-600-02-</v>
      </c>
      <c r="Z67" s="81">
        <v>1</v>
      </c>
      <c r="AB67" s="81">
        <v>4</v>
      </c>
      <c r="AD67" s="81">
        <v>3</v>
      </c>
    </row>
    <row r="68" spans="1:30" ht="15" customHeight="1" x14ac:dyDescent="0.2">
      <c r="A68" s="81" t="s">
        <v>28530</v>
      </c>
      <c r="B68" s="81" t="s">
        <v>28463</v>
      </c>
      <c r="C68" s="81" t="s">
        <v>8</v>
      </c>
      <c r="D68" s="81" t="s">
        <v>17</v>
      </c>
      <c r="E68" s="81" t="s">
        <v>25711</v>
      </c>
      <c r="F68" s="81" t="s">
        <v>26687</v>
      </c>
      <c r="G68" s="81" t="s">
        <v>28588</v>
      </c>
      <c r="H68" s="81" t="s">
        <v>28597</v>
      </c>
      <c r="I68" s="81" t="s">
        <v>52</v>
      </c>
      <c r="J68" s="84" t="s">
        <v>25979</v>
      </c>
      <c r="K68" s="81" t="s">
        <v>25715</v>
      </c>
      <c r="L68" s="81" t="s">
        <v>25642</v>
      </c>
      <c r="M68" s="81" t="s">
        <v>12</v>
      </c>
      <c r="N68" s="81">
        <v>2380.9500000000003</v>
      </c>
      <c r="Q68" s="80"/>
      <c r="R68" s="103" t="str">
        <f t="shared" si="1"/>
        <v>21-708-02-</v>
      </c>
      <c r="X68" s="81">
        <v>1</v>
      </c>
      <c r="Z68" s="81">
        <v>4</v>
      </c>
      <c r="AB68" s="81">
        <v>6</v>
      </c>
      <c r="AD68" s="81">
        <v>3</v>
      </c>
    </row>
    <row r="69" spans="1:30" ht="15" customHeight="1" x14ac:dyDescent="0.2">
      <c r="A69" s="81" t="s">
        <v>28531</v>
      </c>
      <c r="B69" s="81" t="s">
        <v>28464</v>
      </c>
      <c r="C69" s="81" t="s">
        <v>8</v>
      </c>
      <c r="D69" s="81" t="s">
        <v>21</v>
      </c>
      <c r="E69" s="81" t="s">
        <v>25711</v>
      </c>
      <c r="F69" s="81" t="s">
        <v>26687</v>
      </c>
      <c r="G69" s="81" t="s">
        <v>28588</v>
      </c>
      <c r="H69" s="81" t="s">
        <v>28597</v>
      </c>
      <c r="I69" s="81" t="s">
        <v>52</v>
      </c>
      <c r="J69" s="84" t="s">
        <v>25979</v>
      </c>
      <c r="K69" s="81" t="s">
        <v>25715</v>
      </c>
      <c r="L69" s="81" t="s">
        <v>25642</v>
      </c>
      <c r="M69" s="81" t="s">
        <v>12</v>
      </c>
      <c r="N69" s="81">
        <v>2263.9500000000003</v>
      </c>
      <c r="Q69" s="80"/>
      <c r="R69" s="103" t="str">
        <f t="shared" si="1"/>
        <v>21-709-02-</v>
      </c>
      <c r="Z69" s="81">
        <v>5</v>
      </c>
      <c r="AB69" s="81">
        <v>7</v>
      </c>
      <c r="AD69" s="81">
        <v>4</v>
      </c>
    </row>
    <row r="70" spans="1:30" ht="15" customHeight="1" x14ac:dyDescent="0.2">
      <c r="A70" s="81" t="s">
        <v>9295</v>
      </c>
      <c r="B70" s="81" t="s">
        <v>28465</v>
      </c>
      <c r="C70" s="81" t="s">
        <v>8</v>
      </c>
      <c r="D70" s="81" t="s">
        <v>21</v>
      </c>
      <c r="E70" s="81" t="s">
        <v>25711</v>
      </c>
      <c r="F70" s="81" t="s">
        <v>26687</v>
      </c>
      <c r="G70" s="81" t="s">
        <v>28588</v>
      </c>
      <c r="H70" s="81" t="s">
        <v>28625</v>
      </c>
      <c r="I70" s="81" t="s">
        <v>194</v>
      </c>
      <c r="J70" s="84" t="s">
        <v>25977</v>
      </c>
      <c r="K70" s="81" t="s">
        <v>25715</v>
      </c>
      <c r="L70" s="81" t="s">
        <v>25642</v>
      </c>
      <c r="M70" s="81" t="s">
        <v>12</v>
      </c>
      <c r="N70" s="81">
        <v>2380.9500000000003</v>
      </c>
      <c r="Q70" s="80"/>
      <c r="R70" s="103" t="str">
        <f t="shared" si="1"/>
        <v>21-710-36-</v>
      </c>
      <c r="Z70" s="81">
        <v>3</v>
      </c>
      <c r="AB70" s="81">
        <v>4</v>
      </c>
      <c r="AD70" s="81">
        <v>3</v>
      </c>
    </row>
    <row r="71" spans="1:30" ht="15" customHeight="1" x14ac:dyDescent="0.2">
      <c r="A71" s="81" t="s">
        <v>28532</v>
      </c>
      <c r="B71" s="81" t="s">
        <v>28466</v>
      </c>
      <c r="C71" s="81" t="s">
        <v>8</v>
      </c>
      <c r="D71" s="81" t="s">
        <v>21</v>
      </c>
      <c r="E71" s="81" t="s">
        <v>25711</v>
      </c>
      <c r="F71" s="81" t="s">
        <v>26687</v>
      </c>
      <c r="G71" s="81" t="s">
        <v>28588</v>
      </c>
      <c r="H71" s="81" t="s">
        <v>28448</v>
      </c>
      <c r="I71" s="81" t="s">
        <v>28</v>
      </c>
      <c r="J71" s="84" t="s">
        <v>25770</v>
      </c>
      <c r="L71" s="81" t="s">
        <v>25642</v>
      </c>
      <c r="M71" s="81" t="s">
        <v>12</v>
      </c>
      <c r="N71" s="81">
        <v>2380.9500000000003</v>
      </c>
      <c r="Q71" s="80"/>
      <c r="R71" s="103" t="str">
        <f t="shared" si="1"/>
        <v>21-748-08-</v>
      </c>
      <c r="Z71" s="81">
        <v>5</v>
      </c>
      <c r="AB71" s="81">
        <v>9</v>
      </c>
      <c r="AD71" s="81">
        <v>5</v>
      </c>
    </row>
    <row r="72" spans="1:30" ht="15" customHeight="1" x14ac:dyDescent="0.2">
      <c r="A72" s="81" t="s">
        <v>28533</v>
      </c>
      <c r="B72" s="81" t="s">
        <v>28466</v>
      </c>
      <c r="C72" s="81" t="s">
        <v>8</v>
      </c>
      <c r="D72" s="81" t="s">
        <v>21</v>
      </c>
      <c r="E72" s="81" t="s">
        <v>25711</v>
      </c>
      <c r="F72" s="81" t="s">
        <v>26687</v>
      </c>
      <c r="G72" s="81" t="s">
        <v>28588</v>
      </c>
      <c r="H72" s="81" t="s">
        <v>28626</v>
      </c>
      <c r="I72" s="81" t="s">
        <v>100</v>
      </c>
      <c r="J72" s="84" t="s">
        <v>25770</v>
      </c>
      <c r="L72" s="81" t="s">
        <v>25642</v>
      </c>
      <c r="M72" s="81" t="s">
        <v>12</v>
      </c>
      <c r="N72" s="81">
        <v>2380.9500000000003</v>
      </c>
      <c r="Q72" s="80"/>
      <c r="R72" s="103" t="str">
        <f t="shared" si="1"/>
        <v>21-748-17-</v>
      </c>
      <c r="Z72" s="81">
        <v>5</v>
      </c>
      <c r="AB72" s="81">
        <v>9</v>
      </c>
      <c r="AD72" s="81">
        <v>5</v>
      </c>
    </row>
    <row r="73" spans="1:30" ht="15" customHeight="1" x14ac:dyDescent="0.2">
      <c r="A73" s="81" t="s">
        <v>8578</v>
      </c>
      <c r="B73" s="81" t="s">
        <v>25602</v>
      </c>
      <c r="C73" s="81" t="s">
        <v>31</v>
      </c>
      <c r="D73" s="81" t="s">
        <v>25559</v>
      </c>
      <c r="E73" s="81" t="s">
        <v>25711</v>
      </c>
      <c r="F73" s="81" t="s">
        <v>26687</v>
      </c>
      <c r="G73" s="81" t="s">
        <v>28588</v>
      </c>
      <c r="H73" s="81" t="s">
        <v>28627</v>
      </c>
      <c r="I73" s="81" t="s">
        <v>52</v>
      </c>
      <c r="J73" s="84" t="s">
        <v>28628</v>
      </c>
      <c r="K73" s="81" t="s">
        <v>25722</v>
      </c>
      <c r="L73" s="81" t="s">
        <v>25642</v>
      </c>
      <c r="M73" s="81" t="s">
        <v>12</v>
      </c>
      <c r="N73" s="81">
        <v>1737.45</v>
      </c>
      <c r="Q73" s="80"/>
      <c r="R73" s="103" t="str">
        <f t="shared" si="1"/>
        <v>21-469-02-</v>
      </c>
      <c r="X73" s="81">
        <v>1</v>
      </c>
      <c r="Z73" s="81">
        <v>4</v>
      </c>
      <c r="AB73" s="81">
        <v>8</v>
      </c>
      <c r="AD73" s="81">
        <v>4</v>
      </c>
    </row>
    <row r="74" spans="1:30" ht="15" customHeight="1" x14ac:dyDescent="0.2">
      <c r="A74" s="81" t="s">
        <v>9018</v>
      </c>
      <c r="B74" s="81" t="s">
        <v>28467</v>
      </c>
      <c r="C74" s="81" t="s">
        <v>31</v>
      </c>
      <c r="D74" s="81" t="s">
        <v>25559</v>
      </c>
      <c r="E74" s="81" t="s">
        <v>25711</v>
      </c>
      <c r="F74" s="81" t="s">
        <v>26687</v>
      </c>
      <c r="G74" s="81" t="s">
        <v>28588</v>
      </c>
      <c r="H74" s="81" t="s">
        <v>28621</v>
      </c>
      <c r="I74" s="81" t="s">
        <v>25472</v>
      </c>
      <c r="J74" s="84" t="s">
        <v>28628</v>
      </c>
      <c r="K74" s="81" t="s">
        <v>25722</v>
      </c>
      <c r="L74" s="81" t="s">
        <v>25642</v>
      </c>
      <c r="M74" s="81" t="s">
        <v>12</v>
      </c>
      <c r="N74" s="81">
        <v>1749.1499999999999</v>
      </c>
      <c r="Q74" s="80"/>
      <c r="R74" s="103" t="str">
        <f t="shared" si="1"/>
        <v>21-602-01-</v>
      </c>
      <c r="X74" s="81">
        <v>1</v>
      </c>
      <c r="Z74" s="81">
        <v>4</v>
      </c>
      <c r="AB74" s="81">
        <v>7</v>
      </c>
      <c r="AD74" s="81">
        <v>4</v>
      </c>
    </row>
    <row r="75" spans="1:30" ht="15" customHeight="1" x14ac:dyDescent="0.2">
      <c r="A75" s="81" t="s">
        <v>9020</v>
      </c>
      <c r="B75" s="81" t="s">
        <v>28467</v>
      </c>
      <c r="C75" s="81" t="s">
        <v>31</v>
      </c>
      <c r="D75" s="81" t="s">
        <v>25559</v>
      </c>
      <c r="E75" s="81" t="s">
        <v>25711</v>
      </c>
      <c r="F75" s="81" t="s">
        <v>26687</v>
      </c>
      <c r="G75" s="81" t="s">
        <v>28588</v>
      </c>
      <c r="H75" s="81" t="s">
        <v>28615</v>
      </c>
      <c r="I75" s="81" t="s">
        <v>52</v>
      </c>
      <c r="J75" s="84" t="s">
        <v>28628</v>
      </c>
      <c r="K75" s="81" t="s">
        <v>25722</v>
      </c>
      <c r="L75" s="81" t="s">
        <v>25642</v>
      </c>
      <c r="M75" s="81" t="s">
        <v>12</v>
      </c>
      <c r="N75" s="81">
        <v>1749.1499999999999</v>
      </c>
      <c r="Q75" s="80"/>
      <c r="R75" s="103" t="str">
        <f t="shared" si="1"/>
        <v>21-602-02-</v>
      </c>
      <c r="X75" s="81">
        <v>1</v>
      </c>
      <c r="Z75" s="81">
        <v>3</v>
      </c>
      <c r="AB75" s="81">
        <v>5</v>
      </c>
      <c r="AD75" s="81">
        <v>3</v>
      </c>
    </row>
    <row r="76" spans="1:30" ht="15" customHeight="1" x14ac:dyDescent="0.2">
      <c r="A76" s="81" t="s">
        <v>9022</v>
      </c>
      <c r="B76" s="81" t="s">
        <v>28467</v>
      </c>
      <c r="C76" s="81" t="s">
        <v>31</v>
      </c>
      <c r="D76" s="81" t="s">
        <v>25559</v>
      </c>
      <c r="E76" s="81" t="s">
        <v>25711</v>
      </c>
      <c r="F76" s="81" t="s">
        <v>26687</v>
      </c>
      <c r="G76" s="81" t="s">
        <v>28588</v>
      </c>
      <c r="H76" s="81" t="s">
        <v>28629</v>
      </c>
      <c r="I76" s="81" t="s">
        <v>147</v>
      </c>
      <c r="J76" s="84" t="s">
        <v>28628</v>
      </c>
      <c r="K76" s="81" t="s">
        <v>25722</v>
      </c>
      <c r="L76" s="81" t="s">
        <v>25642</v>
      </c>
      <c r="M76" s="81" t="s">
        <v>12</v>
      </c>
      <c r="N76" s="81">
        <v>1749.1499999999999</v>
      </c>
      <c r="Q76" s="80"/>
      <c r="R76" s="103" t="str">
        <f t="shared" si="1"/>
        <v>21-602-19-</v>
      </c>
      <c r="X76" s="81">
        <v>1</v>
      </c>
      <c r="Z76" s="81">
        <v>3</v>
      </c>
      <c r="AB76" s="81">
        <v>5</v>
      </c>
      <c r="AD76" s="81">
        <v>4</v>
      </c>
    </row>
    <row r="77" spans="1:30" ht="15" customHeight="1" x14ac:dyDescent="0.2">
      <c r="A77" s="81" t="s">
        <v>28534</v>
      </c>
      <c r="B77" s="81" t="s">
        <v>28468</v>
      </c>
      <c r="C77" s="81" t="s">
        <v>31</v>
      </c>
      <c r="D77" s="81" t="s">
        <v>25559</v>
      </c>
      <c r="E77" s="81" t="s">
        <v>25711</v>
      </c>
      <c r="F77" s="81" t="s">
        <v>26687</v>
      </c>
      <c r="G77" s="81" t="s">
        <v>28588</v>
      </c>
      <c r="H77" s="81" t="s">
        <v>28630</v>
      </c>
      <c r="I77" s="81" t="s">
        <v>27</v>
      </c>
      <c r="J77" s="84" t="s">
        <v>28631</v>
      </c>
      <c r="K77" s="81" t="s">
        <v>25719</v>
      </c>
      <c r="L77" s="81" t="s">
        <v>25642</v>
      </c>
      <c r="M77" s="81" t="s">
        <v>12</v>
      </c>
      <c r="N77" s="81">
        <v>1766.6999999999998</v>
      </c>
      <c r="Q77" s="80"/>
      <c r="R77" s="103" t="str">
        <f t="shared" si="1"/>
        <v>21-751-06-</v>
      </c>
      <c r="X77" s="81">
        <v>1</v>
      </c>
      <c r="Z77" s="81">
        <v>4</v>
      </c>
      <c r="AB77" s="81">
        <v>7</v>
      </c>
      <c r="AD77" s="81">
        <v>4</v>
      </c>
    </row>
    <row r="78" spans="1:30" ht="15" customHeight="1" x14ac:dyDescent="0.2">
      <c r="A78" s="81" t="s">
        <v>28535</v>
      </c>
      <c r="B78" s="81" t="s">
        <v>28469</v>
      </c>
      <c r="C78" s="81" t="s">
        <v>31</v>
      </c>
      <c r="D78" s="81" t="s">
        <v>25559</v>
      </c>
      <c r="E78" s="81" t="s">
        <v>25711</v>
      </c>
      <c r="F78" s="81" t="s">
        <v>26687</v>
      </c>
      <c r="G78" s="81" t="s">
        <v>28588</v>
      </c>
      <c r="H78" s="81" t="s">
        <v>28441</v>
      </c>
      <c r="I78" s="81" t="s">
        <v>23</v>
      </c>
      <c r="J78" s="84" t="s">
        <v>28632</v>
      </c>
      <c r="K78" s="81" t="s">
        <v>25719</v>
      </c>
      <c r="L78" s="81" t="s">
        <v>25642</v>
      </c>
      <c r="M78" s="81" t="s">
        <v>12</v>
      </c>
      <c r="N78" s="81">
        <v>1755</v>
      </c>
      <c r="Q78" s="80"/>
      <c r="R78" s="103" t="str">
        <f t="shared" si="1"/>
        <v>21-752-16-</v>
      </c>
      <c r="X78" s="81">
        <v>1</v>
      </c>
      <c r="Z78" s="81">
        <v>4</v>
      </c>
      <c r="AB78" s="81">
        <v>7</v>
      </c>
      <c r="AD78" s="81">
        <v>4</v>
      </c>
    </row>
    <row r="79" spans="1:30" ht="15" customHeight="1" x14ac:dyDescent="0.2">
      <c r="A79" s="81" t="s">
        <v>27179</v>
      </c>
      <c r="B79" s="81" t="s">
        <v>28470</v>
      </c>
      <c r="C79" s="81" t="s">
        <v>31</v>
      </c>
      <c r="D79" s="81" t="s">
        <v>39</v>
      </c>
      <c r="E79" s="81" t="s">
        <v>25711</v>
      </c>
      <c r="F79" s="81" t="s">
        <v>26687</v>
      </c>
      <c r="G79" s="81" t="s">
        <v>28588</v>
      </c>
      <c r="H79" s="81" t="s">
        <v>28442</v>
      </c>
      <c r="I79" s="81" t="s">
        <v>107</v>
      </c>
      <c r="J79" s="84" t="s">
        <v>28633</v>
      </c>
      <c r="L79" s="81" t="s">
        <v>25642</v>
      </c>
      <c r="M79" s="81" t="s">
        <v>12</v>
      </c>
      <c r="N79" s="81">
        <v>1702.3500000000001</v>
      </c>
      <c r="Q79" s="80"/>
      <c r="R79" s="103" t="str">
        <f t="shared" si="1"/>
        <v>21-753-48-</v>
      </c>
      <c r="X79" s="81">
        <v>1</v>
      </c>
      <c r="Z79" s="81">
        <v>4</v>
      </c>
      <c r="AB79" s="81">
        <v>7</v>
      </c>
      <c r="AD79" s="81">
        <v>4</v>
      </c>
    </row>
    <row r="80" spans="1:30" ht="15" customHeight="1" x14ac:dyDescent="0.2">
      <c r="A80" s="81" t="s">
        <v>28536</v>
      </c>
      <c r="B80" s="81" t="s">
        <v>28470</v>
      </c>
      <c r="C80" s="81" t="s">
        <v>31</v>
      </c>
      <c r="D80" s="81" t="s">
        <v>39</v>
      </c>
      <c r="E80" s="81" t="s">
        <v>25711</v>
      </c>
      <c r="F80" s="81" t="s">
        <v>26687</v>
      </c>
      <c r="G80" s="81" t="s">
        <v>28588</v>
      </c>
      <c r="H80" s="81" t="s">
        <v>28634</v>
      </c>
      <c r="I80" s="81" t="s">
        <v>54</v>
      </c>
      <c r="J80" s="84" t="s">
        <v>28633</v>
      </c>
      <c r="L80" s="81" t="s">
        <v>25642</v>
      </c>
      <c r="M80" s="81" t="s">
        <v>12</v>
      </c>
      <c r="N80" s="81">
        <v>1702.3500000000001</v>
      </c>
      <c r="Q80" s="80"/>
      <c r="R80" s="103" t="str">
        <f t="shared" si="1"/>
        <v>21-753-11-</v>
      </c>
      <c r="X80" s="81">
        <v>1</v>
      </c>
      <c r="Z80" s="81">
        <v>4</v>
      </c>
      <c r="AB80" s="81">
        <v>7</v>
      </c>
      <c r="AD80" s="81">
        <v>4</v>
      </c>
    </row>
    <row r="81" spans="1:30" ht="15" customHeight="1" x14ac:dyDescent="0.2">
      <c r="A81" s="81" t="s">
        <v>27183</v>
      </c>
      <c r="B81" s="81" t="s">
        <v>28471</v>
      </c>
      <c r="C81" s="81" t="s">
        <v>31</v>
      </c>
      <c r="D81" s="81" t="s">
        <v>25559</v>
      </c>
      <c r="E81" s="81" t="s">
        <v>25711</v>
      </c>
      <c r="F81" s="81" t="s">
        <v>26687</v>
      </c>
      <c r="G81" s="81" t="s">
        <v>28588</v>
      </c>
      <c r="H81" s="81" t="s">
        <v>28635</v>
      </c>
      <c r="I81" s="81" t="s">
        <v>43</v>
      </c>
      <c r="J81" s="84" t="s">
        <v>28631</v>
      </c>
      <c r="K81" s="81" t="s">
        <v>25719</v>
      </c>
      <c r="L81" s="81" t="s">
        <v>25642</v>
      </c>
      <c r="M81" s="81" t="s">
        <v>12</v>
      </c>
      <c r="N81" s="81">
        <v>1877.8500000000001</v>
      </c>
      <c r="Q81" s="80"/>
      <c r="R81" s="103" t="str">
        <f t="shared" si="1"/>
        <v>21-755-15-</v>
      </c>
      <c r="X81" s="81">
        <v>1</v>
      </c>
      <c r="Z81" s="81">
        <v>4</v>
      </c>
      <c r="AB81" s="81">
        <v>7</v>
      </c>
      <c r="AD81" s="81">
        <v>4</v>
      </c>
    </row>
    <row r="82" spans="1:30" ht="15" customHeight="1" x14ac:dyDescent="0.2">
      <c r="A82" s="81" t="s">
        <v>28537</v>
      </c>
      <c r="B82" s="81" t="s">
        <v>28471</v>
      </c>
      <c r="C82" s="81" t="s">
        <v>31</v>
      </c>
      <c r="D82" s="81" t="s">
        <v>25559</v>
      </c>
      <c r="E82" s="81" t="s">
        <v>25711</v>
      </c>
      <c r="F82" s="81" t="s">
        <v>26687</v>
      </c>
      <c r="G82" s="81" t="s">
        <v>28588</v>
      </c>
      <c r="H82" s="81" t="s">
        <v>28448</v>
      </c>
      <c r="I82" s="81" t="s">
        <v>28</v>
      </c>
      <c r="J82" s="84" t="s">
        <v>28631</v>
      </c>
      <c r="K82" s="81" t="s">
        <v>25719</v>
      </c>
      <c r="L82" s="81" t="s">
        <v>25642</v>
      </c>
      <c r="M82" s="81" t="s">
        <v>12</v>
      </c>
      <c r="N82" s="81">
        <v>1877.8500000000001</v>
      </c>
      <c r="Q82" s="80"/>
      <c r="R82" s="103" t="str">
        <f t="shared" si="1"/>
        <v>21-755-08-</v>
      </c>
      <c r="X82" s="81">
        <v>1</v>
      </c>
      <c r="Z82" s="81">
        <v>4</v>
      </c>
      <c r="AB82" s="81">
        <v>7</v>
      </c>
      <c r="AD82" s="81">
        <v>4</v>
      </c>
    </row>
    <row r="83" spans="1:30" ht="15" customHeight="1" x14ac:dyDescent="0.2">
      <c r="A83" s="81" t="s">
        <v>10140</v>
      </c>
      <c r="B83" s="81" t="s">
        <v>28472</v>
      </c>
      <c r="C83" s="81" t="s">
        <v>8</v>
      </c>
      <c r="D83" s="81" t="s">
        <v>25585</v>
      </c>
      <c r="E83" s="81" t="s">
        <v>25646</v>
      </c>
      <c r="F83" s="81" t="s">
        <v>26687</v>
      </c>
      <c r="G83" s="81" t="s">
        <v>25646</v>
      </c>
      <c r="H83" s="81" t="s">
        <v>28636</v>
      </c>
      <c r="I83" s="81" t="s">
        <v>25472</v>
      </c>
      <c r="J83" s="84" t="s">
        <v>26561</v>
      </c>
      <c r="K83" s="81" t="s">
        <v>25715</v>
      </c>
      <c r="L83" s="81" t="s">
        <v>25640</v>
      </c>
      <c r="M83" s="81" t="s">
        <v>12</v>
      </c>
      <c r="N83" s="81">
        <v>537.03</v>
      </c>
      <c r="Q83" s="80"/>
      <c r="R83" s="103" t="str">
        <f t="shared" si="1"/>
        <v>31-064-01-</v>
      </c>
      <c r="U83" s="81">
        <v>6</v>
      </c>
    </row>
    <row r="84" spans="1:30" ht="15" customHeight="1" x14ac:dyDescent="0.2">
      <c r="A84" s="81" t="s">
        <v>10158</v>
      </c>
      <c r="B84" s="81" t="s">
        <v>28472</v>
      </c>
      <c r="C84" s="81" t="s">
        <v>8</v>
      </c>
      <c r="D84" s="81" t="s">
        <v>25585</v>
      </c>
      <c r="E84" s="81" t="s">
        <v>25646</v>
      </c>
      <c r="F84" s="81" t="s">
        <v>26687</v>
      </c>
      <c r="G84" s="81" t="s">
        <v>25646</v>
      </c>
      <c r="H84" s="81" t="s">
        <v>28637</v>
      </c>
      <c r="I84" s="81" t="s">
        <v>25463</v>
      </c>
      <c r="J84" s="84" t="s">
        <v>26561</v>
      </c>
      <c r="K84" s="81" t="s">
        <v>25715</v>
      </c>
      <c r="L84" s="81" t="s">
        <v>25640</v>
      </c>
      <c r="M84" s="81" t="s">
        <v>12</v>
      </c>
      <c r="N84" s="81">
        <v>537.03</v>
      </c>
      <c r="Q84" s="80"/>
      <c r="R84" s="103" t="str">
        <f t="shared" si="1"/>
        <v>31-064-42-</v>
      </c>
      <c r="U84" s="81">
        <v>6</v>
      </c>
    </row>
    <row r="85" spans="1:30" ht="15" customHeight="1" x14ac:dyDescent="0.2">
      <c r="A85" s="81" t="s">
        <v>10146</v>
      </c>
      <c r="B85" s="81" t="s">
        <v>28472</v>
      </c>
      <c r="C85" s="81" t="s">
        <v>8</v>
      </c>
      <c r="D85" s="81" t="s">
        <v>25585</v>
      </c>
      <c r="E85" s="81" t="s">
        <v>25646</v>
      </c>
      <c r="F85" s="81" t="s">
        <v>26687</v>
      </c>
      <c r="G85" s="81" t="s">
        <v>25646</v>
      </c>
      <c r="H85" s="81" t="s">
        <v>28638</v>
      </c>
      <c r="I85" s="81" t="s">
        <v>27</v>
      </c>
      <c r="J85" s="84" t="s">
        <v>26561</v>
      </c>
      <c r="K85" s="81" t="s">
        <v>25715</v>
      </c>
      <c r="L85" s="81" t="s">
        <v>25640</v>
      </c>
      <c r="M85" s="81" t="s">
        <v>12</v>
      </c>
      <c r="N85" s="81">
        <v>537.03</v>
      </c>
      <c r="Q85" s="80"/>
      <c r="R85" s="103" t="str">
        <f t="shared" si="1"/>
        <v>31-064-06-</v>
      </c>
      <c r="U85" s="81">
        <v>6</v>
      </c>
    </row>
    <row r="86" spans="1:30" ht="15" customHeight="1" x14ac:dyDescent="0.2">
      <c r="A86" s="81" t="s">
        <v>10148</v>
      </c>
      <c r="B86" s="81" t="s">
        <v>28472</v>
      </c>
      <c r="C86" s="81" t="s">
        <v>8</v>
      </c>
      <c r="D86" s="81" t="s">
        <v>25585</v>
      </c>
      <c r="E86" s="81" t="s">
        <v>25646</v>
      </c>
      <c r="F86" s="81" t="s">
        <v>26687</v>
      </c>
      <c r="G86" s="81" t="s">
        <v>25646</v>
      </c>
      <c r="H86" s="81" t="s">
        <v>28639</v>
      </c>
      <c r="I86" s="81" t="s">
        <v>123</v>
      </c>
      <c r="J86" s="84" t="s">
        <v>26561</v>
      </c>
      <c r="K86" s="81" t="s">
        <v>25715</v>
      </c>
      <c r="L86" s="81" t="s">
        <v>25640</v>
      </c>
      <c r="M86" s="81" t="s">
        <v>12</v>
      </c>
      <c r="N86" s="81">
        <v>537.03</v>
      </c>
      <c r="Q86" s="80"/>
      <c r="R86" s="103" t="str">
        <f t="shared" si="1"/>
        <v>31-064-13-</v>
      </c>
      <c r="U86" s="81">
        <v>4</v>
      </c>
    </row>
    <row r="87" spans="1:30" ht="15" customHeight="1" x14ac:dyDescent="0.2">
      <c r="A87" s="81" t="s">
        <v>10110</v>
      </c>
      <c r="B87" s="81" t="s">
        <v>25630</v>
      </c>
      <c r="C87" s="81" t="s">
        <v>26848</v>
      </c>
      <c r="D87" s="81" t="s">
        <v>25561</v>
      </c>
      <c r="E87" s="81" t="s">
        <v>25646</v>
      </c>
      <c r="F87" s="81" t="s">
        <v>26687</v>
      </c>
      <c r="G87" s="81" t="s">
        <v>25646</v>
      </c>
      <c r="H87" s="81" t="s">
        <v>28640</v>
      </c>
      <c r="I87" s="81" t="s">
        <v>25340</v>
      </c>
      <c r="J87" s="84" t="s">
        <v>25775</v>
      </c>
      <c r="K87" s="81" t="s">
        <v>25720</v>
      </c>
      <c r="L87" s="81" t="s">
        <v>25640</v>
      </c>
      <c r="M87" s="81" t="s">
        <v>12</v>
      </c>
      <c r="N87" s="81">
        <v>676.26</v>
      </c>
      <c r="Q87" s="80"/>
      <c r="R87" s="103" t="str">
        <f t="shared" si="1"/>
        <v>31-056-17-</v>
      </c>
      <c r="U87" s="81">
        <v>3</v>
      </c>
    </row>
    <row r="88" spans="1:30" ht="15" customHeight="1" x14ac:dyDescent="0.2">
      <c r="A88" s="81" t="s">
        <v>10198</v>
      </c>
      <c r="B88" s="81" t="s">
        <v>28473</v>
      </c>
      <c r="C88" s="81" t="s">
        <v>8</v>
      </c>
      <c r="D88" s="81" t="s">
        <v>25585</v>
      </c>
      <c r="E88" s="81" t="s">
        <v>25646</v>
      </c>
      <c r="F88" s="81" t="s">
        <v>26687</v>
      </c>
      <c r="G88" s="81" t="s">
        <v>25646</v>
      </c>
      <c r="H88" s="81" t="s">
        <v>28641</v>
      </c>
      <c r="I88" s="81" t="s">
        <v>107</v>
      </c>
      <c r="J88" s="84" t="s">
        <v>26561</v>
      </c>
      <c r="K88" s="81" t="s">
        <v>25715</v>
      </c>
      <c r="L88" s="81" t="s">
        <v>25640</v>
      </c>
      <c r="M88" s="81" t="s">
        <v>12</v>
      </c>
      <c r="N88" s="81">
        <v>581.49</v>
      </c>
      <c r="Q88" s="80"/>
      <c r="R88" s="103" t="str">
        <f t="shared" si="1"/>
        <v>31-078-09-</v>
      </c>
      <c r="U88" s="81">
        <v>8</v>
      </c>
    </row>
    <row r="89" spans="1:30" ht="15" customHeight="1" x14ac:dyDescent="0.2">
      <c r="A89" s="81" t="s">
        <v>10208</v>
      </c>
      <c r="B89" s="81" t="s">
        <v>28473</v>
      </c>
      <c r="C89" s="81" t="s">
        <v>8</v>
      </c>
      <c r="D89" s="81" t="s">
        <v>25585</v>
      </c>
      <c r="E89" s="81" t="s">
        <v>25646</v>
      </c>
      <c r="F89" s="81" t="s">
        <v>26687</v>
      </c>
      <c r="G89" s="81" t="s">
        <v>25646</v>
      </c>
      <c r="H89" s="81" t="s">
        <v>28642</v>
      </c>
      <c r="I89" s="81" t="s">
        <v>25360</v>
      </c>
      <c r="J89" s="84" t="s">
        <v>26561</v>
      </c>
      <c r="K89" s="81" t="s">
        <v>25715</v>
      </c>
      <c r="L89" s="81" t="s">
        <v>25640</v>
      </c>
      <c r="M89" s="81" t="s">
        <v>12</v>
      </c>
      <c r="N89" s="81">
        <v>581.49</v>
      </c>
      <c r="Q89" s="80"/>
      <c r="R89" s="103" t="str">
        <f t="shared" si="1"/>
        <v>31-078-49-</v>
      </c>
      <c r="U89" s="81">
        <v>10</v>
      </c>
    </row>
    <row r="90" spans="1:30" ht="15" customHeight="1" x14ac:dyDescent="0.2">
      <c r="A90" s="81" t="s">
        <v>10200</v>
      </c>
      <c r="B90" s="81" t="s">
        <v>28473</v>
      </c>
      <c r="C90" s="81" t="s">
        <v>8</v>
      </c>
      <c r="D90" s="81" t="s">
        <v>25585</v>
      </c>
      <c r="E90" s="81" t="s">
        <v>25646</v>
      </c>
      <c r="F90" s="81" t="s">
        <v>26687</v>
      </c>
      <c r="G90" s="81" t="s">
        <v>25646</v>
      </c>
      <c r="H90" s="81" t="s">
        <v>28643</v>
      </c>
      <c r="I90" s="81" t="s">
        <v>201</v>
      </c>
      <c r="J90" s="84" t="s">
        <v>26561</v>
      </c>
      <c r="K90" s="81" t="s">
        <v>25715</v>
      </c>
      <c r="L90" s="81" t="s">
        <v>25640</v>
      </c>
      <c r="M90" s="81" t="s">
        <v>12</v>
      </c>
      <c r="N90" s="81">
        <v>581.49</v>
      </c>
      <c r="Q90" s="80"/>
      <c r="R90" s="103" t="str">
        <f t="shared" si="1"/>
        <v>31-078-17-</v>
      </c>
      <c r="U90" s="81">
        <v>8</v>
      </c>
    </row>
    <row r="91" spans="1:30" ht="15" customHeight="1" x14ac:dyDescent="0.2">
      <c r="A91" s="81" t="s">
        <v>28538</v>
      </c>
      <c r="B91" s="81" t="s">
        <v>25632</v>
      </c>
      <c r="C91" s="81" t="s">
        <v>8</v>
      </c>
      <c r="D91" s="81" t="s">
        <v>25585</v>
      </c>
      <c r="E91" s="81" t="s">
        <v>25646</v>
      </c>
      <c r="F91" s="81" t="s">
        <v>26687</v>
      </c>
      <c r="G91" s="81" t="s">
        <v>25646</v>
      </c>
      <c r="H91" s="81" t="s">
        <v>28644</v>
      </c>
      <c r="I91" s="81" t="s">
        <v>100</v>
      </c>
      <c r="J91" s="84" t="s">
        <v>26473</v>
      </c>
      <c r="K91" s="81" t="s">
        <v>25715</v>
      </c>
      <c r="L91" s="81" t="s">
        <v>25640</v>
      </c>
      <c r="M91" s="81" t="s">
        <v>12</v>
      </c>
      <c r="N91" s="81">
        <v>654.03000000000009</v>
      </c>
      <c r="Q91" s="80"/>
      <c r="R91" s="103" t="str">
        <f t="shared" si="1"/>
        <v>31-136-17-</v>
      </c>
      <c r="U91" s="81">
        <v>5</v>
      </c>
    </row>
    <row r="92" spans="1:30" ht="15" customHeight="1" x14ac:dyDescent="0.2">
      <c r="A92" s="81" t="s">
        <v>10521</v>
      </c>
      <c r="B92" s="81" t="s">
        <v>25593</v>
      </c>
      <c r="C92" s="81" t="s">
        <v>8</v>
      </c>
      <c r="D92" s="81" t="s">
        <v>25585</v>
      </c>
      <c r="E92" s="81" t="s">
        <v>25646</v>
      </c>
      <c r="F92" s="81" t="s">
        <v>26687</v>
      </c>
      <c r="G92" s="81" t="s">
        <v>25646</v>
      </c>
      <c r="H92" s="81" t="s">
        <v>28645</v>
      </c>
      <c r="I92" s="81" t="s">
        <v>25487</v>
      </c>
      <c r="J92" s="84" t="s">
        <v>25744</v>
      </c>
      <c r="K92" s="81" t="s">
        <v>25715</v>
      </c>
      <c r="L92" s="81" t="s">
        <v>25640</v>
      </c>
      <c r="M92" s="81" t="s">
        <v>12</v>
      </c>
      <c r="N92" s="81">
        <v>628.29000000000008</v>
      </c>
      <c r="Q92" s="80"/>
      <c r="R92" s="103" t="str">
        <f t="shared" si="1"/>
        <v>31-128-95-</v>
      </c>
      <c r="U92" s="81">
        <v>3</v>
      </c>
    </row>
    <row r="93" spans="1:30" ht="15" customHeight="1" x14ac:dyDescent="0.2">
      <c r="A93" s="81" t="s">
        <v>10262</v>
      </c>
      <c r="B93" s="81" t="s">
        <v>25594</v>
      </c>
      <c r="C93" s="81" t="s">
        <v>8</v>
      </c>
      <c r="D93" s="81" t="s">
        <v>25585</v>
      </c>
      <c r="E93" s="81" t="s">
        <v>25646</v>
      </c>
      <c r="F93" s="81" t="s">
        <v>26687</v>
      </c>
      <c r="G93" s="81" t="s">
        <v>25646</v>
      </c>
      <c r="H93" s="81" t="s">
        <v>28646</v>
      </c>
      <c r="I93" s="81" t="s">
        <v>25463</v>
      </c>
      <c r="J93" s="84" t="s">
        <v>25919</v>
      </c>
      <c r="K93" s="81" t="s">
        <v>25715</v>
      </c>
      <c r="L93" s="81" t="s">
        <v>25640</v>
      </c>
      <c r="M93" s="81" t="s">
        <v>12</v>
      </c>
      <c r="N93" s="81">
        <v>576.80999999999995</v>
      </c>
      <c r="Q93" s="80"/>
      <c r="R93" s="103" t="str">
        <f t="shared" si="1"/>
        <v>31-083-75-</v>
      </c>
      <c r="U93" s="81">
        <v>14</v>
      </c>
    </row>
    <row r="94" spans="1:30" ht="15" customHeight="1" x14ac:dyDescent="0.2">
      <c r="A94" s="81" t="s">
        <v>10248</v>
      </c>
      <c r="B94" s="81" t="s">
        <v>25594</v>
      </c>
      <c r="C94" s="81" t="s">
        <v>8</v>
      </c>
      <c r="D94" s="81" t="s">
        <v>25585</v>
      </c>
      <c r="E94" s="81" t="s">
        <v>25646</v>
      </c>
      <c r="F94" s="81" t="s">
        <v>26687</v>
      </c>
      <c r="G94" s="81" t="s">
        <v>25646</v>
      </c>
      <c r="H94" s="81" t="s">
        <v>28647</v>
      </c>
      <c r="I94" s="81" t="s">
        <v>100</v>
      </c>
      <c r="J94" s="84" t="s">
        <v>25977</v>
      </c>
      <c r="K94" s="81" t="s">
        <v>25715</v>
      </c>
      <c r="L94" s="81" t="s">
        <v>25640</v>
      </c>
      <c r="M94" s="81" t="s">
        <v>12</v>
      </c>
      <c r="N94" s="81">
        <v>576.80999999999995</v>
      </c>
      <c r="Q94" s="80"/>
      <c r="R94" s="103" t="str">
        <f t="shared" si="1"/>
        <v>31-083-17-</v>
      </c>
      <c r="U94" s="81">
        <v>14</v>
      </c>
    </row>
    <row r="95" spans="1:30" ht="15" customHeight="1" x14ac:dyDescent="0.2">
      <c r="A95" s="81" t="s">
        <v>10607</v>
      </c>
      <c r="B95" s="81" t="s">
        <v>25595</v>
      </c>
      <c r="C95" s="81" t="s">
        <v>8</v>
      </c>
      <c r="D95" s="81" t="s">
        <v>25585</v>
      </c>
      <c r="E95" s="81" t="s">
        <v>25646</v>
      </c>
      <c r="F95" s="81" t="s">
        <v>26687</v>
      </c>
      <c r="G95" s="81" t="s">
        <v>25646</v>
      </c>
      <c r="H95" s="81" t="s">
        <v>28648</v>
      </c>
      <c r="I95" s="81" t="s">
        <v>1</v>
      </c>
      <c r="J95" s="84" t="s">
        <v>26561</v>
      </c>
      <c r="K95" s="81" t="s">
        <v>25715</v>
      </c>
      <c r="L95" s="81" t="s">
        <v>25640</v>
      </c>
      <c r="M95" s="81" t="s">
        <v>12</v>
      </c>
      <c r="N95" s="81">
        <v>661.05000000000007</v>
      </c>
      <c r="Q95" s="80"/>
      <c r="R95" s="103" t="str">
        <f t="shared" si="1"/>
        <v>31-150-09-</v>
      </c>
      <c r="U95" s="81">
        <v>3</v>
      </c>
    </row>
    <row r="96" spans="1:30" ht="15" customHeight="1" x14ac:dyDescent="0.2">
      <c r="A96" s="81" t="s">
        <v>10619</v>
      </c>
      <c r="B96" s="81" t="s">
        <v>25596</v>
      </c>
      <c r="C96" s="81" t="s">
        <v>8</v>
      </c>
      <c r="D96" s="81" t="s">
        <v>25585</v>
      </c>
      <c r="E96" s="81" t="s">
        <v>25646</v>
      </c>
      <c r="F96" s="81" t="s">
        <v>26687</v>
      </c>
      <c r="G96" s="81" t="s">
        <v>25646</v>
      </c>
      <c r="H96" s="81" t="s">
        <v>28649</v>
      </c>
      <c r="I96" s="81" t="s">
        <v>42</v>
      </c>
      <c r="J96" s="84" t="s">
        <v>25977</v>
      </c>
      <c r="K96" s="81" t="s">
        <v>25715</v>
      </c>
      <c r="L96" s="81" t="s">
        <v>25640</v>
      </c>
      <c r="M96" s="81" t="s">
        <v>12</v>
      </c>
      <c r="N96" s="81">
        <v>717.21</v>
      </c>
      <c r="Q96" s="80"/>
      <c r="R96" s="103" t="str">
        <f t="shared" si="1"/>
        <v>31-152-53-</v>
      </c>
      <c r="U96" s="81">
        <v>3</v>
      </c>
    </row>
    <row r="97" spans="1:21" ht="15" customHeight="1" x14ac:dyDescent="0.2">
      <c r="A97" s="81" t="s">
        <v>10621</v>
      </c>
      <c r="B97" s="81" t="s">
        <v>25638</v>
      </c>
      <c r="C97" s="81" t="s">
        <v>8</v>
      </c>
      <c r="D97" s="81" t="s">
        <v>21</v>
      </c>
      <c r="E97" s="81" t="s">
        <v>25646</v>
      </c>
      <c r="F97" s="81" t="s">
        <v>26687</v>
      </c>
      <c r="G97" s="81" t="s">
        <v>25646</v>
      </c>
      <c r="H97" s="81" t="s">
        <v>28650</v>
      </c>
      <c r="I97" s="81" t="s">
        <v>107</v>
      </c>
      <c r="J97" s="84" t="s">
        <v>25744</v>
      </c>
      <c r="K97" s="81" t="s">
        <v>25715</v>
      </c>
      <c r="L97" s="81" t="s">
        <v>25640</v>
      </c>
      <c r="M97" s="81" t="s">
        <v>12</v>
      </c>
      <c r="N97" s="81">
        <v>804.96</v>
      </c>
      <c r="Q97" s="80"/>
      <c r="R97" s="103" t="str">
        <f t="shared" si="1"/>
        <v>31-153-48-</v>
      </c>
      <c r="U97" s="81">
        <v>5</v>
      </c>
    </row>
    <row r="98" spans="1:21" ht="15" customHeight="1" x14ac:dyDescent="0.2">
      <c r="A98" s="81" t="s">
        <v>10677</v>
      </c>
      <c r="B98" s="81" t="s">
        <v>25597</v>
      </c>
      <c r="C98" s="81" t="s">
        <v>8</v>
      </c>
      <c r="D98" s="81" t="s">
        <v>25585</v>
      </c>
      <c r="E98" s="81" t="s">
        <v>25646</v>
      </c>
      <c r="F98" s="81" t="s">
        <v>26687</v>
      </c>
      <c r="G98" s="81" t="s">
        <v>25646</v>
      </c>
      <c r="H98" s="81" t="s">
        <v>28651</v>
      </c>
      <c r="I98" s="81" t="s">
        <v>42</v>
      </c>
      <c r="J98" s="84" t="s">
        <v>25919</v>
      </c>
      <c r="K98" s="81" t="s">
        <v>25715</v>
      </c>
      <c r="L98" s="81" t="s">
        <v>25640</v>
      </c>
      <c r="M98" s="81" t="s">
        <v>12</v>
      </c>
      <c r="N98" s="81">
        <v>725.40000000000009</v>
      </c>
      <c r="Q98" s="80"/>
      <c r="R98" s="103" t="str">
        <f t="shared" si="1"/>
        <v>31-171-53-</v>
      </c>
      <c r="U98" s="81">
        <v>3</v>
      </c>
    </row>
    <row r="99" spans="1:21" ht="15" customHeight="1" x14ac:dyDescent="0.2">
      <c r="A99" s="81" t="s">
        <v>10675</v>
      </c>
      <c r="B99" s="81" t="s">
        <v>25597</v>
      </c>
      <c r="C99" s="81" t="s">
        <v>8</v>
      </c>
      <c r="D99" s="81" t="s">
        <v>25585</v>
      </c>
      <c r="E99" s="81" t="s">
        <v>25646</v>
      </c>
      <c r="F99" s="81" t="s">
        <v>26687</v>
      </c>
      <c r="G99" s="81" t="s">
        <v>25646</v>
      </c>
      <c r="H99" s="81" t="s">
        <v>28652</v>
      </c>
      <c r="I99" s="81" t="s">
        <v>25340</v>
      </c>
      <c r="J99" s="84" t="s">
        <v>25919</v>
      </c>
      <c r="K99" s="81" t="s">
        <v>25715</v>
      </c>
      <c r="L99" s="81" t="s">
        <v>25640</v>
      </c>
      <c r="M99" s="81" t="s">
        <v>12</v>
      </c>
      <c r="N99" s="81">
        <v>725.40000000000009</v>
      </c>
      <c r="Q99" s="80"/>
      <c r="R99" s="103" t="str">
        <f t="shared" si="1"/>
        <v>31-171-00-</v>
      </c>
      <c r="U99" s="81">
        <v>3</v>
      </c>
    </row>
    <row r="100" spans="1:21" ht="15" customHeight="1" x14ac:dyDescent="0.2">
      <c r="A100" s="81" t="s">
        <v>10300</v>
      </c>
      <c r="B100" s="81" t="s">
        <v>25598</v>
      </c>
      <c r="C100" s="81" t="s">
        <v>8</v>
      </c>
      <c r="D100" s="81" t="s">
        <v>25583</v>
      </c>
      <c r="E100" s="81" t="s">
        <v>25646</v>
      </c>
      <c r="F100" s="81" t="s">
        <v>26687</v>
      </c>
      <c r="G100" s="81" t="s">
        <v>25646</v>
      </c>
      <c r="H100" s="81" t="s">
        <v>28653</v>
      </c>
      <c r="I100" s="81" t="s">
        <v>25503</v>
      </c>
      <c r="J100" s="84" t="s">
        <v>25977</v>
      </c>
      <c r="K100" s="81" t="s">
        <v>25715</v>
      </c>
      <c r="L100" s="81" t="s">
        <v>25640</v>
      </c>
      <c r="M100" s="81" t="s">
        <v>12</v>
      </c>
      <c r="N100" s="81">
        <v>573.30000000000007</v>
      </c>
      <c r="Q100" s="80"/>
      <c r="R100" s="103" t="str">
        <f t="shared" si="1"/>
        <v>31-084-59-</v>
      </c>
      <c r="U100" s="81">
        <v>2</v>
      </c>
    </row>
    <row r="101" spans="1:21" ht="15" customHeight="1" x14ac:dyDescent="0.2">
      <c r="A101" s="81" t="s">
        <v>28539</v>
      </c>
      <c r="B101" s="81" t="s">
        <v>25598</v>
      </c>
      <c r="C101" s="81" t="s">
        <v>8</v>
      </c>
      <c r="D101" s="81" t="s">
        <v>25583</v>
      </c>
      <c r="E101" s="81" t="s">
        <v>25646</v>
      </c>
      <c r="F101" s="81" t="s">
        <v>26687</v>
      </c>
      <c r="G101" s="81" t="s">
        <v>25646</v>
      </c>
      <c r="H101" s="81" t="s">
        <v>28654</v>
      </c>
      <c r="I101" s="81" t="s">
        <v>54</v>
      </c>
      <c r="J101" s="84" t="s">
        <v>25919</v>
      </c>
      <c r="K101" s="81" t="s">
        <v>25715</v>
      </c>
      <c r="L101" s="81" t="s">
        <v>25640</v>
      </c>
      <c r="M101" s="81" t="s">
        <v>12</v>
      </c>
      <c r="N101" s="81">
        <v>573.30000000000007</v>
      </c>
      <c r="Q101" s="80"/>
      <c r="R101" s="103" t="str">
        <f t="shared" si="1"/>
        <v>31-084-11-</v>
      </c>
      <c r="U101" s="81">
        <v>5</v>
      </c>
    </row>
    <row r="102" spans="1:21" ht="15" customHeight="1" x14ac:dyDescent="0.2">
      <c r="A102" s="81" t="s">
        <v>10292</v>
      </c>
      <c r="B102" s="81" t="s">
        <v>25598</v>
      </c>
      <c r="C102" s="81" t="s">
        <v>8</v>
      </c>
      <c r="D102" s="81" t="s">
        <v>25583</v>
      </c>
      <c r="E102" s="81" t="s">
        <v>25646</v>
      </c>
      <c r="F102" s="81" t="s">
        <v>26687</v>
      </c>
      <c r="G102" s="81" t="s">
        <v>25646</v>
      </c>
      <c r="H102" s="81" t="s">
        <v>28655</v>
      </c>
      <c r="I102" s="81" t="s">
        <v>25499</v>
      </c>
      <c r="J102" s="84" t="s">
        <v>25977</v>
      </c>
      <c r="K102" s="81" t="s">
        <v>25715</v>
      </c>
      <c r="L102" s="81" t="s">
        <v>25640</v>
      </c>
      <c r="M102" s="81" t="s">
        <v>12</v>
      </c>
      <c r="N102" s="81">
        <v>573.30000000000007</v>
      </c>
      <c r="Q102" s="80"/>
      <c r="R102" s="103" t="str">
        <f t="shared" si="1"/>
        <v>31-084-31-</v>
      </c>
      <c r="U102" s="81">
        <v>4</v>
      </c>
    </row>
    <row r="103" spans="1:21" ht="15" customHeight="1" x14ac:dyDescent="0.2">
      <c r="A103" s="81" t="s">
        <v>10280</v>
      </c>
      <c r="B103" s="81" t="s">
        <v>25598</v>
      </c>
      <c r="C103" s="81" t="s">
        <v>8</v>
      </c>
      <c r="D103" s="81" t="s">
        <v>25583</v>
      </c>
      <c r="E103" s="81" t="s">
        <v>25646</v>
      </c>
      <c r="F103" s="81" t="s">
        <v>26687</v>
      </c>
      <c r="G103" s="81" t="s">
        <v>25646</v>
      </c>
      <c r="H103" s="81" t="s">
        <v>28656</v>
      </c>
      <c r="I103" s="81" t="s">
        <v>22</v>
      </c>
      <c r="J103" s="84" t="s">
        <v>25977</v>
      </c>
      <c r="K103" s="81" t="s">
        <v>25715</v>
      </c>
      <c r="L103" s="81" t="s">
        <v>25640</v>
      </c>
      <c r="M103" s="81" t="s">
        <v>12</v>
      </c>
      <c r="N103" s="81">
        <v>573.30000000000007</v>
      </c>
      <c r="Q103" s="80"/>
      <c r="R103" s="103" t="str">
        <f t="shared" si="1"/>
        <v>31-084-14-</v>
      </c>
      <c r="U103" s="81">
        <v>7</v>
      </c>
    </row>
    <row r="104" spans="1:21" ht="15" customHeight="1" x14ac:dyDescent="0.2">
      <c r="A104" s="81" t="s">
        <v>10310</v>
      </c>
      <c r="B104" s="81" t="s">
        <v>25598</v>
      </c>
      <c r="C104" s="81" t="s">
        <v>8</v>
      </c>
      <c r="D104" s="81" t="s">
        <v>25583</v>
      </c>
      <c r="E104" s="81" t="s">
        <v>25646</v>
      </c>
      <c r="F104" s="81" t="s">
        <v>26687</v>
      </c>
      <c r="G104" s="81" t="s">
        <v>25646</v>
      </c>
      <c r="H104" s="81" t="s">
        <v>28657</v>
      </c>
      <c r="I104" s="81" t="s">
        <v>25410</v>
      </c>
      <c r="J104" s="84" t="s">
        <v>25977</v>
      </c>
      <c r="K104" s="81" t="s">
        <v>25715</v>
      </c>
      <c r="L104" s="81" t="s">
        <v>25640</v>
      </c>
      <c r="M104" s="81" t="s">
        <v>12</v>
      </c>
      <c r="N104" s="81">
        <v>573.30000000000007</v>
      </c>
      <c r="Q104" s="80"/>
      <c r="R104" s="103" t="str">
        <f t="shared" si="1"/>
        <v>31-084-87-</v>
      </c>
      <c r="U104" s="81">
        <v>3</v>
      </c>
    </row>
    <row r="105" spans="1:21" ht="15" customHeight="1" x14ac:dyDescent="0.2">
      <c r="A105" s="81" t="s">
        <v>10284</v>
      </c>
      <c r="B105" s="81" t="s">
        <v>25598</v>
      </c>
      <c r="C105" s="81" t="s">
        <v>8</v>
      </c>
      <c r="D105" s="81" t="s">
        <v>25583</v>
      </c>
      <c r="E105" s="81" t="s">
        <v>25646</v>
      </c>
      <c r="F105" s="81" t="s">
        <v>26687</v>
      </c>
      <c r="G105" s="81" t="s">
        <v>25646</v>
      </c>
      <c r="H105" s="81" t="s">
        <v>28647</v>
      </c>
      <c r="I105" s="81" t="s">
        <v>100</v>
      </c>
      <c r="J105" s="84" t="s">
        <v>25977</v>
      </c>
      <c r="K105" s="81" t="s">
        <v>25715</v>
      </c>
      <c r="L105" s="81" t="s">
        <v>25640</v>
      </c>
      <c r="M105" s="81" t="s">
        <v>12</v>
      </c>
      <c r="N105" s="81">
        <v>573.30000000000007</v>
      </c>
      <c r="Q105" s="80"/>
      <c r="R105" s="103" t="str">
        <f t="shared" si="1"/>
        <v>31-084-17-</v>
      </c>
      <c r="U105" s="81">
        <v>12</v>
      </c>
    </row>
    <row r="106" spans="1:21" ht="15" customHeight="1" x14ac:dyDescent="0.2">
      <c r="A106" s="81" t="s">
        <v>10838</v>
      </c>
      <c r="B106" s="81" t="s">
        <v>25606</v>
      </c>
      <c r="C106" s="81" t="s">
        <v>8</v>
      </c>
      <c r="D106" s="81" t="s">
        <v>21</v>
      </c>
      <c r="E106" s="81" t="s">
        <v>25646</v>
      </c>
      <c r="F106" s="81" t="s">
        <v>26687</v>
      </c>
      <c r="G106" s="81" t="s">
        <v>25646</v>
      </c>
      <c r="H106" s="81" t="s">
        <v>28648</v>
      </c>
      <c r="I106" s="81" t="s">
        <v>1</v>
      </c>
      <c r="J106" s="84" t="s">
        <v>26473</v>
      </c>
      <c r="K106" s="81" t="s">
        <v>25715</v>
      </c>
      <c r="L106" s="81" t="s">
        <v>25640</v>
      </c>
      <c r="M106" s="81" t="s">
        <v>12</v>
      </c>
      <c r="N106" s="81">
        <v>787.41000000000008</v>
      </c>
      <c r="Q106" s="80"/>
      <c r="R106" s="103" t="str">
        <f t="shared" si="1"/>
        <v>31-206-09-</v>
      </c>
      <c r="U106" s="81">
        <v>8</v>
      </c>
    </row>
    <row r="107" spans="1:21" ht="15" customHeight="1" x14ac:dyDescent="0.2">
      <c r="A107" s="81" t="s">
        <v>10840</v>
      </c>
      <c r="B107" s="81" t="s">
        <v>25606</v>
      </c>
      <c r="C107" s="81" t="s">
        <v>8</v>
      </c>
      <c r="D107" s="81" t="s">
        <v>21</v>
      </c>
      <c r="E107" s="81" t="s">
        <v>25646</v>
      </c>
      <c r="F107" s="81" t="s">
        <v>26687</v>
      </c>
      <c r="G107" s="81" t="s">
        <v>25646</v>
      </c>
      <c r="H107" s="81" t="s">
        <v>28658</v>
      </c>
      <c r="I107" s="81" t="s">
        <v>22</v>
      </c>
      <c r="J107" s="84" t="s">
        <v>26473</v>
      </c>
      <c r="K107" s="81" t="s">
        <v>25715</v>
      </c>
      <c r="L107" s="81" t="s">
        <v>25640</v>
      </c>
      <c r="M107" s="81" t="s">
        <v>12</v>
      </c>
      <c r="N107" s="81">
        <v>787.41000000000008</v>
      </c>
      <c r="Q107" s="80"/>
      <c r="R107" s="103" t="str">
        <f t="shared" si="1"/>
        <v>31-206-14-</v>
      </c>
      <c r="U107" s="81">
        <v>8</v>
      </c>
    </row>
    <row r="108" spans="1:21" ht="15" customHeight="1" x14ac:dyDescent="0.2">
      <c r="A108" s="81" t="s">
        <v>10836</v>
      </c>
      <c r="B108" s="81" t="s">
        <v>25606</v>
      </c>
      <c r="C108" s="81" t="s">
        <v>8</v>
      </c>
      <c r="D108" s="81" t="s">
        <v>21</v>
      </c>
      <c r="E108" s="81" t="s">
        <v>25646</v>
      </c>
      <c r="F108" s="81" t="s">
        <v>26687</v>
      </c>
      <c r="G108" s="81" t="s">
        <v>25646</v>
      </c>
      <c r="H108" s="81" t="s">
        <v>28642</v>
      </c>
      <c r="I108" s="81" t="s">
        <v>52</v>
      </c>
      <c r="J108" s="84" t="s">
        <v>26473</v>
      </c>
      <c r="K108" s="81" t="s">
        <v>25715</v>
      </c>
      <c r="L108" s="81" t="s">
        <v>25640</v>
      </c>
      <c r="M108" s="81" t="s">
        <v>12</v>
      </c>
      <c r="N108" s="81">
        <v>787.41000000000008</v>
      </c>
      <c r="Q108" s="80"/>
      <c r="R108" s="103" t="str">
        <f t="shared" si="1"/>
        <v>31-206-02-</v>
      </c>
      <c r="U108" s="81">
        <v>8</v>
      </c>
    </row>
    <row r="109" spans="1:21" ht="15" customHeight="1" x14ac:dyDescent="0.2">
      <c r="A109" s="81" t="s">
        <v>28540</v>
      </c>
      <c r="B109" s="81" t="s">
        <v>28474</v>
      </c>
      <c r="C109" s="81" t="s">
        <v>8</v>
      </c>
      <c r="D109" s="81" t="s">
        <v>25583</v>
      </c>
      <c r="E109" s="81" t="s">
        <v>25646</v>
      </c>
      <c r="F109" s="81" t="s">
        <v>26687</v>
      </c>
      <c r="G109" s="81" t="s">
        <v>25646</v>
      </c>
      <c r="H109" s="81" t="s">
        <v>28655</v>
      </c>
      <c r="I109" s="81" t="s">
        <v>28</v>
      </c>
      <c r="J109" s="84" t="s">
        <v>25977</v>
      </c>
      <c r="K109" s="81" t="s">
        <v>25715</v>
      </c>
      <c r="L109" s="81" t="s">
        <v>25640</v>
      </c>
      <c r="M109" s="81" t="s">
        <v>12</v>
      </c>
      <c r="N109" s="81">
        <v>629.46</v>
      </c>
      <c r="Q109" s="80"/>
      <c r="R109" s="103" t="str">
        <f t="shared" si="1"/>
        <v>31-237-08-</v>
      </c>
      <c r="U109" s="81">
        <v>5</v>
      </c>
    </row>
    <row r="110" spans="1:21" ht="15" customHeight="1" x14ac:dyDescent="0.2">
      <c r="A110" s="81" t="s">
        <v>10958</v>
      </c>
      <c r="B110" s="81" t="s">
        <v>28474</v>
      </c>
      <c r="C110" s="81" t="s">
        <v>8</v>
      </c>
      <c r="D110" s="81" t="s">
        <v>25583</v>
      </c>
      <c r="E110" s="81" t="s">
        <v>25646</v>
      </c>
      <c r="F110" s="81" t="s">
        <v>26687</v>
      </c>
      <c r="G110" s="81" t="s">
        <v>25646</v>
      </c>
      <c r="H110" s="81" t="s">
        <v>28659</v>
      </c>
      <c r="I110" s="81" t="s">
        <v>28403</v>
      </c>
      <c r="J110" s="84" t="s">
        <v>25919</v>
      </c>
      <c r="K110" s="81" t="s">
        <v>25715</v>
      </c>
      <c r="L110" s="81" t="s">
        <v>25640</v>
      </c>
      <c r="M110" s="81" t="s">
        <v>12</v>
      </c>
      <c r="N110" s="81">
        <v>629.46</v>
      </c>
      <c r="Q110" s="80"/>
      <c r="R110" s="103" t="str">
        <f t="shared" si="1"/>
        <v>31-237-20-</v>
      </c>
      <c r="U110" s="81">
        <v>5</v>
      </c>
    </row>
    <row r="111" spans="1:21" ht="15" customHeight="1" x14ac:dyDescent="0.2">
      <c r="A111" s="81" t="s">
        <v>10954</v>
      </c>
      <c r="B111" s="81" t="s">
        <v>28474</v>
      </c>
      <c r="C111" s="81" t="s">
        <v>8</v>
      </c>
      <c r="D111" s="81" t="s">
        <v>25583</v>
      </c>
      <c r="E111" s="81" t="s">
        <v>25646</v>
      </c>
      <c r="F111" s="81" t="s">
        <v>26687</v>
      </c>
      <c r="G111" s="81" t="s">
        <v>25646</v>
      </c>
      <c r="H111" s="81" t="s">
        <v>28647</v>
      </c>
      <c r="I111" s="81" t="s">
        <v>100</v>
      </c>
      <c r="J111" s="84" t="s">
        <v>25919</v>
      </c>
      <c r="K111" s="81" t="s">
        <v>25715</v>
      </c>
      <c r="L111" s="81" t="s">
        <v>25640</v>
      </c>
      <c r="M111" s="81" t="s">
        <v>12</v>
      </c>
      <c r="N111" s="81">
        <v>629.46</v>
      </c>
      <c r="Q111" s="80"/>
      <c r="R111" s="103" t="str">
        <f t="shared" si="1"/>
        <v>31-237-17-</v>
      </c>
      <c r="U111" s="81">
        <v>4</v>
      </c>
    </row>
    <row r="112" spans="1:21" ht="15" customHeight="1" x14ac:dyDescent="0.2">
      <c r="A112" s="81" t="s">
        <v>10972</v>
      </c>
      <c r="B112" s="81" t="s">
        <v>28475</v>
      </c>
      <c r="C112" s="81" t="s">
        <v>8</v>
      </c>
      <c r="D112" s="81" t="s">
        <v>25585</v>
      </c>
      <c r="E112" s="81" t="s">
        <v>25646</v>
      </c>
      <c r="F112" s="81" t="s">
        <v>26687</v>
      </c>
      <c r="G112" s="81" t="s">
        <v>25646</v>
      </c>
      <c r="H112" s="81" t="s">
        <v>28660</v>
      </c>
      <c r="I112" s="81" t="s">
        <v>25427</v>
      </c>
      <c r="J112" s="84" t="s">
        <v>25919</v>
      </c>
      <c r="K112" s="81" t="s">
        <v>25715</v>
      </c>
      <c r="L112" s="81" t="s">
        <v>25640</v>
      </c>
      <c r="M112" s="81" t="s">
        <v>12</v>
      </c>
      <c r="N112" s="81">
        <v>787.41000000000008</v>
      </c>
      <c r="Q112" s="80"/>
      <c r="R112" s="103" t="str">
        <f t="shared" si="1"/>
        <v>31-238-91-</v>
      </c>
      <c r="U112" s="81">
        <v>3</v>
      </c>
    </row>
    <row r="113" spans="1:28" ht="15" customHeight="1" x14ac:dyDescent="0.2">
      <c r="A113" s="81" t="s">
        <v>10966</v>
      </c>
      <c r="B113" s="81" t="s">
        <v>28475</v>
      </c>
      <c r="C113" s="81" t="s">
        <v>8</v>
      </c>
      <c r="D113" s="81" t="s">
        <v>25585</v>
      </c>
      <c r="E113" s="81" t="s">
        <v>25646</v>
      </c>
      <c r="F113" s="81" t="s">
        <v>26687</v>
      </c>
      <c r="G113" s="81" t="s">
        <v>25646</v>
      </c>
      <c r="H113" s="81" t="s">
        <v>28642</v>
      </c>
      <c r="I113" s="81" t="s">
        <v>52</v>
      </c>
      <c r="J113" s="84" t="s">
        <v>25919</v>
      </c>
      <c r="K113" s="81" t="s">
        <v>25715</v>
      </c>
      <c r="L113" s="81" t="s">
        <v>25640</v>
      </c>
      <c r="M113" s="81" t="s">
        <v>12</v>
      </c>
      <c r="N113" s="81">
        <v>787.41000000000008</v>
      </c>
      <c r="Q113" s="80"/>
      <c r="R113" s="103" t="str">
        <f t="shared" si="1"/>
        <v>31-238-02-</v>
      </c>
      <c r="U113" s="81">
        <v>3</v>
      </c>
    </row>
    <row r="114" spans="1:28" ht="15" customHeight="1" x14ac:dyDescent="0.2">
      <c r="A114" s="81" t="s">
        <v>10984</v>
      </c>
      <c r="B114" s="81" t="s">
        <v>28476</v>
      </c>
      <c r="C114" s="81" t="s">
        <v>8</v>
      </c>
      <c r="D114" s="81" t="s">
        <v>25582</v>
      </c>
      <c r="E114" s="81" t="s">
        <v>25646</v>
      </c>
      <c r="F114" s="81" t="s">
        <v>26687</v>
      </c>
      <c r="G114" s="81" t="s">
        <v>25646</v>
      </c>
      <c r="H114" s="81" t="s">
        <v>28648</v>
      </c>
      <c r="I114" s="81" t="s">
        <v>1</v>
      </c>
      <c r="J114" s="84" t="s">
        <v>25775</v>
      </c>
      <c r="K114" s="81" t="s">
        <v>25720</v>
      </c>
      <c r="L114" s="81" t="s">
        <v>25640</v>
      </c>
      <c r="M114" s="81" t="s">
        <v>12</v>
      </c>
      <c r="N114" s="81">
        <v>606.05999999999995</v>
      </c>
      <c r="Q114" s="80"/>
      <c r="R114" s="103" t="str">
        <f t="shared" si="1"/>
        <v>31-243-09-</v>
      </c>
      <c r="U114" s="81">
        <v>2</v>
      </c>
    </row>
    <row r="115" spans="1:28" ht="15" customHeight="1" x14ac:dyDescent="0.2">
      <c r="A115" s="81" t="s">
        <v>11070</v>
      </c>
      <c r="B115" s="81" t="s">
        <v>28477</v>
      </c>
      <c r="C115" s="81" t="s">
        <v>8</v>
      </c>
      <c r="D115" s="81" t="s">
        <v>25585</v>
      </c>
      <c r="E115" s="81" t="s">
        <v>25646</v>
      </c>
      <c r="F115" s="81" t="s">
        <v>26687</v>
      </c>
      <c r="G115" s="81" t="s">
        <v>25646</v>
      </c>
      <c r="H115" s="81" t="s">
        <v>28661</v>
      </c>
      <c r="I115" s="81" t="s">
        <v>22</v>
      </c>
      <c r="J115" s="84" t="s">
        <v>28662</v>
      </c>
      <c r="K115" s="81" t="s">
        <v>25715</v>
      </c>
      <c r="L115" s="81" t="s">
        <v>25640</v>
      </c>
      <c r="M115" s="81" t="s">
        <v>12</v>
      </c>
      <c r="N115" s="81">
        <v>699.66000000000008</v>
      </c>
      <c r="Q115" s="80"/>
      <c r="R115" s="103" t="str">
        <f t="shared" si="1"/>
        <v>31-270-14-</v>
      </c>
      <c r="U115" s="81">
        <v>5</v>
      </c>
    </row>
    <row r="116" spans="1:28" ht="15" customHeight="1" x14ac:dyDescent="0.2">
      <c r="A116" s="81" t="s">
        <v>11110</v>
      </c>
      <c r="B116" s="81" t="s">
        <v>28478</v>
      </c>
      <c r="C116" s="81" t="s">
        <v>8</v>
      </c>
      <c r="D116" s="81" t="s">
        <v>25585</v>
      </c>
      <c r="E116" s="81" t="s">
        <v>25646</v>
      </c>
      <c r="F116" s="81" t="s">
        <v>26687</v>
      </c>
      <c r="G116" s="81" t="s">
        <v>25646</v>
      </c>
      <c r="H116" s="81" t="s">
        <v>28648</v>
      </c>
      <c r="I116" s="81" t="s">
        <v>1</v>
      </c>
      <c r="J116" s="84" t="s">
        <v>59</v>
      </c>
      <c r="L116" s="81" t="s">
        <v>25640</v>
      </c>
      <c r="M116" s="81" t="s">
        <v>12</v>
      </c>
      <c r="N116" s="81">
        <v>760.50000000000011</v>
      </c>
      <c r="Q116" s="80"/>
      <c r="R116" s="103" t="str">
        <f t="shared" si="1"/>
        <v>31-289-09-</v>
      </c>
      <c r="U116" s="81">
        <v>3</v>
      </c>
    </row>
    <row r="117" spans="1:28" ht="15" customHeight="1" x14ac:dyDescent="0.2">
      <c r="A117" s="81" t="s">
        <v>28541</v>
      </c>
      <c r="B117" s="81" t="s">
        <v>28479</v>
      </c>
      <c r="C117" s="81" t="s">
        <v>8</v>
      </c>
      <c r="D117" s="81" t="s">
        <v>25585</v>
      </c>
      <c r="E117" s="81" t="s">
        <v>25646</v>
      </c>
      <c r="F117" s="81" t="s">
        <v>26687</v>
      </c>
      <c r="G117" s="81" t="s">
        <v>25646</v>
      </c>
      <c r="H117" s="81" t="s">
        <v>28663</v>
      </c>
      <c r="I117" s="81" t="s">
        <v>1</v>
      </c>
      <c r="J117" s="84" t="s">
        <v>28664</v>
      </c>
      <c r="K117" s="81" t="s">
        <v>25715</v>
      </c>
      <c r="L117" s="81" t="s">
        <v>25640</v>
      </c>
      <c r="M117" s="81" t="s">
        <v>12</v>
      </c>
      <c r="N117" s="81">
        <v>760.50000000000011</v>
      </c>
      <c r="Q117" s="80"/>
      <c r="R117" s="103" t="str">
        <f t="shared" si="1"/>
        <v>31-295-09-</v>
      </c>
      <c r="U117" s="81">
        <v>3</v>
      </c>
    </row>
    <row r="118" spans="1:28" ht="15" customHeight="1" x14ac:dyDescent="0.2">
      <c r="A118" s="81" t="s">
        <v>10078</v>
      </c>
      <c r="B118" s="81" t="s">
        <v>28480</v>
      </c>
      <c r="C118" s="81" t="s">
        <v>31</v>
      </c>
      <c r="D118" s="81" t="s">
        <v>25558</v>
      </c>
      <c r="E118" s="81" t="s">
        <v>25646</v>
      </c>
      <c r="F118" s="81" t="s">
        <v>91</v>
      </c>
      <c r="G118" s="81" t="s">
        <v>25646</v>
      </c>
      <c r="H118" s="81" t="s">
        <v>28648</v>
      </c>
      <c r="I118" s="81" t="s">
        <v>1</v>
      </c>
      <c r="J118" s="84" t="s">
        <v>11</v>
      </c>
      <c r="K118" s="81" t="s">
        <v>25722</v>
      </c>
      <c r="L118" s="81" t="s">
        <v>25640</v>
      </c>
      <c r="M118" s="81" t="s">
        <v>12</v>
      </c>
      <c r="N118" s="81">
        <v>594.36</v>
      </c>
      <c r="Q118" s="80"/>
      <c r="R118" s="103" t="str">
        <f t="shared" si="1"/>
        <v>31-053-09-</v>
      </c>
      <c r="U118" s="81">
        <v>10</v>
      </c>
    </row>
    <row r="119" spans="1:28" ht="15" customHeight="1" x14ac:dyDescent="0.2">
      <c r="A119" s="81" t="s">
        <v>10090</v>
      </c>
      <c r="B119" s="81" t="s">
        <v>28480</v>
      </c>
      <c r="C119" s="81" t="s">
        <v>31</v>
      </c>
      <c r="D119" s="81" t="s">
        <v>25558</v>
      </c>
      <c r="E119" s="81" t="s">
        <v>25646</v>
      </c>
      <c r="F119" s="81" t="s">
        <v>26687</v>
      </c>
      <c r="G119" s="81" t="s">
        <v>25646</v>
      </c>
      <c r="H119" s="81" t="s">
        <v>28665</v>
      </c>
      <c r="I119" s="81" t="s">
        <v>171</v>
      </c>
      <c r="J119" s="84" t="s">
        <v>11</v>
      </c>
      <c r="K119" s="81" t="s">
        <v>25722</v>
      </c>
      <c r="L119" s="81" t="s">
        <v>25640</v>
      </c>
      <c r="M119" s="81" t="s">
        <v>12</v>
      </c>
      <c r="N119" s="81">
        <v>594.36</v>
      </c>
      <c r="Q119" s="80"/>
      <c r="R119" s="103" t="str">
        <f t="shared" si="1"/>
        <v>31-053-48-</v>
      </c>
      <c r="U119" s="81">
        <v>10</v>
      </c>
    </row>
    <row r="120" spans="1:28" ht="15" customHeight="1" x14ac:dyDescent="0.2">
      <c r="A120" s="81" t="s">
        <v>8458</v>
      </c>
      <c r="B120" s="81" t="s">
        <v>25607</v>
      </c>
      <c r="C120" s="81" t="s">
        <v>8</v>
      </c>
      <c r="D120" s="81" t="s">
        <v>21</v>
      </c>
      <c r="E120" s="81" t="s">
        <v>25711</v>
      </c>
      <c r="F120" s="81" t="s">
        <v>91</v>
      </c>
      <c r="G120" s="81" t="s">
        <v>25725</v>
      </c>
      <c r="H120" s="81" t="s">
        <v>28666</v>
      </c>
      <c r="I120" s="81" t="s">
        <v>28</v>
      </c>
      <c r="J120" s="84" t="s">
        <v>0</v>
      </c>
      <c r="K120" s="81" t="s">
        <v>25721</v>
      </c>
      <c r="L120" s="81" t="s">
        <v>25642</v>
      </c>
      <c r="M120" s="81" t="s">
        <v>26700</v>
      </c>
      <c r="N120" s="81">
        <v>702.00000000000011</v>
      </c>
      <c r="Q120" s="80"/>
      <c r="R120" s="103" t="str">
        <f t="shared" si="1"/>
        <v>21-432-08-</v>
      </c>
      <c r="Z120" s="81">
        <v>1</v>
      </c>
    </row>
    <row r="121" spans="1:28" ht="15" customHeight="1" x14ac:dyDescent="0.2">
      <c r="A121" s="81" t="s">
        <v>28542</v>
      </c>
      <c r="B121" s="81" t="s">
        <v>28481</v>
      </c>
      <c r="C121" s="81" t="s">
        <v>8</v>
      </c>
      <c r="D121" s="81" t="s">
        <v>21</v>
      </c>
      <c r="E121" s="81" t="s">
        <v>25711</v>
      </c>
      <c r="F121" s="81" t="s">
        <v>91</v>
      </c>
      <c r="G121" s="81" t="s">
        <v>25725</v>
      </c>
      <c r="H121" s="81" t="s">
        <v>28667</v>
      </c>
      <c r="I121" s="81" t="s">
        <v>22</v>
      </c>
      <c r="J121" s="84" t="s">
        <v>0</v>
      </c>
      <c r="K121" s="81" t="s">
        <v>25721</v>
      </c>
      <c r="L121" s="81" t="s">
        <v>25642</v>
      </c>
      <c r="M121" s="81" t="s">
        <v>26700</v>
      </c>
      <c r="N121" s="81">
        <v>702.00000000000011</v>
      </c>
      <c r="Q121" s="80"/>
      <c r="R121" s="103" t="str">
        <f t="shared" si="1"/>
        <v>21-782-14-</v>
      </c>
      <c r="AB121" s="81">
        <v>1</v>
      </c>
    </row>
    <row r="122" spans="1:28" ht="15" customHeight="1" x14ac:dyDescent="0.2">
      <c r="A122" s="81" t="s">
        <v>28543</v>
      </c>
      <c r="B122" s="81" t="s">
        <v>28482</v>
      </c>
      <c r="C122" s="81" t="s">
        <v>31</v>
      </c>
      <c r="D122" s="81" t="s">
        <v>28585</v>
      </c>
      <c r="E122" s="81" t="s">
        <v>25711</v>
      </c>
      <c r="F122" s="81" t="s">
        <v>91</v>
      </c>
      <c r="G122" s="81" t="s">
        <v>25725</v>
      </c>
      <c r="H122" s="81" t="s">
        <v>28447</v>
      </c>
      <c r="I122" s="81" t="s">
        <v>1</v>
      </c>
      <c r="J122" s="84" t="s">
        <v>28668</v>
      </c>
      <c r="K122" s="81" t="s">
        <v>25718</v>
      </c>
      <c r="L122" s="81" t="s">
        <v>25642</v>
      </c>
      <c r="M122" s="81" t="s">
        <v>12</v>
      </c>
      <c r="N122" s="81">
        <v>702.00000000000011</v>
      </c>
      <c r="Q122" s="80"/>
      <c r="R122" s="103" t="str">
        <f t="shared" si="1"/>
        <v>21-783-09-</v>
      </c>
      <c r="AB122" s="81">
        <v>1</v>
      </c>
    </row>
    <row r="123" spans="1:28" ht="15" customHeight="1" x14ac:dyDescent="0.2">
      <c r="A123" s="81" t="s">
        <v>28544</v>
      </c>
      <c r="B123" s="81" t="s">
        <v>28483</v>
      </c>
      <c r="C123" s="81" t="s">
        <v>31</v>
      </c>
      <c r="D123" s="81" t="s">
        <v>28585</v>
      </c>
      <c r="E123" s="81" t="s">
        <v>25711</v>
      </c>
      <c r="F123" s="81" t="s">
        <v>91</v>
      </c>
      <c r="G123" s="81" t="s">
        <v>25725</v>
      </c>
      <c r="H123" s="81" t="s">
        <v>28669</v>
      </c>
      <c r="I123" s="81" t="s">
        <v>27</v>
      </c>
      <c r="J123" s="84" t="s">
        <v>28670</v>
      </c>
      <c r="L123" s="81" t="s">
        <v>25642</v>
      </c>
      <c r="M123" s="81" t="s">
        <v>12</v>
      </c>
      <c r="N123" s="81">
        <v>702.00000000000011</v>
      </c>
      <c r="Q123" s="80"/>
      <c r="R123" s="103" t="str">
        <f t="shared" si="1"/>
        <v>21-784-06-</v>
      </c>
      <c r="AB123" s="81">
        <v>1</v>
      </c>
    </row>
    <row r="124" spans="1:28" ht="15" customHeight="1" x14ac:dyDescent="0.2">
      <c r="A124" s="81" t="s">
        <v>28545</v>
      </c>
      <c r="B124" s="81" t="s">
        <v>28484</v>
      </c>
      <c r="C124" s="81" t="s">
        <v>31</v>
      </c>
      <c r="D124" s="81" t="s">
        <v>28586</v>
      </c>
      <c r="E124" s="81" t="s">
        <v>25711</v>
      </c>
      <c r="F124" s="81" t="s">
        <v>91</v>
      </c>
      <c r="G124" s="81" t="s">
        <v>25725</v>
      </c>
      <c r="H124" s="81" t="s">
        <v>28666</v>
      </c>
      <c r="I124" s="81" t="s">
        <v>28</v>
      </c>
      <c r="J124" s="84" t="s">
        <v>28671</v>
      </c>
      <c r="K124" s="81" t="s">
        <v>264</v>
      </c>
      <c r="L124" s="81" t="s">
        <v>25642</v>
      </c>
      <c r="M124" s="81" t="s">
        <v>12</v>
      </c>
      <c r="N124" s="81">
        <v>702.00000000000011</v>
      </c>
      <c r="Q124" s="80"/>
      <c r="R124" s="103" t="str">
        <f t="shared" si="1"/>
        <v>21-785-08-</v>
      </c>
      <c r="AB124" s="81">
        <v>1</v>
      </c>
    </row>
    <row r="125" spans="1:28" ht="15" customHeight="1" x14ac:dyDescent="0.2">
      <c r="A125" s="81" t="s">
        <v>28546</v>
      </c>
      <c r="B125" s="81" t="s">
        <v>28485</v>
      </c>
      <c r="C125" s="81" t="s">
        <v>31</v>
      </c>
      <c r="D125" s="81" t="s">
        <v>39</v>
      </c>
      <c r="E125" s="81" t="s">
        <v>25711</v>
      </c>
      <c r="F125" s="81" t="s">
        <v>91</v>
      </c>
      <c r="G125" s="81" t="s">
        <v>25725</v>
      </c>
      <c r="H125" s="81" t="s">
        <v>28672</v>
      </c>
      <c r="I125" s="81" t="s">
        <v>25379</v>
      </c>
      <c r="J125" s="84" t="s">
        <v>28670</v>
      </c>
      <c r="L125" s="81" t="s">
        <v>25642</v>
      </c>
      <c r="M125" s="81" t="s">
        <v>12</v>
      </c>
      <c r="N125" s="81">
        <v>702.00000000000011</v>
      </c>
      <c r="Q125" s="80"/>
      <c r="R125" s="103" t="str">
        <f t="shared" si="1"/>
        <v>21-786-14-</v>
      </c>
      <c r="AB125" s="81">
        <v>1</v>
      </c>
    </row>
    <row r="126" spans="1:28" ht="15" customHeight="1" x14ac:dyDescent="0.2">
      <c r="A126" s="81" t="s">
        <v>28547</v>
      </c>
      <c r="B126" s="81" t="s">
        <v>28486</v>
      </c>
      <c r="C126" s="81" t="s">
        <v>31</v>
      </c>
      <c r="D126" s="81" t="s">
        <v>25559</v>
      </c>
      <c r="E126" s="81" t="s">
        <v>25711</v>
      </c>
      <c r="F126" s="81" t="s">
        <v>91</v>
      </c>
      <c r="G126" s="81" t="s">
        <v>25725</v>
      </c>
      <c r="H126" s="81" t="s">
        <v>28673</v>
      </c>
      <c r="I126" s="81" t="s">
        <v>54</v>
      </c>
      <c r="J126" s="84" t="s">
        <v>28674</v>
      </c>
      <c r="K126" s="81" t="s">
        <v>264</v>
      </c>
      <c r="L126" s="81" t="s">
        <v>25642</v>
      </c>
      <c r="M126" s="81" t="s">
        <v>12</v>
      </c>
      <c r="N126" s="81">
        <v>702.00000000000011</v>
      </c>
      <c r="Q126" s="80"/>
      <c r="R126" s="103" t="str">
        <f t="shared" si="1"/>
        <v>21-787-11-</v>
      </c>
      <c r="AB126" s="81">
        <v>1</v>
      </c>
    </row>
    <row r="127" spans="1:28" ht="15" customHeight="1" x14ac:dyDescent="0.2">
      <c r="A127" s="81" t="s">
        <v>28548</v>
      </c>
      <c r="B127" s="81" t="s">
        <v>28487</v>
      </c>
      <c r="C127" s="81" t="s">
        <v>31</v>
      </c>
      <c r="D127" s="81" t="s">
        <v>25559</v>
      </c>
      <c r="E127" s="81" t="s">
        <v>25711</v>
      </c>
      <c r="F127" s="81" t="s">
        <v>91</v>
      </c>
      <c r="G127" s="81" t="s">
        <v>25725</v>
      </c>
      <c r="H127" s="81" t="s">
        <v>28675</v>
      </c>
      <c r="I127" s="81" t="s">
        <v>28</v>
      </c>
      <c r="J127" s="84" t="s">
        <v>28671</v>
      </c>
      <c r="K127" s="81" t="s">
        <v>264</v>
      </c>
      <c r="L127" s="81" t="s">
        <v>25642</v>
      </c>
      <c r="M127" s="81" t="s">
        <v>12</v>
      </c>
      <c r="N127" s="81">
        <v>702.00000000000011</v>
      </c>
      <c r="Q127" s="80"/>
      <c r="R127" s="103" t="str">
        <f t="shared" si="1"/>
        <v>21-788-08-</v>
      </c>
      <c r="AB127" s="81">
        <v>1</v>
      </c>
    </row>
    <row r="128" spans="1:28" ht="15" customHeight="1" x14ac:dyDescent="0.2">
      <c r="A128" s="81" t="s">
        <v>28549</v>
      </c>
      <c r="B128" s="81" t="s">
        <v>28488</v>
      </c>
      <c r="C128" s="81" t="s">
        <v>31</v>
      </c>
      <c r="D128" s="81" t="s">
        <v>25559</v>
      </c>
      <c r="E128" s="81" t="s">
        <v>25711</v>
      </c>
      <c r="F128" s="81" t="s">
        <v>91</v>
      </c>
      <c r="G128" s="81" t="s">
        <v>25725</v>
      </c>
      <c r="H128" s="81" t="s">
        <v>28676</v>
      </c>
      <c r="I128" s="81" t="s">
        <v>23</v>
      </c>
      <c r="J128" s="84" t="s">
        <v>28677</v>
      </c>
      <c r="K128" s="81" t="s">
        <v>264</v>
      </c>
      <c r="L128" s="81" t="s">
        <v>25642</v>
      </c>
      <c r="M128" s="81" t="s">
        <v>12</v>
      </c>
      <c r="N128" s="81">
        <v>702.00000000000011</v>
      </c>
      <c r="Q128" s="80"/>
      <c r="R128" s="103" t="str">
        <f t="shared" si="1"/>
        <v>21-789-16-</v>
      </c>
      <c r="AB128" s="81">
        <v>1</v>
      </c>
    </row>
    <row r="129" spans="1:28" ht="15" customHeight="1" x14ac:dyDescent="0.2">
      <c r="A129" s="81" t="s">
        <v>28550</v>
      </c>
      <c r="B129" s="81" t="s">
        <v>28489</v>
      </c>
      <c r="C129" s="81" t="s">
        <v>31</v>
      </c>
      <c r="D129" s="81" t="s">
        <v>28585</v>
      </c>
      <c r="E129" s="81" t="s">
        <v>25711</v>
      </c>
      <c r="F129" s="81" t="s">
        <v>91</v>
      </c>
      <c r="G129" s="81" t="s">
        <v>25725</v>
      </c>
      <c r="H129" s="81" t="s">
        <v>28678</v>
      </c>
      <c r="I129" s="81" t="s">
        <v>54</v>
      </c>
      <c r="J129" s="84" t="s">
        <v>28679</v>
      </c>
      <c r="K129" s="81" t="s">
        <v>25721</v>
      </c>
      <c r="L129" s="81" t="s">
        <v>25642</v>
      </c>
      <c r="M129" s="81" t="s">
        <v>12</v>
      </c>
      <c r="N129" s="81">
        <v>702.00000000000011</v>
      </c>
      <c r="Q129" s="80"/>
      <c r="R129" s="103" t="str">
        <f t="shared" si="1"/>
        <v>21-790-11-</v>
      </c>
      <c r="AB129" s="81">
        <v>1</v>
      </c>
    </row>
    <row r="130" spans="1:28" ht="15" customHeight="1" x14ac:dyDescent="0.2">
      <c r="A130" s="81" t="s">
        <v>28551</v>
      </c>
      <c r="B130" s="81" t="s">
        <v>28490</v>
      </c>
      <c r="C130" s="81" t="s">
        <v>31</v>
      </c>
      <c r="D130" s="81" t="s">
        <v>28587</v>
      </c>
      <c r="E130" s="81" t="s">
        <v>25711</v>
      </c>
      <c r="F130" s="81" t="s">
        <v>91</v>
      </c>
      <c r="G130" s="81" t="s">
        <v>25725</v>
      </c>
      <c r="H130" s="81" t="s">
        <v>28680</v>
      </c>
      <c r="I130" s="81" t="s">
        <v>28</v>
      </c>
      <c r="J130" s="84" t="s">
        <v>28681</v>
      </c>
      <c r="K130" s="81" t="s">
        <v>264</v>
      </c>
      <c r="L130" s="81" t="s">
        <v>25642</v>
      </c>
      <c r="M130" s="81" t="s">
        <v>12</v>
      </c>
      <c r="N130" s="81">
        <v>702.00000000000011</v>
      </c>
      <c r="Q130" s="80"/>
      <c r="R130" s="103" t="str">
        <f t="shared" si="1"/>
        <v>21-791-08-</v>
      </c>
      <c r="AB130" s="81">
        <v>1</v>
      </c>
    </row>
    <row r="131" spans="1:28" ht="15" customHeight="1" x14ac:dyDescent="0.2">
      <c r="A131" s="81" t="s">
        <v>28552</v>
      </c>
      <c r="B131" s="81" t="s">
        <v>28491</v>
      </c>
      <c r="C131" s="81" t="s">
        <v>31</v>
      </c>
      <c r="D131" s="81" t="s">
        <v>28587</v>
      </c>
      <c r="E131" s="81" t="s">
        <v>25711</v>
      </c>
      <c r="F131" s="81" t="s">
        <v>91</v>
      </c>
      <c r="G131" s="81" t="s">
        <v>25725</v>
      </c>
      <c r="H131" s="81" t="s">
        <v>28682</v>
      </c>
      <c r="I131" s="81" t="s">
        <v>210</v>
      </c>
      <c r="J131" s="84" t="s">
        <v>28679</v>
      </c>
      <c r="K131" s="81" t="s">
        <v>264</v>
      </c>
      <c r="L131" s="81" t="s">
        <v>25642</v>
      </c>
      <c r="M131" s="81" t="s">
        <v>12</v>
      </c>
      <c r="N131" s="81">
        <v>702.00000000000011</v>
      </c>
      <c r="Q131" s="80"/>
      <c r="R131" s="103" t="str">
        <f t="shared" ref="R131:R166" si="2">A131&amp;"-"&amp;S131</f>
        <v>21-792-72-</v>
      </c>
      <c r="AB131" s="81">
        <v>1</v>
      </c>
    </row>
    <row r="132" spans="1:28" ht="15" customHeight="1" x14ac:dyDescent="0.2">
      <c r="A132" s="81" t="s">
        <v>28553</v>
      </c>
      <c r="B132" s="81" t="s">
        <v>28492</v>
      </c>
      <c r="C132" s="81" t="s">
        <v>8</v>
      </c>
      <c r="D132" s="81" t="s">
        <v>21</v>
      </c>
      <c r="E132" s="81" t="s">
        <v>25711</v>
      </c>
      <c r="F132" s="81" t="s">
        <v>91</v>
      </c>
      <c r="G132" s="81" t="s">
        <v>25725</v>
      </c>
      <c r="H132" s="81" t="s">
        <v>28447</v>
      </c>
      <c r="I132" s="81" t="s">
        <v>1</v>
      </c>
      <c r="J132" s="84" t="s">
        <v>0</v>
      </c>
      <c r="K132" s="81" t="s">
        <v>25721</v>
      </c>
      <c r="L132" s="81" t="s">
        <v>25642</v>
      </c>
      <c r="M132" s="81" t="s">
        <v>26700</v>
      </c>
      <c r="N132" s="81">
        <v>702.00000000000011</v>
      </c>
      <c r="Q132" s="80"/>
      <c r="R132" s="103" t="str">
        <f t="shared" si="2"/>
        <v>21-793-09-</v>
      </c>
      <c r="AB132" s="81">
        <v>1</v>
      </c>
    </row>
    <row r="133" spans="1:28" ht="15" customHeight="1" x14ac:dyDescent="0.2">
      <c r="A133" s="81" t="s">
        <v>28554</v>
      </c>
      <c r="B133" s="81" t="s">
        <v>28493</v>
      </c>
      <c r="C133" s="81" t="s">
        <v>8</v>
      </c>
      <c r="D133" s="81" t="s">
        <v>21</v>
      </c>
      <c r="E133" s="81" t="s">
        <v>25711</v>
      </c>
      <c r="F133" s="81" t="s">
        <v>91</v>
      </c>
      <c r="G133" s="81" t="s">
        <v>25725</v>
      </c>
      <c r="H133" s="81" t="s">
        <v>28667</v>
      </c>
      <c r="I133" s="81" t="s">
        <v>22</v>
      </c>
      <c r="J133" s="84" t="s">
        <v>28679</v>
      </c>
      <c r="K133" s="81" t="s">
        <v>25721</v>
      </c>
      <c r="L133" s="81" t="s">
        <v>25642</v>
      </c>
      <c r="M133" s="81" t="s">
        <v>26700</v>
      </c>
      <c r="N133" s="81">
        <v>702.00000000000011</v>
      </c>
      <c r="Q133" s="80"/>
      <c r="R133" s="103" t="str">
        <f t="shared" si="2"/>
        <v>21-582-14-</v>
      </c>
      <c r="AB133" s="81">
        <v>1</v>
      </c>
    </row>
    <row r="134" spans="1:28" ht="15" customHeight="1" x14ac:dyDescent="0.2">
      <c r="A134" s="81" t="s">
        <v>28555</v>
      </c>
      <c r="B134" s="81" t="s">
        <v>28494</v>
      </c>
      <c r="C134" s="81" t="s">
        <v>8</v>
      </c>
      <c r="D134" s="81" t="s">
        <v>21</v>
      </c>
      <c r="E134" s="81" t="s">
        <v>25711</v>
      </c>
      <c r="F134" s="81" t="s">
        <v>91</v>
      </c>
      <c r="G134" s="81" t="s">
        <v>25725</v>
      </c>
      <c r="H134" s="81" t="s">
        <v>28666</v>
      </c>
      <c r="I134" s="81" t="s">
        <v>28</v>
      </c>
      <c r="J134" s="84" t="s">
        <v>0</v>
      </c>
      <c r="K134" s="81" t="s">
        <v>25721</v>
      </c>
      <c r="L134" s="81" t="s">
        <v>25642</v>
      </c>
      <c r="M134" s="81" t="s">
        <v>26700</v>
      </c>
      <c r="N134" s="81">
        <v>702.00000000000011</v>
      </c>
      <c r="Q134" s="80"/>
      <c r="R134" s="103" t="str">
        <f t="shared" si="2"/>
        <v>21-676-08-</v>
      </c>
      <c r="Z134" s="81">
        <v>1</v>
      </c>
    </row>
    <row r="135" spans="1:28" ht="15" customHeight="1" x14ac:dyDescent="0.2">
      <c r="A135" s="81" t="s">
        <v>28556</v>
      </c>
      <c r="B135" s="81" t="s">
        <v>28495</v>
      </c>
      <c r="C135" s="81" t="s">
        <v>8</v>
      </c>
      <c r="D135" s="81" t="s">
        <v>21</v>
      </c>
      <c r="E135" s="81" t="s">
        <v>25711</v>
      </c>
      <c r="F135" s="81" t="s">
        <v>91</v>
      </c>
      <c r="G135" s="81" t="s">
        <v>25725</v>
      </c>
      <c r="H135" s="81" t="s">
        <v>28683</v>
      </c>
      <c r="I135" s="81" t="s">
        <v>100</v>
      </c>
      <c r="J135" s="84" t="s">
        <v>28679</v>
      </c>
      <c r="K135" s="81" t="s">
        <v>25721</v>
      </c>
      <c r="L135" s="81" t="s">
        <v>25642</v>
      </c>
      <c r="M135" s="81" t="s">
        <v>26700</v>
      </c>
      <c r="N135" s="81">
        <v>702.00000000000011</v>
      </c>
      <c r="Q135" s="80"/>
      <c r="R135" s="103" t="str">
        <f t="shared" si="2"/>
        <v>21-719-17-</v>
      </c>
      <c r="Z135" s="81">
        <v>1</v>
      </c>
    </row>
    <row r="136" spans="1:28" ht="15" customHeight="1" x14ac:dyDescent="0.2">
      <c r="A136" s="81" t="s">
        <v>28557</v>
      </c>
      <c r="B136" s="81" t="s">
        <v>28496</v>
      </c>
      <c r="C136" s="81" t="s">
        <v>8</v>
      </c>
      <c r="D136" s="81" t="s">
        <v>21</v>
      </c>
      <c r="E136" s="81" t="s">
        <v>25711</v>
      </c>
      <c r="F136" s="81" t="s">
        <v>91</v>
      </c>
      <c r="G136" s="81" t="s">
        <v>25725</v>
      </c>
      <c r="H136" s="81" t="s">
        <v>28684</v>
      </c>
      <c r="I136" s="81" t="s">
        <v>27</v>
      </c>
      <c r="J136" s="84" t="s">
        <v>0</v>
      </c>
      <c r="K136" s="81" t="s">
        <v>25721</v>
      </c>
      <c r="L136" s="81" t="s">
        <v>25642</v>
      </c>
      <c r="M136" s="81" t="s">
        <v>26700</v>
      </c>
      <c r="N136" s="81">
        <v>702.00000000000011</v>
      </c>
      <c r="Q136" s="80"/>
      <c r="R136" s="103" t="str">
        <f t="shared" si="2"/>
        <v>21-720-06-</v>
      </c>
      <c r="AB136" s="81">
        <v>1</v>
      </c>
    </row>
    <row r="137" spans="1:28" ht="15" customHeight="1" x14ac:dyDescent="0.2">
      <c r="A137" s="81" t="s">
        <v>28558</v>
      </c>
      <c r="B137" s="81" t="s">
        <v>28497</v>
      </c>
      <c r="C137" s="81" t="s">
        <v>8</v>
      </c>
      <c r="D137" s="81" t="s">
        <v>21</v>
      </c>
      <c r="E137" s="81" t="s">
        <v>25711</v>
      </c>
      <c r="F137" s="81" t="s">
        <v>91</v>
      </c>
      <c r="G137" s="81" t="s">
        <v>25725</v>
      </c>
      <c r="H137" s="81" t="s">
        <v>28683</v>
      </c>
      <c r="I137" s="81" t="s">
        <v>100</v>
      </c>
      <c r="J137" s="84" t="s">
        <v>0</v>
      </c>
      <c r="K137" s="81" t="s">
        <v>25721</v>
      </c>
      <c r="L137" s="81" t="s">
        <v>25642</v>
      </c>
      <c r="M137" s="81" t="s">
        <v>26700</v>
      </c>
      <c r="N137" s="81">
        <v>702.00000000000011</v>
      </c>
      <c r="Q137" s="80"/>
      <c r="R137" s="103" t="str">
        <f t="shared" si="2"/>
        <v>21-794-17-</v>
      </c>
      <c r="Z137" s="81">
        <v>1</v>
      </c>
    </row>
    <row r="138" spans="1:28" ht="15" customHeight="1" x14ac:dyDescent="0.2">
      <c r="A138" s="81" t="s">
        <v>28559</v>
      </c>
      <c r="B138" s="81" t="s">
        <v>28498</v>
      </c>
      <c r="C138" s="81" t="s">
        <v>8</v>
      </c>
      <c r="D138" s="81" t="s">
        <v>21</v>
      </c>
      <c r="E138" s="81" t="s">
        <v>25711</v>
      </c>
      <c r="F138" s="81" t="s">
        <v>91</v>
      </c>
      <c r="G138" s="81" t="s">
        <v>25725</v>
      </c>
      <c r="H138" s="81" t="s">
        <v>28667</v>
      </c>
      <c r="I138" s="81" t="s">
        <v>22</v>
      </c>
      <c r="J138" s="84" t="s">
        <v>0</v>
      </c>
      <c r="K138" s="81" t="s">
        <v>25721</v>
      </c>
      <c r="L138" s="81" t="s">
        <v>25642</v>
      </c>
      <c r="M138" s="81" t="s">
        <v>26700</v>
      </c>
      <c r="N138" s="81">
        <v>702.00000000000011</v>
      </c>
      <c r="Q138" s="80"/>
      <c r="R138" s="103" t="str">
        <f t="shared" si="2"/>
        <v>21-795-14-</v>
      </c>
      <c r="AB138" s="81">
        <v>1</v>
      </c>
    </row>
    <row r="139" spans="1:28" ht="15" customHeight="1" x14ac:dyDescent="0.2">
      <c r="A139" s="81" t="s">
        <v>28560</v>
      </c>
      <c r="B139" s="81" t="s">
        <v>28499</v>
      </c>
      <c r="C139" s="81" t="s">
        <v>8</v>
      </c>
      <c r="D139" s="81" t="s">
        <v>21</v>
      </c>
      <c r="E139" s="81" t="s">
        <v>25711</v>
      </c>
      <c r="F139" s="81" t="s">
        <v>91</v>
      </c>
      <c r="G139" s="81" t="s">
        <v>25725</v>
      </c>
      <c r="H139" s="81" t="s">
        <v>28685</v>
      </c>
      <c r="I139" s="81" t="s">
        <v>197</v>
      </c>
      <c r="J139" s="84" t="s">
        <v>0</v>
      </c>
      <c r="K139" s="81" t="s">
        <v>25721</v>
      </c>
      <c r="L139" s="81" t="s">
        <v>25642</v>
      </c>
      <c r="M139" s="81" t="s">
        <v>26700</v>
      </c>
      <c r="N139" s="81">
        <v>702.00000000000011</v>
      </c>
      <c r="Q139" s="80"/>
      <c r="R139" s="103" t="str">
        <f t="shared" si="2"/>
        <v>21-796-13-</v>
      </c>
      <c r="Z139" s="81">
        <v>1</v>
      </c>
    </row>
    <row r="140" spans="1:28" ht="15" customHeight="1" x14ac:dyDescent="0.2">
      <c r="A140" s="81" t="s">
        <v>28561</v>
      </c>
      <c r="B140" s="81" t="s">
        <v>28500</v>
      </c>
      <c r="C140" s="81" t="s">
        <v>8</v>
      </c>
      <c r="D140" s="81" t="s">
        <v>21</v>
      </c>
      <c r="E140" s="81" t="s">
        <v>25711</v>
      </c>
      <c r="F140" s="81" t="s">
        <v>91</v>
      </c>
      <c r="G140" s="81" t="s">
        <v>25725</v>
      </c>
      <c r="H140" s="81" t="s">
        <v>28686</v>
      </c>
      <c r="I140" s="81" t="s">
        <v>54</v>
      </c>
      <c r="J140" s="84" t="s">
        <v>0</v>
      </c>
      <c r="K140" s="81" t="s">
        <v>25721</v>
      </c>
      <c r="L140" s="81" t="s">
        <v>25642</v>
      </c>
      <c r="M140" s="81" t="s">
        <v>26700</v>
      </c>
      <c r="N140" s="81">
        <v>702.00000000000011</v>
      </c>
      <c r="Q140" s="80"/>
      <c r="R140" s="103" t="str">
        <f t="shared" si="2"/>
        <v>21-797-11-</v>
      </c>
      <c r="AB140" s="81">
        <v>1</v>
      </c>
    </row>
    <row r="141" spans="1:28" ht="15" customHeight="1" x14ac:dyDescent="0.2">
      <c r="A141" s="81" t="s">
        <v>28562</v>
      </c>
      <c r="B141" s="81" t="s">
        <v>28501</v>
      </c>
      <c r="C141" s="81" t="s">
        <v>8</v>
      </c>
      <c r="D141" s="81" t="s">
        <v>21</v>
      </c>
      <c r="E141" s="81" t="s">
        <v>25711</v>
      </c>
      <c r="F141" s="81" t="s">
        <v>91</v>
      </c>
      <c r="G141" s="81" t="s">
        <v>25725</v>
      </c>
      <c r="H141" s="81" t="s">
        <v>28447</v>
      </c>
      <c r="I141" s="81" t="s">
        <v>1</v>
      </c>
      <c r="J141" s="84" t="s">
        <v>0</v>
      </c>
      <c r="K141" s="81" t="s">
        <v>25721</v>
      </c>
      <c r="L141" s="81" t="s">
        <v>25642</v>
      </c>
      <c r="M141" s="81" t="s">
        <v>12</v>
      </c>
      <c r="N141" s="81">
        <v>702.00000000000011</v>
      </c>
      <c r="Q141" s="80"/>
      <c r="R141" s="103" t="str">
        <f t="shared" si="2"/>
        <v>21-798-09-</v>
      </c>
      <c r="Z141" s="81">
        <v>1</v>
      </c>
    </row>
    <row r="142" spans="1:28" ht="15" customHeight="1" x14ac:dyDescent="0.2">
      <c r="A142" s="81" t="s">
        <v>28563</v>
      </c>
      <c r="B142" s="81" t="s">
        <v>28502</v>
      </c>
      <c r="C142" s="81" t="s">
        <v>8</v>
      </c>
      <c r="D142" s="81" t="s">
        <v>21</v>
      </c>
      <c r="E142" s="81" t="s">
        <v>25711</v>
      </c>
      <c r="F142" s="81" t="s">
        <v>91</v>
      </c>
      <c r="G142" s="81" t="s">
        <v>25725</v>
      </c>
      <c r="H142" s="81" t="s">
        <v>28686</v>
      </c>
      <c r="I142" s="81" t="s">
        <v>54</v>
      </c>
      <c r="J142" s="84" t="s">
        <v>0</v>
      </c>
      <c r="K142" s="81" t="s">
        <v>25721</v>
      </c>
      <c r="L142" s="81" t="s">
        <v>25642</v>
      </c>
      <c r="M142" s="81" t="s">
        <v>12</v>
      </c>
      <c r="N142" s="81">
        <v>702.00000000000011</v>
      </c>
      <c r="Q142" s="80"/>
      <c r="R142" s="103" t="str">
        <f t="shared" si="2"/>
        <v>21-799-11-</v>
      </c>
      <c r="AB142" s="81">
        <v>1</v>
      </c>
    </row>
    <row r="143" spans="1:28" ht="15" customHeight="1" x14ac:dyDescent="0.2">
      <c r="A143" s="81" t="s">
        <v>28564</v>
      </c>
      <c r="B143" s="81" t="s">
        <v>28503</v>
      </c>
      <c r="C143" s="81" t="s">
        <v>8</v>
      </c>
      <c r="D143" s="81" t="s">
        <v>21</v>
      </c>
      <c r="E143" s="81" t="s">
        <v>25711</v>
      </c>
      <c r="F143" s="81" t="s">
        <v>91</v>
      </c>
      <c r="G143" s="81" t="s">
        <v>25725</v>
      </c>
      <c r="H143" s="81" t="s">
        <v>28687</v>
      </c>
      <c r="I143" s="81" t="s">
        <v>52</v>
      </c>
      <c r="J143" s="84" t="s">
        <v>0</v>
      </c>
      <c r="K143" s="81" t="s">
        <v>25721</v>
      </c>
      <c r="L143" s="81" t="s">
        <v>25642</v>
      </c>
      <c r="M143" s="81" t="s">
        <v>26700</v>
      </c>
      <c r="N143" s="81">
        <v>702.00000000000011</v>
      </c>
      <c r="Q143" s="80"/>
      <c r="R143" s="103" t="str">
        <f t="shared" si="2"/>
        <v>21-800-02-</v>
      </c>
      <c r="AB143" s="81">
        <v>1</v>
      </c>
    </row>
    <row r="144" spans="1:28" ht="15" customHeight="1" x14ac:dyDescent="0.2">
      <c r="A144" s="81" t="s">
        <v>28565</v>
      </c>
      <c r="B144" s="81" t="s">
        <v>28504</v>
      </c>
      <c r="C144" s="81" t="s">
        <v>8</v>
      </c>
      <c r="D144" s="81" t="s">
        <v>21</v>
      </c>
      <c r="E144" s="81" t="s">
        <v>25711</v>
      </c>
      <c r="F144" s="81" t="s">
        <v>91</v>
      </c>
      <c r="G144" s="81" t="s">
        <v>25725</v>
      </c>
      <c r="H144" s="81" t="s">
        <v>28688</v>
      </c>
      <c r="I144" s="81" t="s">
        <v>25411</v>
      </c>
      <c r="J144" s="84" t="s">
        <v>0</v>
      </c>
      <c r="K144" s="81" t="s">
        <v>25721</v>
      </c>
      <c r="L144" s="81" t="s">
        <v>25642</v>
      </c>
      <c r="M144" s="81" t="s">
        <v>26700</v>
      </c>
      <c r="N144" s="81">
        <v>702.00000000000011</v>
      </c>
      <c r="Q144" s="80"/>
      <c r="R144" s="103" t="str">
        <f t="shared" si="2"/>
        <v>21-801-90-</v>
      </c>
      <c r="Z144" s="81">
        <v>1</v>
      </c>
    </row>
    <row r="145" spans="1:31" ht="15" customHeight="1" x14ac:dyDescent="0.2">
      <c r="A145" s="81" t="s">
        <v>28566</v>
      </c>
      <c r="B145" s="81" t="s">
        <v>28505</v>
      </c>
      <c r="C145" s="81" t="s">
        <v>8</v>
      </c>
      <c r="D145" s="81" t="s">
        <v>21</v>
      </c>
      <c r="E145" s="81" t="s">
        <v>25711</v>
      </c>
      <c r="F145" s="81" t="s">
        <v>91</v>
      </c>
      <c r="G145" s="81" t="s">
        <v>25725</v>
      </c>
      <c r="H145" s="81" t="s">
        <v>28686</v>
      </c>
      <c r="I145" s="81" t="s">
        <v>54</v>
      </c>
      <c r="J145" s="84" t="s">
        <v>26192</v>
      </c>
      <c r="K145" s="81" t="s">
        <v>25716</v>
      </c>
      <c r="L145" s="81" t="s">
        <v>25642</v>
      </c>
      <c r="M145" s="81" t="s">
        <v>26700</v>
      </c>
      <c r="N145" s="81">
        <v>702.00000000000011</v>
      </c>
      <c r="Q145" s="80"/>
      <c r="R145" s="103" t="str">
        <f t="shared" si="2"/>
        <v>21-802-11-</v>
      </c>
      <c r="AB145" s="81">
        <v>1</v>
      </c>
    </row>
    <row r="146" spans="1:31" ht="15" customHeight="1" x14ac:dyDescent="0.2">
      <c r="A146" s="81" t="s">
        <v>6825</v>
      </c>
      <c r="B146" s="81" t="s">
        <v>25588</v>
      </c>
      <c r="C146" s="81" t="s">
        <v>8</v>
      </c>
      <c r="D146" s="81" t="s">
        <v>9</v>
      </c>
      <c r="E146" s="81" t="s">
        <v>25711</v>
      </c>
      <c r="F146" s="81" t="s">
        <v>91</v>
      </c>
      <c r="G146" s="81" t="s">
        <v>25725</v>
      </c>
      <c r="H146" s="81" t="s">
        <v>28689</v>
      </c>
      <c r="I146" s="81" t="s">
        <v>100</v>
      </c>
      <c r="J146" s="84" t="s">
        <v>0</v>
      </c>
      <c r="K146" s="81" t="s">
        <v>25721</v>
      </c>
      <c r="L146" s="81" t="s">
        <v>25642</v>
      </c>
      <c r="M146" s="81" t="s">
        <v>26700</v>
      </c>
      <c r="N146" s="81">
        <v>702.00000000000011</v>
      </c>
      <c r="Q146" s="80"/>
      <c r="R146" s="103" t="str">
        <f t="shared" si="2"/>
        <v>21-012-17-</v>
      </c>
      <c r="Z146" s="81">
        <v>1</v>
      </c>
    </row>
    <row r="147" spans="1:31" ht="15" customHeight="1" x14ac:dyDescent="0.2">
      <c r="A147" s="81" t="s">
        <v>28567</v>
      </c>
      <c r="B147" s="81" t="s">
        <v>25631</v>
      </c>
      <c r="C147" s="81" t="s">
        <v>8</v>
      </c>
      <c r="D147" s="81" t="s">
        <v>21</v>
      </c>
      <c r="E147" s="81" t="s">
        <v>25711</v>
      </c>
      <c r="F147" s="81" t="s">
        <v>91</v>
      </c>
      <c r="G147" s="81" t="s">
        <v>25725</v>
      </c>
      <c r="H147" s="81" t="s">
        <v>28683</v>
      </c>
      <c r="I147" s="81" t="s">
        <v>100</v>
      </c>
      <c r="J147" s="84" t="s">
        <v>0</v>
      </c>
      <c r="K147" s="81" t="s">
        <v>25721</v>
      </c>
      <c r="L147" s="81" t="s">
        <v>25642</v>
      </c>
      <c r="M147" s="81" t="s">
        <v>26700</v>
      </c>
      <c r="N147" s="81">
        <v>702.00000000000011</v>
      </c>
      <c r="Q147" s="80"/>
      <c r="R147" s="103" t="str">
        <f t="shared" si="2"/>
        <v>21-068-17-</v>
      </c>
      <c r="AB147" s="81">
        <v>1</v>
      </c>
    </row>
    <row r="148" spans="1:31" ht="15" customHeight="1" x14ac:dyDescent="0.2">
      <c r="A148" s="81" t="s">
        <v>6749</v>
      </c>
      <c r="B148" s="81" t="s">
        <v>25608</v>
      </c>
      <c r="C148" s="81" t="s">
        <v>8</v>
      </c>
      <c r="D148" s="81" t="s">
        <v>21</v>
      </c>
      <c r="E148" s="81" t="s">
        <v>25711</v>
      </c>
      <c r="F148" s="81" t="s">
        <v>91</v>
      </c>
      <c r="G148" s="81" t="s">
        <v>25725</v>
      </c>
      <c r="H148" s="81" t="s">
        <v>28690</v>
      </c>
      <c r="I148" s="81" t="s">
        <v>147</v>
      </c>
      <c r="J148" s="84" t="s">
        <v>0</v>
      </c>
      <c r="K148" s="81" t="s">
        <v>25721</v>
      </c>
      <c r="L148" s="81" t="s">
        <v>25642</v>
      </c>
      <c r="M148" s="81" t="s">
        <v>26700</v>
      </c>
      <c r="N148" s="81">
        <v>702.00000000000011</v>
      </c>
      <c r="Q148" s="80"/>
      <c r="R148" s="103" t="str">
        <f t="shared" si="2"/>
        <v>21-009-19-</v>
      </c>
      <c r="Z148" s="81">
        <v>1</v>
      </c>
    </row>
    <row r="149" spans="1:31" ht="15" customHeight="1" x14ac:dyDescent="0.2">
      <c r="A149" s="81" t="s">
        <v>28568</v>
      </c>
      <c r="B149" s="81" t="s">
        <v>25609</v>
      </c>
      <c r="C149" s="81" t="s">
        <v>8</v>
      </c>
      <c r="D149" s="81" t="s">
        <v>17</v>
      </c>
      <c r="E149" s="81" t="s">
        <v>25711</v>
      </c>
      <c r="F149" s="81" t="s">
        <v>91</v>
      </c>
      <c r="G149" s="81" t="s">
        <v>25725</v>
      </c>
      <c r="H149" s="81" t="s">
        <v>28691</v>
      </c>
      <c r="I149" s="81" t="s">
        <v>25394</v>
      </c>
      <c r="J149" s="84" t="s">
        <v>0</v>
      </c>
      <c r="K149" s="81" t="s">
        <v>25721</v>
      </c>
      <c r="L149" s="81" t="s">
        <v>25642</v>
      </c>
      <c r="M149" s="81" t="s">
        <v>26700</v>
      </c>
      <c r="N149" s="81">
        <v>702.00000000000011</v>
      </c>
      <c r="Q149" s="80"/>
      <c r="R149" s="103" t="str">
        <f t="shared" si="2"/>
        <v>21-072-20-</v>
      </c>
      <c r="AB149" s="81">
        <v>1</v>
      </c>
    </row>
    <row r="150" spans="1:31" ht="15" customHeight="1" x14ac:dyDescent="0.2">
      <c r="A150" s="81" t="s">
        <v>28569</v>
      </c>
      <c r="B150" s="81" t="s">
        <v>25600</v>
      </c>
      <c r="C150" s="81" t="s">
        <v>8</v>
      </c>
      <c r="D150" s="81" t="s">
        <v>21</v>
      </c>
      <c r="E150" s="81" t="s">
        <v>25711</v>
      </c>
      <c r="F150" s="81" t="s">
        <v>91</v>
      </c>
      <c r="G150" s="81" t="s">
        <v>25725</v>
      </c>
      <c r="H150" s="81" t="s">
        <v>28666</v>
      </c>
      <c r="I150" s="81" t="s">
        <v>28</v>
      </c>
      <c r="J150" s="84" t="s">
        <v>0</v>
      </c>
      <c r="K150" s="81" t="s">
        <v>25721</v>
      </c>
      <c r="L150" s="81" t="s">
        <v>25642</v>
      </c>
      <c r="M150" s="81" t="s">
        <v>26700</v>
      </c>
      <c r="N150" s="81">
        <v>702.00000000000011</v>
      </c>
      <c r="Q150" s="80"/>
      <c r="R150" s="103" t="str">
        <f t="shared" si="2"/>
        <v>21-074-08-</v>
      </c>
      <c r="Z150" s="81">
        <v>1</v>
      </c>
    </row>
    <row r="151" spans="1:31" ht="15" customHeight="1" x14ac:dyDescent="0.2">
      <c r="A151" s="81" t="s">
        <v>28570</v>
      </c>
      <c r="B151" s="81" t="s">
        <v>28506</v>
      </c>
      <c r="C151" s="81" t="s">
        <v>8</v>
      </c>
      <c r="D151" s="81" t="s">
        <v>21</v>
      </c>
      <c r="E151" s="81" t="s">
        <v>25711</v>
      </c>
      <c r="F151" s="81" t="s">
        <v>91</v>
      </c>
      <c r="G151" s="81" t="s">
        <v>25725</v>
      </c>
      <c r="H151" s="81" t="s">
        <v>28666</v>
      </c>
      <c r="I151" s="81" t="s">
        <v>28</v>
      </c>
      <c r="J151" s="84" t="s">
        <v>0</v>
      </c>
      <c r="K151" s="81" t="s">
        <v>25721</v>
      </c>
      <c r="L151" s="81" t="s">
        <v>25642</v>
      </c>
      <c r="M151" s="81" t="s">
        <v>26700</v>
      </c>
      <c r="N151" s="81">
        <v>702.00000000000011</v>
      </c>
      <c r="Q151" s="80"/>
      <c r="R151" s="103" t="str">
        <f t="shared" si="2"/>
        <v>21-803-08-</v>
      </c>
      <c r="Z151" s="81">
        <v>1</v>
      </c>
    </row>
    <row r="152" spans="1:31" ht="15" customHeight="1" x14ac:dyDescent="0.2">
      <c r="A152" s="81" t="s">
        <v>28571</v>
      </c>
      <c r="B152" s="81" t="s">
        <v>28507</v>
      </c>
      <c r="C152" s="81" t="s">
        <v>8</v>
      </c>
      <c r="D152" s="81" t="s">
        <v>21</v>
      </c>
      <c r="E152" s="81" t="s">
        <v>25711</v>
      </c>
      <c r="F152" s="81" t="s">
        <v>91</v>
      </c>
      <c r="G152" s="81" t="s">
        <v>25725</v>
      </c>
      <c r="H152" s="81" t="s">
        <v>28667</v>
      </c>
      <c r="I152" s="81" t="s">
        <v>22</v>
      </c>
      <c r="J152" s="84" t="s">
        <v>0</v>
      </c>
      <c r="K152" s="81" t="s">
        <v>25721</v>
      </c>
      <c r="L152" s="81" t="s">
        <v>25642</v>
      </c>
      <c r="M152" s="81" t="s">
        <v>26700</v>
      </c>
      <c r="N152" s="81">
        <v>702.00000000000011</v>
      </c>
      <c r="Q152" s="80"/>
      <c r="R152" s="103" t="str">
        <f t="shared" si="2"/>
        <v>21-804-14-</v>
      </c>
      <c r="AB152" s="81">
        <v>1</v>
      </c>
    </row>
    <row r="153" spans="1:31" ht="15" customHeight="1" x14ac:dyDescent="0.2">
      <c r="A153" s="81" t="s">
        <v>28572</v>
      </c>
      <c r="B153" s="81" t="s">
        <v>28508</v>
      </c>
      <c r="C153" s="81" t="s">
        <v>8</v>
      </c>
      <c r="D153" s="81" t="s">
        <v>21</v>
      </c>
      <c r="E153" s="81" t="s">
        <v>25711</v>
      </c>
      <c r="F153" s="81" t="s">
        <v>91</v>
      </c>
      <c r="G153" s="81" t="s">
        <v>25725</v>
      </c>
      <c r="H153" s="81" t="s">
        <v>28686</v>
      </c>
      <c r="I153" s="81" t="s">
        <v>54</v>
      </c>
      <c r="J153" s="84" t="s">
        <v>0</v>
      </c>
      <c r="K153" s="81" t="s">
        <v>25721</v>
      </c>
      <c r="L153" s="81" t="s">
        <v>25642</v>
      </c>
      <c r="M153" s="81" t="s">
        <v>26700</v>
      </c>
      <c r="N153" s="81">
        <v>702.00000000000011</v>
      </c>
      <c r="Q153" s="80"/>
      <c r="R153" s="103" t="str">
        <f t="shared" si="2"/>
        <v>21-805-11-</v>
      </c>
      <c r="AB153" s="81">
        <v>1</v>
      </c>
    </row>
    <row r="154" spans="1:31" ht="15" customHeight="1" x14ac:dyDescent="0.2">
      <c r="A154" s="81" t="s">
        <v>28573</v>
      </c>
      <c r="B154" s="81" t="s">
        <v>28509</v>
      </c>
      <c r="C154" s="81" t="s">
        <v>8</v>
      </c>
      <c r="D154" s="81" t="s">
        <v>21</v>
      </c>
      <c r="E154" s="81" t="s">
        <v>25711</v>
      </c>
      <c r="F154" s="81" t="s">
        <v>91</v>
      </c>
      <c r="G154" s="81" t="s">
        <v>25725</v>
      </c>
      <c r="H154" s="81" t="s">
        <v>28447</v>
      </c>
      <c r="I154" s="81" t="s">
        <v>1</v>
      </c>
      <c r="J154" s="84" t="s">
        <v>0</v>
      </c>
      <c r="K154" s="81" t="s">
        <v>25721</v>
      </c>
      <c r="L154" s="81" t="s">
        <v>25642</v>
      </c>
      <c r="M154" s="81" t="s">
        <v>26700</v>
      </c>
      <c r="N154" s="81">
        <v>702.00000000000011</v>
      </c>
      <c r="Q154" s="80"/>
      <c r="R154" s="103" t="str">
        <f t="shared" si="2"/>
        <v>21-806-09-</v>
      </c>
      <c r="AB154" s="81">
        <v>1</v>
      </c>
    </row>
    <row r="155" spans="1:31" ht="15" customHeight="1" x14ac:dyDescent="0.2">
      <c r="A155" s="81" t="s">
        <v>7149</v>
      </c>
      <c r="B155" s="81" t="s">
        <v>25610</v>
      </c>
      <c r="C155" s="81" t="s">
        <v>8</v>
      </c>
      <c r="D155" s="81" t="s">
        <v>9</v>
      </c>
      <c r="E155" s="81" t="s">
        <v>25711</v>
      </c>
      <c r="F155" s="81" t="s">
        <v>91</v>
      </c>
      <c r="G155" s="81" t="s">
        <v>25725</v>
      </c>
      <c r="H155" s="81" t="s">
        <v>28684</v>
      </c>
      <c r="I155" s="81" t="s">
        <v>27</v>
      </c>
      <c r="J155" s="84" t="s">
        <v>0</v>
      </c>
      <c r="K155" s="81" t="s">
        <v>25721</v>
      </c>
      <c r="L155" s="81" t="s">
        <v>25642</v>
      </c>
      <c r="M155" s="81" t="s">
        <v>26700</v>
      </c>
      <c r="N155" s="81">
        <v>702.00000000000011</v>
      </c>
      <c r="Q155" s="80"/>
      <c r="R155" s="103" t="str">
        <f t="shared" si="2"/>
        <v>21-077-06-</v>
      </c>
      <c r="AB155" s="81">
        <v>1</v>
      </c>
    </row>
    <row r="156" spans="1:31" ht="15" customHeight="1" x14ac:dyDescent="0.2">
      <c r="A156" s="81" t="s">
        <v>28574</v>
      </c>
      <c r="B156" s="81" t="s">
        <v>28510</v>
      </c>
      <c r="C156" s="81" t="s">
        <v>8</v>
      </c>
      <c r="D156" s="81" t="s">
        <v>30</v>
      </c>
      <c r="E156" s="81" t="s">
        <v>25711</v>
      </c>
      <c r="F156" s="81" t="s">
        <v>91</v>
      </c>
      <c r="G156" s="81" t="s">
        <v>25725</v>
      </c>
      <c r="H156" s="81" t="s">
        <v>28692</v>
      </c>
      <c r="I156" s="81" t="s">
        <v>28693</v>
      </c>
      <c r="J156" s="84" t="s">
        <v>28694</v>
      </c>
      <c r="K156" s="81" t="s">
        <v>264</v>
      </c>
      <c r="L156" s="81" t="s">
        <v>25642</v>
      </c>
      <c r="M156" s="81" t="s">
        <v>26700</v>
      </c>
      <c r="N156" s="81">
        <v>702.00000000000011</v>
      </c>
      <c r="Q156" s="80"/>
      <c r="R156" s="103" t="str">
        <f t="shared" si="2"/>
        <v>21-726-14-</v>
      </c>
      <c r="Z156" s="81">
        <v>1</v>
      </c>
    </row>
    <row r="157" spans="1:31" ht="15" customHeight="1" x14ac:dyDescent="0.2">
      <c r="A157" s="81" t="s">
        <v>28575</v>
      </c>
      <c r="B157" s="81" t="s">
        <v>28511</v>
      </c>
      <c r="C157" s="81" t="s">
        <v>8</v>
      </c>
      <c r="D157" s="81" t="s">
        <v>30</v>
      </c>
      <c r="E157" s="81" t="s">
        <v>25711</v>
      </c>
      <c r="F157" s="81" t="s">
        <v>91</v>
      </c>
      <c r="G157" s="81" t="s">
        <v>25725</v>
      </c>
      <c r="H157" s="81" t="s">
        <v>28447</v>
      </c>
      <c r="I157" s="81" t="s">
        <v>1</v>
      </c>
      <c r="J157" s="84" t="s">
        <v>28679</v>
      </c>
      <c r="K157" s="81" t="s">
        <v>264</v>
      </c>
      <c r="L157" s="81" t="s">
        <v>25642</v>
      </c>
      <c r="M157" s="81" t="s">
        <v>26700</v>
      </c>
      <c r="N157" s="81">
        <v>702.00000000000011</v>
      </c>
      <c r="Q157" s="80"/>
      <c r="R157" s="103" t="str">
        <f t="shared" si="2"/>
        <v>21-782-09-</v>
      </c>
      <c r="X157" s="81">
        <v>1</v>
      </c>
    </row>
    <row r="158" spans="1:31" ht="15" customHeight="1" x14ac:dyDescent="0.2">
      <c r="A158" s="81" t="s">
        <v>28576</v>
      </c>
      <c r="B158" s="81" t="s">
        <v>28512</v>
      </c>
      <c r="C158" s="81" t="s">
        <v>8</v>
      </c>
      <c r="D158" s="81" t="s">
        <v>30</v>
      </c>
      <c r="E158" s="81" t="s">
        <v>25711</v>
      </c>
      <c r="F158" s="81" t="s">
        <v>91</v>
      </c>
      <c r="G158" s="81" t="s">
        <v>25725</v>
      </c>
      <c r="H158" s="81" t="s">
        <v>28695</v>
      </c>
      <c r="I158" s="81" t="s">
        <v>28693</v>
      </c>
      <c r="J158" s="84" t="s">
        <v>28679</v>
      </c>
      <c r="K158" s="81" t="s">
        <v>264</v>
      </c>
      <c r="L158" s="81" t="s">
        <v>25642</v>
      </c>
      <c r="M158" s="81" t="s">
        <v>26700</v>
      </c>
      <c r="N158" s="81">
        <v>702.00000000000011</v>
      </c>
      <c r="Q158" s="80"/>
      <c r="R158" s="103" t="str">
        <f t="shared" si="2"/>
        <v>21-783-14-</v>
      </c>
      <c r="AE158" s="81">
        <v>1</v>
      </c>
    </row>
    <row r="159" spans="1:31" ht="15" customHeight="1" x14ac:dyDescent="0.2">
      <c r="A159" s="81" t="s">
        <v>28577</v>
      </c>
      <c r="B159" s="81" t="s">
        <v>28513</v>
      </c>
      <c r="C159" s="81" t="s">
        <v>8</v>
      </c>
      <c r="D159" s="81" t="s">
        <v>30</v>
      </c>
      <c r="E159" s="81" t="s">
        <v>25711</v>
      </c>
      <c r="F159" s="81" t="s">
        <v>91</v>
      </c>
      <c r="G159" s="81" t="s">
        <v>25725</v>
      </c>
      <c r="H159" s="81" t="s">
        <v>28696</v>
      </c>
      <c r="I159" s="81" t="s">
        <v>28</v>
      </c>
      <c r="J159" s="84" t="s">
        <v>28679</v>
      </c>
      <c r="K159" s="81" t="s">
        <v>264</v>
      </c>
      <c r="L159" s="81" t="s">
        <v>25642</v>
      </c>
      <c r="M159" s="81" t="s">
        <v>26700</v>
      </c>
      <c r="N159" s="81">
        <v>702.00000000000011</v>
      </c>
      <c r="Q159" s="80"/>
      <c r="R159" s="103" t="str">
        <f t="shared" si="2"/>
        <v>21-784-08-</v>
      </c>
      <c r="Z159" s="81">
        <v>1</v>
      </c>
    </row>
    <row r="160" spans="1:31" ht="15" customHeight="1" x14ac:dyDescent="0.2">
      <c r="A160" s="81" t="s">
        <v>28578</v>
      </c>
      <c r="B160" s="81" t="s">
        <v>28514</v>
      </c>
      <c r="C160" s="81" t="s">
        <v>8</v>
      </c>
      <c r="D160" s="81" t="s">
        <v>30</v>
      </c>
      <c r="E160" s="81" t="s">
        <v>25711</v>
      </c>
      <c r="F160" s="81" t="s">
        <v>91</v>
      </c>
      <c r="G160" s="81" t="s">
        <v>25725</v>
      </c>
      <c r="H160" s="81" t="s">
        <v>28447</v>
      </c>
      <c r="I160" s="81" t="s">
        <v>1</v>
      </c>
      <c r="J160" s="84" t="s">
        <v>28679</v>
      </c>
      <c r="K160" s="81" t="s">
        <v>264</v>
      </c>
      <c r="L160" s="81" t="s">
        <v>25642</v>
      </c>
      <c r="M160" s="81" t="s">
        <v>26700</v>
      </c>
      <c r="N160" s="81">
        <v>702.00000000000011</v>
      </c>
      <c r="Q160" s="80"/>
      <c r="R160" s="103" t="str">
        <f t="shared" si="2"/>
        <v>21-785-09-</v>
      </c>
      <c r="AB160" s="81">
        <v>1</v>
      </c>
    </row>
    <row r="161" spans="1:31" ht="15" customHeight="1" x14ac:dyDescent="0.2">
      <c r="A161" s="81" t="s">
        <v>28579</v>
      </c>
      <c r="B161" s="81" t="s">
        <v>28515</v>
      </c>
      <c r="C161" s="81" t="s">
        <v>8</v>
      </c>
      <c r="D161" s="81" t="s">
        <v>30</v>
      </c>
      <c r="E161" s="81" t="s">
        <v>25711</v>
      </c>
      <c r="F161" s="81" t="s">
        <v>91</v>
      </c>
      <c r="G161" s="81" t="s">
        <v>25725</v>
      </c>
      <c r="H161" s="81" t="s">
        <v>28447</v>
      </c>
      <c r="I161" s="81" t="s">
        <v>1</v>
      </c>
      <c r="J161" s="84" t="s">
        <v>28679</v>
      </c>
      <c r="K161" s="81" t="s">
        <v>264</v>
      </c>
      <c r="L161" s="81" t="s">
        <v>25642</v>
      </c>
      <c r="M161" s="81" t="s">
        <v>26700</v>
      </c>
      <c r="N161" s="81">
        <v>702.00000000000011</v>
      </c>
      <c r="Q161" s="80"/>
      <c r="R161" s="103" t="str">
        <f t="shared" si="2"/>
        <v>21-786-09-</v>
      </c>
      <c r="Z161" s="81">
        <v>1</v>
      </c>
    </row>
    <row r="162" spans="1:31" ht="15" customHeight="1" x14ac:dyDescent="0.2">
      <c r="A162" s="81" t="s">
        <v>28580</v>
      </c>
      <c r="B162" s="81" t="s">
        <v>28516</v>
      </c>
      <c r="C162" s="81" t="s">
        <v>8</v>
      </c>
      <c r="D162" s="81" t="s">
        <v>30</v>
      </c>
      <c r="E162" s="81" t="s">
        <v>25711</v>
      </c>
      <c r="F162" s="81" t="s">
        <v>91</v>
      </c>
      <c r="G162" s="81" t="s">
        <v>25725</v>
      </c>
      <c r="H162" s="81" t="s">
        <v>28697</v>
      </c>
      <c r="I162" s="81" t="s">
        <v>100</v>
      </c>
      <c r="J162" s="84" t="s">
        <v>28679</v>
      </c>
      <c r="K162" s="81" t="s">
        <v>264</v>
      </c>
      <c r="L162" s="81" t="s">
        <v>25642</v>
      </c>
      <c r="M162" s="81" t="s">
        <v>26700</v>
      </c>
      <c r="N162" s="81">
        <v>702.00000000000011</v>
      </c>
      <c r="Q162" s="80"/>
      <c r="R162" s="103" t="str">
        <f t="shared" si="2"/>
        <v>21-787-17-</v>
      </c>
      <c r="AB162" s="81">
        <v>1</v>
      </c>
    </row>
    <row r="163" spans="1:31" ht="15" customHeight="1" x14ac:dyDescent="0.2">
      <c r="A163" s="81" t="s">
        <v>28581</v>
      </c>
      <c r="B163" s="81" t="s">
        <v>28517</v>
      </c>
      <c r="C163" s="81" t="s">
        <v>8</v>
      </c>
      <c r="D163" s="81" t="s">
        <v>30</v>
      </c>
      <c r="E163" s="81" t="s">
        <v>25711</v>
      </c>
      <c r="F163" s="81" t="s">
        <v>91</v>
      </c>
      <c r="G163" s="81" t="s">
        <v>25725</v>
      </c>
      <c r="H163" s="81" t="s">
        <v>28698</v>
      </c>
      <c r="I163" s="81" t="s">
        <v>25463</v>
      </c>
      <c r="J163" s="84" t="s">
        <v>28679</v>
      </c>
      <c r="K163" s="81" t="s">
        <v>264</v>
      </c>
      <c r="L163" s="81" t="s">
        <v>25642</v>
      </c>
      <c r="M163" s="81" t="s">
        <v>26700</v>
      </c>
      <c r="N163" s="81">
        <v>702.00000000000011</v>
      </c>
      <c r="Q163" s="80"/>
      <c r="R163" s="103" t="str">
        <f t="shared" si="2"/>
        <v>21-788-83-</v>
      </c>
      <c r="AE163" s="81">
        <v>1</v>
      </c>
    </row>
    <row r="164" spans="1:31" ht="15" customHeight="1" x14ac:dyDescent="0.2">
      <c r="A164" s="81" t="s">
        <v>28582</v>
      </c>
      <c r="B164" s="81" t="s">
        <v>28518</v>
      </c>
      <c r="C164" s="81" t="s">
        <v>8</v>
      </c>
      <c r="D164" s="81" t="s">
        <v>30</v>
      </c>
      <c r="E164" s="81" t="s">
        <v>25711</v>
      </c>
      <c r="F164" s="81" t="s">
        <v>91</v>
      </c>
      <c r="G164" s="81" t="s">
        <v>25725</v>
      </c>
      <c r="H164" s="81" t="s">
        <v>28447</v>
      </c>
      <c r="I164" s="81" t="s">
        <v>1</v>
      </c>
      <c r="J164" s="84" t="s">
        <v>28679</v>
      </c>
      <c r="K164" s="81" t="s">
        <v>264</v>
      </c>
      <c r="L164" s="81" t="s">
        <v>25642</v>
      </c>
      <c r="M164" s="81" t="s">
        <v>26700</v>
      </c>
      <c r="N164" s="81">
        <v>702.00000000000011</v>
      </c>
      <c r="Q164" s="80"/>
      <c r="R164" s="103" t="str">
        <f t="shared" si="2"/>
        <v>21-789-09-</v>
      </c>
      <c r="AB164" s="81">
        <v>1</v>
      </c>
    </row>
    <row r="165" spans="1:31" ht="15" customHeight="1" x14ac:dyDescent="0.2">
      <c r="A165" s="81" t="s">
        <v>28583</v>
      </c>
      <c r="B165" s="81" t="s">
        <v>28519</v>
      </c>
      <c r="C165" s="81" t="s">
        <v>8</v>
      </c>
      <c r="D165" s="81" t="s">
        <v>30</v>
      </c>
      <c r="E165" s="81" t="s">
        <v>25711</v>
      </c>
      <c r="F165" s="81" t="s">
        <v>91</v>
      </c>
      <c r="G165" s="81" t="s">
        <v>25725</v>
      </c>
      <c r="H165" s="81" t="s">
        <v>28699</v>
      </c>
      <c r="I165" s="81" t="s">
        <v>28</v>
      </c>
      <c r="J165" s="84" t="s">
        <v>28679</v>
      </c>
      <c r="K165" s="81" t="s">
        <v>264</v>
      </c>
      <c r="L165" s="81" t="s">
        <v>25640</v>
      </c>
      <c r="M165" s="81" t="s">
        <v>26700</v>
      </c>
      <c r="N165" s="81">
        <v>702.00000000000011</v>
      </c>
      <c r="Q165" s="80"/>
      <c r="R165" s="103" t="str">
        <f t="shared" si="2"/>
        <v>21-790-08-</v>
      </c>
      <c r="AE165" s="81">
        <v>1</v>
      </c>
    </row>
    <row r="166" spans="1:31" ht="15" customHeight="1" x14ac:dyDescent="0.2">
      <c r="A166" s="81" t="s">
        <v>28584</v>
      </c>
      <c r="B166" s="81" t="s">
        <v>28520</v>
      </c>
      <c r="C166" s="81" t="s">
        <v>8</v>
      </c>
      <c r="D166" s="81" t="s">
        <v>30</v>
      </c>
      <c r="E166" s="81" t="s">
        <v>25711</v>
      </c>
      <c r="F166" s="81" t="s">
        <v>91</v>
      </c>
      <c r="G166" s="81" t="s">
        <v>25725</v>
      </c>
      <c r="H166" s="81" t="s">
        <v>28700</v>
      </c>
      <c r="I166" s="81" t="s">
        <v>25448</v>
      </c>
      <c r="J166" s="84" t="s">
        <v>28679</v>
      </c>
      <c r="K166" s="81" t="s">
        <v>264</v>
      </c>
      <c r="L166" s="81" t="s">
        <v>25640</v>
      </c>
      <c r="M166" s="81" t="s">
        <v>26700</v>
      </c>
      <c r="N166" s="81">
        <v>702.00000000000011</v>
      </c>
      <c r="Q166" s="80"/>
      <c r="R166" s="103" t="str">
        <f t="shared" si="2"/>
        <v>21-791-94-</v>
      </c>
      <c r="Z166" s="81">
        <v>1</v>
      </c>
    </row>
    <row r="167" spans="1:31" ht="15" customHeight="1" x14ac:dyDescent="0.2">
      <c r="Q167" s="80"/>
    </row>
    <row r="168" spans="1:31" ht="15" customHeight="1" x14ac:dyDescent="0.2">
      <c r="Q168" s="80"/>
    </row>
    <row r="169" spans="1:31" ht="15" customHeight="1" x14ac:dyDescent="0.2">
      <c r="Q169" s="80"/>
    </row>
    <row r="170" spans="1:31" ht="15" customHeight="1" x14ac:dyDescent="0.2">
      <c r="Q170" s="80"/>
    </row>
    <row r="171" spans="1:31" ht="15" customHeight="1" x14ac:dyDescent="0.2">
      <c r="Q171" s="80"/>
    </row>
    <row r="172" spans="1:31" ht="15" customHeight="1" x14ac:dyDescent="0.2">
      <c r="Q172" s="80"/>
    </row>
    <row r="173" spans="1:31" ht="15" customHeight="1" x14ac:dyDescent="0.2">
      <c r="Q173" s="80"/>
    </row>
    <row r="174" spans="1:31" ht="15" customHeight="1" x14ac:dyDescent="0.2">
      <c r="Q174" s="80"/>
    </row>
    <row r="175" spans="1:31" ht="15" customHeight="1" x14ac:dyDescent="0.2">
      <c r="Q175" s="80"/>
    </row>
    <row r="176" spans="1:31" ht="15" customHeight="1" x14ac:dyDescent="0.2">
      <c r="Q176" s="80"/>
    </row>
    <row r="177" spans="17:17" ht="15" customHeight="1" x14ac:dyDescent="0.2">
      <c r="Q177" s="80"/>
    </row>
    <row r="178" spans="17:17" ht="15" customHeight="1" x14ac:dyDescent="0.2">
      <c r="Q178" s="80"/>
    </row>
    <row r="179" spans="17:17" ht="15" customHeight="1" x14ac:dyDescent="0.2">
      <c r="Q179" s="80"/>
    </row>
    <row r="180" spans="17:17" ht="15" customHeight="1" x14ac:dyDescent="0.2">
      <c r="Q180" s="80"/>
    </row>
    <row r="181" spans="17:17" ht="15" customHeight="1" x14ac:dyDescent="0.2">
      <c r="Q181" s="80"/>
    </row>
    <row r="182" spans="17:17" ht="15" customHeight="1" x14ac:dyDescent="0.2">
      <c r="Q182" s="80"/>
    </row>
    <row r="183" spans="17:17" ht="15" customHeight="1" x14ac:dyDescent="0.2">
      <c r="Q183" s="80"/>
    </row>
    <row r="184" spans="17:17" ht="15" customHeight="1" x14ac:dyDescent="0.2">
      <c r="Q184" s="80"/>
    </row>
    <row r="185" spans="17:17" ht="15" customHeight="1" x14ac:dyDescent="0.2">
      <c r="Q185" s="80"/>
    </row>
    <row r="186" spans="17:17" ht="15" customHeight="1" x14ac:dyDescent="0.2">
      <c r="Q186" s="80"/>
    </row>
    <row r="187" spans="17:17" ht="15" customHeight="1" x14ac:dyDescent="0.2">
      <c r="Q187" s="80"/>
    </row>
    <row r="188" spans="17:17" ht="15" customHeight="1" x14ac:dyDescent="0.2">
      <c r="Q188" s="80"/>
    </row>
    <row r="189" spans="17:17" ht="15" customHeight="1" x14ac:dyDescent="0.2">
      <c r="Q189" s="80"/>
    </row>
    <row r="190" spans="17:17" ht="15" customHeight="1" x14ac:dyDescent="0.2">
      <c r="Q190" s="80"/>
    </row>
    <row r="191" spans="17:17" ht="15" customHeight="1" x14ac:dyDescent="0.2">
      <c r="Q191" s="80"/>
    </row>
    <row r="192" spans="17:17" ht="15" customHeight="1" x14ac:dyDescent="0.2">
      <c r="Q192" s="80"/>
    </row>
    <row r="193" spans="17:17" ht="15" customHeight="1" x14ac:dyDescent="0.2">
      <c r="Q193" s="80"/>
    </row>
    <row r="194" spans="17:17" ht="15" customHeight="1" x14ac:dyDescent="0.2">
      <c r="Q194" s="80"/>
    </row>
    <row r="195" spans="17:17" ht="15" customHeight="1" x14ac:dyDescent="0.2">
      <c r="Q195" s="80"/>
    </row>
    <row r="196" spans="17:17" ht="15" customHeight="1" x14ac:dyDescent="0.2">
      <c r="Q196" s="80"/>
    </row>
    <row r="197" spans="17:17" ht="15" customHeight="1" x14ac:dyDescent="0.2">
      <c r="Q197" s="80"/>
    </row>
    <row r="198" spans="17:17" ht="15" customHeight="1" x14ac:dyDescent="0.2">
      <c r="Q198" s="80"/>
    </row>
    <row r="199" spans="17:17" ht="15" customHeight="1" x14ac:dyDescent="0.2">
      <c r="Q199" s="80"/>
    </row>
    <row r="200" spans="17:17" ht="15" customHeight="1" x14ac:dyDescent="0.2">
      <c r="Q200" s="80"/>
    </row>
    <row r="201" spans="17:17" ht="15" customHeight="1" x14ac:dyDescent="0.2">
      <c r="Q201" s="80"/>
    </row>
    <row r="202" spans="17:17" ht="15" customHeight="1" x14ac:dyDescent="0.2">
      <c r="Q202" s="80"/>
    </row>
    <row r="203" spans="17:17" ht="15" customHeight="1" x14ac:dyDescent="0.2">
      <c r="Q203" s="80"/>
    </row>
    <row r="204" spans="17:17" ht="15" customHeight="1" x14ac:dyDescent="0.2">
      <c r="Q204" s="80"/>
    </row>
    <row r="205" spans="17:17" ht="15" customHeight="1" x14ac:dyDescent="0.2">
      <c r="Q205" s="80"/>
    </row>
    <row r="206" spans="17:17" ht="15" customHeight="1" x14ac:dyDescent="0.2">
      <c r="Q206" s="80"/>
    </row>
    <row r="207" spans="17:17" ht="15" customHeight="1" x14ac:dyDescent="0.2">
      <c r="Q207" s="80"/>
    </row>
    <row r="208" spans="17:17" ht="15" customHeight="1" x14ac:dyDescent="0.2">
      <c r="Q208" s="80"/>
    </row>
    <row r="209" spans="17:17" ht="15" customHeight="1" x14ac:dyDescent="0.2">
      <c r="Q209" s="80"/>
    </row>
    <row r="210" spans="17:17" ht="15" customHeight="1" x14ac:dyDescent="0.2">
      <c r="Q210" s="80"/>
    </row>
    <row r="211" spans="17:17" ht="15" customHeight="1" x14ac:dyDescent="0.2">
      <c r="Q211" s="80"/>
    </row>
    <row r="212" spans="17:17" ht="15" customHeight="1" x14ac:dyDescent="0.2">
      <c r="Q212" s="80"/>
    </row>
    <row r="213" spans="17:17" ht="15" customHeight="1" x14ac:dyDescent="0.2">
      <c r="Q213" s="80"/>
    </row>
    <row r="214" spans="17:17" ht="15" customHeight="1" x14ac:dyDescent="0.2">
      <c r="Q214" s="80"/>
    </row>
    <row r="215" spans="17:17" ht="15" customHeight="1" x14ac:dyDescent="0.2">
      <c r="Q215" s="80"/>
    </row>
    <row r="216" spans="17:17" ht="15" customHeight="1" x14ac:dyDescent="0.2">
      <c r="Q216" s="80"/>
    </row>
    <row r="217" spans="17:17" ht="15" customHeight="1" x14ac:dyDescent="0.2">
      <c r="Q217" s="80"/>
    </row>
    <row r="218" spans="17:17" ht="15" customHeight="1" x14ac:dyDescent="0.2">
      <c r="Q218" s="80"/>
    </row>
    <row r="219" spans="17:17" ht="15" customHeight="1" x14ac:dyDescent="0.2">
      <c r="Q219" s="80"/>
    </row>
    <row r="220" spans="17:17" ht="15" customHeight="1" x14ac:dyDescent="0.2">
      <c r="Q220" s="80"/>
    </row>
    <row r="221" spans="17:17" ht="15" customHeight="1" x14ac:dyDescent="0.2">
      <c r="Q221" s="80"/>
    </row>
    <row r="222" spans="17:17" ht="15" customHeight="1" x14ac:dyDescent="0.2">
      <c r="Q222" s="80"/>
    </row>
    <row r="223" spans="17:17" ht="15" customHeight="1" x14ac:dyDescent="0.2">
      <c r="Q223" s="80"/>
    </row>
    <row r="224" spans="17:17" ht="15" customHeight="1" x14ac:dyDescent="0.2">
      <c r="Q224" s="80"/>
    </row>
    <row r="225" spans="17:17" ht="15" customHeight="1" x14ac:dyDescent="0.2">
      <c r="Q225" s="80"/>
    </row>
    <row r="226" spans="17:17" ht="15" customHeight="1" x14ac:dyDescent="0.2">
      <c r="Q226" s="80"/>
    </row>
    <row r="227" spans="17:17" ht="15" customHeight="1" x14ac:dyDescent="0.2">
      <c r="Q227" s="80"/>
    </row>
    <row r="228" spans="17:17" ht="15" customHeight="1" x14ac:dyDescent="0.2">
      <c r="Q228" s="80"/>
    </row>
    <row r="229" spans="17:17" ht="15" customHeight="1" x14ac:dyDescent="0.2">
      <c r="Q229" s="80"/>
    </row>
    <row r="230" spans="17:17" ht="15" customHeight="1" x14ac:dyDescent="0.2">
      <c r="Q230" s="80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27450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27576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25718</v>
      </c>
      <c r="F2" t="s">
        <v>25642</v>
      </c>
      <c r="G2" s="1" t="s">
        <v>25599</v>
      </c>
      <c r="H2">
        <v>62</v>
      </c>
      <c r="I2" t="s">
        <v>215</v>
      </c>
      <c r="J2" s="1" t="s">
        <v>91</v>
      </c>
      <c r="K2" t="s">
        <v>27437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27451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25642</v>
      </c>
      <c r="G3" t="s">
        <v>27577</v>
      </c>
      <c r="H3">
        <v>32</v>
      </c>
      <c r="I3" t="s">
        <v>28</v>
      </c>
      <c r="J3" s="1" t="s">
        <v>91</v>
      </c>
      <c r="K3" t="s">
        <v>27438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27449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25642</v>
      </c>
      <c r="G4" t="s">
        <v>27577</v>
      </c>
      <c r="H4">
        <v>32</v>
      </c>
      <c r="I4" t="s">
        <v>28</v>
      </c>
      <c r="J4" s="1" t="s">
        <v>91</v>
      </c>
      <c r="K4" t="s">
        <v>27438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25642</v>
      </c>
      <c r="G5" t="s">
        <v>27577</v>
      </c>
      <c r="H5">
        <v>32</v>
      </c>
      <c r="I5" t="s">
        <v>28</v>
      </c>
      <c r="J5" s="1" t="s">
        <v>91</v>
      </c>
      <c r="K5" t="s">
        <v>27438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25642</v>
      </c>
      <c r="G6" t="s">
        <v>27577</v>
      </c>
      <c r="H6">
        <v>32</v>
      </c>
      <c r="I6" t="s">
        <v>28</v>
      </c>
      <c r="J6" s="1" t="s">
        <v>91</v>
      </c>
      <c r="K6" s="1" t="s">
        <v>27438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25642</v>
      </c>
      <c r="G7" s="1" t="s">
        <v>25633</v>
      </c>
      <c r="H7">
        <v>1</v>
      </c>
      <c r="I7" s="1" t="s">
        <v>1</v>
      </c>
      <c r="J7" s="1" t="s">
        <v>91</v>
      </c>
      <c r="K7" t="s">
        <v>27439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27452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25642</v>
      </c>
      <c r="G8" s="1" t="s">
        <v>25633</v>
      </c>
      <c r="H8" s="1">
        <v>1</v>
      </c>
      <c r="I8" t="s">
        <v>1</v>
      </c>
      <c r="J8" s="1" t="s">
        <v>91</v>
      </c>
      <c r="K8" t="s">
        <v>27439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27453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25642</v>
      </c>
      <c r="G9" s="1" t="s">
        <v>25633</v>
      </c>
      <c r="H9">
        <v>1</v>
      </c>
      <c r="I9" t="s">
        <v>1</v>
      </c>
      <c r="J9" s="1" t="s">
        <v>91</v>
      </c>
      <c r="K9" t="s">
        <v>27439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27454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25642</v>
      </c>
      <c r="G10" s="1" t="s">
        <v>25633</v>
      </c>
      <c r="H10">
        <v>1</v>
      </c>
      <c r="I10" s="54" t="s">
        <v>1</v>
      </c>
      <c r="J10" s="1" t="s">
        <v>91</v>
      </c>
      <c r="K10" t="s">
        <v>27439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27455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25642</v>
      </c>
      <c r="G11" s="1" t="s">
        <v>25633</v>
      </c>
      <c r="H11">
        <v>6</v>
      </c>
      <c r="I11" t="s">
        <v>22</v>
      </c>
      <c r="J11" s="1" t="s">
        <v>91</v>
      </c>
      <c r="K11" t="s">
        <v>27439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27456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25642</v>
      </c>
      <c r="G12" s="1" t="s">
        <v>25633</v>
      </c>
      <c r="H12">
        <v>6</v>
      </c>
      <c r="I12" t="s">
        <v>22</v>
      </c>
      <c r="J12" s="1" t="s">
        <v>91</v>
      </c>
      <c r="K12" t="s">
        <v>27439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27457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25642</v>
      </c>
      <c r="G13" s="1" t="s">
        <v>25633</v>
      </c>
      <c r="H13">
        <v>6</v>
      </c>
      <c r="I13" t="s">
        <v>22</v>
      </c>
      <c r="J13" s="1" t="s">
        <v>91</v>
      </c>
      <c r="K13" t="s">
        <v>27439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27458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25642</v>
      </c>
      <c r="G14" s="1" t="s">
        <v>25633</v>
      </c>
      <c r="H14">
        <v>21</v>
      </c>
      <c r="I14" t="s">
        <v>27</v>
      </c>
      <c r="J14" s="1" t="s">
        <v>91</v>
      </c>
      <c r="K14" t="s">
        <v>27439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27459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25642</v>
      </c>
      <c r="G15" s="1" t="s">
        <v>25633</v>
      </c>
      <c r="H15">
        <v>21</v>
      </c>
      <c r="I15" t="s">
        <v>27</v>
      </c>
      <c r="J15" s="1" t="s">
        <v>91</v>
      </c>
      <c r="K15" t="s">
        <v>27439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27460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25642</v>
      </c>
      <c r="G16" s="1" t="s">
        <v>25633</v>
      </c>
      <c r="H16">
        <v>21</v>
      </c>
      <c r="I16" t="s">
        <v>27</v>
      </c>
      <c r="J16" s="1" t="s">
        <v>91</v>
      </c>
      <c r="K16" t="s">
        <v>27439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27461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25642</v>
      </c>
      <c r="G17" s="1" t="s">
        <v>25633</v>
      </c>
      <c r="H17">
        <v>21</v>
      </c>
      <c r="I17" t="s">
        <v>27</v>
      </c>
      <c r="J17" s="1" t="s">
        <v>91</v>
      </c>
      <c r="K17" t="s">
        <v>27439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27462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25642</v>
      </c>
      <c r="G18" s="1" t="s">
        <v>25633</v>
      </c>
      <c r="H18">
        <v>32</v>
      </c>
      <c r="I18" t="s">
        <v>26</v>
      </c>
      <c r="J18" s="1" t="s">
        <v>91</v>
      </c>
      <c r="K18" t="s">
        <v>27439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27463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25642</v>
      </c>
      <c r="G19" s="1" t="s">
        <v>25633</v>
      </c>
      <c r="H19">
        <v>32</v>
      </c>
      <c r="I19" t="s">
        <v>26</v>
      </c>
      <c r="J19" s="1" t="s">
        <v>91</v>
      </c>
      <c r="K19" t="s">
        <v>27439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27464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25642</v>
      </c>
      <c r="G20" s="1" t="s">
        <v>25633</v>
      </c>
      <c r="H20">
        <v>32</v>
      </c>
      <c r="I20" t="s">
        <v>26</v>
      </c>
      <c r="J20" s="1" t="s">
        <v>91</v>
      </c>
      <c r="K20" t="s">
        <v>27439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27465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25642</v>
      </c>
      <c r="G21" s="1" t="s">
        <v>25633</v>
      </c>
      <c r="H21">
        <v>32</v>
      </c>
      <c r="I21" t="s">
        <v>26</v>
      </c>
      <c r="J21" s="1" t="s">
        <v>91</v>
      </c>
      <c r="K21" t="s">
        <v>27439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27466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25642</v>
      </c>
      <c r="G22" t="s">
        <v>27578</v>
      </c>
      <c r="H22">
        <v>221</v>
      </c>
      <c r="I22" t="s">
        <v>27</v>
      </c>
      <c r="J22" s="1" t="s">
        <v>91</v>
      </c>
      <c r="K22" t="s">
        <v>27438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27467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25642</v>
      </c>
      <c r="G23" t="s">
        <v>27578</v>
      </c>
      <c r="H23">
        <v>221</v>
      </c>
      <c r="I23" t="s">
        <v>27</v>
      </c>
      <c r="J23" s="1" t="s">
        <v>91</v>
      </c>
      <c r="K23" t="s">
        <v>27438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27468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25642</v>
      </c>
      <c r="G24" t="s">
        <v>27578</v>
      </c>
      <c r="H24">
        <v>221</v>
      </c>
      <c r="I24" t="s">
        <v>27</v>
      </c>
      <c r="J24" s="1" t="s">
        <v>91</v>
      </c>
      <c r="K24" t="s">
        <v>27438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27469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25642</v>
      </c>
      <c r="G25" t="s">
        <v>27578</v>
      </c>
      <c r="H25">
        <v>261</v>
      </c>
      <c r="I25" t="s">
        <v>25423</v>
      </c>
      <c r="J25" s="1" t="s">
        <v>91</v>
      </c>
      <c r="K25" t="s">
        <v>27438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27470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25642</v>
      </c>
      <c r="G26" t="s">
        <v>25626</v>
      </c>
      <c r="H26">
        <v>331</v>
      </c>
      <c r="I26" t="s">
        <v>26</v>
      </c>
      <c r="J26" s="1" t="s">
        <v>91</v>
      </c>
      <c r="K26" t="s">
        <v>27440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27471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25642</v>
      </c>
      <c r="G27" t="s">
        <v>25626</v>
      </c>
      <c r="H27">
        <v>331</v>
      </c>
      <c r="I27" t="s">
        <v>26</v>
      </c>
      <c r="J27" s="1" t="s">
        <v>91</v>
      </c>
      <c r="K27" t="s">
        <v>27440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27472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25642</v>
      </c>
      <c r="G28" t="s">
        <v>25626</v>
      </c>
      <c r="H28">
        <v>331</v>
      </c>
      <c r="I28" t="s">
        <v>26</v>
      </c>
      <c r="J28" s="1" t="s">
        <v>91</v>
      </c>
      <c r="K28" t="s">
        <v>27440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27473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25642</v>
      </c>
      <c r="G29" t="s">
        <v>25626</v>
      </c>
      <c r="H29">
        <v>331</v>
      </c>
      <c r="I29" t="s">
        <v>26</v>
      </c>
      <c r="J29" s="1" t="s">
        <v>91</v>
      </c>
      <c r="K29" t="s">
        <v>27440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27474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25642</v>
      </c>
      <c r="G30" t="s">
        <v>25614</v>
      </c>
      <c r="H30">
        <v>333</v>
      </c>
      <c r="I30" t="s">
        <v>28</v>
      </c>
      <c r="J30" s="1" t="s">
        <v>91</v>
      </c>
      <c r="K30" t="s">
        <v>27438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27475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25642</v>
      </c>
      <c r="G31" t="s">
        <v>25614</v>
      </c>
      <c r="H31">
        <v>333</v>
      </c>
      <c r="I31" t="s">
        <v>28</v>
      </c>
      <c r="J31" s="1" t="s">
        <v>91</v>
      </c>
      <c r="K31" t="s">
        <v>27438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27476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25642</v>
      </c>
      <c r="G32" t="s">
        <v>25614</v>
      </c>
      <c r="H32">
        <v>333</v>
      </c>
      <c r="I32" t="s">
        <v>28</v>
      </c>
      <c r="J32" s="1" t="s">
        <v>91</v>
      </c>
      <c r="K32" t="s">
        <v>27438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27477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25642</v>
      </c>
      <c r="G33" t="s">
        <v>25614</v>
      </c>
      <c r="H33">
        <v>333</v>
      </c>
      <c r="I33" t="s">
        <v>28</v>
      </c>
      <c r="J33" s="1" t="s">
        <v>91</v>
      </c>
      <c r="K33" t="s">
        <v>27438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27478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25642</v>
      </c>
      <c r="G34" t="s">
        <v>25614</v>
      </c>
      <c r="H34">
        <v>333</v>
      </c>
      <c r="I34" t="s">
        <v>28</v>
      </c>
      <c r="J34" s="1" t="s">
        <v>91</v>
      </c>
      <c r="K34" t="s">
        <v>27438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27479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25642</v>
      </c>
      <c r="G35" t="s">
        <v>25614</v>
      </c>
      <c r="H35">
        <v>351</v>
      </c>
      <c r="I35" s="1" t="s">
        <v>35</v>
      </c>
      <c r="J35" s="1" t="s">
        <v>91</v>
      </c>
      <c r="K35" t="s">
        <v>27438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27480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25642</v>
      </c>
      <c r="G36" t="s">
        <v>25614</v>
      </c>
      <c r="H36">
        <v>351</v>
      </c>
      <c r="I36" s="1" t="s">
        <v>35</v>
      </c>
      <c r="J36" s="1" t="s">
        <v>91</v>
      </c>
      <c r="K36" t="s">
        <v>27438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27481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25642</v>
      </c>
      <c r="G37" t="s">
        <v>25614</v>
      </c>
      <c r="H37">
        <v>351</v>
      </c>
      <c r="I37" s="1" t="s">
        <v>35</v>
      </c>
      <c r="J37" s="1" t="s">
        <v>91</v>
      </c>
      <c r="K37" t="s">
        <v>27438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27482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25642</v>
      </c>
      <c r="G38" t="s">
        <v>25614</v>
      </c>
      <c r="H38">
        <v>351</v>
      </c>
      <c r="I38" s="1" t="s">
        <v>35</v>
      </c>
      <c r="J38" s="1" t="s">
        <v>91</v>
      </c>
      <c r="K38" t="s">
        <v>27438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27483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25642</v>
      </c>
      <c r="G39" t="s">
        <v>25614</v>
      </c>
      <c r="H39">
        <v>351</v>
      </c>
      <c r="I39" s="1" t="s">
        <v>35</v>
      </c>
      <c r="J39" s="1" t="s">
        <v>91</v>
      </c>
      <c r="K39" t="s">
        <v>27438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27484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25722</v>
      </c>
      <c r="F40" t="s">
        <v>25642</v>
      </c>
      <c r="G40" t="s">
        <v>27579</v>
      </c>
      <c r="H40">
        <v>6</v>
      </c>
      <c r="I40" s="1" t="s">
        <v>22</v>
      </c>
      <c r="J40" s="1" t="s">
        <v>91</v>
      </c>
      <c r="K40" t="s">
        <v>27441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25722</v>
      </c>
      <c r="F41" t="s">
        <v>25642</v>
      </c>
      <c r="G41" t="s">
        <v>27580</v>
      </c>
      <c r="H41">
        <v>63</v>
      </c>
      <c r="I41" s="1" t="s">
        <v>25423</v>
      </c>
      <c r="J41" s="1" t="s">
        <v>91</v>
      </c>
      <c r="K41" t="s">
        <v>27441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27485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25722</v>
      </c>
      <c r="F42" t="s">
        <v>25642</v>
      </c>
      <c r="G42" t="s">
        <v>27581</v>
      </c>
      <c r="H42">
        <v>3</v>
      </c>
      <c r="I42" s="1" t="s">
        <v>28</v>
      </c>
      <c r="J42" s="1" t="s">
        <v>91</v>
      </c>
      <c r="K42" t="s">
        <v>27442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25722</v>
      </c>
      <c r="F43" t="s">
        <v>25642</v>
      </c>
      <c r="G43" t="s">
        <v>27581</v>
      </c>
      <c r="H43">
        <v>5</v>
      </c>
      <c r="I43" s="1" t="s">
        <v>58</v>
      </c>
      <c r="J43" s="1" t="s">
        <v>91</v>
      </c>
      <c r="K43" t="s">
        <v>27442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25642</v>
      </c>
      <c r="G44" t="s">
        <v>25612</v>
      </c>
      <c r="H44">
        <v>321</v>
      </c>
      <c r="I44" s="1" t="s">
        <v>130</v>
      </c>
      <c r="J44" s="1" t="s">
        <v>91</v>
      </c>
      <c r="K44" t="s">
        <v>27440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27486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25642</v>
      </c>
      <c r="G45" t="s">
        <v>25612</v>
      </c>
      <c r="H45">
        <v>321</v>
      </c>
      <c r="I45" s="1" t="s">
        <v>130</v>
      </c>
      <c r="J45" s="1" t="s">
        <v>91</v>
      </c>
      <c r="K45" t="s">
        <v>27440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27487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25642</v>
      </c>
      <c r="G46" t="s">
        <v>25612</v>
      </c>
      <c r="H46">
        <v>321</v>
      </c>
      <c r="I46" s="1" t="s">
        <v>130</v>
      </c>
      <c r="J46" s="1" t="s">
        <v>91</v>
      </c>
      <c r="K46" t="s">
        <v>27440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27488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25642</v>
      </c>
      <c r="G47" t="s">
        <v>25612</v>
      </c>
      <c r="H47">
        <v>331</v>
      </c>
      <c r="I47" s="1" t="s">
        <v>26</v>
      </c>
      <c r="J47" s="1" t="s">
        <v>91</v>
      </c>
      <c r="K47" t="s">
        <v>27440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27489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25642</v>
      </c>
      <c r="G48" t="s">
        <v>25612</v>
      </c>
      <c r="H48">
        <v>331</v>
      </c>
      <c r="I48" t="s">
        <v>26</v>
      </c>
      <c r="J48" s="1" t="s">
        <v>91</v>
      </c>
      <c r="K48" s="1" t="s">
        <v>27440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27490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25642</v>
      </c>
      <c r="G49" t="s">
        <v>25612</v>
      </c>
      <c r="H49">
        <v>331</v>
      </c>
      <c r="I49" t="s">
        <v>26</v>
      </c>
      <c r="J49" s="1" t="s">
        <v>91</v>
      </c>
      <c r="K49" t="s">
        <v>27440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27491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25642</v>
      </c>
      <c r="G50" t="s">
        <v>25612</v>
      </c>
      <c r="H50">
        <v>331</v>
      </c>
      <c r="I50" t="s">
        <v>26</v>
      </c>
      <c r="J50" s="1" t="s">
        <v>91</v>
      </c>
      <c r="K50" t="s">
        <v>27440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27492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25642</v>
      </c>
      <c r="G51" t="s">
        <v>25612</v>
      </c>
      <c r="H51">
        <v>331</v>
      </c>
      <c r="I51" t="s">
        <v>26</v>
      </c>
      <c r="J51" s="1" t="s">
        <v>91</v>
      </c>
      <c r="K51" t="s">
        <v>27440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27493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25642</v>
      </c>
      <c r="G52" t="s">
        <v>25612</v>
      </c>
      <c r="H52">
        <v>331</v>
      </c>
      <c r="I52" t="s">
        <v>26</v>
      </c>
      <c r="J52" s="1" t="s">
        <v>91</v>
      </c>
      <c r="K52" t="s">
        <v>27440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27494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25642</v>
      </c>
      <c r="G53" t="s">
        <v>25612</v>
      </c>
      <c r="H53">
        <v>331</v>
      </c>
      <c r="I53" t="s">
        <v>26</v>
      </c>
      <c r="J53" s="1" t="s">
        <v>91</v>
      </c>
      <c r="K53" t="s">
        <v>27440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27495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25642</v>
      </c>
      <c r="G54" t="s">
        <v>25612</v>
      </c>
      <c r="H54">
        <v>331</v>
      </c>
      <c r="I54" t="s">
        <v>26</v>
      </c>
      <c r="J54" s="1" t="s">
        <v>91</v>
      </c>
      <c r="K54" t="s">
        <v>27440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27496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25642</v>
      </c>
      <c r="G55" t="s">
        <v>27582</v>
      </c>
      <c r="H55">
        <v>261</v>
      </c>
      <c r="I55" t="s">
        <v>25480</v>
      </c>
      <c r="J55" s="1" t="s">
        <v>91</v>
      </c>
      <c r="K55" t="s">
        <v>27438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25642</v>
      </c>
      <c r="G56" t="s">
        <v>27582</v>
      </c>
      <c r="H56">
        <v>261</v>
      </c>
      <c r="I56" t="s">
        <v>25480</v>
      </c>
      <c r="J56" s="1" t="s">
        <v>91</v>
      </c>
      <c r="K56" t="s">
        <v>27438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25642</v>
      </c>
      <c r="G57" t="s">
        <v>27582</v>
      </c>
      <c r="H57">
        <v>261</v>
      </c>
      <c r="I57" t="s">
        <v>25480</v>
      </c>
      <c r="J57" s="1" t="s">
        <v>91</v>
      </c>
      <c r="K57" t="s">
        <v>27438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25642</v>
      </c>
      <c r="G58" t="s">
        <v>27582</v>
      </c>
      <c r="H58">
        <v>261</v>
      </c>
      <c r="I58" t="s">
        <v>25480</v>
      </c>
      <c r="J58" s="1" t="s">
        <v>91</v>
      </c>
      <c r="K58" t="s">
        <v>27438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25642</v>
      </c>
      <c r="G59" t="s">
        <v>25613</v>
      </c>
      <c r="H59">
        <v>321</v>
      </c>
      <c r="I59" t="s">
        <v>23</v>
      </c>
      <c r="J59" s="1" t="s">
        <v>91</v>
      </c>
      <c r="K59" t="s">
        <v>27440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27497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25642</v>
      </c>
      <c r="G60" t="s">
        <v>25613</v>
      </c>
      <c r="H60">
        <v>321</v>
      </c>
      <c r="I60" t="s">
        <v>23</v>
      </c>
      <c r="J60" s="1" t="s">
        <v>91</v>
      </c>
      <c r="K60" t="s">
        <v>27440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27498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25642</v>
      </c>
      <c r="G61" t="s">
        <v>25613</v>
      </c>
      <c r="H61">
        <v>321</v>
      </c>
      <c r="I61" t="s">
        <v>23</v>
      </c>
      <c r="J61" s="1" t="s">
        <v>91</v>
      </c>
      <c r="K61" s="1" t="s">
        <v>27440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27499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25642</v>
      </c>
      <c r="G62" t="s">
        <v>25613</v>
      </c>
      <c r="H62">
        <v>321</v>
      </c>
      <c r="I62" t="s">
        <v>23</v>
      </c>
      <c r="J62" s="1" t="s">
        <v>91</v>
      </c>
      <c r="K62" t="s">
        <v>27440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27500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25642</v>
      </c>
      <c r="G63" t="s">
        <v>25613</v>
      </c>
      <c r="H63">
        <v>321</v>
      </c>
      <c r="I63" t="s">
        <v>23</v>
      </c>
      <c r="J63" s="1" t="s">
        <v>91</v>
      </c>
      <c r="K63" t="s">
        <v>27440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27501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25642</v>
      </c>
      <c r="G64" t="s">
        <v>25613</v>
      </c>
      <c r="H64">
        <v>321</v>
      </c>
      <c r="I64" s="1" t="s">
        <v>23</v>
      </c>
      <c r="J64" s="1" t="s">
        <v>91</v>
      </c>
      <c r="K64" t="s">
        <v>27440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27502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25642</v>
      </c>
      <c r="G65" t="s">
        <v>25613</v>
      </c>
      <c r="H65">
        <v>321</v>
      </c>
      <c r="I65" t="s">
        <v>23</v>
      </c>
      <c r="J65" s="1" t="s">
        <v>91</v>
      </c>
      <c r="K65" t="s">
        <v>27440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27503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25642</v>
      </c>
      <c r="G66" t="s">
        <v>25613</v>
      </c>
      <c r="H66">
        <v>321</v>
      </c>
      <c r="I66" t="s">
        <v>23</v>
      </c>
      <c r="J66" s="1" t="s">
        <v>91</v>
      </c>
      <c r="K66" t="s">
        <v>27440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27504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25642</v>
      </c>
      <c r="G67" t="s">
        <v>25613</v>
      </c>
      <c r="H67">
        <v>331</v>
      </c>
      <c r="I67" s="1" t="s">
        <v>26</v>
      </c>
      <c r="J67" s="1" t="s">
        <v>91</v>
      </c>
      <c r="K67" t="s">
        <v>27440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27505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25642</v>
      </c>
      <c r="G68" t="s">
        <v>25613</v>
      </c>
      <c r="H68">
        <v>331</v>
      </c>
      <c r="I68" s="1" t="s">
        <v>26</v>
      </c>
      <c r="J68" s="1" t="s">
        <v>91</v>
      </c>
      <c r="K68" t="s">
        <v>27440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27506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25642</v>
      </c>
      <c r="G69" t="s">
        <v>25613</v>
      </c>
      <c r="H69">
        <v>331</v>
      </c>
      <c r="I69" s="1" t="s">
        <v>26</v>
      </c>
      <c r="J69" s="1" t="s">
        <v>91</v>
      </c>
      <c r="K69" t="s">
        <v>27440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27507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25642</v>
      </c>
      <c r="G70" t="s">
        <v>25613</v>
      </c>
      <c r="H70">
        <v>331</v>
      </c>
      <c r="I70" s="1" t="s">
        <v>26</v>
      </c>
      <c r="J70" s="1" t="s">
        <v>91</v>
      </c>
      <c r="K70" t="s">
        <v>27440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27508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25642</v>
      </c>
      <c r="G71" t="s">
        <v>25613</v>
      </c>
      <c r="H71">
        <v>371</v>
      </c>
      <c r="I71" t="s">
        <v>22</v>
      </c>
      <c r="J71" s="1" t="s">
        <v>91</v>
      </c>
      <c r="K71" t="s">
        <v>27440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27509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25642</v>
      </c>
      <c r="G72" t="s">
        <v>25613</v>
      </c>
      <c r="H72">
        <v>371</v>
      </c>
      <c r="I72" t="s">
        <v>22</v>
      </c>
      <c r="J72" s="1" t="s">
        <v>91</v>
      </c>
      <c r="K72" t="s">
        <v>27440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27510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25642</v>
      </c>
      <c r="G73" t="s">
        <v>25613</v>
      </c>
      <c r="H73">
        <v>371</v>
      </c>
      <c r="I73" t="s">
        <v>22</v>
      </c>
      <c r="J73" s="1" t="s">
        <v>91</v>
      </c>
      <c r="K73" t="s">
        <v>27440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27511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25642</v>
      </c>
      <c r="G74" t="s">
        <v>25613</v>
      </c>
      <c r="H74">
        <v>371</v>
      </c>
      <c r="I74" t="s">
        <v>22</v>
      </c>
      <c r="J74" s="1" t="s">
        <v>91</v>
      </c>
      <c r="K74" t="s">
        <v>27440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27512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25642</v>
      </c>
      <c r="G75" t="s">
        <v>25620</v>
      </c>
      <c r="H75">
        <v>1</v>
      </c>
      <c r="I75" t="s">
        <v>1</v>
      </c>
      <c r="J75" s="1" t="s">
        <v>91</v>
      </c>
      <c r="K75" s="1" t="s">
        <v>27439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27513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25642</v>
      </c>
      <c r="G76" t="s">
        <v>25620</v>
      </c>
      <c r="H76">
        <v>1</v>
      </c>
      <c r="I76" t="s">
        <v>1</v>
      </c>
      <c r="J76" s="1" t="s">
        <v>91</v>
      </c>
      <c r="K76" t="s">
        <v>27439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27514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25642</v>
      </c>
      <c r="G77" t="s">
        <v>25620</v>
      </c>
      <c r="H77">
        <v>1</v>
      </c>
      <c r="I77" t="s">
        <v>1</v>
      </c>
      <c r="J77" s="1" t="s">
        <v>91</v>
      </c>
      <c r="K77" t="s">
        <v>27439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27515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25642</v>
      </c>
      <c r="G78" t="s">
        <v>25620</v>
      </c>
      <c r="H78">
        <v>1</v>
      </c>
      <c r="I78" s="1" t="s">
        <v>1</v>
      </c>
      <c r="J78" s="1" t="s">
        <v>91</v>
      </c>
      <c r="K78" t="s">
        <v>27439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27516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25642</v>
      </c>
      <c r="G79" t="s">
        <v>25620</v>
      </c>
      <c r="H79">
        <v>1</v>
      </c>
      <c r="I79" t="s">
        <v>1</v>
      </c>
      <c r="J79" s="1" t="s">
        <v>91</v>
      </c>
      <c r="K79" s="1" t="s">
        <v>27439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27517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25642</v>
      </c>
      <c r="G80" t="s">
        <v>25620</v>
      </c>
      <c r="H80">
        <v>21</v>
      </c>
      <c r="I80" s="1" t="s">
        <v>27</v>
      </c>
      <c r="J80" s="1" t="s">
        <v>91</v>
      </c>
      <c r="K80" t="s">
        <v>27439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27518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25642</v>
      </c>
      <c r="G81" t="s">
        <v>25620</v>
      </c>
      <c r="H81">
        <v>21</v>
      </c>
      <c r="I81" s="1" t="s">
        <v>27</v>
      </c>
      <c r="J81" s="1" t="s">
        <v>91</v>
      </c>
      <c r="K81" t="s">
        <v>27439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27519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25642</v>
      </c>
      <c r="G82" t="s">
        <v>25620</v>
      </c>
      <c r="H82">
        <v>21</v>
      </c>
      <c r="I82" s="1" t="s">
        <v>27</v>
      </c>
      <c r="J82" s="1" t="s">
        <v>91</v>
      </c>
      <c r="K82" t="s">
        <v>27439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27520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25642</v>
      </c>
      <c r="G83" t="s">
        <v>25620</v>
      </c>
      <c r="H83">
        <v>21</v>
      </c>
      <c r="I83" s="1" t="s">
        <v>27</v>
      </c>
      <c r="J83" s="1" t="s">
        <v>91</v>
      </c>
      <c r="K83" t="s">
        <v>27439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27521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25642</v>
      </c>
      <c r="G84" t="s">
        <v>25620</v>
      </c>
      <c r="H84">
        <v>21</v>
      </c>
      <c r="I84" s="1" t="s">
        <v>27</v>
      </c>
      <c r="J84" s="1" t="s">
        <v>91</v>
      </c>
      <c r="K84" t="s">
        <v>27439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27522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25642</v>
      </c>
      <c r="G85" t="s">
        <v>25620</v>
      </c>
      <c r="H85" s="1">
        <v>32</v>
      </c>
      <c r="I85" s="1" t="s">
        <v>26</v>
      </c>
      <c r="J85" s="1" t="s">
        <v>91</v>
      </c>
      <c r="K85" t="s">
        <v>27439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27523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25642</v>
      </c>
      <c r="G86" t="s">
        <v>25620</v>
      </c>
      <c r="H86">
        <v>32</v>
      </c>
      <c r="I86" t="s">
        <v>26</v>
      </c>
      <c r="J86" s="1" t="s">
        <v>91</v>
      </c>
      <c r="K86" t="s">
        <v>27439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27524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25642</v>
      </c>
      <c r="G87" t="s">
        <v>25620</v>
      </c>
      <c r="H87">
        <v>32</v>
      </c>
      <c r="I87" t="s">
        <v>26</v>
      </c>
      <c r="J87" s="1" t="s">
        <v>91</v>
      </c>
      <c r="K87" t="s">
        <v>27439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27525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25642</v>
      </c>
      <c r="G88" t="s">
        <v>25620</v>
      </c>
      <c r="H88">
        <v>32</v>
      </c>
      <c r="I88" t="s">
        <v>26</v>
      </c>
      <c r="J88" s="1" t="s">
        <v>91</v>
      </c>
      <c r="K88" t="s">
        <v>27439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27526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25642</v>
      </c>
      <c r="G89" t="s">
        <v>25620</v>
      </c>
      <c r="H89">
        <v>32</v>
      </c>
      <c r="I89" t="s">
        <v>26</v>
      </c>
      <c r="J89" s="1" t="s">
        <v>91</v>
      </c>
      <c r="K89" t="s">
        <v>27439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27527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25642</v>
      </c>
      <c r="G90" t="s">
        <v>25620</v>
      </c>
      <c r="H90">
        <v>32</v>
      </c>
      <c r="I90" t="s">
        <v>26</v>
      </c>
      <c r="J90" s="1" t="s">
        <v>91</v>
      </c>
      <c r="K90" t="s">
        <v>27439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27528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25642</v>
      </c>
      <c r="G91" t="s">
        <v>25620</v>
      </c>
      <c r="H91">
        <v>32</v>
      </c>
      <c r="I91" t="s">
        <v>26</v>
      </c>
      <c r="J91" s="1" t="s">
        <v>91</v>
      </c>
      <c r="K91" t="s">
        <v>27439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27529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25642</v>
      </c>
      <c r="G92" t="s">
        <v>25621</v>
      </c>
      <c r="H92">
        <v>32</v>
      </c>
      <c r="I92" t="s">
        <v>26</v>
      </c>
      <c r="J92" s="1" t="s">
        <v>91</v>
      </c>
      <c r="K92" t="s">
        <v>27443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27530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25642</v>
      </c>
      <c r="G93" t="s">
        <v>25621</v>
      </c>
      <c r="H93">
        <v>32</v>
      </c>
      <c r="I93" t="s">
        <v>26</v>
      </c>
      <c r="J93" s="1" t="s">
        <v>91</v>
      </c>
      <c r="K93" t="s">
        <v>27443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27531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25642</v>
      </c>
      <c r="G94" t="s">
        <v>25621</v>
      </c>
      <c r="H94">
        <v>32</v>
      </c>
      <c r="I94" t="s">
        <v>26</v>
      </c>
      <c r="J94" s="1" t="s">
        <v>91</v>
      </c>
      <c r="K94" t="s">
        <v>27443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27532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25642</v>
      </c>
      <c r="G95" t="s">
        <v>25621</v>
      </c>
      <c r="H95">
        <v>32</v>
      </c>
      <c r="I95" t="s">
        <v>26</v>
      </c>
      <c r="J95" s="1" t="s">
        <v>91</v>
      </c>
      <c r="K95" t="s">
        <v>27443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27533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25642</v>
      </c>
      <c r="G96" t="s">
        <v>25621</v>
      </c>
      <c r="H96">
        <v>32</v>
      </c>
      <c r="I96" t="s">
        <v>26</v>
      </c>
      <c r="J96" s="1" t="s">
        <v>91</v>
      </c>
      <c r="K96" t="s">
        <v>27443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27534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25642</v>
      </c>
      <c r="G97" t="s">
        <v>25627</v>
      </c>
      <c r="H97">
        <v>32</v>
      </c>
      <c r="I97" s="1" t="s">
        <v>28</v>
      </c>
      <c r="J97" s="1" t="s">
        <v>91</v>
      </c>
      <c r="K97" t="s">
        <v>27438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27535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25642</v>
      </c>
      <c r="G98" t="s">
        <v>25627</v>
      </c>
      <c r="H98">
        <v>32</v>
      </c>
      <c r="I98" s="1" t="s">
        <v>28</v>
      </c>
      <c r="J98" s="1" t="s">
        <v>91</v>
      </c>
      <c r="K98" t="s">
        <v>27438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27536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25642</v>
      </c>
      <c r="G99" t="s">
        <v>25627</v>
      </c>
      <c r="H99">
        <v>32</v>
      </c>
      <c r="I99" s="1" t="s">
        <v>28</v>
      </c>
      <c r="J99" s="1" t="s">
        <v>91</v>
      </c>
      <c r="K99" t="s">
        <v>27438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27537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25642</v>
      </c>
      <c r="G100" t="s">
        <v>25627</v>
      </c>
      <c r="H100">
        <v>32</v>
      </c>
      <c r="I100" s="1" t="s">
        <v>28</v>
      </c>
      <c r="J100" s="1" t="s">
        <v>91</v>
      </c>
      <c r="K100" t="s">
        <v>27438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27538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25642</v>
      </c>
      <c r="G101" t="s">
        <v>25628</v>
      </c>
      <c r="H101">
        <v>61</v>
      </c>
      <c r="I101" t="s">
        <v>22</v>
      </c>
      <c r="J101" s="1" t="s">
        <v>91</v>
      </c>
      <c r="K101" t="s">
        <v>27444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27539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25642</v>
      </c>
      <c r="G102" t="s">
        <v>27583</v>
      </c>
      <c r="H102">
        <v>333</v>
      </c>
      <c r="I102" t="s">
        <v>26</v>
      </c>
      <c r="J102" s="1" t="s">
        <v>91</v>
      </c>
      <c r="K102" t="s">
        <v>27445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27540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25642</v>
      </c>
      <c r="G103" t="s">
        <v>27583</v>
      </c>
      <c r="H103">
        <v>333</v>
      </c>
      <c r="I103" t="s">
        <v>26</v>
      </c>
      <c r="J103" s="1" t="s">
        <v>91</v>
      </c>
      <c r="K103" t="s">
        <v>27445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27541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25642</v>
      </c>
      <c r="G104" t="s">
        <v>27583</v>
      </c>
      <c r="H104">
        <v>333</v>
      </c>
      <c r="I104" t="s">
        <v>26</v>
      </c>
      <c r="J104" s="1" t="s">
        <v>91</v>
      </c>
      <c r="K104" t="s">
        <v>27445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27542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25642</v>
      </c>
      <c r="G105" t="s">
        <v>27583</v>
      </c>
      <c r="H105">
        <v>361</v>
      </c>
      <c r="I105" t="s">
        <v>215</v>
      </c>
      <c r="J105" s="1" t="s">
        <v>91</v>
      </c>
      <c r="K105" t="s">
        <v>27445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27543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25642</v>
      </c>
      <c r="G106" t="s">
        <v>27583</v>
      </c>
      <c r="H106">
        <v>361</v>
      </c>
      <c r="I106" t="s">
        <v>215</v>
      </c>
      <c r="J106" s="1" t="s">
        <v>91</v>
      </c>
      <c r="K106" t="s">
        <v>27445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27544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25642</v>
      </c>
      <c r="G107" t="s">
        <v>25622</v>
      </c>
      <c r="H107">
        <v>333</v>
      </c>
      <c r="I107" t="s">
        <v>25472</v>
      </c>
      <c r="J107" s="1" t="s">
        <v>91</v>
      </c>
      <c r="K107" t="s">
        <v>27438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27575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25642</v>
      </c>
      <c r="G108" t="s">
        <v>27584</v>
      </c>
      <c r="H108">
        <v>337</v>
      </c>
      <c r="I108" t="s">
        <v>28</v>
      </c>
      <c r="J108" s="1" t="s">
        <v>91</v>
      </c>
      <c r="K108" t="s">
        <v>27446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25642</v>
      </c>
      <c r="G109" t="s">
        <v>27584</v>
      </c>
      <c r="H109">
        <v>337</v>
      </c>
      <c r="I109" t="s">
        <v>28</v>
      </c>
      <c r="J109" s="1" t="s">
        <v>91</v>
      </c>
      <c r="K109" t="s">
        <v>27446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25642</v>
      </c>
      <c r="G110" t="s">
        <v>27584</v>
      </c>
      <c r="H110">
        <v>337</v>
      </c>
      <c r="I110" t="s">
        <v>28</v>
      </c>
      <c r="J110" s="1" t="s">
        <v>91</v>
      </c>
      <c r="K110" t="s">
        <v>27446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25642</v>
      </c>
      <c r="G111" t="s">
        <v>27584</v>
      </c>
      <c r="H111">
        <v>337</v>
      </c>
      <c r="I111" t="s">
        <v>28</v>
      </c>
      <c r="J111" s="1" t="s">
        <v>91</v>
      </c>
      <c r="K111" t="s">
        <v>27446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25642</v>
      </c>
      <c r="G112" t="s">
        <v>27584</v>
      </c>
      <c r="H112">
        <v>337</v>
      </c>
      <c r="I112" t="s">
        <v>28</v>
      </c>
      <c r="J112" s="1" t="s">
        <v>91</v>
      </c>
      <c r="K112" t="s">
        <v>27446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25642</v>
      </c>
      <c r="G113" t="s">
        <v>27584</v>
      </c>
      <c r="H113">
        <v>337</v>
      </c>
      <c r="I113" t="s">
        <v>28</v>
      </c>
      <c r="J113" s="1" t="s">
        <v>91</v>
      </c>
      <c r="K113" t="s">
        <v>27446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25642</v>
      </c>
      <c r="G114" t="s">
        <v>27584</v>
      </c>
      <c r="H114">
        <v>337</v>
      </c>
      <c r="I114" t="s">
        <v>28</v>
      </c>
      <c r="J114" s="1" t="s">
        <v>91</v>
      </c>
      <c r="K114" t="s">
        <v>27446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25642</v>
      </c>
      <c r="G115" t="s">
        <v>27584</v>
      </c>
      <c r="H115">
        <v>337</v>
      </c>
      <c r="I115" t="s">
        <v>28</v>
      </c>
      <c r="J115" s="1" t="s">
        <v>91</v>
      </c>
      <c r="K115" t="s">
        <v>27446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25642</v>
      </c>
      <c r="G116" t="s">
        <v>27585</v>
      </c>
      <c r="H116">
        <v>333</v>
      </c>
      <c r="I116" t="s">
        <v>28</v>
      </c>
      <c r="J116" s="1" t="s">
        <v>91</v>
      </c>
      <c r="K116" t="s">
        <v>26851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27545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25642</v>
      </c>
      <c r="G117" t="s">
        <v>27585</v>
      </c>
      <c r="H117">
        <v>333</v>
      </c>
      <c r="I117" t="s">
        <v>28</v>
      </c>
      <c r="J117" s="1" t="s">
        <v>91</v>
      </c>
      <c r="K117" t="s">
        <v>26851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27546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25642</v>
      </c>
      <c r="G118" t="s">
        <v>27585</v>
      </c>
      <c r="H118">
        <v>333</v>
      </c>
      <c r="I118" t="s">
        <v>28</v>
      </c>
      <c r="J118" s="1" t="s">
        <v>91</v>
      </c>
      <c r="K118" t="s">
        <v>26851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27547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25642</v>
      </c>
      <c r="G119" t="s">
        <v>25623</v>
      </c>
      <c r="H119">
        <v>433</v>
      </c>
      <c r="I119" t="s">
        <v>26</v>
      </c>
      <c r="J119" s="1" t="s">
        <v>91</v>
      </c>
      <c r="K119" t="s">
        <v>27438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27548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25642</v>
      </c>
      <c r="G120" t="s">
        <v>25623</v>
      </c>
      <c r="H120">
        <v>433</v>
      </c>
      <c r="I120" t="s">
        <v>26</v>
      </c>
      <c r="J120" s="1" t="s">
        <v>91</v>
      </c>
      <c r="K120" t="s">
        <v>27438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27549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25642</v>
      </c>
      <c r="G121" t="s">
        <v>25623</v>
      </c>
      <c r="H121">
        <v>433</v>
      </c>
      <c r="I121" t="s">
        <v>26</v>
      </c>
      <c r="J121" s="1" t="s">
        <v>91</v>
      </c>
      <c r="K121" t="s">
        <v>27438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27550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25642</v>
      </c>
      <c r="G122" t="s">
        <v>25623</v>
      </c>
      <c r="H122">
        <v>433</v>
      </c>
      <c r="I122" t="s">
        <v>26</v>
      </c>
      <c r="J122" s="1" t="s">
        <v>91</v>
      </c>
      <c r="K122" t="s">
        <v>27438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27551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25718</v>
      </c>
      <c r="F123" t="s">
        <v>25642</v>
      </c>
      <c r="G123" t="s">
        <v>27586</v>
      </c>
      <c r="H123">
        <v>6</v>
      </c>
      <c r="I123" t="s">
        <v>22</v>
      </c>
      <c r="J123" s="1" t="s">
        <v>91</v>
      </c>
      <c r="K123" t="s">
        <v>27437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25718</v>
      </c>
      <c r="F124" t="s">
        <v>25642</v>
      </c>
      <c r="G124" t="s">
        <v>27586</v>
      </c>
      <c r="H124">
        <v>6</v>
      </c>
      <c r="I124" t="s">
        <v>22</v>
      </c>
      <c r="J124" s="1" t="s">
        <v>91</v>
      </c>
      <c r="K124" t="s">
        <v>27437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25718</v>
      </c>
      <c r="F125" t="s">
        <v>25642</v>
      </c>
      <c r="G125" t="s">
        <v>27586</v>
      </c>
      <c r="H125">
        <v>6</v>
      </c>
      <c r="I125" t="s">
        <v>22</v>
      </c>
      <c r="J125" s="1" t="s">
        <v>91</v>
      </c>
      <c r="K125" t="s">
        <v>27437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25718</v>
      </c>
      <c r="F126" t="s">
        <v>25642</v>
      </c>
      <c r="G126" t="s">
        <v>27586</v>
      </c>
      <c r="H126">
        <v>6</v>
      </c>
      <c r="I126" s="1" t="s">
        <v>22</v>
      </c>
      <c r="J126" s="1" t="s">
        <v>91</v>
      </c>
      <c r="K126" t="s">
        <v>27437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25642</v>
      </c>
      <c r="G127" t="s">
        <v>27587</v>
      </c>
      <c r="H127">
        <v>37</v>
      </c>
      <c r="I127" s="1" t="s">
        <v>28</v>
      </c>
      <c r="J127" s="1" t="s">
        <v>91</v>
      </c>
      <c r="K127" t="s">
        <v>27438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27552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25718</v>
      </c>
      <c r="F128" t="s">
        <v>25642</v>
      </c>
      <c r="G128" t="s">
        <v>25624</v>
      </c>
      <c r="H128">
        <v>1</v>
      </c>
      <c r="I128" t="s">
        <v>1</v>
      </c>
      <c r="J128" s="1" t="s">
        <v>91</v>
      </c>
      <c r="K128" t="s">
        <v>27437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27553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25718</v>
      </c>
      <c r="F129" t="s">
        <v>25642</v>
      </c>
      <c r="G129" t="s">
        <v>25624</v>
      </c>
      <c r="H129">
        <v>62</v>
      </c>
      <c r="I129" t="s">
        <v>215</v>
      </c>
      <c r="J129" s="1" t="s">
        <v>91</v>
      </c>
      <c r="K129" t="s">
        <v>27437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27554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25717</v>
      </c>
      <c r="F130" t="s">
        <v>25642</v>
      </c>
      <c r="G130" t="s">
        <v>27588</v>
      </c>
      <c r="H130">
        <v>22</v>
      </c>
      <c r="I130" s="1" t="s">
        <v>25494</v>
      </c>
      <c r="J130" s="1" t="s">
        <v>26686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27555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25642</v>
      </c>
      <c r="G131" s="1" t="s">
        <v>27589</v>
      </c>
      <c r="H131">
        <v>2</v>
      </c>
      <c r="I131" s="1" t="s">
        <v>27</v>
      </c>
      <c r="J131" s="1" t="s">
        <v>26686</v>
      </c>
      <c r="K131" t="s">
        <v>26507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25642</v>
      </c>
      <c r="G132" t="s">
        <v>27589</v>
      </c>
      <c r="H132">
        <v>3</v>
      </c>
      <c r="I132" s="1" t="s">
        <v>28</v>
      </c>
      <c r="J132" s="1" t="s">
        <v>26686</v>
      </c>
      <c r="K132" t="s">
        <v>26507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25642</v>
      </c>
      <c r="G133" t="s">
        <v>27589</v>
      </c>
      <c r="H133">
        <v>4</v>
      </c>
      <c r="I133" s="1" t="s">
        <v>54</v>
      </c>
      <c r="J133" s="1" t="s">
        <v>26686</v>
      </c>
      <c r="K133" t="s">
        <v>26507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25642</v>
      </c>
      <c r="G134" t="s">
        <v>27589</v>
      </c>
      <c r="H134">
        <v>6</v>
      </c>
      <c r="I134" s="1" t="s">
        <v>22</v>
      </c>
      <c r="J134" s="1" t="s">
        <v>26686</v>
      </c>
      <c r="K134" t="s">
        <v>26507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25642</v>
      </c>
      <c r="G135" t="s">
        <v>27590</v>
      </c>
      <c r="H135">
        <v>68</v>
      </c>
      <c r="I135" s="1" t="s">
        <v>215</v>
      </c>
      <c r="J135" s="1" t="s">
        <v>91</v>
      </c>
      <c r="K135" t="s">
        <v>27436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27556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25722</v>
      </c>
      <c r="F136" t="s">
        <v>25642</v>
      </c>
      <c r="G136" t="s">
        <v>27591</v>
      </c>
      <c r="H136">
        <v>1</v>
      </c>
      <c r="I136" t="s">
        <v>1</v>
      </c>
      <c r="J136" s="1" t="s">
        <v>26686</v>
      </c>
      <c r="K136" t="s">
        <v>27441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27557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25722</v>
      </c>
      <c r="F137" t="s">
        <v>25642</v>
      </c>
      <c r="G137" t="s">
        <v>27591</v>
      </c>
      <c r="H137">
        <v>1</v>
      </c>
      <c r="I137" t="s">
        <v>1</v>
      </c>
      <c r="J137" s="1" t="s">
        <v>26686</v>
      </c>
      <c r="K137" t="s">
        <v>27441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27558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25642</v>
      </c>
      <c r="G138" t="s">
        <v>27592</v>
      </c>
      <c r="H138">
        <v>351</v>
      </c>
      <c r="I138" s="1" t="s">
        <v>54</v>
      </c>
      <c r="J138" s="1" t="s">
        <v>26686</v>
      </c>
      <c r="K138" t="s">
        <v>26851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27559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25642</v>
      </c>
      <c r="G139" t="s">
        <v>27592</v>
      </c>
      <c r="H139">
        <v>351</v>
      </c>
      <c r="I139" t="s">
        <v>54</v>
      </c>
      <c r="J139" s="1" t="s">
        <v>26686</v>
      </c>
      <c r="K139" t="s">
        <v>26851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27560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25642</v>
      </c>
      <c r="G140" t="s">
        <v>27592</v>
      </c>
      <c r="H140">
        <v>351</v>
      </c>
      <c r="I140" t="s">
        <v>54</v>
      </c>
      <c r="J140" s="1" t="s">
        <v>26686</v>
      </c>
      <c r="K140" t="s">
        <v>26851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27561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25642</v>
      </c>
      <c r="G141" t="s">
        <v>27593</v>
      </c>
      <c r="H141">
        <v>218</v>
      </c>
      <c r="I141" s="1" t="s">
        <v>210</v>
      </c>
      <c r="J141" s="1" t="s">
        <v>26686</v>
      </c>
      <c r="K141" t="s">
        <v>27438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25642</v>
      </c>
      <c r="G142" t="s">
        <v>27593</v>
      </c>
      <c r="H142">
        <v>218</v>
      </c>
      <c r="I142" s="1" t="s">
        <v>210</v>
      </c>
      <c r="J142" s="1" t="s">
        <v>26686</v>
      </c>
      <c r="K142" t="s">
        <v>27438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25642</v>
      </c>
      <c r="G143" t="s">
        <v>27593</v>
      </c>
      <c r="H143">
        <v>218</v>
      </c>
      <c r="I143" s="1" t="s">
        <v>210</v>
      </c>
      <c r="J143" s="1" t="s">
        <v>26686</v>
      </c>
      <c r="K143" t="s">
        <v>27438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25722</v>
      </c>
      <c r="F144" t="s">
        <v>25642</v>
      </c>
      <c r="G144" t="s">
        <v>27594</v>
      </c>
      <c r="H144">
        <v>3</v>
      </c>
      <c r="I144" s="1" t="s">
        <v>28</v>
      </c>
      <c r="J144" s="1" t="s">
        <v>26686</v>
      </c>
      <c r="K144" t="s">
        <v>26849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25722</v>
      </c>
      <c r="F145" t="s">
        <v>25642</v>
      </c>
      <c r="G145" t="s">
        <v>27594</v>
      </c>
      <c r="H145">
        <v>3</v>
      </c>
      <c r="I145" s="1" t="s">
        <v>28</v>
      </c>
      <c r="J145" s="1" t="s">
        <v>26686</v>
      </c>
      <c r="K145" t="s">
        <v>26849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25722</v>
      </c>
      <c r="F146" t="s">
        <v>25642</v>
      </c>
      <c r="G146" t="s">
        <v>27594</v>
      </c>
      <c r="H146">
        <v>3</v>
      </c>
      <c r="I146" s="1" t="s">
        <v>28</v>
      </c>
      <c r="J146" s="1" t="s">
        <v>26686</v>
      </c>
      <c r="K146" t="s">
        <v>26849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25722</v>
      </c>
      <c r="F147" t="s">
        <v>25642</v>
      </c>
      <c r="G147" t="s">
        <v>27595</v>
      </c>
      <c r="H147">
        <v>16</v>
      </c>
      <c r="I147" s="1" t="s">
        <v>28</v>
      </c>
      <c r="J147" s="1" t="s">
        <v>26686</v>
      </c>
      <c r="K147" t="s">
        <v>27447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25722</v>
      </c>
      <c r="F148" t="s">
        <v>25642</v>
      </c>
      <c r="G148" t="s">
        <v>27595</v>
      </c>
      <c r="H148">
        <v>16</v>
      </c>
      <c r="I148" t="s">
        <v>28</v>
      </c>
      <c r="J148" s="1" t="s">
        <v>26686</v>
      </c>
      <c r="K148" t="s">
        <v>27447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25722</v>
      </c>
      <c r="F149" t="s">
        <v>25642</v>
      </c>
      <c r="G149" t="s">
        <v>27595</v>
      </c>
      <c r="H149">
        <v>16</v>
      </c>
      <c r="I149" t="s">
        <v>28</v>
      </c>
      <c r="J149" s="1" t="s">
        <v>26686</v>
      </c>
      <c r="K149" t="s">
        <v>27447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25721</v>
      </c>
      <c r="F150" t="s">
        <v>25642</v>
      </c>
      <c r="G150" t="s">
        <v>25611</v>
      </c>
      <c r="H150">
        <v>42</v>
      </c>
      <c r="I150" t="s">
        <v>35</v>
      </c>
      <c r="J150" s="1" t="s">
        <v>91</v>
      </c>
      <c r="K150" t="s">
        <v>27448</v>
      </c>
      <c r="L150" s="36">
        <v>57</v>
      </c>
      <c r="M150" t="s">
        <v>26700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27562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25721</v>
      </c>
      <c r="F151" t="s">
        <v>25642</v>
      </c>
      <c r="G151" t="s">
        <v>25611</v>
      </c>
      <c r="H151">
        <v>42</v>
      </c>
      <c r="I151" t="s">
        <v>35</v>
      </c>
      <c r="J151" s="1" t="s">
        <v>91</v>
      </c>
      <c r="K151" t="s">
        <v>27448</v>
      </c>
      <c r="L151" s="36">
        <v>59</v>
      </c>
      <c r="M151" t="s">
        <v>26700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27563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25721</v>
      </c>
      <c r="F152" t="s">
        <v>25642</v>
      </c>
      <c r="G152" t="s">
        <v>25611</v>
      </c>
      <c r="H152">
        <v>42</v>
      </c>
      <c r="I152" t="s">
        <v>35</v>
      </c>
      <c r="J152" s="1" t="s">
        <v>91</v>
      </c>
      <c r="K152" t="s">
        <v>27448</v>
      </c>
      <c r="L152" s="36">
        <v>61</v>
      </c>
      <c r="M152" t="s">
        <v>26700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27564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25721</v>
      </c>
      <c r="F153" t="s">
        <v>25642</v>
      </c>
      <c r="G153" t="s">
        <v>25611</v>
      </c>
      <c r="H153">
        <v>66</v>
      </c>
      <c r="I153" t="s">
        <v>26</v>
      </c>
      <c r="J153" s="1" t="s">
        <v>91</v>
      </c>
      <c r="K153" t="s">
        <v>27448</v>
      </c>
      <c r="L153" s="36">
        <v>57</v>
      </c>
      <c r="M153" t="s">
        <v>26700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27565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25721</v>
      </c>
      <c r="F154" t="s">
        <v>25642</v>
      </c>
      <c r="G154" t="s">
        <v>25611</v>
      </c>
      <c r="H154">
        <v>66</v>
      </c>
      <c r="I154" t="s">
        <v>26</v>
      </c>
      <c r="J154" s="1" t="s">
        <v>91</v>
      </c>
      <c r="K154" t="s">
        <v>27448</v>
      </c>
      <c r="L154" s="36">
        <v>59</v>
      </c>
      <c r="M154" t="s">
        <v>26700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27566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25721</v>
      </c>
      <c r="F155" t="s">
        <v>25642</v>
      </c>
      <c r="G155" t="s">
        <v>25611</v>
      </c>
      <c r="H155">
        <v>66</v>
      </c>
      <c r="I155" t="s">
        <v>26</v>
      </c>
      <c r="J155" s="1" t="s">
        <v>91</v>
      </c>
      <c r="K155" t="s">
        <v>27448</v>
      </c>
      <c r="L155" s="36">
        <v>61</v>
      </c>
      <c r="M155" t="s">
        <v>26700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27567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25721</v>
      </c>
      <c r="F156" t="s">
        <v>25642</v>
      </c>
      <c r="G156" t="s">
        <v>25634</v>
      </c>
      <c r="H156">
        <v>1</v>
      </c>
      <c r="I156" t="s">
        <v>1</v>
      </c>
      <c r="J156" s="1" t="s">
        <v>91</v>
      </c>
      <c r="K156" t="s">
        <v>27438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27568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25721</v>
      </c>
      <c r="F157" t="s">
        <v>25642</v>
      </c>
      <c r="G157" t="s">
        <v>25634</v>
      </c>
      <c r="H157">
        <v>1</v>
      </c>
      <c r="I157" t="s">
        <v>1</v>
      </c>
      <c r="J157" s="1" t="s">
        <v>91</v>
      </c>
      <c r="K157" t="s">
        <v>27438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27569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25721</v>
      </c>
      <c r="F158" t="s">
        <v>25642</v>
      </c>
      <c r="G158" t="s">
        <v>25634</v>
      </c>
      <c r="H158">
        <v>1</v>
      </c>
      <c r="I158" t="s">
        <v>1</v>
      </c>
      <c r="J158" s="1" t="s">
        <v>91</v>
      </c>
      <c r="K158" t="s">
        <v>27438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27570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25721</v>
      </c>
      <c r="F159" t="s">
        <v>25642</v>
      </c>
      <c r="G159" t="s">
        <v>25634</v>
      </c>
      <c r="H159">
        <v>67</v>
      </c>
      <c r="I159" s="1" t="s">
        <v>22</v>
      </c>
      <c r="J159" s="1" t="s">
        <v>91</v>
      </c>
      <c r="K159" t="s">
        <v>27438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27571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25721</v>
      </c>
      <c r="F160" t="s">
        <v>25642</v>
      </c>
      <c r="G160" t="s">
        <v>25634</v>
      </c>
      <c r="H160">
        <v>67</v>
      </c>
      <c r="I160" s="1" t="s">
        <v>22</v>
      </c>
      <c r="J160" s="1" t="s">
        <v>91</v>
      </c>
      <c r="K160" t="s">
        <v>27438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27572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25721</v>
      </c>
      <c r="F161" t="s">
        <v>25642</v>
      </c>
      <c r="G161" t="s">
        <v>25634</v>
      </c>
      <c r="H161">
        <v>67</v>
      </c>
      <c r="I161" s="1" t="s">
        <v>22</v>
      </c>
      <c r="J161" s="1" t="s">
        <v>91</v>
      </c>
      <c r="K161" t="s">
        <v>27438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27573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25721</v>
      </c>
      <c r="F162" t="s">
        <v>25642</v>
      </c>
      <c r="G162" t="s">
        <v>25634</v>
      </c>
      <c r="H162">
        <v>67</v>
      </c>
      <c r="I162" s="1" t="s">
        <v>22</v>
      </c>
      <c r="J162" s="1" t="s">
        <v>91</v>
      </c>
      <c r="K162" s="1" t="s">
        <v>27438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27574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25721</v>
      </c>
      <c r="F163" t="s">
        <v>25642</v>
      </c>
      <c r="G163" t="s">
        <v>27596</v>
      </c>
      <c r="H163">
        <v>66</v>
      </c>
      <c r="I163" s="1" t="s">
        <v>215</v>
      </c>
      <c r="J163" s="1" t="s">
        <v>91</v>
      </c>
      <c r="K163" t="s">
        <v>27438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25721</v>
      </c>
      <c r="F164" t="s">
        <v>25642</v>
      </c>
      <c r="G164" t="s">
        <v>27596</v>
      </c>
      <c r="H164">
        <v>66</v>
      </c>
      <c r="I164" t="s">
        <v>215</v>
      </c>
      <c r="J164" s="1" t="s">
        <v>91</v>
      </c>
      <c r="K164" t="s">
        <v>27438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25721</v>
      </c>
      <c r="F165" t="s">
        <v>25642</v>
      </c>
      <c r="G165" t="s">
        <v>27596</v>
      </c>
      <c r="H165">
        <v>66</v>
      </c>
      <c r="I165" t="s">
        <v>215</v>
      </c>
      <c r="J165" s="1" t="s">
        <v>91</v>
      </c>
      <c r="K165" t="s">
        <v>27438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25721</v>
      </c>
      <c r="F166" t="s">
        <v>25642</v>
      </c>
      <c r="G166" t="s">
        <v>27596</v>
      </c>
      <c r="H166">
        <v>66</v>
      </c>
      <c r="I166" t="s">
        <v>215</v>
      </c>
      <c r="J166" s="1" t="s">
        <v>91</v>
      </c>
      <c r="K166" t="s">
        <v>27438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25718</v>
      </c>
      <c r="F167" t="s">
        <v>25642</v>
      </c>
      <c r="G167" t="s">
        <v>25629</v>
      </c>
      <c r="H167">
        <v>1</v>
      </c>
      <c r="I167" t="s">
        <v>1</v>
      </c>
      <c r="J167" s="1" t="s">
        <v>26686</v>
      </c>
      <c r="K167" t="s">
        <v>26850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27598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25718</v>
      </c>
      <c r="F168" t="s">
        <v>25642</v>
      </c>
      <c r="G168" t="s">
        <v>25629</v>
      </c>
      <c r="H168">
        <v>1</v>
      </c>
      <c r="I168" t="s">
        <v>1</v>
      </c>
      <c r="J168" s="1" t="s">
        <v>26686</v>
      </c>
      <c r="K168" t="s">
        <v>26850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27597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25718</v>
      </c>
      <c r="F169" t="s">
        <v>25642</v>
      </c>
      <c r="G169" t="s">
        <v>25629</v>
      </c>
      <c r="H169">
        <v>1</v>
      </c>
      <c r="I169" t="s">
        <v>1</v>
      </c>
      <c r="J169" s="1" t="s">
        <v>26686</v>
      </c>
      <c r="K169" t="s">
        <v>26850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27599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25718</v>
      </c>
      <c r="F170" t="s">
        <v>25642</v>
      </c>
      <c r="G170" t="s">
        <v>25629</v>
      </c>
      <c r="H170">
        <v>6</v>
      </c>
      <c r="I170" t="s">
        <v>22</v>
      </c>
      <c r="J170" s="1" t="s">
        <v>26686</v>
      </c>
      <c r="K170" t="s">
        <v>26850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27600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25718</v>
      </c>
      <c r="F171" t="s">
        <v>25642</v>
      </c>
      <c r="G171" t="s">
        <v>25629</v>
      </c>
      <c r="H171">
        <v>6</v>
      </c>
      <c r="I171" t="s">
        <v>22</v>
      </c>
      <c r="J171" s="1" t="s">
        <v>26686</v>
      </c>
      <c r="K171" t="s">
        <v>26850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27601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25718</v>
      </c>
      <c r="F172" t="s">
        <v>25642</v>
      </c>
      <c r="G172" t="s">
        <v>25629</v>
      </c>
      <c r="H172">
        <v>6</v>
      </c>
      <c r="I172" t="s">
        <v>22</v>
      </c>
      <c r="J172" s="1" t="s">
        <v>26686</v>
      </c>
      <c r="K172" t="s">
        <v>26850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27602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T401"/>
  <sheetViews>
    <sheetView topLeftCell="D1" workbookViewId="0">
      <pane ySplit="1" topLeftCell="A2" activePane="bottomLeft" state="frozen"/>
      <selection activeCell="C1" sqref="C1"/>
      <selection pane="bottomLeft" activeCell="A3938" sqref="A3938:R396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" customWidth="1"/>
    <col min="19" max="19" width="5" style="129" customWidth="1"/>
    <col min="20" max="20" width="5" style="112" customWidth="1"/>
    <col min="21" max="16384" width="10.42578125" style="102"/>
  </cols>
  <sheetData>
    <row r="1" spans="1:20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27620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28701</v>
      </c>
      <c r="P1" t="s">
        <v>28702</v>
      </c>
      <c r="Q1" t="s">
        <v>2</v>
      </c>
      <c r="R1" t="s">
        <v>249</v>
      </c>
      <c r="S1" s="129" t="s">
        <v>3</v>
      </c>
      <c r="T1" s="112" t="s">
        <v>245</v>
      </c>
    </row>
    <row r="2" spans="1:20" x14ac:dyDescent="0.2">
      <c r="A2" s="102" t="s">
        <v>7857</v>
      </c>
      <c r="B2" s="102" t="s">
        <v>25615</v>
      </c>
      <c r="C2" s="102" t="s">
        <v>8</v>
      </c>
      <c r="D2" s="102" t="s">
        <v>21</v>
      </c>
      <c r="E2" s="102" t="s">
        <v>25711</v>
      </c>
      <c r="F2" s="102" t="s">
        <v>91</v>
      </c>
      <c r="G2" s="102" t="s">
        <v>28588</v>
      </c>
      <c r="H2" s="102" t="s">
        <v>28442</v>
      </c>
      <c r="I2" s="102" t="s">
        <v>1</v>
      </c>
      <c r="J2" s="102" t="s">
        <v>28589</v>
      </c>
      <c r="K2" s="102" t="s">
        <v>25722</v>
      </c>
      <c r="L2" s="102" t="s">
        <v>25642</v>
      </c>
      <c r="M2" s="102" t="s">
        <v>12</v>
      </c>
      <c r="N2" s="102">
        <v>2053.35</v>
      </c>
      <c r="R2" t="str">
        <f>A2&amp;"-"&amp;S2</f>
        <v>21-267-09-57</v>
      </c>
      <c r="S2" s="129" t="s">
        <v>28390</v>
      </c>
      <c r="T2" s="112">
        <v>7</v>
      </c>
    </row>
    <row r="3" spans="1:20" x14ac:dyDescent="0.2">
      <c r="A3" s="102" t="s">
        <v>7857</v>
      </c>
      <c r="B3" s="102" t="s">
        <v>25615</v>
      </c>
      <c r="C3" s="102" t="s">
        <v>8</v>
      </c>
      <c r="D3" s="102" t="s">
        <v>21</v>
      </c>
      <c r="E3" s="102" t="s">
        <v>25711</v>
      </c>
      <c r="F3" s="102" t="s">
        <v>91</v>
      </c>
      <c r="G3" s="102" t="s">
        <v>28588</v>
      </c>
      <c r="H3" s="102" t="s">
        <v>28442</v>
      </c>
      <c r="I3" s="102" t="s">
        <v>1</v>
      </c>
      <c r="J3" s="102" t="s">
        <v>28589</v>
      </c>
      <c r="K3" s="102" t="s">
        <v>25722</v>
      </c>
      <c r="L3" s="102" t="s">
        <v>25642</v>
      </c>
      <c r="M3" s="102" t="s">
        <v>12</v>
      </c>
      <c r="N3" s="102">
        <v>2053.35</v>
      </c>
      <c r="R3" t="str">
        <f>A3&amp;"-"&amp;S3</f>
        <v>21-267-09-59</v>
      </c>
      <c r="S3" s="129" t="s">
        <v>28386</v>
      </c>
      <c r="T3" s="112">
        <v>9</v>
      </c>
    </row>
    <row r="4" spans="1:20" x14ac:dyDescent="0.2">
      <c r="A4" s="102" t="s">
        <v>7857</v>
      </c>
      <c r="B4" s="102" t="s">
        <v>25615</v>
      </c>
      <c r="C4" s="102" t="s">
        <v>8</v>
      </c>
      <c r="D4" s="102" t="s">
        <v>21</v>
      </c>
      <c r="E4" s="102" t="s">
        <v>25711</v>
      </c>
      <c r="F4" s="102" t="s">
        <v>91</v>
      </c>
      <c r="G4" s="102" t="s">
        <v>28588</v>
      </c>
      <c r="H4" s="102" t="s">
        <v>28442</v>
      </c>
      <c r="I4" s="102" t="s">
        <v>1</v>
      </c>
      <c r="J4" s="102" t="s">
        <v>28589</v>
      </c>
      <c r="K4" s="102" t="s">
        <v>25722</v>
      </c>
      <c r="L4" s="102" t="s">
        <v>25642</v>
      </c>
      <c r="M4" s="102" t="s">
        <v>12</v>
      </c>
      <c r="N4" s="102">
        <v>2053.35</v>
      </c>
      <c r="R4" t="str">
        <f>A4&amp;"-"&amp;S4</f>
        <v>21-267-09-61</v>
      </c>
      <c r="S4" s="129" t="s">
        <v>28391</v>
      </c>
      <c r="T4" s="112">
        <v>8</v>
      </c>
    </row>
    <row r="5" spans="1:20" x14ac:dyDescent="0.2">
      <c r="A5" s="102" t="s">
        <v>7857</v>
      </c>
      <c r="B5" s="102" t="s">
        <v>25615</v>
      </c>
      <c r="C5" s="102" t="s">
        <v>8</v>
      </c>
      <c r="D5" s="102" t="s">
        <v>21</v>
      </c>
      <c r="E5" s="102" t="s">
        <v>25711</v>
      </c>
      <c r="F5" s="102" t="s">
        <v>91</v>
      </c>
      <c r="G5" s="102" t="s">
        <v>28588</v>
      </c>
      <c r="H5" s="102" t="s">
        <v>28442</v>
      </c>
      <c r="I5" s="102" t="s">
        <v>1</v>
      </c>
      <c r="J5" s="102" t="s">
        <v>28589</v>
      </c>
      <c r="K5" s="102" t="s">
        <v>25722</v>
      </c>
      <c r="L5" s="102" t="s">
        <v>25642</v>
      </c>
      <c r="M5" s="102" t="s">
        <v>12</v>
      </c>
      <c r="N5" s="102">
        <v>2053.35</v>
      </c>
      <c r="R5" t="str">
        <f>A5&amp;"-"&amp;S5</f>
        <v>21-267-09-63</v>
      </c>
      <c r="S5" s="129" t="s">
        <v>28436</v>
      </c>
      <c r="T5" s="112">
        <v>2</v>
      </c>
    </row>
    <row r="6" spans="1:20" x14ac:dyDescent="0.2">
      <c r="A6" s="102" t="s">
        <v>7855</v>
      </c>
      <c r="B6" s="102" t="s">
        <v>25615</v>
      </c>
      <c r="C6" s="102" t="s">
        <v>8</v>
      </c>
      <c r="D6" s="102" t="s">
        <v>21</v>
      </c>
      <c r="E6" s="102" t="s">
        <v>25711</v>
      </c>
      <c r="F6" s="102" t="s">
        <v>91</v>
      </c>
      <c r="G6" s="102" t="s">
        <v>28588</v>
      </c>
      <c r="H6" s="102" t="s">
        <v>28590</v>
      </c>
      <c r="I6" s="102" t="s">
        <v>25472</v>
      </c>
      <c r="J6" s="102" t="s">
        <v>28589</v>
      </c>
      <c r="K6" s="102" t="s">
        <v>25722</v>
      </c>
      <c r="L6" s="102" t="s">
        <v>25642</v>
      </c>
      <c r="M6" s="102" t="s">
        <v>12</v>
      </c>
      <c r="N6" s="102">
        <v>2053.35</v>
      </c>
      <c r="R6" t="str">
        <f t="shared" ref="R6:R14" si="0">A6&amp;"-"&amp;S6</f>
        <v>21-267-08-57</v>
      </c>
      <c r="S6" s="129" t="s">
        <v>28390</v>
      </c>
      <c r="T6" s="112">
        <v>7</v>
      </c>
    </row>
    <row r="7" spans="1:20" x14ac:dyDescent="0.2">
      <c r="A7" s="102" t="s">
        <v>7855</v>
      </c>
      <c r="B7" s="102" t="s">
        <v>25615</v>
      </c>
      <c r="C7" s="102" t="s">
        <v>8</v>
      </c>
      <c r="D7" s="102" t="s">
        <v>21</v>
      </c>
      <c r="E7" s="102" t="s">
        <v>25711</v>
      </c>
      <c r="F7" s="102" t="s">
        <v>91</v>
      </c>
      <c r="G7" s="102" t="s">
        <v>28588</v>
      </c>
      <c r="H7" s="102" t="s">
        <v>28590</v>
      </c>
      <c r="I7" s="102" t="s">
        <v>25472</v>
      </c>
      <c r="J7" s="102" t="s">
        <v>28589</v>
      </c>
      <c r="K7" s="102" t="s">
        <v>25722</v>
      </c>
      <c r="L7" s="102" t="s">
        <v>25642</v>
      </c>
      <c r="M7" s="102" t="s">
        <v>12</v>
      </c>
      <c r="N7" s="102">
        <v>2053.35</v>
      </c>
      <c r="R7" t="str">
        <f t="shared" si="0"/>
        <v>21-267-08-59</v>
      </c>
      <c r="S7" s="129" t="s">
        <v>28386</v>
      </c>
      <c r="T7" s="112">
        <v>10</v>
      </c>
    </row>
    <row r="8" spans="1:20" x14ac:dyDescent="0.2">
      <c r="A8" s="102" t="s">
        <v>7855</v>
      </c>
      <c r="B8" s="102" t="s">
        <v>25615</v>
      </c>
      <c r="C8" s="102" t="s">
        <v>8</v>
      </c>
      <c r="D8" s="102" t="s">
        <v>21</v>
      </c>
      <c r="E8" s="102" t="s">
        <v>25711</v>
      </c>
      <c r="F8" s="102" t="s">
        <v>91</v>
      </c>
      <c r="G8" s="102" t="s">
        <v>28588</v>
      </c>
      <c r="H8" s="102" t="s">
        <v>28590</v>
      </c>
      <c r="I8" s="102" t="s">
        <v>25472</v>
      </c>
      <c r="J8" s="102" t="s">
        <v>28589</v>
      </c>
      <c r="K8" s="102" t="s">
        <v>25722</v>
      </c>
      <c r="L8" s="102" t="s">
        <v>25642</v>
      </c>
      <c r="M8" s="102" t="s">
        <v>12</v>
      </c>
      <c r="N8" s="102">
        <v>2053.35</v>
      </c>
      <c r="R8" t="str">
        <f t="shared" si="0"/>
        <v>21-267-08-61</v>
      </c>
      <c r="S8" s="129" t="s">
        <v>28391</v>
      </c>
      <c r="T8" s="112">
        <v>5</v>
      </c>
    </row>
    <row r="9" spans="1:20" x14ac:dyDescent="0.2">
      <c r="A9" s="102" t="s">
        <v>7855</v>
      </c>
      <c r="B9" s="102" t="s">
        <v>25615</v>
      </c>
      <c r="C9" s="102" t="s">
        <v>8</v>
      </c>
      <c r="D9" s="102" t="s">
        <v>21</v>
      </c>
      <c r="E9" s="102" t="s">
        <v>25711</v>
      </c>
      <c r="F9" s="102" t="s">
        <v>91</v>
      </c>
      <c r="G9" s="102" t="s">
        <v>28588</v>
      </c>
      <c r="H9" s="102" t="s">
        <v>28590</v>
      </c>
      <c r="I9" s="102" t="s">
        <v>25472</v>
      </c>
      <c r="J9" s="102" t="s">
        <v>28589</v>
      </c>
      <c r="K9" s="102" t="s">
        <v>25722</v>
      </c>
      <c r="L9" s="102" t="s">
        <v>25642</v>
      </c>
      <c r="M9" s="102" t="s">
        <v>12</v>
      </c>
      <c r="N9" s="102">
        <v>2053.35</v>
      </c>
      <c r="R9" t="str">
        <f t="shared" si="0"/>
        <v>21-267-08-63</v>
      </c>
      <c r="S9" s="129" t="s">
        <v>28436</v>
      </c>
      <c r="T9" s="112">
        <v>2</v>
      </c>
    </row>
    <row r="10" spans="1:20" x14ac:dyDescent="0.2">
      <c r="A10" s="102" t="s">
        <v>7859</v>
      </c>
      <c r="B10" s="102" t="s">
        <v>25615</v>
      </c>
      <c r="C10" s="102" t="s">
        <v>8</v>
      </c>
      <c r="D10" s="102" t="s">
        <v>21</v>
      </c>
      <c r="E10" s="102" t="s">
        <v>25711</v>
      </c>
      <c r="F10" s="102" t="s">
        <v>91</v>
      </c>
      <c r="G10" s="102" t="s">
        <v>28588</v>
      </c>
      <c r="H10" s="102" t="s">
        <v>28441</v>
      </c>
      <c r="I10" s="102" t="s">
        <v>23</v>
      </c>
      <c r="J10" s="102" t="s">
        <v>28589</v>
      </c>
      <c r="K10" s="102" t="s">
        <v>25722</v>
      </c>
      <c r="L10" s="102" t="s">
        <v>25642</v>
      </c>
      <c r="M10" s="102" t="s">
        <v>12</v>
      </c>
      <c r="N10" s="102">
        <v>2053.35</v>
      </c>
      <c r="R10" t="str">
        <f t="shared" si="0"/>
        <v>21-267-16-57</v>
      </c>
      <c r="S10" s="129" t="s">
        <v>28390</v>
      </c>
      <c r="T10" s="112">
        <v>1</v>
      </c>
    </row>
    <row r="11" spans="1:20" x14ac:dyDescent="0.2">
      <c r="A11" s="102" t="s">
        <v>7859</v>
      </c>
      <c r="B11" s="102" t="s">
        <v>25615</v>
      </c>
      <c r="C11" s="102" t="s">
        <v>8</v>
      </c>
      <c r="D11" s="102" t="s">
        <v>21</v>
      </c>
      <c r="E11" s="102" t="s">
        <v>25711</v>
      </c>
      <c r="F11" s="102" t="s">
        <v>91</v>
      </c>
      <c r="G11" s="102" t="s">
        <v>28588</v>
      </c>
      <c r="H11" s="102" t="s">
        <v>28441</v>
      </c>
      <c r="I11" s="102" t="s">
        <v>23</v>
      </c>
      <c r="J11" s="102" t="s">
        <v>28589</v>
      </c>
      <c r="K11" s="102" t="s">
        <v>25722</v>
      </c>
      <c r="L11" s="102" t="s">
        <v>25642</v>
      </c>
      <c r="M11" s="102" t="s">
        <v>12</v>
      </c>
      <c r="N11" s="102">
        <v>2053.35</v>
      </c>
      <c r="R11" t="str">
        <f t="shared" si="0"/>
        <v>21-267-16-59</v>
      </c>
      <c r="S11" s="129" t="s">
        <v>28386</v>
      </c>
      <c r="T11" s="112">
        <v>2</v>
      </c>
    </row>
    <row r="12" spans="1:20" x14ac:dyDescent="0.2">
      <c r="A12" s="102" t="s">
        <v>7859</v>
      </c>
      <c r="B12" s="102" t="s">
        <v>25615</v>
      </c>
      <c r="C12" s="102" t="s">
        <v>8</v>
      </c>
      <c r="D12" s="102" t="s">
        <v>21</v>
      </c>
      <c r="E12" s="102" t="s">
        <v>25711</v>
      </c>
      <c r="F12" s="102" t="s">
        <v>91</v>
      </c>
      <c r="G12" s="102" t="s">
        <v>28588</v>
      </c>
      <c r="H12" s="102" t="s">
        <v>28441</v>
      </c>
      <c r="I12" s="102" t="s">
        <v>23</v>
      </c>
      <c r="J12" s="102" t="s">
        <v>28589</v>
      </c>
      <c r="K12" s="102" t="s">
        <v>25722</v>
      </c>
      <c r="L12" s="102" t="s">
        <v>25642</v>
      </c>
      <c r="M12" s="102" t="s">
        <v>12</v>
      </c>
      <c r="N12" s="102">
        <v>2053.35</v>
      </c>
      <c r="R12" t="str">
        <f t="shared" si="0"/>
        <v>21-267-16-61</v>
      </c>
      <c r="S12" s="129" t="s">
        <v>28391</v>
      </c>
      <c r="T12" s="112">
        <v>3</v>
      </c>
    </row>
    <row r="13" spans="1:20" x14ac:dyDescent="0.2">
      <c r="A13" s="102" t="s">
        <v>7859</v>
      </c>
      <c r="B13" s="102" t="s">
        <v>25615</v>
      </c>
      <c r="C13" s="102" t="s">
        <v>8</v>
      </c>
      <c r="D13" s="102" t="s">
        <v>21</v>
      </c>
      <c r="E13" s="102" t="s">
        <v>25711</v>
      </c>
      <c r="F13" s="102" t="s">
        <v>91</v>
      </c>
      <c r="G13" s="102" t="s">
        <v>28588</v>
      </c>
      <c r="H13" s="102" t="s">
        <v>28441</v>
      </c>
      <c r="I13" s="102" t="s">
        <v>23</v>
      </c>
      <c r="J13" s="102" t="s">
        <v>28589</v>
      </c>
      <c r="K13" s="102" t="s">
        <v>25722</v>
      </c>
      <c r="L13" s="102" t="s">
        <v>25642</v>
      </c>
      <c r="M13" s="102" t="s">
        <v>12</v>
      </c>
      <c r="N13" s="102">
        <v>2053.35</v>
      </c>
      <c r="R13" t="str">
        <f t="shared" si="0"/>
        <v>21-267-16-63</v>
      </c>
      <c r="S13" s="129" t="s">
        <v>28436</v>
      </c>
      <c r="T13" s="112">
        <v>1</v>
      </c>
    </row>
    <row r="14" spans="1:20" x14ac:dyDescent="0.2">
      <c r="A14" s="102" t="s">
        <v>7851</v>
      </c>
      <c r="B14" s="102" t="s">
        <v>25615</v>
      </c>
      <c r="C14" s="102" t="s">
        <v>8</v>
      </c>
      <c r="D14" s="102" t="s">
        <v>21</v>
      </c>
      <c r="E14" s="102" t="s">
        <v>25711</v>
      </c>
      <c r="F14" s="102" t="s">
        <v>91</v>
      </c>
      <c r="G14" s="102" t="s">
        <v>28588</v>
      </c>
      <c r="H14" s="102" t="s">
        <v>28591</v>
      </c>
      <c r="I14" s="102" t="s">
        <v>52</v>
      </c>
      <c r="J14" s="102" t="s">
        <v>28589</v>
      </c>
      <c r="K14" s="102" t="s">
        <v>25722</v>
      </c>
      <c r="L14" s="102" t="s">
        <v>25642</v>
      </c>
      <c r="M14" s="102" t="s">
        <v>12</v>
      </c>
      <c r="N14" s="102">
        <v>2053.35</v>
      </c>
      <c r="R14" t="str">
        <f t="shared" si="0"/>
        <v>21-267-02-57</v>
      </c>
      <c r="S14" s="129" t="s">
        <v>28390</v>
      </c>
      <c r="T14" s="112">
        <v>4</v>
      </c>
    </row>
    <row r="15" spans="1:20" x14ac:dyDescent="0.2">
      <c r="A15" s="102" t="s">
        <v>6875</v>
      </c>
      <c r="B15" s="102" t="s">
        <v>25601</v>
      </c>
      <c r="C15" s="102" t="s">
        <v>31</v>
      </c>
      <c r="D15" s="102" t="s">
        <v>32</v>
      </c>
      <c r="E15" s="102" t="s">
        <v>25711</v>
      </c>
      <c r="F15" s="102" t="s">
        <v>26687</v>
      </c>
      <c r="G15" s="102" t="s">
        <v>28588</v>
      </c>
      <c r="H15" s="102" t="s">
        <v>28442</v>
      </c>
      <c r="I15" s="102" t="s">
        <v>1</v>
      </c>
      <c r="J15" s="102" t="s">
        <v>28589</v>
      </c>
      <c r="K15" s="102" t="s">
        <v>25722</v>
      </c>
      <c r="L15" s="102" t="s">
        <v>25642</v>
      </c>
      <c r="M15" s="102" t="s">
        <v>12</v>
      </c>
      <c r="N15" s="102">
        <v>1649.7000000000003</v>
      </c>
      <c r="R15" t="str">
        <f t="shared" ref="R15:R24" si="1">A15&amp;"-"&amp;S15</f>
        <v>21-018-09-55</v>
      </c>
      <c r="S15" s="129" t="s">
        <v>28313</v>
      </c>
      <c r="T15" s="112">
        <v>2</v>
      </c>
    </row>
    <row r="16" spans="1:20" x14ac:dyDescent="0.2">
      <c r="A16" s="102" t="s">
        <v>6875</v>
      </c>
      <c r="B16" s="102" t="s">
        <v>25601</v>
      </c>
      <c r="C16" s="102" t="s">
        <v>31</v>
      </c>
      <c r="D16" s="102" t="s">
        <v>32</v>
      </c>
      <c r="E16" s="102" t="s">
        <v>25711</v>
      </c>
      <c r="F16" s="102" t="s">
        <v>26687</v>
      </c>
      <c r="G16" s="102" t="s">
        <v>28588</v>
      </c>
      <c r="H16" s="102" t="s">
        <v>28442</v>
      </c>
      <c r="I16" s="102" t="s">
        <v>1</v>
      </c>
      <c r="J16" s="102" t="s">
        <v>28589</v>
      </c>
      <c r="K16" s="102" t="s">
        <v>25722</v>
      </c>
      <c r="L16" s="102" t="s">
        <v>25642</v>
      </c>
      <c r="M16" s="102" t="s">
        <v>12</v>
      </c>
      <c r="N16" s="102">
        <v>1649.7000000000003</v>
      </c>
      <c r="R16" t="str">
        <f t="shared" si="1"/>
        <v>21-018-09-57</v>
      </c>
      <c r="S16" s="129" t="s">
        <v>28390</v>
      </c>
      <c r="T16" s="112">
        <v>4</v>
      </c>
    </row>
    <row r="17" spans="1:20" x14ac:dyDescent="0.2">
      <c r="A17" s="102" t="s">
        <v>6875</v>
      </c>
      <c r="B17" s="102" t="s">
        <v>25601</v>
      </c>
      <c r="C17" s="102" t="s">
        <v>31</v>
      </c>
      <c r="D17" s="102" t="s">
        <v>32</v>
      </c>
      <c r="E17" s="102" t="s">
        <v>25711</v>
      </c>
      <c r="F17" s="102" t="s">
        <v>26687</v>
      </c>
      <c r="G17" s="102" t="s">
        <v>28588</v>
      </c>
      <c r="H17" s="102" t="s">
        <v>28442</v>
      </c>
      <c r="I17" s="102" t="s">
        <v>1</v>
      </c>
      <c r="J17" s="102" t="s">
        <v>28589</v>
      </c>
      <c r="K17" s="102" t="s">
        <v>25722</v>
      </c>
      <c r="L17" s="102" t="s">
        <v>25642</v>
      </c>
      <c r="M17" s="102" t="s">
        <v>12</v>
      </c>
      <c r="N17" s="102">
        <v>1649.7000000000003</v>
      </c>
      <c r="R17" t="str">
        <f t="shared" si="1"/>
        <v>21-018-09-59</v>
      </c>
      <c r="S17" s="129" t="s">
        <v>28386</v>
      </c>
      <c r="T17" s="112">
        <v>7</v>
      </c>
    </row>
    <row r="18" spans="1:20" x14ac:dyDescent="0.2">
      <c r="A18" s="102" t="s">
        <v>6875</v>
      </c>
      <c r="B18" s="102" t="s">
        <v>25601</v>
      </c>
      <c r="C18" s="102" t="s">
        <v>31</v>
      </c>
      <c r="D18" s="102" t="s">
        <v>32</v>
      </c>
      <c r="E18" s="102" t="s">
        <v>25711</v>
      </c>
      <c r="F18" s="102" t="s">
        <v>26687</v>
      </c>
      <c r="G18" s="102" t="s">
        <v>28588</v>
      </c>
      <c r="H18" s="102" t="s">
        <v>28442</v>
      </c>
      <c r="I18" s="102" t="s">
        <v>1</v>
      </c>
      <c r="J18" s="102" t="s">
        <v>28589</v>
      </c>
      <c r="K18" s="102" t="s">
        <v>25722</v>
      </c>
      <c r="L18" s="102" t="s">
        <v>25642</v>
      </c>
      <c r="M18" s="102" t="s">
        <v>12</v>
      </c>
      <c r="N18" s="102">
        <v>1649.7000000000003</v>
      </c>
      <c r="R18" t="str">
        <f t="shared" si="1"/>
        <v>21-018-09-63</v>
      </c>
      <c r="S18" s="129" t="s">
        <v>28436</v>
      </c>
      <c r="T18" s="112">
        <v>1</v>
      </c>
    </row>
    <row r="19" spans="1:20" x14ac:dyDescent="0.2">
      <c r="A19" s="102" t="s">
        <v>6877</v>
      </c>
      <c r="B19" s="102" t="s">
        <v>25601</v>
      </c>
      <c r="C19" s="102" t="s">
        <v>31</v>
      </c>
      <c r="D19" s="102" t="s">
        <v>32</v>
      </c>
      <c r="E19" s="102" t="s">
        <v>25711</v>
      </c>
      <c r="F19" s="102" t="s">
        <v>26687</v>
      </c>
      <c r="G19" s="102" t="s">
        <v>28588</v>
      </c>
      <c r="H19" s="102" t="s">
        <v>28590</v>
      </c>
      <c r="I19" s="102" t="s">
        <v>194</v>
      </c>
      <c r="J19" s="102" t="s">
        <v>28589</v>
      </c>
      <c r="K19" s="102" t="s">
        <v>25722</v>
      </c>
      <c r="L19" s="102" t="s">
        <v>25642</v>
      </c>
      <c r="M19" s="102" t="s">
        <v>12</v>
      </c>
      <c r="N19" s="102">
        <v>1649.7000000000003</v>
      </c>
      <c r="R19" t="str">
        <f t="shared" si="1"/>
        <v>21-018-36-55</v>
      </c>
      <c r="S19" s="129" t="s">
        <v>28313</v>
      </c>
      <c r="T19" s="112">
        <v>1</v>
      </c>
    </row>
    <row r="20" spans="1:20" x14ac:dyDescent="0.2">
      <c r="A20" s="102" t="s">
        <v>6877</v>
      </c>
      <c r="B20" s="102" t="s">
        <v>25601</v>
      </c>
      <c r="C20" s="102" t="s">
        <v>31</v>
      </c>
      <c r="D20" s="102" t="s">
        <v>32</v>
      </c>
      <c r="E20" s="102" t="s">
        <v>25711</v>
      </c>
      <c r="F20" s="102" t="s">
        <v>26687</v>
      </c>
      <c r="G20" s="102" t="s">
        <v>28588</v>
      </c>
      <c r="H20" s="102" t="s">
        <v>28590</v>
      </c>
      <c r="I20" s="102" t="s">
        <v>194</v>
      </c>
      <c r="J20" s="102" t="s">
        <v>28589</v>
      </c>
      <c r="K20" s="102" t="s">
        <v>25722</v>
      </c>
      <c r="L20" s="102" t="s">
        <v>25642</v>
      </c>
      <c r="M20" s="102" t="s">
        <v>12</v>
      </c>
      <c r="N20" s="102">
        <v>1649.7000000000003</v>
      </c>
      <c r="R20" t="str">
        <f t="shared" si="1"/>
        <v>21-018-36-57</v>
      </c>
      <c r="S20" s="129" t="s">
        <v>28390</v>
      </c>
      <c r="T20" s="112">
        <v>4</v>
      </c>
    </row>
    <row r="21" spans="1:20" x14ac:dyDescent="0.2">
      <c r="A21" s="102" t="s">
        <v>6877</v>
      </c>
      <c r="B21" s="102" t="s">
        <v>25601</v>
      </c>
      <c r="C21" s="102" t="s">
        <v>31</v>
      </c>
      <c r="D21" s="102" t="s">
        <v>32</v>
      </c>
      <c r="E21" s="102" t="s">
        <v>25711</v>
      </c>
      <c r="F21" s="102" t="s">
        <v>26687</v>
      </c>
      <c r="G21" s="102" t="s">
        <v>28588</v>
      </c>
      <c r="H21" s="102" t="s">
        <v>28590</v>
      </c>
      <c r="I21" s="102" t="s">
        <v>194</v>
      </c>
      <c r="J21" s="102" t="s">
        <v>28589</v>
      </c>
      <c r="K21" s="102" t="s">
        <v>25722</v>
      </c>
      <c r="L21" s="102" t="s">
        <v>25642</v>
      </c>
      <c r="M21" s="102" t="s">
        <v>12</v>
      </c>
      <c r="N21" s="102">
        <v>1649.7000000000003</v>
      </c>
      <c r="R21" t="str">
        <f t="shared" si="1"/>
        <v>21-018-36-59</v>
      </c>
      <c r="S21" s="129" t="s">
        <v>28386</v>
      </c>
      <c r="T21" s="112">
        <v>6</v>
      </c>
    </row>
    <row r="22" spans="1:20" x14ac:dyDescent="0.2">
      <c r="A22" s="102" t="s">
        <v>6877</v>
      </c>
      <c r="B22" s="102" t="s">
        <v>25601</v>
      </c>
      <c r="C22" s="102" t="s">
        <v>31</v>
      </c>
      <c r="D22" s="102" t="s">
        <v>32</v>
      </c>
      <c r="E22" s="102" t="s">
        <v>25711</v>
      </c>
      <c r="F22" s="102" t="s">
        <v>26687</v>
      </c>
      <c r="G22" s="102" t="s">
        <v>28588</v>
      </c>
      <c r="H22" s="102" t="s">
        <v>28590</v>
      </c>
      <c r="I22" s="102" t="s">
        <v>194</v>
      </c>
      <c r="J22" s="102" t="s">
        <v>28589</v>
      </c>
      <c r="K22" s="102" t="s">
        <v>25722</v>
      </c>
      <c r="L22" s="102" t="s">
        <v>25642</v>
      </c>
      <c r="M22" s="102" t="s">
        <v>12</v>
      </c>
      <c r="N22" s="102">
        <v>1649.7000000000003</v>
      </c>
      <c r="R22" t="str">
        <f t="shared" si="1"/>
        <v>21-018-36-61</v>
      </c>
      <c r="S22" s="129" t="s">
        <v>28391</v>
      </c>
      <c r="T22" s="112">
        <v>3</v>
      </c>
    </row>
    <row r="23" spans="1:20" x14ac:dyDescent="0.2">
      <c r="A23" s="102" t="s">
        <v>6877</v>
      </c>
      <c r="B23" s="102" t="s">
        <v>25601</v>
      </c>
      <c r="C23" s="102" t="s">
        <v>31</v>
      </c>
      <c r="D23" s="102" t="s">
        <v>32</v>
      </c>
      <c r="E23" s="102" t="s">
        <v>25711</v>
      </c>
      <c r="F23" s="102" t="s">
        <v>26687</v>
      </c>
      <c r="G23" s="102" t="s">
        <v>28588</v>
      </c>
      <c r="H23" s="102" t="s">
        <v>28590</v>
      </c>
      <c r="I23" s="102" t="s">
        <v>194</v>
      </c>
      <c r="J23" s="102" t="s">
        <v>28589</v>
      </c>
      <c r="K23" s="102" t="s">
        <v>25722</v>
      </c>
      <c r="L23" s="102" t="s">
        <v>25642</v>
      </c>
      <c r="M23" s="102" t="s">
        <v>12</v>
      </c>
      <c r="N23" s="102">
        <v>1649.7000000000003</v>
      </c>
      <c r="R23" t="str">
        <f t="shared" si="1"/>
        <v>21-018-36-63</v>
      </c>
      <c r="S23" s="129" t="s">
        <v>28436</v>
      </c>
      <c r="T23" s="112">
        <v>2</v>
      </c>
    </row>
    <row r="24" spans="1:20" x14ac:dyDescent="0.2">
      <c r="A24" s="102" t="s">
        <v>6869</v>
      </c>
      <c r="B24" s="102" t="s">
        <v>25601</v>
      </c>
      <c r="C24" s="102" t="s">
        <v>31</v>
      </c>
      <c r="D24" s="102" t="s">
        <v>32</v>
      </c>
      <c r="E24" s="102" t="s">
        <v>25711</v>
      </c>
      <c r="F24" s="102" t="s">
        <v>26687</v>
      </c>
      <c r="G24" s="102" t="s">
        <v>28588</v>
      </c>
      <c r="H24" s="102" t="s">
        <v>28591</v>
      </c>
      <c r="I24" s="102" t="s">
        <v>52</v>
      </c>
      <c r="J24" s="102" t="s">
        <v>28589</v>
      </c>
      <c r="K24" s="102" t="s">
        <v>25722</v>
      </c>
      <c r="L24" s="102" t="s">
        <v>25642</v>
      </c>
      <c r="M24" s="102" t="s">
        <v>12</v>
      </c>
      <c r="N24" s="102">
        <v>1649.7000000000003</v>
      </c>
      <c r="R24" t="str">
        <f t="shared" si="1"/>
        <v>21-018-02-59</v>
      </c>
      <c r="S24" s="129" t="s">
        <v>28386</v>
      </c>
      <c r="T24" s="112">
        <v>3</v>
      </c>
    </row>
    <row r="25" spans="1:20" x14ac:dyDescent="0.2">
      <c r="A25" s="102" t="s">
        <v>6869</v>
      </c>
      <c r="B25" s="102" t="s">
        <v>25601</v>
      </c>
      <c r="C25" s="102" t="s">
        <v>31</v>
      </c>
      <c r="D25" s="102" t="s">
        <v>32</v>
      </c>
      <c r="E25" s="102" t="s">
        <v>25711</v>
      </c>
      <c r="F25" s="102" t="s">
        <v>26687</v>
      </c>
      <c r="G25" s="102" t="s">
        <v>28588</v>
      </c>
      <c r="H25" s="102" t="s">
        <v>28591</v>
      </c>
      <c r="I25" s="102" t="s">
        <v>52</v>
      </c>
      <c r="J25" s="102" t="s">
        <v>28589</v>
      </c>
      <c r="K25" s="102" t="s">
        <v>25722</v>
      </c>
      <c r="L25" s="102" t="s">
        <v>25642</v>
      </c>
      <c r="M25" s="102" t="s">
        <v>12</v>
      </c>
      <c r="N25" s="102">
        <v>1649.7000000000003</v>
      </c>
      <c r="R25" t="str">
        <f t="shared" ref="R25:R34" si="2">A25&amp;"-"&amp;S25</f>
        <v>21-018-02-61</v>
      </c>
      <c r="S25" s="129" t="s">
        <v>28391</v>
      </c>
      <c r="T25" s="112">
        <v>3</v>
      </c>
    </row>
    <row r="26" spans="1:20" x14ac:dyDescent="0.2">
      <c r="A26" s="102" t="s">
        <v>6869</v>
      </c>
      <c r="B26" s="102" t="s">
        <v>25601</v>
      </c>
      <c r="C26" s="102" t="s">
        <v>31</v>
      </c>
      <c r="D26" s="102" t="s">
        <v>32</v>
      </c>
      <c r="E26" s="102" t="s">
        <v>25711</v>
      </c>
      <c r="F26" s="102" t="s">
        <v>26687</v>
      </c>
      <c r="G26" s="102" t="s">
        <v>28588</v>
      </c>
      <c r="H26" s="102" t="s">
        <v>28591</v>
      </c>
      <c r="I26" s="102" t="s">
        <v>52</v>
      </c>
      <c r="J26" s="102" t="s">
        <v>28589</v>
      </c>
      <c r="K26" s="102" t="s">
        <v>25722</v>
      </c>
      <c r="L26" s="102" t="s">
        <v>25642</v>
      </c>
      <c r="M26" s="102" t="s">
        <v>12</v>
      </c>
      <c r="N26" s="102">
        <v>1649.7000000000003</v>
      </c>
      <c r="R26" t="str">
        <f t="shared" si="2"/>
        <v>21-018-02-63</v>
      </c>
      <c r="S26" s="129" t="s">
        <v>28436</v>
      </c>
      <c r="T26" s="112">
        <v>2</v>
      </c>
    </row>
    <row r="27" spans="1:20" x14ac:dyDescent="0.2">
      <c r="A27" s="102" t="s">
        <v>7447</v>
      </c>
      <c r="B27" s="102" t="s">
        <v>25625</v>
      </c>
      <c r="C27" s="102" t="s">
        <v>8</v>
      </c>
      <c r="D27" s="102" t="s">
        <v>21</v>
      </c>
      <c r="E27" s="102" t="s">
        <v>25711</v>
      </c>
      <c r="F27" s="102" t="s">
        <v>26687</v>
      </c>
      <c r="G27" s="102" t="s">
        <v>28588</v>
      </c>
      <c r="H27" s="102" t="s">
        <v>28592</v>
      </c>
      <c r="I27" s="102" t="s">
        <v>58</v>
      </c>
      <c r="J27" s="102" t="s">
        <v>25789</v>
      </c>
      <c r="K27" s="102" t="s">
        <v>25720</v>
      </c>
      <c r="L27" s="102" t="s">
        <v>25642</v>
      </c>
      <c r="M27" s="102" t="s">
        <v>26700</v>
      </c>
      <c r="N27" s="102">
        <v>6066.45</v>
      </c>
      <c r="R27" t="str">
        <f t="shared" si="2"/>
        <v>21-133-03-57</v>
      </c>
      <c r="S27" s="129" t="s">
        <v>28390</v>
      </c>
      <c r="T27" s="112">
        <v>1</v>
      </c>
    </row>
    <row r="28" spans="1:20" x14ac:dyDescent="0.2">
      <c r="A28" s="102" t="s">
        <v>7447</v>
      </c>
      <c r="B28" s="102" t="s">
        <v>25625</v>
      </c>
      <c r="C28" s="102" t="s">
        <v>8</v>
      </c>
      <c r="D28" s="102" t="s">
        <v>21</v>
      </c>
      <c r="E28" s="102" t="s">
        <v>25711</v>
      </c>
      <c r="F28" s="102" t="s">
        <v>26687</v>
      </c>
      <c r="G28" s="102" t="s">
        <v>28588</v>
      </c>
      <c r="H28" s="102" t="s">
        <v>28592</v>
      </c>
      <c r="I28" s="102" t="s">
        <v>58</v>
      </c>
      <c r="J28" s="102" t="s">
        <v>25789</v>
      </c>
      <c r="K28" s="102" t="s">
        <v>25720</v>
      </c>
      <c r="L28" s="102" t="s">
        <v>25642</v>
      </c>
      <c r="M28" s="102" t="s">
        <v>26700</v>
      </c>
      <c r="N28" s="102">
        <v>6066.45</v>
      </c>
      <c r="R28" t="str">
        <f t="shared" si="2"/>
        <v>21-133-03-59</v>
      </c>
      <c r="S28" s="129" t="s">
        <v>28386</v>
      </c>
      <c r="T28" s="112">
        <v>2</v>
      </c>
    </row>
    <row r="29" spans="1:20" x14ac:dyDescent="0.2">
      <c r="A29" s="102" t="s">
        <v>7447</v>
      </c>
      <c r="B29" s="102" t="s">
        <v>25625</v>
      </c>
      <c r="C29" s="102" t="s">
        <v>8</v>
      </c>
      <c r="D29" s="102" t="s">
        <v>21</v>
      </c>
      <c r="E29" s="102" t="s">
        <v>25711</v>
      </c>
      <c r="F29" s="102" t="s">
        <v>26687</v>
      </c>
      <c r="G29" s="102" t="s">
        <v>28588</v>
      </c>
      <c r="H29" s="102" t="s">
        <v>28592</v>
      </c>
      <c r="I29" s="102" t="s">
        <v>58</v>
      </c>
      <c r="J29" s="102" t="s">
        <v>25789</v>
      </c>
      <c r="K29" s="102" t="s">
        <v>25720</v>
      </c>
      <c r="L29" s="102" t="s">
        <v>25642</v>
      </c>
      <c r="M29" s="102" t="s">
        <v>26700</v>
      </c>
      <c r="N29" s="102">
        <v>6066.45</v>
      </c>
      <c r="R29" t="str">
        <f t="shared" si="2"/>
        <v>21-133-03-61</v>
      </c>
      <c r="S29" s="129" t="s">
        <v>28391</v>
      </c>
      <c r="T29" s="112">
        <v>1</v>
      </c>
    </row>
    <row r="30" spans="1:20" x14ac:dyDescent="0.2">
      <c r="A30" s="102" t="s">
        <v>7653</v>
      </c>
      <c r="B30" s="102" t="s">
        <v>25589</v>
      </c>
      <c r="C30" s="102" t="s">
        <v>8</v>
      </c>
      <c r="D30" s="102" t="s">
        <v>21</v>
      </c>
      <c r="E30" s="102" t="s">
        <v>25711</v>
      </c>
      <c r="F30" s="102" t="s">
        <v>26687</v>
      </c>
      <c r="G30" s="102" t="s">
        <v>28588</v>
      </c>
      <c r="H30" s="102" t="s">
        <v>28593</v>
      </c>
      <c r="I30" s="102" t="s">
        <v>27</v>
      </c>
      <c r="J30" s="102" t="s">
        <v>25789</v>
      </c>
      <c r="K30" s="102" t="s">
        <v>25720</v>
      </c>
      <c r="L30" s="102" t="s">
        <v>25642</v>
      </c>
      <c r="M30" s="102" t="s">
        <v>26700</v>
      </c>
      <c r="N30" s="102">
        <v>6002.0999999999995</v>
      </c>
      <c r="R30" t="str">
        <f t="shared" si="2"/>
        <v>21-209-06-55</v>
      </c>
      <c r="S30" s="129" t="s">
        <v>28313</v>
      </c>
      <c r="T30" s="112">
        <v>1</v>
      </c>
    </row>
    <row r="31" spans="1:20" x14ac:dyDescent="0.2">
      <c r="A31" s="102" t="s">
        <v>7653</v>
      </c>
      <c r="B31" s="102" t="s">
        <v>25589</v>
      </c>
      <c r="C31" s="102" t="s">
        <v>8</v>
      </c>
      <c r="D31" s="102" t="s">
        <v>21</v>
      </c>
      <c r="E31" s="102" t="s">
        <v>25711</v>
      </c>
      <c r="F31" s="102" t="s">
        <v>26687</v>
      </c>
      <c r="G31" s="102" t="s">
        <v>28588</v>
      </c>
      <c r="H31" s="102" t="s">
        <v>28593</v>
      </c>
      <c r="I31" s="102" t="s">
        <v>27</v>
      </c>
      <c r="J31" s="102" t="s">
        <v>25789</v>
      </c>
      <c r="K31" s="102" t="s">
        <v>25720</v>
      </c>
      <c r="L31" s="102" t="s">
        <v>25642</v>
      </c>
      <c r="M31" s="102" t="s">
        <v>26700</v>
      </c>
      <c r="N31" s="102">
        <v>6002.0999999999995</v>
      </c>
      <c r="R31" t="str">
        <f t="shared" si="2"/>
        <v>21-209-06-57</v>
      </c>
      <c r="S31" s="129" t="s">
        <v>28390</v>
      </c>
      <c r="T31" s="112">
        <v>3</v>
      </c>
    </row>
    <row r="32" spans="1:20" x14ac:dyDescent="0.2">
      <c r="A32" s="102" t="s">
        <v>7653</v>
      </c>
      <c r="B32" s="102" t="s">
        <v>25589</v>
      </c>
      <c r="C32" s="102" t="s">
        <v>8</v>
      </c>
      <c r="D32" s="102" t="s">
        <v>21</v>
      </c>
      <c r="E32" s="102" t="s">
        <v>25711</v>
      </c>
      <c r="F32" s="102" t="s">
        <v>26687</v>
      </c>
      <c r="G32" s="102" t="s">
        <v>28588</v>
      </c>
      <c r="H32" s="102" t="s">
        <v>28593</v>
      </c>
      <c r="I32" s="102" t="s">
        <v>27</v>
      </c>
      <c r="J32" s="102" t="s">
        <v>25789</v>
      </c>
      <c r="K32" s="102" t="s">
        <v>25720</v>
      </c>
      <c r="L32" s="102" t="s">
        <v>25642</v>
      </c>
      <c r="M32" s="102" t="s">
        <v>26700</v>
      </c>
      <c r="N32" s="102">
        <v>6002.0999999999995</v>
      </c>
      <c r="R32" t="str">
        <f t="shared" si="2"/>
        <v>21-209-06-59</v>
      </c>
      <c r="S32" s="129" t="s">
        <v>28386</v>
      </c>
      <c r="T32" s="112">
        <v>4</v>
      </c>
    </row>
    <row r="33" spans="1:20" x14ac:dyDescent="0.2">
      <c r="A33" s="102" t="s">
        <v>7653</v>
      </c>
      <c r="B33" s="102" t="s">
        <v>25589</v>
      </c>
      <c r="C33" s="102" t="s">
        <v>8</v>
      </c>
      <c r="D33" s="102" t="s">
        <v>21</v>
      </c>
      <c r="E33" s="102" t="s">
        <v>25711</v>
      </c>
      <c r="F33" s="102" t="s">
        <v>26687</v>
      </c>
      <c r="G33" s="102" t="s">
        <v>28588</v>
      </c>
      <c r="H33" s="102" t="s">
        <v>28593</v>
      </c>
      <c r="I33" s="102" t="s">
        <v>27</v>
      </c>
      <c r="J33" s="102" t="s">
        <v>25789</v>
      </c>
      <c r="K33" s="102" t="s">
        <v>25720</v>
      </c>
      <c r="L33" s="102" t="s">
        <v>25642</v>
      </c>
      <c r="M33" s="102" t="s">
        <v>26700</v>
      </c>
      <c r="N33" s="102">
        <v>6002.0999999999995</v>
      </c>
      <c r="R33" t="str">
        <f t="shared" si="2"/>
        <v>21-209-06-61</v>
      </c>
      <c r="S33" s="129" t="s">
        <v>28391</v>
      </c>
      <c r="T33" s="112">
        <v>3</v>
      </c>
    </row>
    <row r="34" spans="1:20" x14ac:dyDescent="0.2">
      <c r="A34" s="102" t="s">
        <v>7653</v>
      </c>
      <c r="B34" s="102" t="s">
        <v>25589</v>
      </c>
      <c r="C34" s="102" t="s">
        <v>8</v>
      </c>
      <c r="D34" s="102" t="s">
        <v>21</v>
      </c>
      <c r="E34" s="102" t="s">
        <v>25711</v>
      </c>
      <c r="F34" s="102" t="s">
        <v>26687</v>
      </c>
      <c r="G34" s="102" t="s">
        <v>28588</v>
      </c>
      <c r="H34" s="102" t="s">
        <v>28593</v>
      </c>
      <c r="I34" s="102" t="s">
        <v>27</v>
      </c>
      <c r="J34" s="102" t="s">
        <v>25789</v>
      </c>
      <c r="K34" s="102" t="s">
        <v>25720</v>
      </c>
      <c r="L34" s="102" t="s">
        <v>25642</v>
      </c>
      <c r="M34" s="102" t="s">
        <v>26700</v>
      </c>
      <c r="N34" s="102">
        <v>6002.0999999999995</v>
      </c>
      <c r="R34" t="str">
        <f t="shared" si="2"/>
        <v>21-209-06-63</v>
      </c>
      <c r="S34" s="129" t="s">
        <v>28436</v>
      </c>
      <c r="T34" s="112">
        <v>1</v>
      </c>
    </row>
    <row r="35" spans="1:20" x14ac:dyDescent="0.2">
      <c r="A35" s="102" t="s">
        <v>7655</v>
      </c>
      <c r="B35" s="102" t="s">
        <v>25589</v>
      </c>
      <c r="C35" s="102" t="s">
        <v>8</v>
      </c>
      <c r="D35" s="102" t="s">
        <v>21</v>
      </c>
      <c r="E35" s="102" t="s">
        <v>25711</v>
      </c>
      <c r="F35" s="102" t="s">
        <v>26687</v>
      </c>
      <c r="G35" s="102" t="s">
        <v>28588</v>
      </c>
      <c r="H35" s="102" t="s">
        <v>28594</v>
      </c>
      <c r="I35" s="102" t="s">
        <v>54</v>
      </c>
      <c r="J35" s="102" t="s">
        <v>25775</v>
      </c>
      <c r="K35" s="102" t="s">
        <v>25720</v>
      </c>
      <c r="L35" s="102" t="s">
        <v>25642</v>
      </c>
      <c r="M35" s="102" t="s">
        <v>26700</v>
      </c>
      <c r="N35" s="102">
        <v>6002.0999999999995</v>
      </c>
      <c r="R35" t="str">
        <f t="shared" ref="R35:R45" si="3">A35&amp;"-"&amp;S35</f>
        <v>21-209-11-57</v>
      </c>
      <c r="S35" s="129" t="s">
        <v>28390</v>
      </c>
      <c r="T35" s="112">
        <v>2</v>
      </c>
    </row>
    <row r="36" spans="1:20" x14ac:dyDescent="0.2">
      <c r="A36" s="102" t="s">
        <v>7655</v>
      </c>
      <c r="B36" s="102" t="s">
        <v>25589</v>
      </c>
      <c r="C36" s="102" t="s">
        <v>8</v>
      </c>
      <c r="D36" s="102" t="s">
        <v>21</v>
      </c>
      <c r="E36" s="102" t="s">
        <v>25711</v>
      </c>
      <c r="F36" s="102" t="s">
        <v>26687</v>
      </c>
      <c r="G36" s="102" t="s">
        <v>28588</v>
      </c>
      <c r="H36" s="102" t="s">
        <v>28594</v>
      </c>
      <c r="I36" s="102" t="s">
        <v>54</v>
      </c>
      <c r="J36" s="102" t="s">
        <v>25775</v>
      </c>
      <c r="K36" s="102" t="s">
        <v>25720</v>
      </c>
      <c r="L36" s="102" t="s">
        <v>25642</v>
      </c>
      <c r="M36" s="102" t="s">
        <v>26700</v>
      </c>
      <c r="N36" s="102">
        <v>6002.0999999999995</v>
      </c>
      <c r="R36" t="str">
        <f t="shared" si="3"/>
        <v>21-209-11-59</v>
      </c>
      <c r="S36" s="129" t="s">
        <v>28386</v>
      </c>
      <c r="T36" s="112">
        <v>4</v>
      </c>
    </row>
    <row r="37" spans="1:20" x14ac:dyDescent="0.2">
      <c r="A37" s="102" t="s">
        <v>7655</v>
      </c>
      <c r="B37" s="102" t="s">
        <v>25589</v>
      </c>
      <c r="C37" s="102" t="s">
        <v>8</v>
      </c>
      <c r="D37" s="102" t="s">
        <v>21</v>
      </c>
      <c r="E37" s="102" t="s">
        <v>25711</v>
      </c>
      <c r="F37" s="102" t="s">
        <v>26687</v>
      </c>
      <c r="G37" s="102" t="s">
        <v>28588</v>
      </c>
      <c r="H37" s="102" t="s">
        <v>28594</v>
      </c>
      <c r="I37" s="102" t="s">
        <v>54</v>
      </c>
      <c r="J37" s="102" t="s">
        <v>25775</v>
      </c>
      <c r="K37" s="102" t="s">
        <v>25720</v>
      </c>
      <c r="L37" s="102" t="s">
        <v>25642</v>
      </c>
      <c r="M37" s="102" t="s">
        <v>26700</v>
      </c>
      <c r="N37" s="102">
        <v>6002.0999999999995</v>
      </c>
      <c r="R37" t="str">
        <f t="shared" si="3"/>
        <v>21-209-11-61</v>
      </c>
      <c r="S37" s="129" t="s">
        <v>28391</v>
      </c>
      <c r="T37" s="112">
        <v>2</v>
      </c>
    </row>
    <row r="38" spans="1:20" x14ac:dyDescent="0.2">
      <c r="A38" s="102" t="s">
        <v>7661</v>
      </c>
      <c r="B38" s="102" t="s">
        <v>25589</v>
      </c>
      <c r="C38" s="102" t="s">
        <v>8</v>
      </c>
      <c r="D38" s="102" t="s">
        <v>21</v>
      </c>
      <c r="E38" s="102" t="s">
        <v>25711</v>
      </c>
      <c r="F38" s="102" t="s">
        <v>26687</v>
      </c>
      <c r="G38" s="102" t="s">
        <v>28588</v>
      </c>
      <c r="H38" s="102" t="s">
        <v>28595</v>
      </c>
      <c r="I38" s="102" t="s">
        <v>100</v>
      </c>
      <c r="J38" s="102" t="s">
        <v>25775</v>
      </c>
      <c r="K38" s="102" t="s">
        <v>25720</v>
      </c>
      <c r="L38" s="102" t="s">
        <v>25642</v>
      </c>
      <c r="M38" s="102" t="s">
        <v>26700</v>
      </c>
      <c r="N38" s="102">
        <v>6002.0999999999995</v>
      </c>
      <c r="R38" t="str">
        <f t="shared" si="3"/>
        <v>21-209-17-55</v>
      </c>
      <c r="S38" s="129" t="s">
        <v>28313</v>
      </c>
      <c r="T38" s="112">
        <v>2</v>
      </c>
    </row>
    <row r="39" spans="1:20" x14ac:dyDescent="0.2">
      <c r="A39" s="102" t="s">
        <v>7661</v>
      </c>
      <c r="B39" s="102" t="s">
        <v>25589</v>
      </c>
      <c r="C39" s="102" t="s">
        <v>8</v>
      </c>
      <c r="D39" s="102" t="s">
        <v>21</v>
      </c>
      <c r="E39" s="102" t="s">
        <v>25711</v>
      </c>
      <c r="F39" s="102" t="s">
        <v>26687</v>
      </c>
      <c r="G39" s="102" t="s">
        <v>28588</v>
      </c>
      <c r="H39" s="102" t="s">
        <v>28595</v>
      </c>
      <c r="I39" s="102" t="s">
        <v>100</v>
      </c>
      <c r="J39" s="102" t="s">
        <v>25775</v>
      </c>
      <c r="K39" s="102" t="s">
        <v>25720</v>
      </c>
      <c r="L39" s="102" t="s">
        <v>25642</v>
      </c>
      <c r="M39" s="102" t="s">
        <v>26700</v>
      </c>
      <c r="N39" s="102">
        <v>6002.0999999999995</v>
      </c>
      <c r="R39" t="str">
        <f t="shared" si="3"/>
        <v>21-209-17-57</v>
      </c>
      <c r="S39" s="129" t="s">
        <v>28390</v>
      </c>
      <c r="T39" s="112">
        <v>5</v>
      </c>
    </row>
    <row r="40" spans="1:20" x14ac:dyDescent="0.2">
      <c r="A40" s="102" t="s">
        <v>7661</v>
      </c>
      <c r="B40" s="102" t="s">
        <v>25589</v>
      </c>
      <c r="C40" s="102" t="s">
        <v>8</v>
      </c>
      <c r="D40" s="102" t="s">
        <v>21</v>
      </c>
      <c r="E40" s="102" t="s">
        <v>25711</v>
      </c>
      <c r="F40" s="102" t="s">
        <v>26687</v>
      </c>
      <c r="G40" s="102" t="s">
        <v>28588</v>
      </c>
      <c r="H40" s="102" t="s">
        <v>28595</v>
      </c>
      <c r="I40" s="102" t="s">
        <v>100</v>
      </c>
      <c r="J40" s="102" t="s">
        <v>25775</v>
      </c>
      <c r="K40" s="102" t="s">
        <v>25720</v>
      </c>
      <c r="L40" s="102" t="s">
        <v>25642</v>
      </c>
      <c r="M40" s="102" t="s">
        <v>26700</v>
      </c>
      <c r="N40" s="102">
        <v>6002.0999999999995</v>
      </c>
      <c r="R40" t="str">
        <f t="shared" si="3"/>
        <v>21-209-17-59</v>
      </c>
      <c r="S40" s="129" t="s">
        <v>28386</v>
      </c>
      <c r="T40" s="112">
        <v>7</v>
      </c>
    </row>
    <row r="41" spans="1:20" x14ac:dyDescent="0.2">
      <c r="A41" s="102" t="s">
        <v>7661</v>
      </c>
      <c r="B41" s="102" t="s">
        <v>25589</v>
      </c>
      <c r="C41" s="102" t="s">
        <v>8</v>
      </c>
      <c r="D41" s="102" t="s">
        <v>21</v>
      </c>
      <c r="E41" s="102" t="s">
        <v>25711</v>
      </c>
      <c r="F41" s="102" t="s">
        <v>26687</v>
      </c>
      <c r="G41" s="102" t="s">
        <v>28588</v>
      </c>
      <c r="H41" s="102" t="s">
        <v>28595</v>
      </c>
      <c r="I41" s="102" t="s">
        <v>100</v>
      </c>
      <c r="J41" s="102" t="s">
        <v>25775</v>
      </c>
      <c r="K41" s="102" t="s">
        <v>25720</v>
      </c>
      <c r="L41" s="102" t="s">
        <v>25642</v>
      </c>
      <c r="M41" s="102" t="s">
        <v>26700</v>
      </c>
      <c r="N41" s="102">
        <v>6002.0999999999995</v>
      </c>
      <c r="R41" t="str">
        <f t="shared" si="3"/>
        <v>21-209-17-61</v>
      </c>
      <c r="S41" s="129" t="s">
        <v>28391</v>
      </c>
      <c r="T41" s="112">
        <v>5</v>
      </c>
    </row>
    <row r="42" spans="1:20" x14ac:dyDescent="0.2">
      <c r="A42" s="102" t="s">
        <v>7661</v>
      </c>
      <c r="B42" s="102" t="s">
        <v>25589</v>
      </c>
      <c r="C42" s="102" t="s">
        <v>8</v>
      </c>
      <c r="D42" s="102" t="s">
        <v>21</v>
      </c>
      <c r="E42" s="102" t="s">
        <v>25711</v>
      </c>
      <c r="F42" s="102" t="s">
        <v>26687</v>
      </c>
      <c r="G42" s="102" t="s">
        <v>28588</v>
      </c>
      <c r="H42" s="102" t="s">
        <v>28595</v>
      </c>
      <c r="I42" s="102" t="s">
        <v>100</v>
      </c>
      <c r="J42" s="102" t="s">
        <v>25775</v>
      </c>
      <c r="K42" s="102" t="s">
        <v>25720</v>
      </c>
      <c r="L42" s="102" t="s">
        <v>25642</v>
      </c>
      <c r="M42" s="102" t="s">
        <v>26700</v>
      </c>
      <c r="N42" s="102">
        <v>6002.0999999999995</v>
      </c>
      <c r="R42" t="str">
        <f t="shared" si="3"/>
        <v>21-209-17-63</v>
      </c>
      <c r="S42" s="129" t="s">
        <v>28436</v>
      </c>
      <c r="T42" s="112">
        <v>2</v>
      </c>
    </row>
    <row r="43" spans="1:20" x14ac:dyDescent="0.2">
      <c r="A43" s="102" t="s">
        <v>7671</v>
      </c>
      <c r="B43" s="102" t="s">
        <v>25589</v>
      </c>
      <c r="C43" s="102" t="s">
        <v>8</v>
      </c>
      <c r="D43" s="102" t="s">
        <v>21</v>
      </c>
      <c r="E43" s="102" t="s">
        <v>25711</v>
      </c>
      <c r="F43" s="102" t="s">
        <v>26687</v>
      </c>
      <c r="G43" s="102" t="s">
        <v>28588</v>
      </c>
      <c r="H43" s="102" t="s">
        <v>28596</v>
      </c>
      <c r="I43" s="102" t="s">
        <v>25411</v>
      </c>
      <c r="J43" s="102" t="s">
        <v>25789</v>
      </c>
      <c r="K43" s="102" t="s">
        <v>25720</v>
      </c>
      <c r="L43" s="102" t="s">
        <v>25642</v>
      </c>
      <c r="M43" s="102" t="s">
        <v>26700</v>
      </c>
      <c r="N43" s="102">
        <v>6002.0999999999995</v>
      </c>
      <c r="R43" t="str">
        <f t="shared" si="3"/>
        <v>21-209-99-57</v>
      </c>
      <c r="S43" s="129" t="s">
        <v>28390</v>
      </c>
      <c r="T43" s="112">
        <v>2</v>
      </c>
    </row>
    <row r="44" spans="1:20" x14ac:dyDescent="0.2">
      <c r="A44" s="102" t="s">
        <v>7671</v>
      </c>
      <c r="B44" s="102" t="s">
        <v>25589</v>
      </c>
      <c r="C44" s="102" t="s">
        <v>8</v>
      </c>
      <c r="D44" s="102" t="s">
        <v>21</v>
      </c>
      <c r="E44" s="102" t="s">
        <v>25711</v>
      </c>
      <c r="F44" s="102" t="s">
        <v>26687</v>
      </c>
      <c r="G44" s="102" t="s">
        <v>28588</v>
      </c>
      <c r="H44" s="102" t="s">
        <v>28596</v>
      </c>
      <c r="I44" s="102" t="s">
        <v>25411</v>
      </c>
      <c r="J44" s="102" t="s">
        <v>25789</v>
      </c>
      <c r="K44" s="102" t="s">
        <v>25720</v>
      </c>
      <c r="L44" s="102" t="s">
        <v>25642</v>
      </c>
      <c r="M44" s="102" t="s">
        <v>26700</v>
      </c>
      <c r="N44" s="102">
        <v>6002.0999999999995</v>
      </c>
      <c r="R44" t="str">
        <f t="shared" si="3"/>
        <v>21-209-99-59</v>
      </c>
      <c r="S44" s="129" t="s">
        <v>28386</v>
      </c>
      <c r="T44" s="112">
        <v>4</v>
      </c>
    </row>
    <row r="45" spans="1:20" x14ac:dyDescent="0.2">
      <c r="A45" s="102" t="s">
        <v>7671</v>
      </c>
      <c r="B45" s="102" t="s">
        <v>25589</v>
      </c>
      <c r="C45" s="102" t="s">
        <v>8</v>
      </c>
      <c r="D45" s="102" t="s">
        <v>21</v>
      </c>
      <c r="E45" s="102" t="s">
        <v>25711</v>
      </c>
      <c r="F45" s="102" t="s">
        <v>26687</v>
      </c>
      <c r="G45" s="102" t="s">
        <v>28588</v>
      </c>
      <c r="H45" s="102" t="s">
        <v>28596</v>
      </c>
      <c r="I45" s="102" t="s">
        <v>25411</v>
      </c>
      <c r="J45" s="102" t="s">
        <v>25789</v>
      </c>
      <c r="K45" s="102" t="s">
        <v>25720</v>
      </c>
      <c r="L45" s="102" t="s">
        <v>25642</v>
      </c>
      <c r="M45" s="102" t="s">
        <v>26700</v>
      </c>
      <c r="N45" s="102">
        <v>6002.0999999999995</v>
      </c>
      <c r="R45" t="str">
        <f t="shared" si="3"/>
        <v>21-209-99-61</v>
      </c>
      <c r="S45" s="129" t="s">
        <v>28391</v>
      </c>
      <c r="T45" s="112">
        <v>2</v>
      </c>
    </row>
    <row r="46" spans="1:20" x14ac:dyDescent="0.2">
      <c r="A46" s="102" t="s">
        <v>7649</v>
      </c>
      <c r="B46" s="102" t="s">
        <v>25589</v>
      </c>
      <c r="C46" s="102" t="s">
        <v>8</v>
      </c>
      <c r="D46" s="102" t="s">
        <v>21</v>
      </c>
      <c r="E46" s="102" t="s">
        <v>25711</v>
      </c>
      <c r="F46" s="102" t="s">
        <v>26687</v>
      </c>
      <c r="G46" s="102" t="s">
        <v>28588</v>
      </c>
      <c r="H46" s="102" t="s">
        <v>28597</v>
      </c>
      <c r="I46" s="102" t="s">
        <v>52</v>
      </c>
      <c r="J46" s="102" t="s">
        <v>25789</v>
      </c>
      <c r="K46" s="102" t="s">
        <v>25720</v>
      </c>
      <c r="L46" s="102" t="s">
        <v>25642</v>
      </c>
      <c r="M46" s="102" t="s">
        <v>26700</v>
      </c>
      <c r="N46" s="102">
        <v>6002.0999999999995</v>
      </c>
      <c r="R46" t="str">
        <f t="shared" ref="R46:R56" si="4">A46&amp;"-"&amp;S46</f>
        <v>21-209-02-55</v>
      </c>
      <c r="S46" s="129" t="s">
        <v>28313</v>
      </c>
      <c r="T46" s="112">
        <v>2</v>
      </c>
    </row>
    <row r="47" spans="1:20" x14ac:dyDescent="0.2">
      <c r="A47" s="102" t="s">
        <v>7649</v>
      </c>
      <c r="B47" s="102" t="s">
        <v>25589</v>
      </c>
      <c r="C47" s="102" t="s">
        <v>8</v>
      </c>
      <c r="D47" s="102" t="s">
        <v>21</v>
      </c>
      <c r="E47" s="102" t="s">
        <v>25711</v>
      </c>
      <c r="F47" s="102" t="s">
        <v>26687</v>
      </c>
      <c r="G47" s="102" t="s">
        <v>28588</v>
      </c>
      <c r="H47" s="102" t="s">
        <v>28597</v>
      </c>
      <c r="I47" s="102" t="s">
        <v>52</v>
      </c>
      <c r="J47" s="102" t="s">
        <v>25789</v>
      </c>
      <c r="K47" s="102" t="s">
        <v>25720</v>
      </c>
      <c r="L47" s="102" t="s">
        <v>25642</v>
      </c>
      <c r="M47" s="102" t="s">
        <v>26700</v>
      </c>
      <c r="N47" s="102">
        <v>6002.0999999999995</v>
      </c>
      <c r="R47" t="str">
        <f t="shared" si="4"/>
        <v>21-209-02-57</v>
      </c>
      <c r="S47" s="129" t="s">
        <v>28390</v>
      </c>
      <c r="T47" s="112">
        <v>2</v>
      </c>
    </row>
    <row r="48" spans="1:20" x14ac:dyDescent="0.2">
      <c r="A48" s="102" t="s">
        <v>7649</v>
      </c>
      <c r="B48" s="102" t="s">
        <v>25589</v>
      </c>
      <c r="C48" s="102" t="s">
        <v>8</v>
      </c>
      <c r="D48" s="102" t="s">
        <v>21</v>
      </c>
      <c r="E48" s="102" t="s">
        <v>25711</v>
      </c>
      <c r="F48" s="102" t="s">
        <v>26687</v>
      </c>
      <c r="G48" s="102" t="s">
        <v>28588</v>
      </c>
      <c r="H48" s="102" t="s">
        <v>28597</v>
      </c>
      <c r="I48" s="102" t="s">
        <v>52</v>
      </c>
      <c r="J48" s="102" t="s">
        <v>25789</v>
      </c>
      <c r="K48" s="102" t="s">
        <v>25720</v>
      </c>
      <c r="L48" s="102" t="s">
        <v>25642</v>
      </c>
      <c r="M48" s="102" t="s">
        <v>26700</v>
      </c>
      <c r="N48" s="102">
        <v>6002.0999999999995</v>
      </c>
      <c r="R48" t="str">
        <f t="shared" si="4"/>
        <v>21-209-02-59</v>
      </c>
      <c r="S48" s="129" t="s">
        <v>28386</v>
      </c>
      <c r="T48" s="112">
        <v>3</v>
      </c>
    </row>
    <row r="49" spans="1:20" x14ac:dyDescent="0.2">
      <c r="A49" s="102" t="s">
        <v>7649</v>
      </c>
      <c r="B49" s="102" t="s">
        <v>25589</v>
      </c>
      <c r="C49" s="102" t="s">
        <v>8</v>
      </c>
      <c r="D49" s="102" t="s">
        <v>21</v>
      </c>
      <c r="E49" s="102" t="s">
        <v>25711</v>
      </c>
      <c r="F49" s="102" t="s">
        <v>26687</v>
      </c>
      <c r="G49" s="102" t="s">
        <v>28588</v>
      </c>
      <c r="H49" s="102" t="s">
        <v>28597</v>
      </c>
      <c r="I49" s="102" t="s">
        <v>52</v>
      </c>
      <c r="J49" s="102" t="s">
        <v>25789</v>
      </c>
      <c r="K49" s="102" t="s">
        <v>25720</v>
      </c>
      <c r="L49" s="102" t="s">
        <v>25642</v>
      </c>
      <c r="M49" s="102" t="s">
        <v>26700</v>
      </c>
      <c r="N49" s="102">
        <v>6002.0999999999995</v>
      </c>
      <c r="R49" t="str">
        <f t="shared" si="4"/>
        <v>21-209-02-61</v>
      </c>
      <c r="S49" s="129" t="s">
        <v>28391</v>
      </c>
      <c r="T49" s="112">
        <v>3</v>
      </c>
    </row>
    <row r="50" spans="1:20" x14ac:dyDescent="0.2">
      <c r="A50" s="102" t="s">
        <v>7649</v>
      </c>
      <c r="B50" s="102" t="s">
        <v>25589</v>
      </c>
      <c r="C50" s="102" t="s">
        <v>8</v>
      </c>
      <c r="D50" s="102" t="s">
        <v>21</v>
      </c>
      <c r="E50" s="102" t="s">
        <v>25711</v>
      </c>
      <c r="F50" s="102" t="s">
        <v>26687</v>
      </c>
      <c r="G50" s="102" t="s">
        <v>28588</v>
      </c>
      <c r="H50" s="102" t="s">
        <v>28597</v>
      </c>
      <c r="I50" s="102" t="s">
        <v>52</v>
      </c>
      <c r="J50" s="102" t="s">
        <v>25789</v>
      </c>
      <c r="K50" s="102" t="s">
        <v>25720</v>
      </c>
      <c r="L50" s="102" t="s">
        <v>25642</v>
      </c>
      <c r="M50" s="102" t="s">
        <v>26700</v>
      </c>
      <c r="N50" s="102">
        <v>6002.0999999999995</v>
      </c>
      <c r="R50" t="str">
        <f t="shared" si="4"/>
        <v>21-209-02-63</v>
      </c>
      <c r="S50" s="129" t="s">
        <v>28436</v>
      </c>
      <c r="T50" s="112">
        <v>2</v>
      </c>
    </row>
    <row r="51" spans="1:20" x14ac:dyDescent="0.2">
      <c r="A51" s="102" t="s">
        <v>7779</v>
      </c>
      <c r="B51" s="102" t="s">
        <v>25590</v>
      </c>
      <c r="C51" s="102" t="s">
        <v>8</v>
      </c>
      <c r="D51" s="102" t="s">
        <v>21</v>
      </c>
      <c r="E51" s="102" t="s">
        <v>25711</v>
      </c>
      <c r="F51" s="102" t="s">
        <v>26687</v>
      </c>
      <c r="G51" s="102" t="s">
        <v>28588</v>
      </c>
      <c r="H51" s="102" t="s">
        <v>28597</v>
      </c>
      <c r="I51" s="102" t="s">
        <v>100</v>
      </c>
      <c r="J51" s="102" t="s">
        <v>25744</v>
      </c>
      <c r="K51" s="102" t="s">
        <v>25715</v>
      </c>
      <c r="L51" s="102" t="s">
        <v>25642</v>
      </c>
      <c r="M51" s="102" t="s">
        <v>26700</v>
      </c>
      <c r="N51" s="102">
        <v>5733</v>
      </c>
      <c r="R51" t="str">
        <f t="shared" si="4"/>
        <v>21-242-17-55</v>
      </c>
      <c r="S51" s="129" t="s">
        <v>28313</v>
      </c>
      <c r="T51" s="112">
        <v>2</v>
      </c>
    </row>
    <row r="52" spans="1:20" x14ac:dyDescent="0.2">
      <c r="A52" s="102" t="s">
        <v>7779</v>
      </c>
      <c r="B52" s="102" t="s">
        <v>25590</v>
      </c>
      <c r="C52" s="102" t="s">
        <v>8</v>
      </c>
      <c r="D52" s="102" t="s">
        <v>21</v>
      </c>
      <c r="E52" s="102" t="s">
        <v>25711</v>
      </c>
      <c r="F52" s="102" t="s">
        <v>26687</v>
      </c>
      <c r="G52" s="102" t="s">
        <v>28588</v>
      </c>
      <c r="H52" s="102" t="s">
        <v>28597</v>
      </c>
      <c r="I52" s="102" t="s">
        <v>100</v>
      </c>
      <c r="J52" s="102" t="s">
        <v>25744</v>
      </c>
      <c r="K52" s="102" t="s">
        <v>25715</v>
      </c>
      <c r="L52" s="102" t="s">
        <v>25642</v>
      </c>
      <c r="M52" s="102" t="s">
        <v>26700</v>
      </c>
      <c r="N52" s="102">
        <v>5733</v>
      </c>
      <c r="R52" t="str">
        <f t="shared" si="4"/>
        <v>21-242-17-57</v>
      </c>
      <c r="S52" s="129" t="s">
        <v>28390</v>
      </c>
      <c r="T52" s="112">
        <v>3</v>
      </c>
    </row>
    <row r="53" spans="1:20" x14ac:dyDescent="0.2">
      <c r="A53" s="102" t="s">
        <v>7779</v>
      </c>
      <c r="B53" s="102" t="s">
        <v>25590</v>
      </c>
      <c r="C53" s="102" t="s">
        <v>8</v>
      </c>
      <c r="D53" s="102" t="s">
        <v>21</v>
      </c>
      <c r="E53" s="102" t="s">
        <v>25711</v>
      </c>
      <c r="F53" s="102" t="s">
        <v>26687</v>
      </c>
      <c r="G53" s="102" t="s">
        <v>28588</v>
      </c>
      <c r="H53" s="102" t="s">
        <v>28597</v>
      </c>
      <c r="I53" s="102" t="s">
        <v>100</v>
      </c>
      <c r="J53" s="102" t="s">
        <v>25744</v>
      </c>
      <c r="K53" s="102" t="s">
        <v>25715</v>
      </c>
      <c r="L53" s="102" t="s">
        <v>25642</v>
      </c>
      <c r="M53" s="102" t="s">
        <v>26700</v>
      </c>
      <c r="N53" s="102">
        <v>5733</v>
      </c>
      <c r="R53" t="str">
        <f t="shared" si="4"/>
        <v>21-242-17-59</v>
      </c>
      <c r="S53" s="129" t="s">
        <v>28386</v>
      </c>
      <c r="T53" s="112">
        <v>4</v>
      </c>
    </row>
    <row r="54" spans="1:20" x14ac:dyDescent="0.2">
      <c r="A54" s="102" t="s">
        <v>7779</v>
      </c>
      <c r="B54" s="102" t="s">
        <v>25590</v>
      </c>
      <c r="C54" s="102" t="s">
        <v>8</v>
      </c>
      <c r="D54" s="102" t="s">
        <v>21</v>
      </c>
      <c r="E54" s="102" t="s">
        <v>25711</v>
      </c>
      <c r="F54" s="102" t="s">
        <v>26687</v>
      </c>
      <c r="G54" s="102" t="s">
        <v>28588</v>
      </c>
      <c r="H54" s="102" t="s">
        <v>28597</v>
      </c>
      <c r="I54" s="102" t="s">
        <v>100</v>
      </c>
      <c r="J54" s="102" t="s">
        <v>25744</v>
      </c>
      <c r="K54" s="102" t="s">
        <v>25715</v>
      </c>
      <c r="L54" s="102" t="s">
        <v>25642</v>
      </c>
      <c r="M54" s="102" t="s">
        <v>26700</v>
      </c>
      <c r="N54" s="102">
        <v>5733</v>
      </c>
      <c r="R54" t="str">
        <f t="shared" si="4"/>
        <v>21-242-17-61</v>
      </c>
      <c r="S54" s="129" t="s">
        <v>28391</v>
      </c>
      <c r="T54" s="112">
        <v>2</v>
      </c>
    </row>
    <row r="55" spans="1:20" x14ac:dyDescent="0.2">
      <c r="A55" s="102" t="s">
        <v>27092</v>
      </c>
      <c r="B55" s="102" t="s">
        <v>25590</v>
      </c>
      <c r="C55" s="102" t="s">
        <v>8</v>
      </c>
      <c r="D55" s="102" t="s">
        <v>21</v>
      </c>
      <c r="E55" s="102" t="s">
        <v>25711</v>
      </c>
      <c r="F55" s="102" t="s">
        <v>26687</v>
      </c>
      <c r="G55" s="102" t="s">
        <v>28588</v>
      </c>
      <c r="H55" s="102" t="s">
        <v>28598</v>
      </c>
      <c r="I55" s="102" t="s">
        <v>147</v>
      </c>
      <c r="J55" s="102" t="s">
        <v>25744</v>
      </c>
      <c r="K55" s="102" t="s">
        <v>25715</v>
      </c>
      <c r="L55" s="102" t="s">
        <v>25642</v>
      </c>
      <c r="M55" s="102" t="s">
        <v>26700</v>
      </c>
      <c r="N55" s="102">
        <v>5733</v>
      </c>
      <c r="R55" t="str">
        <f t="shared" si="4"/>
        <v>21-242-19-57</v>
      </c>
      <c r="S55" s="129" t="s">
        <v>28390</v>
      </c>
      <c r="T55" s="112">
        <v>1</v>
      </c>
    </row>
    <row r="56" spans="1:20" x14ac:dyDescent="0.2">
      <c r="A56" s="102" t="s">
        <v>27092</v>
      </c>
      <c r="B56" s="102" t="s">
        <v>25590</v>
      </c>
      <c r="C56" s="102" t="s">
        <v>8</v>
      </c>
      <c r="D56" s="102" t="s">
        <v>21</v>
      </c>
      <c r="E56" s="102" t="s">
        <v>25711</v>
      </c>
      <c r="F56" s="102" t="s">
        <v>26687</v>
      </c>
      <c r="G56" s="102" t="s">
        <v>28588</v>
      </c>
      <c r="H56" s="102" t="s">
        <v>28598</v>
      </c>
      <c r="I56" s="102" t="s">
        <v>147</v>
      </c>
      <c r="J56" s="102" t="s">
        <v>25744</v>
      </c>
      <c r="K56" s="102" t="s">
        <v>25715</v>
      </c>
      <c r="L56" s="102" t="s">
        <v>25642</v>
      </c>
      <c r="M56" s="102" t="s">
        <v>26700</v>
      </c>
      <c r="N56" s="102">
        <v>5733</v>
      </c>
      <c r="R56" t="str">
        <f t="shared" si="4"/>
        <v>21-242-19-59</v>
      </c>
      <c r="S56" s="129" t="s">
        <v>28386</v>
      </c>
      <c r="T56" s="112">
        <v>2</v>
      </c>
    </row>
    <row r="57" spans="1:20" x14ac:dyDescent="0.2">
      <c r="A57" s="102" t="s">
        <v>27092</v>
      </c>
      <c r="B57" s="102" t="s">
        <v>25590</v>
      </c>
      <c r="C57" s="102" t="s">
        <v>8</v>
      </c>
      <c r="D57" s="102" t="s">
        <v>21</v>
      </c>
      <c r="E57" s="102" t="s">
        <v>25711</v>
      </c>
      <c r="F57" s="102" t="s">
        <v>26687</v>
      </c>
      <c r="G57" s="102" t="s">
        <v>28588</v>
      </c>
      <c r="H57" s="102" t="s">
        <v>28598</v>
      </c>
      <c r="I57" s="102" t="s">
        <v>147</v>
      </c>
      <c r="J57" s="102" t="s">
        <v>25744</v>
      </c>
      <c r="K57" s="102" t="s">
        <v>25715</v>
      </c>
      <c r="L57" s="102" t="s">
        <v>25642</v>
      </c>
      <c r="M57" s="102" t="s">
        <v>26700</v>
      </c>
      <c r="N57" s="102">
        <v>5733</v>
      </c>
      <c r="R57" t="str">
        <f t="shared" ref="R57:R64" si="5">A57&amp;"-"&amp;S57</f>
        <v>21-242-19-61</v>
      </c>
      <c r="S57" s="129" t="s">
        <v>28391</v>
      </c>
      <c r="T57" s="112">
        <v>1</v>
      </c>
    </row>
    <row r="58" spans="1:20" x14ac:dyDescent="0.2">
      <c r="A58" s="102" t="s">
        <v>7228</v>
      </c>
      <c r="B58" s="102" t="s">
        <v>25604</v>
      </c>
      <c r="C58" s="102" t="s">
        <v>8</v>
      </c>
      <c r="D58" s="102" t="s">
        <v>14</v>
      </c>
      <c r="E58" s="102" t="s">
        <v>25711</v>
      </c>
      <c r="F58" s="102" t="s">
        <v>26687</v>
      </c>
      <c r="G58" s="102" t="s">
        <v>28588</v>
      </c>
      <c r="H58" s="102" t="s">
        <v>28442</v>
      </c>
      <c r="I58" s="102" t="s">
        <v>1</v>
      </c>
      <c r="J58" s="102" t="s">
        <v>26108</v>
      </c>
      <c r="K58" s="102" t="s">
        <v>25715</v>
      </c>
      <c r="L58" s="102" t="s">
        <v>25642</v>
      </c>
      <c r="M58" s="102" t="s">
        <v>12</v>
      </c>
      <c r="N58" s="102">
        <v>2094.3000000000002</v>
      </c>
      <c r="R58" t="str">
        <f t="shared" si="5"/>
        <v>21-089-09-57</v>
      </c>
      <c r="S58" s="129" t="s">
        <v>28390</v>
      </c>
      <c r="T58" s="112">
        <v>4</v>
      </c>
    </row>
    <row r="59" spans="1:20" x14ac:dyDescent="0.2">
      <c r="A59" s="102" t="s">
        <v>7228</v>
      </c>
      <c r="B59" s="102" t="s">
        <v>25604</v>
      </c>
      <c r="C59" s="102" t="s">
        <v>8</v>
      </c>
      <c r="D59" s="102" t="s">
        <v>14</v>
      </c>
      <c r="E59" s="102" t="s">
        <v>25711</v>
      </c>
      <c r="F59" s="102" t="s">
        <v>26687</v>
      </c>
      <c r="G59" s="102" t="s">
        <v>28588</v>
      </c>
      <c r="H59" s="102" t="s">
        <v>28442</v>
      </c>
      <c r="I59" s="102" t="s">
        <v>1</v>
      </c>
      <c r="J59" s="102" t="s">
        <v>26108</v>
      </c>
      <c r="K59" s="102" t="s">
        <v>25715</v>
      </c>
      <c r="L59" s="102" t="s">
        <v>25642</v>
      </c>
      <c r="M59" s="102" t="s">
        <v>12</v>
      </c>
      <c r="N59" s="102">
        <v>2094.3000000000002</v>
      </c>
      <c r="R59" t="str">
        <f t="shared" si="5"/>
        <v>21-089-09-59</v>
      </c>
      <c r="S59" s="129" t="s">
        <v>28386</v>
      </c>
      <c r="T59" s="112">
        <v>6</v>
      </c>
    </row>
    <row r="60" spans="1:20" x14ac:dyDescent="0.2">
      <c r="A60" s="102" t="s">
        <v>7228</v>
      </c>
      <c r="B60" s="102" t="s">
        <v>25604</v>
      </c>
      <c r="C60" s="102" t="s">
        <v>8</v>
      </c>
      <c r="D60" s="102" t="s">
        <v>14</v>
      </c>
      <c r="E60" s="102" t="s">
        <v>25711</v>
      </c>
      <c r="F60" s="102" t="s">
        <v>26687</v>
      </c>
      <c r="G60" s="102" t="s">
        <v>28588</v>
      </c>
      <c r="H60" s="102" t="s">
        <v>28442</v>
      </c>
      <c r="I60" s="102" t="s">
        <v>1</v>
      </c>
      <c r="J60" s="102" t="s">
        <v>26108</v>
      </c>
      <c r="K60" s="102" t="s">
        <v>25715</v>
      </c>
      <c r="L60" s="102" t="s">
        <v>25642</v>
      </c>
      <c r="M60" s="102" t="s">
        <v>12</v>
      </c>
      <c r="N60" s="102">
        <v>2094.3000000000002</v>
      </c>
      <c r="R60" t="str">
        <f t="shared" si="5"/>
        <v>21-089-09-61</v>
      </c>
      <c r="S60" s="129" t="s">
        <v>28391</v>
      </c>
      <c r="T60" s="112">
        <v>4</v>
      </c>
    </row>
    <row r="61" spans="1:20" x14ac:dyDescent="0.2">
      <c r="A61" s="102" t="s">
        <v>7228</v>
      </c>
      <c r="B61" s="102" t="s">
        <v>25604</v>
      </c>
      <c r="C61" s="102" t="s">
        <v>8</v>
      </c>
      <c r="D61" s="102" t="s">
        <v>14</v>
      </c>
      <c r="E61" s="102" t="s">
        <v>25711</v>
      </c>
      <c r="F61" s="102" t="s">
        <v>26687</v>
      </c>
      <c r="G61" s="102" t="s">
        <v>28588</v>
      </c>
      <c r="H61" s="102" t="s">
        <v>28442</v>
      </c>
      <c r="I61" s="102" t="s">
        <v>1</v>
      </c>
      <c r="J61" s="102" t="s">
        <v>26108</v>
      </c>
      <c r="K61" s="102" t="s">
        <v>25715</v>
      </c>
      <c r="L61" s="102" t="s">
        <v>25642</v>
      </c>
      <c r="M61" s="102" t="s">
        <v>12</v>
      </c>
      <c r="N61" s="102">
        <v>2094.3000000000002</v>
      </c>
      <c r="R61" t="str">
        <f t="shared" si="5"/>
        <v>21-089-09-63</v>
      </c>
      <c r="S61" s="129" t="s">
        <v>28436</v>
      </c>
      <c r="T61" s="112">
        <v>1</v>
      </c>
    </row>
    <row r="62" spans="1:20" x14ac:dyDescent="0.2">
      <c r="A62" s="102" t="s">
        <v>7236</v>
      </c>
      <c r="B62" s="102" t="s">
        <v>25604</v>
      </c>
      <c r="C62" s="102" t="s">
        <v>8</v>
      </c>
      <c r="D62" s="102" t="s">
        <v>14</v>
      </c>
      <c r="E62" s="102" t="s">
        <v>25711</v>
      </c>
      <c r="F62" s="102" t="s">
        <v>26687</v>
      </c>
      <c r="G62" s="102" t="s">
        <v>28588</v>
      </c>
      <c r="H62" s="102" t="s">
        <v>28599</v>
      </c>
      <c r="I62" s="102" t="s">
        <v>25503</v>
      </c>
      <c r="J62" s="102" t="s">
        <v>26092</v>
      </c>
      <c r="K62" s="102" t="s">
        <v>25715</v>
      </c>
      <c r="L62" s="102" t="s">
        <v>25642</v>
      </c>
      <c r="M62" s="102" t="s">
        <v>12</v>
      </c>
      <c r="N62" s="102">
        <v>2094.3000000000002</v>
      </c>
      <c r="R62" t="str">
        <f t="shared" si="5"/>
        <v>21-089-15-57</v>
      </c>
      <c r="S62" s="129" t="s">
        <v>28390</v>
      </c>
      <c r="T62" s="112">
        <v>4</v>
      </c>
    </row>
    <row r="63" spans="1:20" x14ac:dyDescent="0.2">
      <c r="A63" s="102" t="s">
        <v>7236</v>
      </c>
      <c r="B63" s="102" t="s">
        <v>25604</v>
      </c>
      <c r="C63" s="102" t="s">
        <v>8</v>
      </c>
      <c r="D63" s="102" t="s">
        <v>14</v>
      </c>
      <c r="E63" s="102" t="s">
        <v>25711</v>
      </c>
      <c r="F63" s="102" t="s">
        <v>26687</v>
      </c>
      <c r="G63" s="102" t="s">
        <v>28588</v>
      </c>
      <c r="H63" s="102" t="s">
        <v>28599</v>
      </c>
      <c r="I63" s="102" t="s">
        <v>25503</v>
      </c>
      <c r="J63" s="102" t="s">
        <v>26092</v>
      </c>
      <c r="K63" s="102" t="s">
        <v>25715</v>
      </c>
      <c r="L63" s="102" t="s">
        <v>25642</v>
      </c>
      <c r="M63" s="102" t="s">
        <v>12</v>
      </c>
      <c r="N63" s="102">
        <v>2094.3000000000002</v>
      </c>
      <c r="R63" t="str">
        <f t="shared" si="5"/>
        <v>21-089-15-59</v>
      </c>
      <c r="S63" s="129" t="s">
        <v>28386</v>
      </c>
      <c r="T63" s="112">
        <v>6</v>
      </c>
    </row>
    <row r="64" spans="1:20" x14ac:dyDescent="0.2">
      <c r="A64" s="102" t="s">
        <v>7236</v>
      </c>
      <c r="B64" s="102" t="s">
        <v>25604</v>
      </c>
      <c r="C64" s="102" t="s">
        <v>8</v>
      </c>
      <c r="D64" s="102" t="s">
        <v>14</v>
      </c>
      <c r="E64" s="102" t="s">
        <v>25711</v>
      </c>
      <c r="F64" s="102" t="s">
        <v>26687</v>
      </c>
      <c r="G64" s="102" t="s">
        <v>28588</v>
      </c>
      <c r="H64" s="102" t="s">
        <v>28599</v>
      </c>
      <c r="I64" s="102" t="s">
        <v>25503</v>
      </c>
      <c r="J64" s="102" t="s">
        <v>26092</v>
      </c>
      <c r="K64" s="102" t="s">
        <v>25715</v>
      </c>
      <c r="L64" s="102" t="s">
        <v>25642</v>
      </c>
      <c r="M64" s="102" t="s">
        <v>12</v>
      </c>
      <c r="N64" s="102">
        <v>2094.3000000000002</v>
      </c>
      <c r="R64" t="str">
        <f t="shared" si="5"/>
        <v>21-089-15-61</v>
      </c>
      <c r="S64" s="129" t="s">
        <v>28391</v>
      </c>
      <c r="T64" s="112">
        <v>4</v>
      </c>
    </row>
    <row r="65" spans="1:20" x14ac:dyDescent="0.2">
      <c r="A65" s="102" t="s">
        <v>7240</v>
      </c>
      <c r="B65" s="102" t="s">
        <v>25604</v>
      </c>
      <c r="C65" s="102" t="s">
        <v>8</v>
      </c>
      <c r="D65" s="102" t="s">
        <v>14</v>
      </c>
      <c r="E65" s="102" t="s">
        <v>25711</v>
      </c>
      <c r="F65" s="102" t="s">
        <v>26687</v>
      </c>
      <c r="G65" s="102" t="s">
        <v>28588</v>
      </c>
      <c r="H65" s="102" t="s">
        <v>28597</v>
      </c>
      <c r="I65" s="102" t="s">
        <v>194</v>
      </c>
      <c r="J65" s="102" t="s">
        <v>26092</v>
      </c>
      <c r="K65" s="102" t="s">
        <v>25715</v>
      </c>
      <c r="L65" s="102" t="s">
        <v>25642</v>
      </c>
      <c r="M65" s="102" t="s">
        <v>12</v>
      </c>
      <c r="N65" s="102">
        <v>2094.3000000000002</v>
      </c>
      <c r="R65" t="str">
        <f t="shared" ref="R65:R77" si="6">A65&amp;"-"&amp;S65</f>
        <v>21-089-36-55</v>
      </c>
      <c r="S65" s="129" t="s">
        <v>28313</v>
      </c>
      <c r="T65" s="112">
        <v>2</v>
      </c>
    </row>
    <row r="66" spans="1:20" x14ac:dyDescent="0.2">
      <c r="A66" s="102" t="s">
        <v>7240</v>
      </c>
      <c r="B66" s="102" t="s">
        <v>25604</v>
      </c>
      <c r="C66" s="102" t="s">
        <v>8</v>
      </c>
      <c r="D66" s="102" t="s">
        <v>14</v>
      </c>
      <c r="E66" s="102" t="s">
        <v>25711</v>
      </c>
      <c r="F66" s="102" t="s">
        <v>26687</v>
      </c>
      <c r="G66" s="102" t="s">
        <v>28588</v>
      </c>
      <c r="H66" s="102" t="s">
        <v>28597</v>
      </c>
      <c r="I66" s="102" t="s">
        <v>194</v>
      </c>
      <c r="J66" s="102" t="s">
        <v>26092</v>
      </c>
      <c r="K66" s="102" t="s">
        <v>25715</v>
      </c>
      <c r="L66" s="102" t="s">
        <v>25642</v>
      </c>
      <c r="M66" s="102" t="s">
        <v>12</v>
      </c>
      <c r="N66" s="102">
        <v>2094.3000000000002</v>
      </c>
      <c r="R66" t="str">
        <f t="shared" si="6"/>
        <v>21-089-36-57</v>
      </c>
      <c r="S66" s="129" t="s">
        <v>28390</v>
      </c>
      <c r="T66" s="112">
        <v>7</v>
      </c>
    </row>
    <row r="67" spans="1:20" x14ac:dyDescent="0.2">
      <c r="A67" s="102" t="s">
        <v>7240</v>
      </c>
      <c r="B67" s="102" t="s">
        <v>25604</v>
      </c>
      <c r="C67" s="102" t="s">
        <v>8</v>
      </c>
      <c r="D67" s="102" t="s">
        <v>14</v>
      </c>
      <c r="E67" s="102" t="s">
        <v>25711</v>
      </c>
      <c r="F67" s="102" t="s">
        <v>26687</v>
      </c>
      <c r="G67" s="102" t="s">
        <v>28588</v>
      </c>
      <c r="H67" s="102" t="s">
        <v>28597</v>
      </c>
      <c r="I67" s="102" t="s">
        <v>194</v>
      </c>
      <c r="J67" s="102" t="s">
        <v>26092</v>
      </c>
      <c r="K67" s="102" t="s">
        <v>25715</v>
      </c>
      <c r="L67" s="102" t="s">
        <v>25642</v>
      </c>
      <c r="M67" s="102" t="s">
        <v>12</v>
      </c>
      <c r="N67" s="102">
        <v>2094.3000000000002</v>
      </c>
      <c r="R67" t="str">
        <f t="shared" si="6"/>
        <v>21-089-36-59</v>
      </c>
      <c r="S67" s="129" t="s">
        <v>28386</v>
      </c>
      <c r="T67" s="112">
        <v>8</v>
      </c>
    </row>
    <row r="68" spans="1:20" x14ac:dyDescent="0.2">
      <c r="A68" s="102" t="s">
        <v>7240</v>
      </c>
      <c r="B68" s="102" t="s">
        <v>25604</v>
      </c>
      <c r="C68" s="102" t="s">
        <v>8</v>
      </c>
      <c r="D68" s="102" t="s">
        <v>14</v>
      </c>
      <c r="E68" s="102" t="s">
        <v>25711</v>
      </c>
      <c r="F68" s="102" t="s">
        <v>26687</v>
      </c>
      <c r="G68" s="102" t="s">
        <v>28588</v>
      </c>
      <c r="H68" s="102" t="s">
        <v>28597</v>
      </c>
      <c r="I68" s="102" t="s">
        <v>194</v>
      </c>
      <c r="J68" s="102" t="s">
        <v>26092</v>
      </c>
      <c r="K68" s="102" t="s">
        <v>25715</v>
      </c>
      <c r="L68" s="102" t="s">
        <v>25642</v>
      </c>
      <c r="M68" s="102" t="s">
        <v>12</v>
      </c>
      <c r="N68" s="102">
        <v>2094.3000000000002</v>
      </c>
      <c r="R68" t="str">
        <f t="shared" si="6"/>
        <v>21-089-36-61</v>
      </c>
      <c r="S68" s="129" t="s">
        <v>28391</v>
      </c>
      <c r="T68" s="112">
        <v>5</v>
      </c>
    </row>
    <row r="69" spans="1:20" x14ac:dyDescent="0.2">
      <c r="A69" s="102" t="s">
        <v>7240</v>
      </c>
      <c r="B69" s="102" t="s">
        <v>25604</v>
      </c>
      <c r="C69" s="102" t="s">
        <v>8</v>
      </c>
      <c r="D69" s="102" t="s">
        <v>14</v>
      </c>
      <c r="E69" s="102" t="s">
        <v>25711</v>
      </c>
      <c r="F69" s="102" t="s">
        <v>26687</v>
      </c>
      <c r="G69" s="102" t="s">
        <v>28588</v>
      </c>
      <c r="H69" s="102" t="s">
        <v>28597</v>
      </c>
      <c r="I69" s="102" t="s">
        <v>194</v>
      </c>
      <c r="J69" s="102" t="s">
        <v>26092</v>
      </c>
      <c r="K69" s="102" t="s">
        <v>25715</v>
      </c>
      <c r="L69" s="102" t="s">
        <v>25642</v>
      </c>
      <c r="M69" s="102" t="s">
        <v>12</v>
      </c>
      <c r="N69" s="102">
        <v>2094.3000000000002</v>
      </c>
      <c r="R69" t="str">
        <f t="shared" si="6"/>
        <v>21-089-36-63</v>
      </c>
      <c r="S69" s="129" t="s">
        <v>28436</v>
      </c>
      <c r="T69" s="112">
        <v>2</v>
      </c>
    </row>
    <row r="70" spans="1:20" x14ac:dyDescent="0.2">
      <c r="A70" s="102" t="s">
        <v>7232</v>
      </c>
      <c r="B70" s="102" t="s">
        <v>25604</v>
      </c>
      <c r="C70" s="102" t="s">
        <v>8</v>
      </c>
      <c r="D70" s="102" t="s">
        <v>14</v>
      </c>
      <c r="E70" s="102" t="s">
        <v>25711</v>
      </c>
      <c r="F70" s="102" t="s">
        <v>26687</v>
      </c>
      <c r="G70" s="102" t="s">
        <v>28588</v>
      </c>
      <c r="H70" s="102" t="s">
        <v>28600</v>
      </c>
      <c r="I70" s="102" t="s">
        <v>197</v>
      </c>
      <c r="J70" s="102" t="s">
        <v>26092</v>
      </c>
      <c r="K70" s="102" t="s">
        <v>25715</v>
      </c>
      <c r="L70" s="102" t="s">
        <v>25642</v>
      </c>
      <c r="M70" s="102" t="s">
        <v>12</v>
      </c>
      <c r="N70" s="102">
        <v>2094.3000000000002</v>
      </c>
      <c r="R70" t="str">
        <f t="shared" si="6"/>
        <v>21-089-13-57</v>
      </c>
      <c r="S70" s="129" t="s">
        <v>28390</v>
      </c>
      <c r="T70" s="112">
        <v>4</v>
      </c>
    </row>
    <row r="71" spans="1:20" x14ac:dyDescent="0.2">
      <c r="A71" s="102" t="s">
        <v>7232</v>
      </c>
      <c r="B71" s="102" t="s">
        <v>25604</v>
      </c>
      <c r="C71" s="102" t="s">
        <v>8</v>
      </c>
      <c r="D71" s="102" t="s">
        <v>14</v>
      </c>
      <c r="E71" s="102" t="s">
        <v>25711</v>
      </c>
      <c r="F71" s="102" t="s">
        <v>26687</v>
      </c>
      <c r="G71" s="102" t="s">
        <v>28588</v>
      </c>
      <c r="H71" s="102" t="s">
        <v>28600</v>
      </c>
      <c r="I71" s="102" t="s">
        <v>197</v>
      </c>
      <c r="J71" s="102" t="s">
        <v>26092</v>
      </c>
      <c r="K71" s="102" t="s">
        <v>25715</v>
      </c>
      <c r="L71" s="102" t="s">
        <v>25642</v>
      </c>
      <c r="M71" s="102" t="s">
        <v>12</v>
      </c>
      <c r="N71" s="102">
        <v>2094.3000000000002</v>
      </c>
      <c r="R71" t="str">
        <f t="shared" si="6"/>
        <v>21-089-13-59</v>
      </c>
      <c r="S71" s="129" t="s">
        <v>28386</v>
      </c>
      <c r="T71" s="112">
        <v>6</v>
      </c>
    </row>
    <row r="72" spans="1:20" x14ac:dyDescent="0.2">
      <c r="A72" s="102" t="s">
        <v>7232</v>
      </c>
      <c r="B72" s="102" t="s">
        <v>25604</v>
      </c>
      <c r="C72" s="102" t="s">
        <v>8</v>
      </c>
      <c r="D72" s="102" t="s">
        <v>14</v>
      </c>
      <c r="E72" s="102" t="s">
        <v>25711</v>
      </c>
      <c r="F72" s="102" t="s">
        <v>26687</v>
      </c>
      <c r="G72" s="102" t="s">
        <v>28588</v>
      </c>
      <c r="H72" s="102" t="s">
        <v>28600</v>
      </c>
      <c r="I72" s="102" t="s">
        <v>197</v>
      </c>
      <c r="J72" s="102" t="s">
        <v>26092</v>
      </c>
      <c r="K72" s="102" t="s">
        <v>25715</v>
      </c>
      <c r="L72" s="102" t="s">
        <v>25642</v>
      </c>
      <c r="M72" s="102" t="s">
        <v>12</v>
      </c>
      <c r="N72" s="102">
        <v>2094.3000000000002</v>
      </c>
      <c r="R72" t="str">
        <f t="shared" si="6"/>
        <v>21-089-13-61</v>
      </c>
      <c r="S72" s="129" t="s">
        <v>28391</v>
      </c>
      <c r="T72" s="112">
        <v>4</v>
      </c>
    </row>
    <row r="73" spans="1:20" x14ac:dyDescent="0.2">
      <c r="A73" s="102" t="s">
        <v>7232</v>
      </c>
      <c r="B73" s="102" t="s">
        <v>25604</v>
      </c>
      <c r="C73" s="102" t="s">
        <v>8</v>
      </c>
      <c r="D73" s="102" t="s">
        <v>14</v>
      </c>
      <c r="E73" s="102" t="s">
        <v>25711</v>
      </c>
      <c r="F73" s="102" t="s">
        <v>26687</v>
      </c>
      <c r="G73" s="102" t="s">
        <v>28588</v>
      </c>
      <c r="H73" s="102" t="s">
        <v>28600</v>
      </c>
      <c r="I73" s="102" t="s">
        <v>197</v>
      </c>
      <c r="J73" s="102" t="s">
        <v>26092</v>
      </c>
      <c r="K73" s="102" t="s">
        <v>25715</v>
      </c>
      <c r="L73" s="102" t="s">
        <v>25642</v>
      </c>
      <c r="M73" s="102" t="s">
        <v>12</v>
      </c>
      <c r="N73" s="102">
        <v>2094.3000000000002</v>
      </c>
      <c r="R73" t="str">
        <f t="shared" si="6"/>
        <v>21-089-13-63</v>
      </c>
      <c r="S73" s="129" t="s">
        <v>28436</v>
      </c>
      <c r="T73" s="112">
        <v>1</v>
      </c>
    </row>
    <row r="74" spans="1:20" x14ac:dyDescent="0.2">
      <c r="A74" s="102" t="s">
        <v>28521</v>
      </c>
      <c r="B74" s="102" t="s">
        <v>25604</v>
      </c>
      <c r="C74" s="102" t="s">
        <v>8</v>
      </c>
      <c r="D74" s="102" t="s">
        <v>14</v>
      </c>
      <c r="E74" s="102" t="s">
        <v>25711</v>
      </c>
      <c r="F74" s="102" t="s">
        <v>26687</v>
      </c>
      <c r="G74" s="102" t="s">
        <v>28588</v>
      </c>
      <c r="H74" s="102" t="s">
        <v>28601</v>
      </c>
      <c r="I74" s="102" t="s">
        <v>26</v>
      </c>
      <c r="J74" s="102" t="s">
        <v>26108</v>
      </c>
      <c r="K74" s="102" t="s">
        <v>25715</v>
      </c>
      <c r="L74" s="102" t="s">
        <v>25642</v>
      </c>
      <c r="M74" s="102" t="s">
        <v>12</v>
      </c>
      <c r="N74" s="102">
        <v>2094.3000000000002</v>
      </c>
      <c r="R74" t="str">
        <f t="shared" si="6"/>
        <v>21-089-05-57</v>
      </c>
      <c r="S74" s="129" t="s">
        <v>28390</v>
      </c>
      <c r="T74" s="112">
        <v>4</v>
      </c>
    </row>
    <row r="75" spans="1:20" x14ac:dyDescent="0.2">
      <c r="A75" s="102" t="s">
        <v>28521</v>
      </c>
      <c r="B75" s="102" t="s">
        <v>25604</v>
      </c>
      <c r="C75" s="102" t="s">
        <v>8</v>
      </c>
      <c r="D75" s="102" t="s">
        <v>14</v>
      </c>
      <c r="E75" s="102" t="s">
        <v>25711</v>
      </c>
      <c r="F75" s="102" t="s">
        <v>26687</v>
      </c>
      <c r="G75" s="102" t="s">
        <v>28588</v>
      </c>
      <c r="H75" s="102" t="s">
        <v>28601</v>
      </c>
      <c r="I75" s="102" t="s">
        <v>26</v>
      </c>
      <c r="J75" s="102" t="s">
        <v>26108</v>
      </c>
      <c r="K75" s="102" t="s">
        <v>25715</v>
      </c>
      <c r="L75" s="102" t="s">
        <v>25642</v>
      </c>
      <c r="M75" s="102" t="s">
        <v>12</v>
      </c>
      <c r="N75" s="102">
        <v>2094.3000000000002</v>
      </c>
      <c r="R75" t="str">
        <f t="shared" si="6"/>
        <v>21-089-05-59</v>
      </c>
      <c r="S75" s="129" t="s">
        <v>28386</v>
      </c>
      <c r="T75" s="112">
        <v>6</v>
      </c>
    </row>
    <row r="76" spans="1:20" x14ac:dyDescent="0.2">
      <c r="A76" s="102" t="s">
        <v>28521</v>
      </c>
      <c r="B76" s="102" t="s">
        <v>25604</v>
      </c>
      <c r="C76" s="102" t="s">
        <v>8</v>
      </c>
      <c r="D76" s="102" t="s">
        <v>14</v>
      </c>
      <c r="E76" s="102" t="s">
        <v>25711</v>
      </c>
      <c r="F76" s="102" t="s">
        <v>26687</v>
      </c>
      <c r="G76" s="102" t="s">
        <v>28588</v>
      </c>
      <c r="H76" s="102" t="s">
        <v>28601</v>
      </c>
      <c r="I76" s="102" t="s">
        <v>26</v>
      </c>
      <c r="J76" s="102" t="s">
        <v>26108</v>
      </c>
      <c r="K76" s="102" t="s">
        <v>25715</v>
      </c>
      <c r="L76" s="102" t="s">
        <v>25642</v>
      </c>
      <c r="M76" s="102" t="s">
        <v>12</v>
      </c>
      <c r="N76" s="102">
        <v>2094.3000000000002</v>
      </c>
      <c r="R76" t="str">
        <f t="shared" si="6"/>
        <v>21-089-05-61</v>
      </c>
      <c r="S76" s="129" t="s">
        <v>28391</v>
      </c>
      <c r="T76" s="112">
        <v>4</v>
      </c>
    </row>
    <row r="77" spans="1:20" x14ac:dyDescent="0.2">
      <c r="A77" s="102" t="s">
        <v>28521</v>
      </c>
      <c r="B77" s="102" t="s">
        <v>25604</v>
      </c>
      <c r="C77" s="102" t="s">
        <v>8</v>
      </c>
      <c r="D77" s="102" t="s">
        <v>14</v>
      </c>
      <c r="E77" s="102" t="s">
        <v>25711</v>
      </c>
      <c r="F77" s="102" t="s">
        <v>26687</v>
      </c>
      <c r="G77" s="102" t="s">
        <v>28588</v>
      </c>
      <c r="H77" s="102" t="s">
        <v>28601</v>
      </c>
      <c r="I77" s="102" t="s">
        <v>26</v>
      </c>
      <c r="J77" s="102" t="s">
        <v>26108</v>
      </c>
      <c r="K77" s="102" t="s">
        <v>25715</v>
      </c>
      <c r="L77" s="102" t="s">
        <v>25642</v>
      </c>
      <c r="M77" s="102" t="s">
        <v>12</v>
      </c>
      <c r="N77" s="102">
        <v>2094.3000000000002</v>
      </c>
      <c r="R77" t="str">
        <f t="shared" si="6"/>
        <v>21-089-05-63</v>
      </c>
      <c r="S77" s="129" t="s">
        <v>28436</v>
      </c>
      <c r="T77" s="112">
        <v>1</v>
      </c>
    </row>
    <row r="78" spans="1:20" x14ac:dyDescent="0.2">
      <c r="A78" s="102" t="s">
        <v>7238</v>
      </c>
      <c r="B78" s="102" t="s">
        <v>25604</v>
      </c>
      <c r="C78" s="102" t="s">
        <v>8</v>
      </c>
      <c r="D78" s="102" t="s">
        <v>14</v>
      </c>
      <c r="E78" s="102" t="s">
        <v>25711</v>
      </c>
      <c r="F78" s="102" t="s">
        <v>26687</v>
      </c>
      <c r="G78" s="102" t="s">
        <v>28588</v>
      </c>
      <c r="H78" s="102" t="s">
        <v>28602</v>
      </c>
      <c r="I78" s="102" t="s">
        <v>100</v>
      </c>
      <c r="J78" s="102" t="s">
        <v>26092</v>
      </c>
      <c r="K78" s="102" t="s">
        <v>25715</v>
      </c>
      <c r="L78" s="102" t="s">
        <v>25642</v>
      </c>
      <c r="M78" s="102" t="s">
        <v>12</v>
      </c>
      <c r="N78" s="102">
        <v>2094.3000000000002</v>
      </c>
      <c r="R78" t="str">
        <f t="shared" ref="R78:R89" si="7">A78&amp;"-"&amp;S78</f>
        <v>21-089-17-55</v>
      </c>
      <c r="S78" s="129" t="s">
        <v>28313</v>
      </c>
      <c r="T78" s="112">
        <v>2</v>
      </c>
    </row>
    <row r="79" spans="1:20" x14ac:dyDescent="0.2">
      <c r="A79" s="102" t="s">
        <v>7238</v>
      </c>
      <c r="B79" s="102" t="s">
        <v>25604</v>
      </c>
      <c r="C79" s="102" t="s">
        <v>8</v>
      </c>
      <c r="D79" s="102" t="s">
        <v>14</v>
      </c>
      <c r="E79" s="102" t="s">
        <v>25711</v>
      </c>
      <c r="F79" s="102" t="s">
        <v>26687</v>
      </c>
      <c r="G79" s="102" t="s">
        <v>28588</v>
      </c>
      <c r="H79" s="102" t="s">
        <v>28602</v>
      </c>
      <c r="I79" s="102" t="s">
        <v>100</v>
      </c>
      <c r="J79" s="102" t="s">
        <v>26092</v>
      </c>
      <c r="K79" s="102" t="s">
        <v>25715</v>
      </c>
      <c r="L79" s="102" t="s">
        <v>25642</v>
      </c>
      <c r="M79" s="102" t="s">
        <v>12</v>
      </c>
      <c r="N79" s="102">
        <v>2094.3000000000002</v>
      </c>
      <c r="R79" t="str">
        <f t="shared" si="7"/>
        <v>21-089-17-57</v>
      </c>
      <c r="S79" s="129" t="s">
        <v>28390</v>
      </c>
      <c r="T79" s="112">
        <v>6</v>
      </c>
    </row>
    <row r="80" spans="1:20" x14ac:dyDescent="0.2">
      <c r="A80" s="102" t="s">
        <v>7238</v>
      </c>
      <c r="B80" s="102" t="s">
        <v>25604</v>
      </c>
      <c r="C80" s="102" t="s">
        <v>8</v>
      </c>
      <c r="D80" s="102" t="s">
        <v>14</v>
      </c>
      <c r="E80" s="102" t="s">
        <v>25711</v>
      </c>
      <c r="F80" s="102" t="s">
        <v>26687</v>
      </c>
      <c r="G80" s="102" t="s">
        <v>28588</v>
      </c>
      <c r="H80" s="102" t="s">
        <v>28602</v>
      </c>
      <c r="I80" s="102" t="s">
        <v>100</v>
      </c>
      <c r="J80" s="102" t="s">
        <v>26092</v>
      </c>
      <c r="K80" s="102" t="s">
        <v>25715</v>
      </c>
      <c r="L80" s="102" t="s">
        <v>25642</v>
      </c>
      <c r="M80" s="102" t="s">
        <v>12</v>
      </c>
      <c r="N80" s="102">
        <v>2094.3000000000002</v>
      </c>
      <c r="R80" t="str">
        <f t="shared" si="7"/>
        <v>21-089-17-59</v>
      </c>
      <c r="S80" s="129" t="s">
        <v>28386</v>
      </c>
      <c r="T80" s="112">
        <v>9</v>
      </c>
    </row>
    <row r="81" spans="1:20" x14ac:dyDescent="0.2">
      <c r="A81" s="102" t="s">
        <v>7238</v>
      </c>
      <c r="B81" s="102" t="s">
        <v>25604</v>
      </c>
      <c r="C81" s="102" t="s">
        <v>8</v>
      </c>
      <c r="D81" s="102" t="s">
        <v>14</v>
      </c>
      <c r="E81" s="102" t="s">
        <v>25711</v>
      </c>
      <c r="F81" s="102" t="s">
        <v>26687</v>
      </c>
      <c r="G81" s="102" t="s">
        <v>28588</v>
      </c>
      <c r="H81" s="102" t="s">
        <v>28602</v>
      </c>
      <c r="I81" s="102" t="s">
        <v>100</v>
      </c>
      <c r="J81" s="102" t="s">
        <v>26092</v>
      </c>
      <c r="K81" s="102" t="s">
        <v>25715</v>
      </c>
      <c r="L81" s="102" t="s">
        <v>25642</v>
      </c>
      <c r="M81" s="102" t="s">
        <v>12</v>
      </c>
      <c r="N81" s="102">
        <v>2094.3000000000002</v>
      </c>
      <c r="R81" t="str">
        <f t="shared" si="7"/>
        <v>21-089-17-61</v>
      </c>
      <c r="S81" s="129" t="s">
        <v>28391</v>
      </c>
      <c r="T81" s="112">
        <v>7</v>
      </c>
    </row>
    <row r="82" spans="1:20" x14ac:dyDescent="0.2">
      <c r="A82" s="102" t="s">
        <v>7238</v>
      </c>
      <c r="B82" s="102" t="s">
        <v>25604</v>
      </c>
      <c r="C82" s="102" t="s">
        <v>8</v>
      </c>
      <c r="D82" s="102" t="s">
        <v>14</v>
      </c>
      <c r="E82" s="102" t="s">
        <v>25711</v>
      </c>
      <c r="F82" s="102" t="s">
        <v>26687</v>
      </c>
      <c r="G82" s="102" t="s">
        <v>28588</v>
      </c>
      <c r="H82" s="102" t="s">
        <v>28602</v>
      </c>
      <c r="I82" s="102" t="s">
        <v>100</v>
      </c>
      <c r="J82" s="102" t="s">
        <v>26092</v>
      </c>
      <c r="K82" s="102" t="s">
        <v>25715</v>
      </c>
      <c r="L82" s="102" t="s">
        <v>25642</v>
      </c>
      <c r="M82" s="102" t="s">
        <v>12</v>
      </c>
      <c r="N82" s="102">
        <v>2094.3000000000002</v>
      </c>
      <c r="R82" t="str">
        <f t="shared" si="7"/>
        <v>21-089-17-63</v>
      </c>
      <c r="S82" s="129" t="s">
        <v>28436</v>
      </c>
      <c r="T82" s="112">
        <v>2</v>
      </c>
    </row>
    <row r="83" spans="1:20" x14ac:dyDescent="0.2">
      <c r="A83" s="102" t="s">
        <v>7487</v>
      </c>
      <c r="B83" s="102" t="s">
        <v>25637</v>
      </c>
      <c r="C83" s="102" t="s">
        <v>8</v>
      </c>
      <c r="D83" s="102" t="s">
        <v>21</v>
      </c>
      <c r="E83" s="102" t="s">
        <v>25711</v>
      </c>
      <c r="F83" s="102" t="s">
        <v>26687</v>
      </c>
      <c r="G83" s="102" t="s">
        <v>28588</v>
      </c>
      <c r="H83" s="102" t="s">
        <v>28597</v>
      </c>
      <c r="I83" s="102" t="s">
        <v>52</v>
      </c>
      <c r="J83" s="102" t="s">
        <v>25979</v>
      </c>
      <c r="K83" s="102" t="s">
        <v>25715</v>
      </c>
      <c r="L83" s="102" t="s">
        <v>25642</v>
      </c>
      <c r="M83" s="102" t="s">
        <v>12</v>
      </c>
      <c r="N83" s="102">
        <v>2018.25</v>
      </c>
      <c r="R83" t="str">
        <f t="shared" si="7"/>
        <v>21-145-02-55</v>
      </c>
      <c r="S83" s="129" t="s">
        <v>28313</v>
      </c>
      <c r="T83" s="112">
        <v>1</v>
      </c>
    </row>
    <row r="84" spans="1:20" x14ac:dyDescent="0.2">
      <c r="A84" s="102" t="s">
        <v>7487</v>
      </c>
      <c r="B84" s="102" t="s">
        <v>25637</v>
      </c>
      <c r="C84" s="102" t="s">
        <v>8</v>
      </c>
      <c r="D84" s="102" t="s">
        <v>21</v>
      </c>
      <c r="E84" s="102" t="s">
        <v>25711</v>
      </c>
      <c r="F84" s="102" t="s">
        <v>26687</v>
      </c>
      <c r="G84" s="102" t="s">
        <v>28588</v>
      </c>
      <c r="H84" s="102" t="s">
        <v>28597</v>
      </c>
      <c r="I84" s="102" t="s">
        <v>52</v>
      </c>
      <c r="J84" s="102" t="s">
        <v>25979</v>
      </c>
      <c r="K84" s="102" t="s">
        <v>25715</v>
      </c>
      <c r="L84" s="102" t="s">
        <v>25642</v>
      </c>
      <c r="M84" s="102" t="s">
        <v>12</v>
      </c>
      <c r="N84" s="102">
        <v>2018.25</v>
      </c>
      <c r="R84" t="str">
        <f t="shared" si="7"/>
        <v>21-145-02-57</v>
      </c>
      <c r="S84" s="129" t="s">
        <v>28390</v>
      </c>
      <c r="T84" s="112">
        <v>3</v>
      </c>
    </row>
    <row r="85" spans="1:20" x14ac:dyDescent="0.2">
      <c r="A85" s="102" t="s">
        <v>7487</v>
      </c>
      <c r="B85" s="102" t="s">
        <v>25637</v>
      </c>
      <c r="C85" s="102" t="s">
        <v>8</v>
      </c>
      <c r="D85" s="102" t="s">
        <v>21</v>
      </c>
      <c r="E85" s="102" t="s">
        <v>25711</v>
      </c>
      <c r="F85" s="102" t="s">
        <v>26687</v>
      </c>
      <c r="G85" s="102" t="s">
        <v>28588</v>
      </c>
      <c r="H85" s="102" t="s">
        <v>28597</v>
      </c>
      <c r="I85" s="102" t="s">
        <v>52</v>
      </c>
      <c r="J85" s="102" t="s">
        <v>25979</v>
      </c>
      <c r="K85" s="102" t="s">
        <v>25715</v>
      </c>
      <c r="L85" s="102" t="s">
        <v>25642</v>
      </c>
      <c r="M85" s="102" t="s">
        <v>12</v>
      </c>
      <c r="N85" s="102">
        <v>2018.25</v>
      </c>
      <c r="R85" t="str">
        <f t="shared" si="7"/>
        <v>21-145-02-59</v>
      </c>
      <c r="S85" s="129" t="s">
        <v>28386</v>
      </c>
      <c r="T85" s="112">
        <v>2</v>
      </c>
    </row>
    <row r="86" spans="1:20" x14ac:dyDescent="0.2">
      <c r="A86" s="102" t="s">
        <v>7487</v>
      </c>
      <c r="B86" s="102" t="s">
        <v>25637</v>
      </c>
      <c r="C86" s="102" t="s">
        <v>8</v>
      </c>
      <c r="D86" s="102" t="s">
        <v>21</v>
      </c>
      <c r="E86" s="102" t="s">
        <v>25711</v>
      </c>
      <c r="F86" s="102" t="s">
        <v>26687</v>
      </c>
      <c r="G86" s="102" t="s">
        <v>28588</v>
      </c>
      <c r="H86" s="102" t="s">
        <v>28597</v>
      </c>
      <c r="I86" s="102" t="s">
        <v>52</v>
      </c>
      <c r="J86" s="102" t="s">
        <v>25979</v>
      </c>
      <c r="K86" s="102" t="s">
        <v>25715</v>
      </c>
      <c r="L86" s="102" t="s">
        <v>25642</v>
      </c>
      <c r="M86" s="102" t="s">
        <v>12</v>
      </c>
      <c r="N86" s="102">
        <v>2018.25</v>
      </c>
      <c r="R86" t="str">
        <f t="shared" si="7"/>
        <v>21-145-02-61</v>
      </c>
      <c r="S86" s="129" t="s">
        <v>28391</v>
      </c>
      <c r="T86" s="112">
        <v>4</v>
      </c>
    </row>
    <row r="87" spans="1:20" x14ac:dyDescent="0.2">
      <c r="A87" s="102" t="s">
        <v>7256</v>
      </c>
      <c r="B87" s="102" t="s">
        <v>25591</v>
      </c>
      <c r="C87" s="102" t="s">
        <v>8</v>
      </c>
      <c r="D87" s="102" t="s">
        <v>14</v>
      </c>
      <c r="E87" s="102" t="s">
        <v>25711</v>
      </c>
      <c r="F87" s="102" t="s">
        <v>26687</v>
      </c>
      <c r="G87" s="102" t="s">
        <v>28588</v>
      </c>
      <c r="H87" s="102" t="s">
        <v>28442</v>
      </c>
      <c r="I87" s="102" t="s">
        <v>1</v>
      </c>
      <c r="J87" s="102" t="s">
        <v>26092</v>
      </c>
      <c r="K87" s="102" t="s">
        <v>25715</v>
      </c>
      <c r="L87" s="102" t="s">
        <v>25642</v>
      </c>
      <c r="M87" s="102" t="s">
        <v>12</v>
      </c>
      <c r="N87" s="102">
        <v>2094.3000000000002</v>
      </c>
      <c r="R87" t="str">
        <f t="shared" si="7"/>
        <v>21-090-09-55</v>
      </c>
      <c r="S87" s="129" t="s">
        <v>28313</v>
      </c>
      <c r="T87" s="112">
        <v>2</v>
      </c>
    </row>
    <row r="88" spans="1:20" x14ac:dyDescent="0.2">
      <c r="A88" s="102" t="s">
        <v>7256</v>
      </c>
      <c r="B88" s="102" t="s">
        <v>25591</v>
      </c>
      <c r="C88" s="102" t="s">
        <v>8</v>
      </c>
      <c r="D88" s="102" t="s">
        <v>14</v>
      </c>
      <c r="E88" s="102" t="s">
        <v>25711</v>
      </c>
      <c r="F88" s="102" t="s">
        <v>26687</v>
      </c>
      <c r="G88" s="102" t="s">
        <v>28588</v>
      </c>
      <c r="H88" s="102" t="s">
        <v>28442</v>
      </c>
      <c r="I88" s="102" t="s">
        <v>1</v>
      </c>
      <c r="J88" s="102" t="s">
        <v>26092</v>
      </c>
      <c r="K88" s="102" t="s">
        <v>25715</v>
      </c>
      <c r="L88" s="102" t="s">
        <v>25642</v>
      </c>
      <c r="M88" s="102" t="s">
        <v>12</v>
      </c>
      <c r="N88" s="102">
        <v>2094.3000000000002</v>
      </c>
      <c r="R88" t="str">
        <f t="shared" si="7"/>
        <v>21-090-09-57</v>
      </c>
      <c r="S88" s="129" t="s">
        <v>28390</v>
      </c>
      <c r="T88" s="112">
        <v>7</v>
      </c>
    </row>
    <row r="89" spans="1:20" x14ac:dyDescent="0.2">
      <c r="A89" s="102" t="s">
        <v>7256</v>
      </c>
      <c r="B89" s="102" t="s">
        <v>25591</v>
      </c>
      <c r="C89" s="102" t="s">
        <v>8</v>
      </c>
      <c r="D89" s="102" t="s">
        <v>14</v>
      </c>
      <c r="E89" s="102" t="s">
        <v>25711</v>
      </c>
      <c r="F89" s="102" t="s">
        <v>26687</v>
      </c>
      <c r="G89" s="102" t="s">
        <v>28588</v>
      </c>
      <c r="H89" s="102" t="s">
        <v>28442</v>
      </c>
      <c r="I89" s="102" t="s">
        <v>1</v>
      </c>
      <c r="J89" s="102" t="s">
        <v>26092</v>
      </c>
      <c r="K89" s="102" t="s">
        <v>25715</v>
      </c>
      <c r="L89" s="102" t="s">
        <v>25642</v>
      </c>
      <c r="M89" s="102" t="s">
        <v>12</v>
      </c>
      <c r="N89" s="102">
        <v>2094.3000000000002</v>
      </c>
      <c r="R89" t="str">
        <f t="shared" si="7"/>
        <v>21-090-09-59</v>
      </c>
      <c r="S89" s="129" t="s">
        <v>28386</v>
      </c>
      <c r="T89" s="112">
        <v>10</v>
      </c>
    </row>
    <row r="90" spans="1:20" x14ac:dyDescent="0.2">
      <c r="A90" s="102" t="s">
        <v>7256</v>
      </c>
      <c r="B90" s="102" t="s">
        <v>25591</v>
      </c>
      <c r="C90" s="102" t="s">
        <v>8</v>
      </c>
      <c r="D90" s="102" t="s">
        <v>14</v>
      </c>
      <c r="E90" s="102" t="s">
        <v>25711</v>
      </c>
      <c r="F90" s="102" t="s">
        <v>26687</v>
      </c>
      <c r="G90" s="102" t="s">
        <v>28588</v>
      </c>
      <c r="H90" s="102" t="s">
        <v>28442</v>
      </c>
      <c r="I90" s="102" t="s">
        <v>1</v>
      </c>
      <c r="J90" s="102" t="s">
        <v>26092</v>
      </c>
      <c r="K90" s="102" t="s">
        <v>25715</v>
      </c>
      <c r="L90" s="102" t="s">
        <v>25642</v>
      </c>
      <c r="M90" s="102" t="s">
        <v>12</v>
      </c>
      <c r="N90" s="102">
        <v>2094.3000000000002</v>
      </c>
      <c r="R90" t="str">
        <f t="shared" ref="R90:R100" si="8">A90&amp;"-"&amp;S90</f>
        <v>21-090-09-61</v>
      </c>
      <c r="S90" s="129" t="s">
        <v>28391</v>
      </c>
      <c r="T90" s="112">
        <v>6</v>
      </c>
    </row>
    <row r="91" spans="1:20" x14ac:dyDescent="0.2">
      <c r="A91" s="102" t="s">
        <v>7256</v>
      </c>
      <c r="B91" s="102" t="s">
        <v>25591</v>
      </c>
      <c r="C91" s="102" t="s">
        <v>8</v>
      </c>
      <c r="D91" s="102" t="s">
        <v>14</v>
      </c>
      <c r="E91" s="102" t="s">
        <v>25711</v>
      </c>
      <c r="F91" s="102" t="s">
        <v>26687</v>
      </c>
      <c r="G91" s="102" t="s">
        <v>28588</v>
      </c>
      <c r="H91" s="102" t="s">
        <v>28442</v>
      </c>
      <c r="I91" s="102" t="s">
        <v>1</v>
      </c>
      <c r="J91" s="102" t="s">
        <v>26092</v>
      </c>
      <c r="K91" s="102" t="s">
        <v>25715</v>
      </c>
      <c r="L91" s="102" t="s">
        <v>25642</v>
      </c>
      <c r="M91" s="102" t="s">
        <v>12</v>
      </c>
      <c r="N91" s="102">
        <v>2094.3000000000002</v>
      </c>
      <c r="R91" t="str">
        <f t="shared" si="8"/>
        <v>21-090-09-63</v>
      </c>
      <c r="S91" s="129" t="s">
        <v>28436</v>
      </c>
      <c r="T91" s="112">
        <v>3</v>
      </c>
    </row>
    <row r="92" spans="1:20" x14ac:dyDescent="0.2">
      <c r="A92" s="102" t="s">
        <v>7280</v>
      </c>
      <c r="B92" s="102" t="s">
        <v>25591</v>
      </c>
      <c r="C92" s="102" t="s">
        <v>8</v>
      </c>
      <c r="D92" s="102" t="s">
        <v>14</v>
      </c>
      <c r="E92" s="102" t="s">
        <v>25711</v>
      </c>
      <c r="F92" s="102" t="s">
        <v>26687</v>
      </c>
      <c r="G92" s="102" t="s">
        <v>28588</v>
      </c>
      <c r="H92" s="102" t="s">
        <v>28603</v>
      </c>
      <c r="I92" s="102" t="s">
        <v>25427</v>
      </c>
      <c r="J92" s="102" t="s">
        <v>26092</v>
      </c>
      <c r="K92" s="102" t="s">
        <v>25715</v>
      </c>
      <c r="L92" s="102" t="s">
        <v>25642</v>
      </c>
      <c r="M92" s="102" t="s">
        <v>12</v>
      </c>
      <c r="N92" s="102">
        <v>2094.3000000000002</v>
      </c>
      <c r="R92" t="str">
        <f t="shared" si="8"/>
        <v>21-090-82-55</v>
      </c>
      <c r="S92" s="129" t="s">
        <v>28313</v>
      </c>
      <c r="T92" s="112">
        <v>1</v>
      </c>
    </row>
    <row r="93" spans="1:20" x14ac:dyDescent="0.2">
      <c r="A93" s="102" t="s">
        <v>7280</v>
      </c>
      <c r="B93" s="102" t="s">
        <v>25591</v>
      </c>
      <c r="C93" s="102" t="s">
        <v>8</v>
      </c>
      <c r="D93" s="102" t="s">
        <v>14</v>
      </c>
      <c r="E93" s="102" t="s">
        <v>25711</v>
      </c>
      <c r="F93" s="102" t="s">
        <v>26687</v>
      </c>
      <c r="G93" s="102" t="s">
        <v>28588</v>
      </c>
      <c r="H93" s="102" t="s">
        <v>28603</v>
      </c>
      <c r="I93" s="102" t="s">
        <v>25427</v>
      </c>
      <c r="J93" s="102" t="s">
        <v>26092</v>
      </c>
      <c r="K93" s="102" t="s">
        <v>25715</v>
      </c>
      <c r="L93" s="102" t="s">
        <v>25642</v>
      </c>
      <c r="M93" s="102" t="s">
        <v>12</v>
      </c>
      <c r="N93" s="102">
        <v>2094.3000000000002</v>
      </c>
      <c r="R93" t="str">
        <f t="shared" si="8"/>
        <v>21-090-82-57</v>
      </c>
      <c r="S93" s="129" t="s">
        <v>28390</v>
      </c>
      <c r="T93" s="112">
        <v>3</v>
      </c>
    </row>
    <row r="94" spans="1:20" x14ac:dyDescent="0.2">
      <c r="A94" s="102" t="s">
        <v>7280</v>
      </c>
      <c r="B94" s="102" t="s">
        <v>25591</v>
      </c>
      <c r="C94" s="102" t="s">
        <v>8</v>
      </c>
      <c r="D94" s="102" t="s">
        <v>14</v>
      </c>
      <c r="E94" s="102" t="s">
        <v>25711</v>
      </c>
      <c r="F94" s="102" t="s">
        <v>26687</v>
      </c>
      <c r="G94" s="102" t="s">
        <v>28588</v>
      </c>
      <c r="H94" s="102" t="s">
        <v>28603</v>
      </c>
      <c r="I94" s="102" t="s">
        <v>25427</v>
      </c>
      <c r="J94" s="102" t="s">
        <v>26092</v>
      </c>
      <c r="K94" s="102" t="s">
        <v>25715</v>
      </c>
      <c r="L94" s="102" t="s">
        <v>25642</v>
      </c>
      <c r="M94" s="102" t="s">
        <v>12</v>
      </c>
      <c r="N94" s="102">
        <v>2094.3000000000002</v>
      </c>
      <c r="R94" t="str">
        <f t="shared" si="8"/>
        <v>21-090-82-59</v>
      </c>
      <c r="S94" s="129" t="s">
        <v>28386</v>
      </c>
      <c r="T94" s="112">
        <v>5</v>
      </c>
    </row>
    <row r="95" spans="1:20" x14ac:dyDescent="0.2">
      <c r="A95" s="102" t="s">
        <v>7280</v>
      </c>
      <c r="B95" s="102" t="s">
        <v>25591</v>
      </c>
      <c r="C95" s="102" t="s">
        <v>8</v>
      </c>
      <c r="D95" s="102" t="s">
        <v>14</v>
      </c>
      <c r="E95" s="102" t="s">
        <v>25711</v>
      </c>
      <c r="F95" s="102" t="s">
        <v>26687</v>
      </c>
      <c r="G95" s="102" t="s">
        <v>28588</v>
      </c>
      <c r="H95" s="102" t="s">
        <v>28603</v>
      </c>
      <c r="I95" s="102" t="s">
        <v>25427</v>
      </c>
      <c r="J95" s="102" t="s">
        <v>26092</v>
      </c>
      <c r="K95" s="102" t="s">
        <v>25715</v>
      </c>
      <c r="L95" s="102" t="s">
        <v>25642</v>
      </c>
      <c r="M95" s="102" t="s">
        <v>12</v>
      </c>
      <c r="N95" s="102">
        <v>2094.3000000000002</v>
      </c>
      <c r="R95" t="str">
        <f t="shared" si="8"/>
        <v>21-090-82-61</v>
      </c>
      <c r="S95" s="129" t="s">
        <v>28391</v>
      </c>
      <c r="T95" s="112">
        <v>5</v>
      </c>
    </row>
    <row r="96" spans="1:20" x14ac:dyDescent="0.2">
      <c r="A96" s="102" t="s">
        <v>7280</v>
      </c>
      <c r="B96" s="102" t="s">
        <v>25591</v>
      </c>
      <c r="C96" s="102" t="s">
        <v>8</v>
      </c>
      <c r="D96" s="102" t="s">
        <v>14</v>
      </c>
      <c r="E96" s="102" t="s">
        <v>25711</v>
      </c>
      <c r="F96" s="102" t="s">
        <v>26687</v>
      </c>
      <c r="G96" s="102" t="s">
        <v>28588</v>
      </c>
      <c r="H96" s="102" t="s">
        <v>28603</v>
      </c>
      <c r="I96" s="102" t="s">
        <v>25427</v>
      </c>
      <c r="J96" s="102" t="s">
        <v>26092</v>
      </c>
      <c r="K96" s="102" t="s">
        <v>25715</v>
      </c>
      <c r="L96" s="102" t="s">
        <v>25642</v>
      </c>
      <c r="M96" s="102" t="s">
        <v>12</v>
      </c>
      <c r="N96" s="102">
        <v>2094.3000000000002</v>
      </c>
      <c r="R96" t="str">
        <f t="shared" si="8"/>
        <v>21-090-82-63</v>
      </c>
      <c r="S96" s="129" t="s">
        <v>28436</v>
      </c>
      <c r="T96" s="112">
        <v>2</v>
      </c>
    </row>
    <row r="97" spans="1:20" x14ac:dyDescent="0.2">
      <c r="A97" s="102" t="s">
        <v>7278</v>
      </c>
      <c r="B97" s="102" t="s">
        <v>25591</v>
      </c>
      <c r="C97" s="102" t="s">
        <v>8</v>
      </c>
      <c r="D97" s="102" t="s">
        <v>14</v>
      </c>
      <c r="E97" s="102" t="s">
        <v>25711</v>
      </c>
      <c r="F97" s="102" t="s">
        <v>26687</v>
      </c>
      <c r="G97" s="102" t="s">
        <v>28588</v>
      </c>
      <c r="H97" s="102" t="s">
        <v>28604</v>
      </c>
      <c r="I97" s="102" t="s">
        <v>42</v>
      </c>
      <c r="J97" s="102" t="s">
        <v>26092</v>
      </c>
      <c r="K97" s="102" t="s">
        <v>25715</v>
      </c>
      <c r="L97" s="102" t="s">
        <v>25642</v>
      </c>
      <c r="M97" s="102" t="s">
        <v>12</v>
      </c>
      <c r="N97" s="102">
        <v>2094.3000000000002</v>
      </c>
      <c r="R97" t="str">
        <f t="shared" si="8"/>
        <v>21-090-53-57</v>
      </c>
      <c r="S97" s="129" t="s">
        <v>28390</v>
      </c>
      <c r="T97" s="112">
        <v>4</v>
      </c>
    </row>
    <row r="98" spans="1:20" x14ac:dyDescent="0.2">
      <c r="A98" s="102" t="s">
        <v>7278</v>
      </c>
      <c r="B98" s="102" t="s">
        <v>25591</v>
      </c>
      <c r="C98" s="102" t="s">
        <v>8</v>
      </c>
      <c r="D98" s="102" t="s">
        <v>14</v>
      </c>
      <c r="E98" s="102" t="s">
        <v>25711</v>
      </c>
      <c r="F98" s="102" t="s">
        <v>26687</v>
      </c>
      <c r="G98" s="102" t="s">
        <v>28588</v>
      </c>
      <c r="H98" s="102" t="s">
        <v>28604</v>
      </c>
      <c r="I98" s="102" t="s">
        <v>42</v>
      </c>
      <c r="J98" s="102" t="s">
        <v>26092</v>
      </c>
      <c r="K98" s="102" t="s">
        <v>25715</v>
      </c>
      <c r="L98" s="102" t="s">
        <v>25642</v>
      </c>
      <c r="M98" s="102" t="s">
        <v>12</v>
      </c>
      <c r="N98" s="102">
        <v>2094.3000000000002</v>
      </c>
      <c r="R98" t="str">
        <f t="shared" si="8"/>
        <v>21-090-53-59</v>
      </c>
      <c r="S98" s="129" t="s">
        <v>28386</v>
      </c>
      <c r="T98" s="112">
        <v>7</v>
      </c>
    </row>
    <row r="99" spans="1:20" x14ac:dyDescent="0.2">
      <c r="A99" s="102" t="s">
        <v>7278</v>
      </c>
      <c r="B99" s="102" t="s">
        <v>25591</v>
      </c>
      <c r="C99" s="102" t="s">
        <v>8</v>
      </c>
      <c r="D99" s="102" t="s">
        <v>14</v>
      </c>
      <c r="E99" s="102" t="s">
        <v>25711</v>
      </c>
      <c r="F99" s="102" t="s">
        <v>26687</v>
      </c>
      <c r="G99" s="102" t="s">
        <v>28588</v>
      </c>
      <c r="H99" s="102" t="s">
        <v>28604</v>
      </c>
      <c r="I99" s="102" t="s">
        <v>42</v>
      </c>
      <c r="J99" s="102" t="s">
        <v>26092</v>
      </c>
      <c r="K99" s="102" t="s">
        <v>25715</v>
      </c>
      <c r="L99" s="102" t="s">
        <v>25642</v>
      </c>
      <c r="M99" s="102" t="s">
        <v>12</v>
      </c>
      <c r="N99" s="102">
        <v>2094.3000000000002</v>
      </c>
      <c r="R99" t="str">
        <f t="shared" si="8"/>
        <v>21-090-53-61</v>
      </c>
      <c r="S99" s="129" t="s">
        <v>28391</v>
      </c>
      <c r="T99" s="112">
        <v>6</v>
      </c>
    </row>
    <row r="100" spans="1:20" x14ac:dyDescent="0.2">
      <c r="A100" s="102" t="s">
        <v>7278</v>
      </c>
      <c r="B100" s="102" t="s">
        <v>25591</v>
      </c>
      <c r="C100" s="102" t="s">
        <v>8</v>
      </c>
      <c r="D100" s="102" t="s">
        <v>14</v>
      </c>
      <c r="E100" s="102" t="s">
        <v>25711</v>
      </c>
      <c r="F100" s="102" t="s">
        <v>26687</v>
      </c>
      <c r="G100" s="102" t="s">
        <v>28588</v>
      </c>
      <c r="H100" s="102" t="s">
        <v>28604</v>
      </c>
      <c r="I100" s="102" t="s">
        <v>42</v>
      </c>
      <c r="J100" s="102" t="s">
        <v>26092</v>
      </c>
      <c r="K100" s="102" t="s">
        <v>25715</v>
      </c>
      <c r="L100" s="102" t="s">
        <v>25642</v>
      </c>
      <c r="M100" s="102" t="s">
        <v>12</v>
      </c>
      <c r="N100" s="102">
        <v>2094.3000000000002</v>
      </c>
      <c r="R100" t="str">
        <f t="shared" si="8"/>
        <v>21-090-53-63</v>
      </c>
      <c r="S100" s="129" t="s">
        <v>28436</v>
      </c>
      <c r="T100" s="112">
        <v>2</v>
      </c>
    </row>
    <row r="101" spans="1:20" x14ac:dyDescent="0.2">
      <c r="A101" s="102" t="s">
        <v>7246</v>
      </c>
      <c r="B101" s="102" t="s">
        <v>25591</v>
      </c>
      <c r="C101" s="102" t="s">
        <v>8</v>
      </c>
      <c r="D101" s="102" t="s">
        <v>14</v>
      </c>
      <c r="E101" s="102" t="s">
        <v>25711</v>
      </c>
      <c r="F101" s="102" t="s">
        <v>26687</v>
      </c>
      <c r="G101" s="102" t="s">
        <v>28588</v>
      </c>
      <c r="H101" s="102" t="s">
        <v>28591</v>
      </c>
      <c r="I101" s="102" t="s">
        <v>29</v>
      </c>
      <c r="J101" s="102" t="s">
        <v>26092</v>
      </c>
      <c r="K101" s="102" t="s">
        <v>25715</v>
      </c>
      <c r="L101" s="102" t="s">
        <v>25642</v>
      </c>
      <c r="M101" s="102" t="s">
        <v>12</v>
      </c>
      <c r="N101" s="102">
        <v>2094.3000000000002</v>
      </c>
      <c r="R101" t="str">
        <f t="shared" ref="R101:R115" si="9">A101&amp;"-"&amp;S101</f>
        <v>21-090-02-55</v>
      </c>
      <c r="S101" s="129" t="s">
        <v>28313</v>
      </c>
      <c r="T101" s="112">
        <v>1</v>
      </c>
    </row>
    <row r="102" spans="1:20" x14ac:dyDescent="0.2">
      <c r="A102" s="102" t="s">
        <v>7246</v>
      </c>
      <c r="B102" s="102" t="s">
        <v>25591</v>
      </c>
      <c r="C102" s="102" t="s">
        <v>8</v>
      </c>
      <c r="D102" s="102" t="s">
        <v>14</v>
      </c>
      <c r="E102" s="102" t="s">
        <v>25711</v>
      </c>
      <c r="F102" s="102" t="s">
        <v>26687</v>
      </c>
      <c r="G102" s="102" t="s">
        <v>28588</v>
      </c>
      <c r="H102" s="102" t="s">
        <v>28591</v>
      </c>
      <c r="I102" s="102" t="s">
        <v>29</v>
      </c>
      <c r="J102" s="102" t="s">
        <v>26092</v>
      </c>
      <c r="K102" s="102" t="s">
        <v>25715</v>
      </c>
      <c r="L102" s="102" t="s">
        <v>25642</v>
      </c>
      <c r="M102" s="102" t="s">
        <v>12</v>
      </c>
      <c r="N102" s="102">
        <v>2094.3000000000002</v>
      </c>
      <c r="R102" t="str">
        <f t="shared" si="9"/>
        <v>21-090-02-57</v>
      </c>
      <c r="S102" s="129" t="s">
        <v>28390</v>
      </c>
      <c r="T102" s="112">
        <v>6</v>
      </c>
    </row>
    <row r="103" spans="1:20" x14ac:dyDescent="0.2">
      <c r="A103" s="102" t="s">
        <v>7246</v>
      </c>
      <c r="B103" s="102" t="s">
        <v>25591</v>
      </c>
      <c r="C103" s="102" t="s">
        <v>8</v>
      </c>
      <c r="D103" s="102" t="s">
        <v>14</v>
      </c>
      <c r="E103" s="102" t="s">
        <v>25711</v>
      </c>
      <c r="F103" s="102" t="s">
        <v>26687</v>
      </c>
      <c r="G103" s="102" t="s">
        <v>28588</v>
      </c>
      <c r="H103" s="102" t="s">
        <v>28591</v>
      </c>
      <c r="I103" s="102" t="s">
        <v>29</v>
      </c>
      <c r="J103" s="102" t="s">
        <v>26092</v>
      </c>
      <c r="K103" s="102" t="s">
        <v>25715</v>
      </c>
      <c r="L103" s="102" t="s">
        <v>25642</v>
      </c>
      <c r="M103" s="102" t="s">
        <v>12</v>
      </c>
      <c r="N103" s="102">
        <v>2094.3000000000002</v>
      </c>
      <c r="R103" t="str">
        <f t="shared" si="9"/>
        <v>21-090-02-59</v>
      </c>
      <c r="S103" s="129" t="s">
        <v>28386</v>
      </c>
      <c r="T103" s="112">
        <v>8</v>
      </c>
    </row>
    <row r="104" spans="1:20" x14ac:dyDescent="0.2">
      <c r="A104" s="102" t="s">
        <v>7246</v>
      </c>
      <c r="B104" s="102" t="s">
        <v>25591</v>
      </c>
      <c r="C104" s="102" t="s">
        <v>8</v>
      </c>
      <c r="D104" s="102" t="s">
        <v>14</v>
      </c>
      <c r="E104" s="102" t="s">
        <v>25711</v>
      </c>
      <c r="F104" s="102" t="s">
        <v>26687</v>
      </c>
      <c r="G104" s="102" t="s">
        <v>28588</v>
      </c>
      <c r="H104" s="102" t="s">
        <v>28591</v>
      </c>
      <c r="I104" s="102" t="s">
        <v>29</v>
      </c>
      <c r="J104" s="102" t="s">
        <v>26092</v>
      </c>
      <c r="K104" s="102" t="s">
        <v>25715</v>
      </c>
      <c r="L104" s="102" t="s">
        <v>25642</v>
      </c>
      <c r="M104" s="102" t="s">
        <v>12</v>
      </c>
      <c r="N104" s="102">
        <v>2094.3000000000002</v>
      </c>
      <c r="R104" t="str">
        <f t="shared" si="9"/>
        <v>21-090-02-61</v>
      </c>
      <c r="S104" s="129" t="s">
        <v>28391</v>
      </c>
      <c r="T104" s="112">
        <v>5</v>
      </c>
    </row>
    <row r="105" spans="1:20" x14ac:dyDescent="0.2">
      <c r="A105" s="102" t="s">
        <v>7246</v>
      </c>
      <c r="B105" s="102" t="s">
        <v>25591</v>
      </c>
      <c r="C105" s="102" t="s">
        <v>8</v>
      </c>
      <c r="D105" s="102" t="s">
        <v>14</v>
      </c>
      <c r="E105" s="102" t="s">
        <v>25711</v>
      </c>
      <c r="F105" s="102" t="s">
        <v>26687</v>
      </c>
      <c r="G105" s="102" t="s">
        <v>28588</v>
      </c>
      <c r="H105" s="102" t="s">
        <v>28591</v>
      </c>
      <c r="I105" s="102" t="s">
        <v>29</v>
      </c>
      <c r="J105" s="102" t="s">
        <v>26092</v>
      </c>
      <c r="K105" s="102" t="s">
        <v>25715</v>
      </c>
      <c r="L105" s="102" t="s">
        <v>25642</v>
      </c>
      <c r="M105" s="102" t="s">
        <v>12</v>
      </c>
      <c r="N105" s="102">
        <v>2094.3000000000002</v>
      </c>
      <c r="R105" t="str">
        <f t="shared" si="9"/>
        <v>21-090-02-63</v>
      </c>
      <c r="S105" s="129" t="s">
        <v>28436</v>
      </c>
      <c r="T105" s="112">
        <v>3</v>
      </c>
    </row>
    <row r="106" spans="1:20" x14ac:dyDescent="0.2">
      <c r="A106" s="102" t="s">
        <v>7268</v>
      </c>
      <c r="B106" s="102" t="s">
        <v>25591</v>
      </c>
      <c r="C106" s="102" t="s">
        <v>8</v>
      </c>
      <c r="D106" s="102" t="s">
        <v>14</v>
      </c>
      <c r="E106" s="102" t="s">
        <v>25711</v>
      </c>
      <c r="F106" s="102" t="s">
        <v>26687</v>
      </c>
      <c r="G106" s="102" t="s">
        <v>28588</v>
      </c>
      <c r="H106" s="102" t="s">
        <v>28602</v>
      </c>
      <c r="I106" s="102" t="s">
        <v>100</v>
      </c>
      <c r="J106" s="102" t="s">
        <v>26092</v>
      </c>
      <c r="K106" s="102" t="s">
        <v>25715</v>
      </c>
      <c r="L106" s="102" t="s">
        <v>25642</v>
      </c>
      <c r="M106" s="102" t="s">
        <v>12</v>
      </c>
      <c r="N106" s="102">
        <v>2094.3000000000002</v>
      </c>
      <c r="R106" t="str">
        <f t="shared" si="9"/>
        <v>21-090-17-55</v>
      </c>
      <c r="S106" s="129" t="s">
        <v>28313</v>
      </c>
      <c r="T106" s="112">
        <v>3</v>
      </c>
    </row>
    <row r="107" spans="1:20" x14ac:dyDescent="0.2">
      <c r="A107" s="102" t="s">
        <v>7268</v>
      </c>
      <c r="B107" s="102" t="s">
        <v>25591</v>
      </c>
      <c r="C107" s="102" t="s">
        <v>8</v>
      </c>
      <c r="D107" s="102" t="s">
        <v>14</v>
      </c>
      <c r="E107" s="102" t="s">
        <v>25711</v>
      </c>
      <c r="F107" s="102" t="s">
        <v>26687</v>
      </c>
      <c r="G107" s="102" t="s">
        <v>28588</v>
      </c>
      <c r="H107" s="102" t="s">
        <v>28602</v>
      </c>
      <c r="I107" s="102" t="s">
        <v>100</v>
      </c>
      <c r="J107" s="102" t="s">
        <v>26092</v>
      </c>
      <c r="K107" s="102" t="s">
        <v>25715</v>
      </c>
      <c r="L107" s="102" t="s">
        <v>25642</v>
      </c>
      <c r="M107" s="102" t="s">
        <v>12</v>
      </c>
      <c r="N107" s="102">
        <v>2094.3000000000002</v>
      </c>
      <c r="R107" t="str">
        <f t="shared" si="9"/>
        <v>21-090-17-57</v>
      </c>
      <c r="S107" s="129" t="s">
        <v>28390</v>
      </c>
      <c r="T107" s="112">
        <v>11</v>
      </c>
    </row>
    <row r="108" spans="1:20" x14ac:dyDescent="0.2">
      <c r="A108" s="102" t="s">
        <v>7268</v>
      </c>
      <c r="B108" s="102" t="s">
        <v>25591</v>
      </c>
      <c r="C108" s="102" t="s">
        <v>8</v>
      </c>
      <c r="D108" s="102" t="s">
        <v>14</v>
      </c>
      <c r="E108" s="102" t="s">
        <v>25711</v>
      </c>
      <c r="F108" s="102" t="s">
        <v>26687</v>
      </c>
      <c r="G108" s="102" t="s">
        <v>28588</v>
      </c>
      <c r="H108" s="102" t="s">
        <v>28602</v>
      </c>
      <c r="I108" s="102" t="s">
        <v>100</v>
      </c>
      <c r="J108" s="102" t="s">
        <v>26092</v>
      </c>
      <c r="K108" s="102" t="s">
        <v>25715</v>
      </c>
      <c r="L108" s="102" t="s">
        <v>25642</v>
      </c>
      <c r="M108" s="102" t="s">
        <v>12</v>
      </c>
      <c r="N108" s="102">
        <v>2094.3000000000002</v>
      </c>
      <c r="R108" t="str">
        <f t="shared" si="9"/>
        <v>21-090-17-59</v>
      </c>
      <c r="S108" s="129" t="s">
        <v>28386</v>
      </c>
      <c r="T108" s="112">
        <v>14</v>
      </c>
    </row>
    <row r="109" spans="1:20" x14ac:dyDescent="0.2">
      <c r="A109" s="102" t="s">
        <v>7268</v>
      </c>
      <c r="B109" s="102" t="s">
        <v>25591</v>
      </c>
      <c r="C109" s="102" t="s">
        <v>8</v>
      </c>
      <c r="D109" s="102" t="s">
        <v>14</v>
      </c>
      <c r="E109" s="102" t="s">
        <v>25711</v>
      </c>
      <c r="F109" s="102" t="s">
        <v>26687</v>
      </c>
      <c r="G109" s="102" t="s">
        <v>28588</v>
      </c>
      <c r="H109" s="102" t="s">
        <v>28602</v>
      </c>
      <c r="I109" s="102" t="s">
        <v>100</v>
      </c>
      <c r="J109" s="102" t="s">
        <v>26092</v>
      </c>
      <c r="K109" s="102" t="s">
        <v>25715</v>
      </c>
      <c r="L109" s="102" t="s">
        <v>25642</v>
      </c>
      <c r="M109" s="102" t="s">
        <v>12</v>
      </c>
      <c r="N109" s="102">
        <v>2094.3000000000002</v>
      </c>
      <c r="R109" t="str">
        <f t="shared" si="9"/>
        <v>21-090-17-61</v>
      </c>
      <c r="S109" s="129" t="s">
        <v>28391</v>
      </c>
      <c r="T109" s="112">
        <v>10</v>
      </c>
    </row>
    <row r="110" spans="1:20" x14ac:dyDescent="0.2">
      <c r="A110" s="102" t="s">
        <v>7268</v>
      </c>
      <c r="B110" s="102" t="s">
        <v>25591</v>
      </c>
      <c r="C110" s="102" t="s">
        <v>8</v>
      </c>
      <c r="D110" s="102" t="s">
        <v>14</v>
      </c>
      <c r="E110" s="102" t="s">
        <v>25711</v>
      </c>
      <c r="F110" s="102" t="s">
        <v>26687</v>
      </c>
      <c r="G110" s="102" t="s">
        <v>28588</v>
      </c>
      <c r="H110" s="102" t="s">
        <v>28602</v>
      </c>
      <c r="I110" s="102" t="s">
        <v>100</v>
      </c>
      <c r="J110" s="102" t="s">
        <v>26092</v>
      </c>
      <c r="K110" s="102" t="s">
        <v>25715</v>
      </c>
      <c r="L110" s="102" t="s">
        <v>25642</v>
      </c>
      <c r="M110" s="102" t="s">
        <v>12</v>
      </c>
      <c r="N110" s="102">
        <v>2094.3000000000002</v>
      </c>
      <c r="R110" t="str">
        <f t="shared" si="9"/>
        <v>21-090-17-63</v>
      </c>
      <c r="S110" s="129" t="s">
        <v>28436</v>
      </c>
      <c r="T110" s="112">
        <v>3</v>
      </c>
    </row>
    <row r="111" spans="1:20" x14ac:dyDescent="0.2">
      <c r="A111" s="102" t="s">
        <v>7310</v>
      </c>
      <c r="B111" s="102" t="s">
        <v>25592</v>
      </c>
      <c r="C111" s="102" t="s">
        <v>8</v>
      </c>
      <c r="D111" s="102" t="s">
        <v>14</v>
      </c>
      <c r="E111" s="102" t="s">
        <v>25711</v>
      </c>
      <c r="F111" s="102" t="s">
        <v>91</v>
      </c>
      <c r="G111" s="102" t="s">
        <v>28588</v>
      </c>
      <c r="H111" s="102" t="s">
        <v>28605</v>
      </c>
      <c r="I111" s="102" t="s">
        <v>147</v>
      </c>
      <c r="J111" s="102" t="s">
        <v>25770</v>
      </c>
      <c r="L111" s="102" t="s">
        <v>25642</v>
      </c>
      <c r="M111" s="102" t="s">
        <v>12</v>
      </c>
      <c r="N111" s="102">
        <v>2094.3000000000002</v>
      </c>
      <c r="R111" t="str">
        <f t="shared" si="9"/>
        <v>21-091-60-55</v>
      </c>
      <c r="S111" s="129" t="s">
        <v>28313</v>
      </c>
      <c r="T111" s="112">
        <v>2</v>
      </c>
    </row>
    <row r="112" spans="1:20" x14ac:dyDescent="0.2">
      <c r="A112" s="102" t="s">
        <v>7310</v>
      </c>
      <c r="B112" s="102" t="s">
        <v>25592</v>
      </c>
      <c r="C112" s="102" t="s">
        <v>8</v>
      </c>
      <c r="D112" s="102" t="s">
        <v>14</v>
      </c>
      <c r="E112" s="102" t="s">
        <v>25711</v>
      </c>
      <c r="F112" s="102" t="s">
        <v>91</v>
      </c>
      <c r="G112" s="102" t="s">
        <v>28588</v>
      </c>
      <c r="H112" s="102" t="s">
        <v>28605</v>
      </c>
      <c r="I112" s="102" t="s">
        <v>147</v>
      </c>
      <c r="J112" s="102" t="s">
        <v>25770</v>
      </c>
      <c r="L112" s="102" t="s">
        <v>25642</v>
      </c>
      <c r="M112" s="102" t="s">
        <v>12</v>
      </c>
      <c r="N112" s="102">
        <v>2094.3000000000002</v>
      </c>
      <c r="R112" t="str">
        <f t="shared" si="9"/>
        <v>21-091-60-57</v>
      </c>
      <c r="S112" s="129" t="s">
        <v>28390</v>
      </c>
      <c r="T112" s="112">
        <v>7</v>
      </c>
    </row>
    <row r="113" spans="1:20" x14ac:dyDescent="0.2">
      <c r="A113" s="102" t="s">
        <v>7310</v>
      </c>
      <c r="B113" s="102" t="s">
        <v>25592</v>
      </c>
      <c r="C113" s="102" t="s">
        <v>8</v>
      </c>
      <c r="D113" s="102" t="s">
        <v>14</v>
      </c>
      <c r="E113" s="102" t="s">
        <v>25711</v>
      </c>
      <c r="F113" s="102" t="s">
        <v>91</v>
      </c>
      <c r="G113" s="102" t="s">
        <v>28588</v>
      </c>
      <c r="H113" s="102" t="s">
        <v>28605</v>
      </c>
      <c r="I113" s="102" t="s">
        <v>147</v>
      </c>
      <c r="J113" s="102" t="s">
        <v>25770</v>
      </c>
      <c r="L113" s="102" t="s">
        <v>25642</v>
      </c>
      <c r="M113" s="102" t="s">
        <v>12</v>
      </c>
      <c r="N113" s="102">
        <v>2094.3000000000002</v>
      </c>
      <c r="R113" t="str">
        <f t="shared" si="9"/>
        <v>21-091-60-59</v>
      </c>
      <c r="S113" s="129" t="s">
        <v>28386</v>
      </c>
      <c r="T113" s="112">
        <v>9</v>
      </c>
    </row>
    <row r="114" spans="1:20" x14ac:dyDescent="0.2">
      <c r="A114" s="102" t="s">
        <v>7310</v>
      </c>
      <c r="B114" s="102" t="s">
        <v>25592</v>
      </c>
      <c r="C114" s="102" t="s">
        <v>8</v>
      </c>
      <c r="D114" s="102" t="s">
        <v>14</v>
      </c>
      <c r="E114" s="102" t="s">
        <v>25711</v>
      </c>
      <c r="F114" s="102" t="s">
        <v>91</v>
      </c>
      <c r="G114" s="102" t="s">
        <v>28588</v>
      </c>
      <c r="H114" s="102" t="s">
        <v>28605</v>
      </c>
      <c r="I114" s="102" t="s">
        <v>147</v>
      </c>
      <c r="J114" s="102" t="s">
        <v>25770</v>
      </c>
      <c r="L114" s="102" t="s">
        <v>25642</v>
      </c>
      <c r="M114" s="102" t="s">
        <v>12</v>
      </c>
      <c r="N114" s="102">
        <v>2094.3000000000002</v>
      </c>
      <c r="R114" t="str">
        <f t="shared" si="9"/>
        <v>21-091-60-61</v>
      </c>
      <c r="S114" s="129" t="s">
        <v>28391</v>
      </c>
      <c r="T114" s="112">
        <v>5</v>
      </c>
    </row>
    <row r="115" spans="1:20" x14ac:dyDescent="0.2">
      <c r="A115" s="102" t="s">
        <v>7310</v>
      </c>
      <c r="B115" s="102" t="s">
        <v>25592</v>
      </c>
      <c r="C115" s="102" t="s">
        <v>8</v>
      </c>
      <c r="D115" s="102" t="s">
        <v>14</v>
      </c>
      <c r="E115" s="102" t="s">
        <v>25711</v>
      </c>
      <c r="F115" s="102" t="s">
        <v>91</v>
      </c>
      <c r="G115" s="102" t="s">
        <v>28588</v>
      </c>
      <c r="H115" s="102" t="s">
        <v>28605</v>
      </c>
      <c r="I115" s="102" t="s">
        <v>147</v>
      </c>
      <c r="J115" s="102" t="s">
        <v>25770</v>
      </c>
      <c r="L115" s="102" t="s">
        <v>25642</v>
      </c>
      <c r="M115" s="102" t="s">
        <v>12</v>
      </c>
      <c r="N115" s="102">
        <v>2094.3000000000002</v>
      </c>
      <c r="R115" t="str">
        <f t="shared" si="9"/>
        <v>21-091-60-63</v>
      </c>
      <c r="S115" s="129" t="s">
        <v>28436</v>
      </c>
      <c r="T115" s="112">
        <v>1</v>
      </c>
    </row>
    <row r="116" spans="1:20" x14ac:dyDescent="0.2">
      <c r="A116" s="102" t="s">
        <v>27084</v>
      </c>
      <c r="B116" s="102" t="s">
        <v>25592</v>
      </c>
      <c r="C116" s="102" t="s">
        <v>8</v>
      </c>
      <c r="D116" s="102" t="s">
        <v>14</v>
      </c>
      <c r="E116" s="102" t="s">
        <v>25711</v>
      </c>
      <c r="F116" s="102" t="s">
        <v>26687</v>
      </c>
      <c r="G116" s="102" t="s">
        <v>28588</v>
      </c>
      <c r="H116" s="102" t="s">
        <v>28606</v>
      </c>
      <c r="I116" s="102" t="s">
        <v>25406</v>
      </c>
      <c r="J116" s="102" t="s">
        <v>25770</v>
      </c>
      <c r="L116" s="102" t="s">
        <v>25642</v>
      </c>
      <c r="M116" s="102" t="s">
        <v>12</v>
      </c>
      <c r="N116" s="102">
        <v>2094.3000000000002</v>
      </c>
      <c r="R116" t="str">
        <f t="shared" ref="R116:R128" si="10">A116&amp;"-"&amp;S116</f>
        <v>21-091-00-55</v>
      </c>
      <c r="S116" s="129" t="s">
        <v>28313</v>
      </c>
      <c r="T116" s="112">
        <v>3</v>
      </c>
    </row>
    <row r="117" spans="1:20" x14ac:dyDescent="0.2">
      <c r="A117" s="102" t="s">
        <v>27084</v>
      </c>
      <c r="B117" s="102" t="s">
        <v>25592</v>
      </c>
      <c r="C117" s="102" t="s">
        <v>8</v>
      </c>
      <c r="D117" s="102" t="s">
        <v>14</v>
      </c>
      <c r="E117" s="102" t="s">
        <v>25711</v>
      </c>
      <c r="F117" s="102" t="s">
        <v>26687</v>
      </c>
      <c r="G117" s="102" t="s">
        <v>28588</v>
      </c>
      <c r="H117" s="102" t="s">
        <v>28606</v>
      </c>
      <c r="I117" s="102" t="s">
        <v>25406</v>
      </c>
      <c r="J117" s="102" t="s">
        <v>25770</v>
      </c>
      <c r="L117" s="102" t="s">
        <v>25642</v>
      </c>
      <c r="M117" s="102" t="s">
        <v>12</v>
      </c>
      <c r="N117" s="102">
        <v>2094.3000000000002</v>
      </c>
      <c r="R117" t="str">
        <f t="shared" si="10"/>
        <v>21-091-00-57</v>
      </c>
      <c r="S117" s="129" t="s">
        <v>28390</v>
      </c>
      <c r="T117" s="112">
        <v>9</v>
      </c>
    </row>
    <row r="118" spans="1:20" x14ac:dyDescent="0.2">
      <c r="A118" s="102" t="s">
        <v>27084</v>
      </c>
      <c r="B118" s="102" t="s">
        <v>25592</v>
      </c>
      <c r="C118" s="102" t="s">
        <v>8</v>
      </c>
      <c r="D118" s="102" t="s">
        <v>14</v>
      </c>
      <c r="E118" s="102" t="s">
        <v>25711</v>
      </c>
      <c r="F118" s="102" t="s">
        <v>26687</v>
      </c>
      <c r="G118" s="102" t="s">
        <v>28588</v>
      </c>
      <c r="H118" s="102" t="s">
        <v>28606</v>
      </c>
      <c r="I118" s="102" t="s">
        <v>25406</v>
      </c>
      <c r="J118" s="102" t="s">
        <v>25770</v>
      </c>
      <c r="L118" s="102" t="s">
        <v>25642</v>
      </c>
      <c r="M118" s="102" t="s">
        <v>12</v>
      </c>
      <c r="N118" s="102">
        <v>2094.3000000000002</v>
      </c>
      <c r="R118" t="str">
        <f t="shared" si="10"/>
        <v>21-091-00-59</v>
      </c>
      <c r="S118" s="129" t="s">
        <v>28386</v>
      </c>
      <c r="T118" s="112">
        <v>11</v>
      </c>
    </row>
    <row r="119" spans="1:20" x14ac:dyDescent="0.2">
      <c r="A119" s="102" t="s">
        <v>27084</v>
      </c>
      <c r="B119" s="102" t="s">
        <v>25592</v>
      </c>
      <c r="C119" s="102" t="s">
        <v>8</v>
      </c>
      <c r="D119" s="102" t="s">
        <v>14</v>
      </c>
      <c r="E119" s="102" t="s">
        <v>25711</v>
      </c>
      <c r="F119" s="102" t="s">
        <v>26687</v>
      </c>
      <c r="G119" s="102" t="s">
        <v>28588</v>
      </c>
      <c r="H119" s="102" t="s">
        <v>28606</v>
      </c>
      <c r="I119" s="102" t="s">
        <v>25406</v>
      </c>
      <c r="J119" s="102" t="s">
        <v>25770</v>
      </c>
      <c r="L119" s="102" t="s">
        <v>25642</v>
      </c>
      <c r="M119" s="102" t="s">
        <v>12</v>
      </c>
      <c r="N119" s="102">
        <v>2094.3000000000002</v>
      </c>
      <c r="R119" t="str">
        <f t="shared" si="10"/>
        <v>21-091-00-61</v>
      </c>
      <c r="S119" s="129" t="s">
        <v>28391</v>
      </c>
      <c r="T119" s="112">
        <v>8</v>
      </c>
    </row>
    <row r="120" spans="1:20" x14ac:dyDescent="0.2">
      <c r="A120" s="102" t="s">
        <v>27084</v>
      </c>
      <c r="B120" s="102" t="s">
        <v>25592</v>
      </c>
      <c r="C120" s="102" t="s">
        <v>8</v>
      </c>
      <c r="D120" s="102" t="s">
        <v>14</v>
      </c>
      <c r="E120" s="102" t="s">
        <v>25711</v>
      </c>
      <c r="F120" s="102" t="s">
        <v>26687</v>
      </c>
      <c r="G120" s="102" t="s">
        <v>28588</v>
      </c>
      <c r="H120" s="102" t="s">
        <v>28606</v>
      </c>
      <c r="I120" s="102" t="s">
        <v>25406</v>
      </c>
      <c r="J120" s="102" t="s">
        <v>25770</v>
      </c>
      <c r="L120" s="102" t="s">
        <v>25642</v>
      </c>
      <c r="M120" s="102" t="s">
        <v>12</v>
      </c>
      <c r="N120" s="102">
        <v>2094.3000000000002</v>
      </c>
      <c r="R120" t="str">
        <f t="shared" si="10"/>
        <v>21-091-00-63</v>
      </c>
      <c r="S120" s="129" t="s">
        <v>28436</v>
      </c>
      <c r="T120" s="112">
        <v>3</v>
      </c>
    </row>
    <row r="121" spans="1:20" x14ac:dyDescent="0.2">
      <c r="A121" s="102" t="s">
        <v>28522</v>
      </c>
      <c r="B121" s="102" t="s">
        <v>25592</v>
      </c>
      <c r="C121" s="102" t="s">
        <v>8</v>
      </c>
      <c r="D121" s="102" t="s">
        <v>14</v>
      </c>
      <c r="E121" s="102" t="s">
        <v>25711</v>
      </c>
      <c r="F121" s="102" t="s">
        <v>26687</v>
      </c>
      <c r="G121" s="102" t="s">
        <v>28588</v>
      </c>
      <c r="H121" s="102" t="s">
        <v>28607</v>
      </c>
      <c r="I121" s="102" t="s">
        <v>28</v>
      </c>
      <c r="J121" s="102" t="s">
        <v>25770</v>
      </c>
      <c r="L121" s="102" t="s">
        <v>25642</v>
      </c>
      <c r="M121" s="102" t="s">
        <v>12</v>
      </c>
      <c r="N121" s="102">
        <v>2094.3000000000002</v>
      </c>
      <c r="R121" t="str">
        <f t="shared" si="10"/>
        <v>21-091-08-55</v>
      </c>
      <c r="S121" s="129" t="s">
        <v>28313</v>
      </c>
      <c r="T121" s="112">
        <v>3</v>
      </c>
    </row>
    <row r="122" spans="1:20" x14ac:dyDescent="0.2">
      <c r="A122" s="102" t="s">
        <v>28522</v>
      </c>
      <c r="B122" s="102" t="s">
        <v>25592</v>
      </c>
      <c r="C122" s="102" t="s">
        <v>8</v>
      </c>
      <c r="D122" s="102" t="s">
        <v>14</v>
      </c>
      <c r="E122" s="102" t="s">
        <v>25711</v>
      </c>
      <c r="F122" s="102" t="s">
        <v>26687</v>
      </c>
      <c r="G122" s="102" t="s">
        <v>28588</v>
      </c>
      <c r="H122" s="102" t="s">
        <v>28607</v>
      </c>
      <c r="I122" s="102" t="s">
        <v>28</v>
      </c>
      <c r="J122" s="102" t="s">
        <v>25770</v>
      </c>
      <c r="L122" s="102" t="s">
        <v>25642</v>
      </c>
      <c r="M122" s="102" t="s">
        <v>12</v>
      </c>
      <c r="N122" s="102">
        <v>2094.3000000000002</v>
      </c>
      <c r="R122" t="str">
        <f t="shared" si="10"/>
        <v>21-091-08-57</v>
      </c>
      <c r="S122" s="129" t="s">
        <v>28390</v>
      </c>
      <c r="T122" s="112">
        <v>9</v>
      </c>
    </row>
    <row r="123" spans="1:20" x14ac:dyDescent="0.2">
      <c r="A123" s="102" t="s">
        <v>28522</v>
      </c>
      <c r="B123" s="102" t="s">
        <v>25592</v>
      </c>
      <c r="C123" s="102" t="s">
        <v>8</v>
      </c>
      <c r="D123" s="102" t="s">
        <v>14</v>
      </c>
      <c r="E123" s="102" t="s">
        <v>25711</v>
      </c>
      <c r="F123" s="102" t="s">
        <v>26687</v>
      </c>
      <c r="G123" s="102" t="s">
        <v>28588</v>
      </c>
      <c r="H123" s="102" t="s">
        <v>28607</v>
      </c>
      <c r="I123" s="102" t="s">
        <v>28</v>
      </c>
      <c r="J123" s="102" t="s">
        <v>25770</v>
      </c>
      <c r="L123" s="102" t="s">
        <v>25642</v>
      </c>
      <c r="M123" s="102" t="s">
        <v>12</v>
      </c>
      <c r="N123" s="102">
        <v>2094.3000000000002</v>
      </c>
      <c r="R123" t="str">
        <f t="shared" si="10"/>
        <v>21-091-08-59</v>
      </c>
      <c r="S123" s="129" t="s">
        <v>28386</v>
      </c>
      <c r="T123" s="112">
        <v>11</v>
      </c>
    </row>
    <row r="124" spans="1:20" x14ac:dyDescent="0.2">
      <c r="A124" s="102" t="s">
        <v>28522</v>
      </c>
      <c r="B124" s="102" t="s">
        <v>25592</v>
      </c>
      <c r="C124" s="102" t="s">
        <v>8</v>
      </c>
      <c r="D124" s="102" t="s">
        <v>14</v>
      </c>
      <c r="E124" s="102" t="s">
        <v>25711</v>
      </c>
      <c r="F124" s="102" t="s">
        <v>26687</v>
      </c>
      <c r="G124" s="102" t="s">
        <v>28588</v>
      </c>
      <c r="H124" s="102" t="s">
        <v>28607</v>
      </c>
      <c r="I124" s="102" t="s">
        <v>28</v>
      </c>
      <c r="J124" s="102" t="s">
        <v>25770</v>
      </c>
      <c r="L124" s="102" t="s">
        <v>25642</v>
      </c>
      <c r="M124" s="102" t="s">
        <v>12</v>
      </c>
      <c r="N124" s="102">
        <v>2094.3000000000002</v>
      </c>
      <c r="R124" t="str">
        <f t="shared" si="10"/>
        <v>21-091-08-61</v>
      </c>
      <c r="S124" s="129" t="s">
        <v>28391</v>
      </c>
      <c r="T124" s="112">
        <v>8</v>
      </c>
    </row>
    <row r="125" spans="1:20" x14ac:dyDescent="0.2">
      <c r="A125" s="102" t="s">
        <v>28522</v>
      </c>
      <c r="B125" s="102" t="s">
        <v>25592</v>
      </c>
      <c r="C125" s="102" t="s">
        <v>8</v>
      </c>
      <c r="D125" s="102" t="s">
        <v>14</v>
      </c>
      <c r="E125" s="102" t="s">
        <v>25711</v>
      </c>
      <c r="F125" s="102" t="s">
        <v>26687</v>
      </c>
      <c r="G125" s="102" t="s">
        <v>28588</v>
      </c>
      <c r="H125" s="102" t="s">
        <v>28607</v>
      </c>
      <c r="I125" s="102" t="s">
        <v>28</v>
      </c>
      <c r="J125" s="102" t="s">
        <v>25770</v>
      </c>
      <c r="L125" s="102" t="s">
        <v>25642</v>
      </c>
      <c r="M125" s="102" t="s">
        <v>12</v>
      </c>
      <c r="N125" s="102">
        <v>2094.3000000000002</v>
      </c>
      <c r="R125" t="str">
        <f t="shared" si="10"/>
        <v>21-091-08-63</v>
      </c>
      <c r="S125" s="129" t="s">
        <v>28436</v>
      </c>
      <c r="T125" s="112">
        <v>3</v>
      </c>
    </row>
    <row r="126" spans="1:20" x14ac:dyDescent="0.2">
      <c r="A126" s="102" t="s">
        <v>7296</v>
      </c>
      <c r="B126" s="102" t="s">
        <v>25592</v>
      </c>
      <c r="C126" s="102" t="s">
        <v>8</v>
      </c>
      <c r="D126" s="102" t="s">
        <v>14</v>
      </c>
      <c r="E126" s="102" t="s">
        <v>25711</v>
      </c>
      <c r="F126" s="102" t="s">
        <v>26687</v>
      </c>
      <c r="G126" s="102" t="s">
        <v>28588</v>
      </c>
      <c r="H126" s="102" t="s">
        <v>28608</v>
      </c>
      <c r="I126" s="102" t="s">
        <v>22</v>
      </c>
      <c r="J126" s="102" t="s">
        <v>25770</v>
      </c>
      <c r="L126" s="102" t="s">
        <v>25642</v>
      </c>
      <c r="M126" s="102" t="s">
        <v>12</v>
      </c>
      <c r="N126" s="102">
        <v>2094.3000000000002</v>
      </c>
      <c r="R126" t="str">
        <f t="shared" si="10"/>
        <v>21-091-14-55</v>
      </c>
      <c r="S126" s="129" t="s">
        <v>28313</v>
      </c>
      <c r="T126" s="112">
        <v>3</v>
      </c>
    </row>
    <row r="127" spans="1:20" x14ac:dyDescent="0.2">
      <c r="A127" s="102" t="s">
        <v>7296</v>
      </c>
      <c r="B127" s="102" t="s">
        <v>25592</v>
      </c>
      <c r="C127" s="102" t="s">
        <v>8</v>
      </c>
      <c r="D127" s="102" t="s">
        <v>14</v>
      </c>
      <c r="E127" s="102" t="s">
        <v>25711</v>
      </c>
      <c r="F127" s="102" t="s">
        <v>26687</v>
      </c>
      <c r="G127" s="102" t="s">
        <v>28588</v>
      </c>
      <c r="H127" s="102" t="s">
        <v>28608</v>
      </c>
      <c r="I127" s="102" t="s">
        <v>22</v>
      </c>
      <c r="J127" s="102" t="s">
        <v>25770</v>
      </c>
      <c r="L127" s="102" t="s">
        <v>25642</v>
      </c>
      <c r="M127" s="102" t="s">
        <v>12</v>
      </c>
      <c r="N127" s="102">
        <v>2094.3000000000002</v>
      </c>
      <c r="R127" t="str">
        <f t="shared" si="10"/>
        <v>21-091-14-57</v>
      </c>
      <c r="S127" s="129" t="s">
        <v>28390</v>
      </c>
      <c r="T127" s="112">
        <v>9</v>
      </c>
    </row>
    <row r="128" spans="1:20" x14ac:dyDescent="0.2">
      <c r="A128" s="102" t="s">
        <v>7296</v>
      </c>
      <c r="B128" s="102" t="s">
        <v>25592</v>
      </c>
      <c r="C128" s="102" t="s">
        <v>8</v>
      </c>
      <c r="D128" s="102" t="s">
        <v>14</v>
      </c>
      <c r="E128" s="102" t="s">
        <v>25711</v>
      </c>
      <c r="F128" s="102" t="s">
        <v>26687</v>
      </c>
      <c r="G128" s="102" t="s">
        <v>28588</v>
      </c>
      <c r="H128" s="102" t="s">
        <v>28608</v>
      </c>
      <c r="I128" s="102" t="s">
        <v>22</v>
      </c>
      <c r="J128" s="102" t="s">
        <v>25770</v>
      </c>
      <c r="L128" s="102" t="s">
        <v>25642</v>
      </c>
      <c r="M128" s="102" t="s">
        <v>12</v>
      </c>
      <c r="N128" s="102">
        <v>2094.3000000000002</v>
      </c>
      <c r="R128" t="str">
        <f t="shared" si="10"/>
        <v>21-091-14-59</v>
      </c>
      <c r="S128" s="129" t="s">
        <v>28386</v>
      </c>
      <c r="T128" s="112">
        <v>11</v>
      </c>
    </row>
    <row r="129" spans="1:20" x14ac:dyDescent="0.2">
      <c r="A129" s="102" t="s">
        <v>7296</v>
      </c>
      <c r="B129" s="102" t="s">
        <v>25592</v>
      </c>
      <c r="C129" s="102" t="s">
        <v>8</v>
      </c>
      <c r="D129" s="102" t="s">
        <v>14</v>
      </c>
      <c r="E129" s="102" t="s">
        <v>25711</v>
      </c>
      <c r="F129" s="102" t="s">
        <v>26687</v>
      </c>
      <c r="G129" s="102" t="s">
        <v>28588</v>
      </c>
      <c r="H129" s="102" t="s">
        <v>28608</v>
      </c>
      <c r="I129" s="102" t="s">
        <v>22</v>
      </c>
      <c r="J129" s="102" t="s">
        <v>25770</v>
      </c>
      <c r="L129" s="102" t="s">
        <v>25642</v>
      </c>
      <c r="M129" s="102" t="s">
        <v>12</v>
      </c>
      <c r="N129" s="102">
        <v>2094.3000000000002</v>
      </c>
      <c r="R129" t="str">
        <f t="shared" ref="R129:R140" si="11">A129&amp;"-"&amp;S129</f>
        <v>21-091-14-61</v>
      </c>
      <c r="S129" s="129" t="s">
        <v>28391</v>
      </c>
      <c r="T129" s="112">
        <v>8</v>
      </c>
    </row>
    <row r="130" spans="1:20" x14ac:dyDescent="0.2">
      <c r="A130" s="102" t="s">
        <v>7296</v>
      </c>
      <c r="B130" s="102" t="s">
        <v>25592</v>
      </c>
      <c r="C130" s="102" t="s">
        <v>8</v>
      </c>
      <c r="D130" s="102" t="s">
        <v>14</v>
      </c>
      <c r="E130" s="102" t="s">
        <v>25711</v>
      </c>
      <c r="F130" s="102" t="s">
        <v>26687</v>
      </c>
      <c r="G130" s="102" t="s">
        <v>28588</v>
      </c>
      <c r="H130" s="102" t="s">
        <v>28608</v>
      </c>
      <c r="I130" s="102" t="s">
        <v>22</v>
      </c>
      <c r="J130" s="102" t="s">
        <v>25770</v>
      </c>
      <c r="L130" s="102" t="s">
        <v>25642</v>
      </c>
      <c r="M130" s="102" t="s">
        <v>12</v>
      </c>
      <c r="N130" s="102">
        <v>2094.3000000000002</v>
      </c>
      <c r="R130" t="str">
        <f t="shared" si="11"/>
        <v>21-091-14-63</v>
      </c>
      <c r="S130" s="129" t="s">
        <v>28436</v>
      </c>
      <c r="T130" s="112">
        <v>3</v>
      </c>
    </row>
    <row r="131" spans="1:20" x14ac:dyDescent="0.2">
      <c r="A131" s="102" t="s">
        <v>7284</v>
      </c>
      <c r="B131" s="102" t="s">
        <v>25592</v>
      </c>
      <c r="C131" s="102" t="s">
        <v>8</v>
      </c>
      <c r="D131" s="102" t="s">
        <v>14</v>
      </c>
      <c r="E131" s="102" t="s">
        <v>25711</v>
      </c>
      <c r="F131" s="102" t="s">
        <v>26687</v>
      </c>
      <c r="G131" s="102" t="s">
        <v>28588</v>
      </c>
      <c r="H131" s="102" t="s">
        <v>28609</v>
      </c>
      <c r="I131" s="102" t="s">
        <v>25472</v>
      </c>
      <c r="J131" s="102" t="s">
        <v>25770</v>
      </c>
      <c r="L131" s="102" t="s">
        <v>25642</v>
      </c>
      <c r="M131" s="102" t="s">
        <v>12</v>
      </c>
      <c r="N131" s="102">
        <v>2094.3000000000002</v>
      </c>
      <c r="R131" t="str">
        <f t="shared" si="11"/>
        <v>21-091-01-55</v>
      </c>
      <c r="S131" s="129" t="s">
        <v>28313</v>
      </c>
      <c r="T131" s="112">
        <v>3</v>
      </c>
    </row>
    <row r="132" spans="1:20" x14ac:dyDescent="0.2">
      <c r="A132" s="102" t="s">
        <v>7284</v>
      </c>
      <c r="B132" s="102" t="s">
        <v>25592</v>
      </c>
      <c r="C132" s="102" t="s">
        <v>8</v>
      </c>
      <c r="D132" s="102" t="s">
        <v>14</v>
      </c>
      <c r="E132" s="102" t="s">
        <v>25711</v>
      </c>
      <c r="F132" s="102" t="s">
        <v>26687</v>
      </c>
      <c r="G132" s="102" t="s">
        <v>28588</v>
      </c>
      <c r="H132" s="102" t="s">
        <v>28609</v>
      </c>
      <c r="I132" s="102" t="s">
        <v>25472</v>
      </c>
      <c r="J132" s="102" t="s">
        <v>25770</v>
      </c>
      <c r="L132" s="102" t="s">
        <v>25642</v>
      </c>
      <c r="M132" s="102" t="s">
        <v>12</v>
      </c>
      <c r="N132" s="102">
        <v>2094.3000000000002</v>
      </c>
      <c r="R132" t="str">
        <f t="shared" si="11"/>
        <v>21-091-01-57</v>
      </c>
      <c r="S132" s="129" t="s">
        <v>28390</v>
      </c>
      <c r="T132" s="112">
        <v>9</v>
      </c>
    </row>
    <row r="133" spans="1:20" x14ac:dyDescent="0.2">
      <c r="A133" s="102" t="s">
        <v>7284</v>
      </c>
      <c r="B133" s="102" t="s">
        <v>25592</v>
      </c>
      <c r="C133" s="102" t="s">
        <v>8</v>
      </c>
      <c r="D133" s="102" t="s">
        <v>14</v>
      </c>
      <c r="E133" s="102" t="s">
        <v>25711</v>
      </c>
      <c r="F133" s="102" t="s">
        <v>26687</v>
      </c>
      <c r="G133" s="102" t="s">
        <v>28588</v>
      </c>
      <c r="H133" s="102" t="s">
        <v>28609</v>
      </c>
      <c r="I133" s="102" t="s">
        <v>25472</v>
      </c>
      <c r="J133" s="102" t="s">
        <v>25770</v>
      </c>
      <c r="L133" s="102" t="s">
        <v>25642</v>
      </c>
      <c r="M133" s="102" t="s">
        <v>12</v>
      </c>
      <c r="N133" s="102">
        <v>2094.3000000000002</v>
      </c>
      <c r="R133" t="str">
        <f t="shared" si="11"/>
        <v>21-091-01-59</v>
      </c>
      <c r="S133" s="129" t="s">
        <v>28386</v>
      </c>
      <c r="T133" s="112">
        <v>10</v>
      </c>
    </row>
    <row r="134" spans="1:20" x14ac:dyDescent="0.2">
      <c r="A134" s="102" t="s">
        <v>7284</v>
      </c>
      <c r="B134" s="102" t="s">
        <v>25592</v>
      </c>
      <c r="C134" s="102" t="s">
        <v>8</v>
      </c>
      <c r="D134" s="102" t="s">
        <v>14</v>
      </c>
      <c r="E134" s="102" t="s">
        <v>25711</v>
      </c>
      <c r="F134" s="102" t="s">
        <v>26687</v>
      </c>
      <c r="G134" s="102" t="s">
        <v>28588</v>
      </c>
      <c r="H134" s="102" t="s">
        <v>28609</v>
      </c>
      <c r="I134" s="102" t="s">
        <v>25472</v>
      </c>
      <c r="J134" s="102" t="s">
        <v>25770</v>
      </c>
      <c r="L134" s="102" t="s">
        <v>25642</v>
      </c>
      <c r="M134" s="102" t="s">
        <v>12</v>
      </c>
      <c r="N134" s="102">
        <v>2094.3000000000002</v>
      </c>
      <c r="R134" t="str">
        <f t="shared" si="11"/>
        <v>21-091-01-61</v>
      </c>
      <c r="S134" s="129" t="s">
        <v>28391</v>
      </c>
      <c r="T134" s="112">
        <v>8</v>
      </c>
    </row>
    <row r="135" spans="1:20" x14ac:dyDescent="0.2">
      <c r="A135" s="102" t="s">
        <v>7284</v>
      </c>
      <c r="B135" s="102" t="s">
        <v>25592</v>
      </c>
      <c r="C135" s="102" t="s">
        <v>8</v>
      </c>
      <c r="D135" s="102" t="s">
        <v>14</v>
      </c>
      <c r="E135" s="102" t="s">
        <v>25711</v>
      </c>
      <c r="F135" s="102" t="s">
        <v>26687</v>
      </c>
      <c r="G135" s="102" t="s">
        <v>28588</v>
      </c>
      <c r="H135" s="102" t="s">
        <v>28609</v>
      </c>
      <c r="I135" s="102" t="s">
        <v>25472</v>
      </c>
      <c r="J135" s="102" t="s">
        <v>25770</v>
      </c>
      <c r="L135" s="102" t="s">
        <v>25642</v>
      </c>
      <c r="M135" s="102" t="s">
        <v>12</v>
      </c>
      <c r="N135" s="102">
        <v>2094.3000000000002</v>
      </c>
      <c r="R135" t="str">
        <f t="shared" si="11"/>
        <v>21-091-01-63</v>
      </c>
      <c r="S135" s="129" t="s">
        <v>28436</v>
      </c>
      <c r="T135" s="112">
        <v>3</v>
      </c>
    </row>
    <row r="136" spans="1:20" x14ac:dyDescent="0.2">
      <c r="A136" s="102" t="s">
        <v>28523</v>
      </c>
      <c r="B136" s="102" t="s">
        <v>25592</v>
      </c>
      <c r="C136" s="102" t="s">
        <v>8</v>
      </c>
      <c r="D136" s="102" t="s">
        <v>14</v>
      </c>
      <c r="E136" s="102" t="s">
        <v>25711</v>
      </c>
      <c r="F136" s="102" t="s">
        <v>26687</v>
      </c>
      <c r="G136" s="102" t="s">
        <v>28588</v>
      </c>
      <c r="H136" s="102" t="s">
        <v>28610</v>
      </c>
      <c r="I136" s="102" t="s">
        <v>29</v>
      </c>
      <c r="J136" s="102" t="s">
        <v>25770</v>
      </c>
      <c r="L136" s="102" t="s">
        <v>25642</v>
      </c>
      <c r="M136" s="102" t="s">
        <v>12</v>
      </c>
      <c r="N136" s="102">
        <v>2094.3000000000002</v>
      </c>
      <c r="R136" t="str">
        <f t="shared" si="11"/>
        <v>21-091-02-55</v>
      </c>
      <c r="S136" s="129" t="s">
        <v>28313</v>
      </c>
      <c r="T136" s="112">
        <v>3</v>
      </c>
    </row>
    <row r="137" spans="1:20" x14ac:dyDescent="0.2">
      <c r="A137" s="102" t="s">
        <v>28523</v>
      </c>
      <c r="B137" s="102" t="s">
        <v>25592</v>
      </c>
      <c r="C137" s="102" t="s">
        <v>8</v>
      </c>
      <c r="D137" s="102" t="s">
        <v>14</v>
      </c>
      <c r="E137" s="102" t="s">
        <v>25711</v>
      </c>
      <c r="F137" s="102" t="s">
        <v>26687</v>
      </c>
      <c r="G137" s="102" t="s">
        <v>28588</v>
      </c>
      <c r="H137" s="102" t="s">
        <v>28610</v>
      </c>
      <c r="I137" s="102" t="s">
        <v>29</v>
      </c>
      <c r="J137" s="102" t="s">
        <v>25770</v>
      </c>
      <c r="L137" s="102" t="s">
        <v>25642</v>
      </c>
      <c r="M137" s="102" t="s">
        <v>12</v>
      </c>
      <c r="N137" s="102">
        <v>2094.3000000000002</v>
      </c>
      <c r="R137" t="str">
        <f t="shared" si="11"/>
        <v>21-091-02-57</v>
      </c>
      <c r="S137" s="129" t="s">
        <v>28390</v>
      </c>
      <c r="T137" s="112">
        <v>10</v>
      </c>
    </row>
    <row r="138" spans="1:20" x14ac:dyDescent="0.2">
      <c r="A138" s="102" t="s">
        <v>28523</v>
      </c>
      <c r="B138" s="102" t="s">
        <v>25592</v>
      </c>
      <c r="C138" s="102" t="s">
        <v>8</v>
      </c>
      <c r="D138" s="102" t="s">
        <v>14</v>
      </c>
      <c r="E138" s="102" t="s">
        <v>25711</v>
      </c>
      <c r="F138" s="102" t="s">
        <v>26687</v>
      </c>
      <c r="G138" s="102" t="s">
        <v>28588</v>
      </c>
      <c r="H138" s="102" t="s">
        <v>28610</v>
      </c>
      <c r="I138" s="102" t="s">
        <v>29</v>
      </c>
      <c r="J138" s="102" t="s">
        <v>25770</v>
      </c>
      <c r="L138" s="102" t="s">
        <v>25642</v>
      </c>
      <c r="M138" s="102" t="s">
        <v>12</v>
      </c>
      <c r="N138" s="102">
        <v>2094.3000000000002</v>
      </c>
      <c r="R138" t="str">
        <f t="shared" si="11"/>
        <v>21-091-02-59</v>
      </c>
      <c r="S138" s="129" t="s">
        <v>28386</v>
      </c>
      <c r="T138" s="112">
        <v>13</v>
      </c>
    </row>
    <row r="139" spans="1:20" x14ac:dyDescent="0.2">
      <c r="A139" s="102" t="s">
        <v>28523</v>
      </c>
      <c r="B139" s="102" t="s">
        <v>25592</v>
      </c>
      <c r="C139" s="102" t="s">
        <v>8</v>
      </c>
      <c r="D139" s="102" t="s">
        <v>14</v>
      </c>
      <c r="E139" s="102" t="s">
        <v>25711</v>
      </c>
      <c r="F139" s="102" t="s">
        <v>26687</v>
      </c>
      <c r="G139" s="102" t="s">
        <v>28588</v>
      </c>
      <c r="H139" s="102" t="s">
        <v>28610</v>
      </c>
      <c r="I139" s="102" t="s">
        <v>29</v>
      </c>
      <c r="J139" s="102" t="s">
        <v>25770</v>
      </c>
      <c r="L139" s="102" t="s">
        <v>25642</v>
      </c>
      <c r="M139" s="102" t="s">
        <v>12</v>
      </c>
      <c r="N139" s="102">
        <v>2094.3000000000002</v>
      </c>
      <c r="R139" t="str">
        <f t="shared" si="11"/>
        <v>21-091-02-61</v>
      </c>
      <c r="S139" s="129" t="s">
        <v>28391</v>
      </c>
      <c r="T139" s="112">
        <v>9</v>
      </c>
    </row>
    <row r="140" spans="1:20" x14ac:dyDescent="0.2">
      <c r="A140" s="102" t="s">
        <v>28523</v>
      </c>
      <c r="B140" s="102" t="s">
        <v>25592</v>
      </c>
      <c r="C140" s="102" t="s">
        <v>8</v>
      </c>
      <c r="D140" s="102" t="s">
        <v>14</v>
      </c>
      <c r="E140" s="102" t="s">
        <v>25711</v>
      </c>
      <c r="F140" s="102" t="s">
        <v>26687</v>
      </c>
      <c r="G140" s="102" t="s">
        <v>28588</v>
      </c>
      <c r="H140" s="102" t="s">
        <v>28610</v>
      </c>
      <c r="I140" s="102" t="s">
        <v>29</v>
      </c>
      <c r="J140" s="102" t="s">
        <v>25770</v>
      </c>
      <c r="L140" s="102" t="s">
        <v>25642</v>
      </c>
      <c r="M140" s="102" t="s">
        <v>12</v>
      </c>
      <c r="N140" s="102">
        <v>2094.3000000000002</v>
      </c>
      <c r="R140" t="str">
        <f t="shared" si="11"/>
        <v>21-091-02-63</v>
      </c>
      <c r="S140" s="129" t="s">
        <v>28436</v>
      </c>
      <c r="T140" s="112">
        <v>3</v>
      </c>
    </row>
    <row r="141" spans="1:20" x14ac:dyDescent="0.2">
      <c r="A141" s="102" t="s">
        <v>7312</v>
      </c>
      <c r="B141" s="102" t="s">
        <v>25592</v>
      </c>
      <c r="C141" s="102" t="s">
        <v>8</v>
      </c>
      <c r="D141" s="102" t="s">
        <v>14</v>
      </c>
      <c r="E141" s="102" t="s">
        <v>25711</v>
      </c>
      <c r="F141" s="102" t="s">
        <v>26687</v>
      </c>
      <c r="G141" s="102" t="s">
        <v>28588</v>
      </c>
      <c r="H141" s="102" t="s">
        <v>28611</v>
      </c>
      <c r="I141" s="102" t="s">
        <v>25346</v>
      </c>
      <c r="J141" s="102" t="s">
        <v>25770</v>
      </c>
      <c r="L141" s="102" t="s">
        <v>25642</v>
      </c>
      <c r="M141" s="102" t="s">
        <v>12</v>
      </c>
      <c r="N141" s="102">
        <v>2094.3000000000002</v>
      </c>
      <c r="R141" t="str">
        <f t="shared" ref="R141:R155" si="12">A141&amp;"-"&amp;S141</f>
        <v>21-091-73-55</v>
      </c>
      <c r="S141" s="129" t="s">
        <v>28313</v>
      </c>
      <c r="T141" s="112">
        <v>3</v>
      </c>
    </row>
    <row r="142" spans="1:20" x14ac:dyDescent="0.2">
      <c r="A142" s="102" t="s">
        <v>7312</v>
      </c>
      <c r="B142" s="102" t="s">
        <v>25592</v>
      </c>
      <c r="C142" s="102" t="s">
        <v>8</v>
      </c>
      <c r="D142" s="102" t="s">
        <v>14</v>
      </c>
      <c r="E142" s="102" t="s">
        <v>25711</v>
      </c>
      <c r="F142" s="102" t="s">
        <v>26687</v>
      </c>
      <c r="G142" s="102" t="s">
        <v>28588</v>
      </c>
      <c r="H142" s="102" t="s">
        <v>28611</v>
      </c>
      <c r="I142" s="102" t="s">
        <v>25346</v>
      </c>
      <c r="J142" s="102" t="s">
        <v>25770</v>
      </c>
      <c r="L142" s="102" t="s">
        <v>25642</v>
      </c>
      <c r="M142" s="102" t="s">
        <v>12</v>
      </c>
      <c r="N142" s="102">
        <v>2094.3000000000002</v>
      </c>
      <c r="R142" t="str">
        <f t="shared" si="12"/>
        <v>21-091-73-57</v>
      </c>
      <c r="S142" s="129" t="s">
        <v>28390</v>
      </c>
      <c r="T142" s="112">
        <v>10</v>
      </c>
    </row>
    <row r="143" spans="1:20" x14ac:dyDescent="0.2">
      <c r="A143" s="102" t="s">
        <v>7312</v>
      </c>
      <c r="B143" s="102" t="s">
        <v>25592</v>
      </c>
      <c r="C143" s="102" t="s">
        <v>8</v>
      </c>
      <c r="D143" s="102" t="s">
        <v>14</v>
      </c>
      <c r="E143" s="102" t="s">
        <v>25711</v>
      </c>
      <c r="F143" s="102" t="s">
        <v>26687</v>
      </c>
      <c r="G143" s="102" t="s">
        <v>28588</v>
      </c>
      <c r="H143" s="102" t="s">
        <v>28611</v>
      </c>
      <c r="I143" s="102" t="s">
        <v>25346</v>
      </c>
      <c r="J143" s="102" t="s">
        <v>25770</v>
      </c>
      <c r="L143" s="102" t="s">
        <v>25642</v>
      </c>
      <c r="M143" s="102" t="s">
        <v>12</v>
      </c>
      <c r="N143" s="102">
        <v>2094.3000000000002</v>
      </c>
      <c r="R143" t="str">
        <f t="shared" si="12"/>
        <v>21-091-73-59</v>
      </c>
      <c r="S143" s="129" t="s">
        <v>28386</v>
      </c>
      <c r="T143" s="112">
        <v>11</v>
      </c>
    </row>
    <row r="144" spans="1:20" x14ac:dyDescent="0.2">
      <c r="A144" s="102" t="s">
        <v>7312</v>
      </c>
      <c r="B144" s="102" t="s">
        <v>25592</v>
      </c>
      <c r="C144" s="102" t="s">
        <v>8</v>
      </c>
      <c r="D144" s="102" t="s">
        <v>14</v>
      </c>
      <c r="E144" s="102" t="s">
        <v>25711</v>
      </c>
      <c r="F144" s="102" t="s">
        <v>26687</v>
      </c>
      <c r="G144" s="102" t="s">
        <v>28588</v>
      </c>
      <c r="H144" s="102" t="s">
        <v>28611</v>
      </c>
      <c r="I144" s="102" t="s">
        <v>25346</v>
      </c>
      <c r="J144" s="102" t="s">
        <v>25770</v>
      </c>
      <c r="L144" s="102" t="s">
        <v>25642</v>
      </c>
      <c r="M144" s="102" t="s">
        <v>12</v>
      </c>
      <c r="N144" s="102">
        <v>2094.3000000000002</v>
      </c>
      <c r="R144" t="str">
        <f t="shared" si="12"/>
        <v>21-091-73-61</v>
      </c>
      <c r="S144" s="129" t="s">
        <v>28391</v>
      </c>
      <c r="T144" s="112">
        <v>9</v>
      </c>
    </row>
    <row r="145" spans="1:20" x14ac:dyDescent="0.2">
      <c r="A145" s="102" t="s">
        <v>7312</v>
      </c>
      <c r="B145" s="102" t="s">
        <v>25592</v>
      </c>
      <c r="C145" s="102" t="s">
        <v>8</v>
      </c>
      <c r="D145" s="102" t="s">
        <v>14</v>
      </c>
      <c r="E145" s="102" t="s">
        <v>25711</v>
      </c>
      <c r="F145" s="102" t="s">
        <v>26687</v>
      </c>
      <c r="G145" s="102" t="s">
        <v>28588</v>
      </c>
      <c r="H145" s="102" t="s">
        <v>28611</v>
      </c>
      <c r="I145" s="102" t="s">
        <v>25346</v>
      </c>
      <c r="J145" s="102" t="s">
        <v>25770</v>
      </c>
      <c r="L145" s="102" t="s">
        <v>25642</v>
      </c>
      <c r="M145" s="102" t="s">
        <v>12</v>
      </c>
      <c r="N145" s="102">
        <v>2094.3000000000002</v>
      </c>
      <c r="R145" t="str">
        <f t="shared" si="12"/>
        <v>21-091-73-63</v>
      </c>
      <c r="S145" s="129" t="s">
        <v>28436</v>
      </c>
      <c r="T145" s="112">
        <v>4</v>
      </c>
    </row>
    <row r="146" spans="1:20" x14ac:dyDescent="0.2">
      <c r="A146" s="102" t="s">
        <v>28524</v>
      </c>
      <c r="B146" s="102" t="s">
        <v>25616</v>
      </c>
      <c r="C146" s="102" t="s">
        <v>8</v>
      </c>
      <c r="D146" s="102" t="s">
        <v>21</v>
      </c>
      <c r="E146" s="102" t="s">
        <v>25711</v>
      </c>
      <c r="F146" s="102" t="s">
        <v>91</v>
      </c>
      <c r="G146" s="102" t="s">
        <v>28588</v>
      </c>
      <c r="H146" s="102" t="s">
        <v>28612</v>
      </c>
      <c r="I146" s="102" t="s">
        <v>100</v>
      </c>
      <c r="J146" s="102" t="s">
        <v>25770</v>
      </c>
      <c r="L146" s="102" t="s">
        <v>25642</v>
      </c>
      <c r="M146" s="102" t="s">
        <v>12</v>
      </c>
      <c r="N146" s="102">
        <v>2094.3000000000002</v>
      </c>
      <c r="R146" t="str">
        <f t="shared" si="12"/>
        <v>21-150-17-55</v>
      </c>
      <c r="S146" s="129" t="s">
        <v>28313</v>
      </c>
      <c r="T146" s="112">
        <v>2</v>
      </c>
    </row>
    <row r="147" spans="1:20" x14ac:dyDescent="0.2">
      <c r="A147" s="102" t="s">
        <v>28524</v>
      </c>
      <c r="B147" s="102" t="s">
        <v>25616</v>
      </c>
      <c r="C147" s="102" t="s">
        <v>8</v>
      </c>
      <c r="D147" s="102" t="s">
        <v>21</v>
      </c>
      <c r="E147" s="102" t="s">
        <v>25711</v>
      </c>
      <c r="F147" s="102" t="s">
        <v>91</v>
      </c>
      <c r="G147" s="102" t="s">
        <v>28588</v>
      </c>
      <c r="H147" s="102" t="s">
        <v>28612</v>
      </c>
      <c r="I147" s="102" t="s">
        <v>100</v>
      </c>
      <c r="J147" s="102" t="s">
        <v>25770</v>
      </c>
      <c r="L147" s="102" t="s">
        <v>25642</v>
      </c>
      <c r="M147" s="102" t="s">
        <v>12</v>
      </c>
      <c r="N147" s="102">
        <v>2094.3000000000002</v>
      </c>
      <c r="R147" t="str">
        <f t="shared" si="12"/>
        <v>21-150-17-57</v>
      </c>
      <c r="S147" s="129" t="s">
        <v>28390</v>
      </c>
      <c r="T147" s="112">
        <v>5</v>
      </c>
    </row>
    <row r="148" spans="1:20" x14ac:dyDescent="0.2">
      <c r="A148" s="102" t="s">
        <v>28524</v>
      </c>
      <c r="B148" s="102" t="s">
        <v>25616</v>
      </c>
      <c r="C148" s="102" t="s">
        <v>8</v>
      </c>
      <c r="D148" s="102" t="s">
        <v>21</v>
      </c>
      <c r="E148" s="102" t="s">
        <v>25711</v>
      </c>
      <c r="F148" s="102" t="s">
        <v>91</v>
      </c>
      <c r="G148" s="102" t="s">
        <v>28588</v>
      </c>
      <c r="H148" s="102" t="s">
        <v>28612</v>
      </c>
      <c r="I148" s="102" t="s">
        <v>100</v>
      </c>
      <c r="J148" s="102" t="s">
        <v>25770</v>
      </c>
      <c r="L148" s="102" t="s">
        <v>25642</v>
      </c>
      <c r="M148" s="102" t="s">
        <v>12</v>
      </c>
      <c r="N148" s="102">
        <v>2094.3000000000002</v>
      </c>
      <c r="R148" t="str">
        <f t="shared" si="12"/>
        <v>21-150-17-59</v>
      </c>
      <c r="S148" s="129" t="s">
        <v>28386</v>
      </c>
      <c r="T148" s="112">
        <v>8</v>
      </c>
    </row>
    <row r="149" spans="1:20" x14ac:dyDescent="0.2">
      <c r="A149" s="102" t="s">
        <v>28524</v>
      </c>
      <c r="B149" s="102" t="s">
        <v>25616</v>
      </c>
      <c r="C149" s="102" t="s">
        <v>8</v>
      </c>
      <c r="D149" s="102" t="s">
        <v>21</v>
      </c>
      <c r="E149" s="102" t="s">
        <v>25711</v>
      </c>
      <c r="F149" s="102" t="s">
        <v>91</v>
      </c>
      <c r="G149" s="102" t="s">
        <v>28588</v>
      </c>
      <c r="H149" s="102" t="s">
        <v>28612</v>
      </c>
      <c r="I149" s="102" t="s">
        <v>100</v>
      </c>
      <c r="J149" s="102" t="s">
        <v>25770</v>
      </c>
      <c r="L149" s="102" t="s">
        <v>25642</v>
      </c>
      <c r="M149" s="102" t="s">
        <v>12</v>
      </c>
      <c r="N149" s="102">
        <v>2094.3000000000002</v>
      </c>
      <c r="R149" t="str">
        <f t="shared" si="12"/>
        <v>21-150-17-61</v>
      </c>
      <c r="S149" s="129" t="s">
        <v>28391</v>
      </c>
      <c r="T149" s="112">
        <v>7</v>
      </c>
    </row>
    <row r="150" spans="1:20" x14ac:dyDescent="0.2">
      <c r="A150" s="102" t="s">
        <v>28524</v>
      </c>
      <c r="B150" s="102" t="s">
        <v>25616</v>
      </c>
      <c r="C150" s="102" t="s">
        <v>8</v>
      </c>
      <c r="D150" s="102" t="s">
        <v>21</v>
      </c>
      <c r="E150" s="102" t="s">
        <v>25711</v>
      </c>
      <c r="F150" s="102" t="s">
        <v>91</v>
      </c>
      <c r="G150" s="102" t="s">
        <v>28588</v>
      </c>
      <c r="H150" s="102" t="s">
        <v>28612</v>
      </c>
      <c r="I150" s="102" t="s">
        <v>100</v>
      </c>
      <c r="J150" s="102" t="s">
        <v>25770</v>
      </c>
      <c r="L150" s="102" t="s">
        <v>25642</v>
      </c>
      <c r="M150" s="102" t="s">
        <v>12</v>
      </c>
      <c r="N150" s="102">
        <v>2094.3000000000002</v>
      </c>
      <c r="R150" t="str">
        <f t="shared" si="12"/>
        <v>21-150-17-63</v>
      </c>
      <c r="S150" s="129" t="s">
        <v>28436</v>
      </c>
      <c r="T150" s="112">
        <v>2</v>
      </c>
    </row>
    <row r="151" spans="1:20" x14ac:dyDescent="0.2">
      <c r="A151" s="102" t="s">
        <v>7521</v>
      </c>
      <c r="B151" s="102" t="s">
        <v>25619</v>
      </c>
      <c r="C151" s="102" t="s">
        <v>8</v>
      </c>
      <c r="D151" s="102" t="s">
        <v>17</v>
      </c>
      <c r="E151" s="102" t="s">
        <v>25711</v>
      </c>
      <c r="F151" s="102" t="s">
        <v>26687</v>
      </c>
      <c r="G151" s="102" t="s">
        <v>28588</v>
      </c>
      <c r="H151" s="102" t="s">
        <v>28442</v>
      </c>
      <c r="I151" s="102" t="s">
        <v>1</v>
      </c>
      <c r="J151" s="102" t="s">
        <v>25979</v>
      </c>
      <c r="K151" s="102" t="s">
        <v>25715</v>
      </c>
      <c r="L151" s="102" t="s">
        <v>25642</v>
      </c>
      <c r="M151" s="102" t="s">
        <v>12</v>
      </c>
      <c r="N151" s="102">
        <v>2380.9500000000003</v>
      </c>
      <c r="R151" t="str">
        <f t="shared" si="12"/>
        <v>21-155-09-55</v>
      </c>
      <c r="S151" s="129" t="s">
        <v>28313</v>
      </c>
      <c r="T151" s="112">
        <v>3</v>
      </c>
    </row>
    <row r="152" spans="1:20" x14ac:dyDescent="0.2">
      <c r="A152" s="102" t="s">
        <v>7521</v>
      </c>
      <c r="B152" s="102" t="s">
        <v>25619</v>
      </c>
      <c r="C152" s="102" t="s">
        <v>8</v>
      </c>
      <c r="D152" s="102" t="s">
        <v>17</v>
      </c>
      <c r="E152" s="102" t="s">
        <v>25711</v>
      </c>
      <c r="F152" s="102" t="s">
        <v>26687</v>
      </c>
      <c r="G152" s="102" t="s">
        <v>28588</v>
      </c>
      <c r="H152" s="102" t="s">
        <v>28442</v>
      </c>
      <c r="I152" s="102" t="s">
        <v>1</v>
      </c>
      <c r="J152" s="102" t="s">
        <v>25979</v>
      </c>
      <c r="K152" s="102" t="s">
        <v>25715</v>
      </c>
      <c r="L152" s="102" t="s">
        <v>25642</v>
      </c>
      <c r="M152" s="102" t="s">
        <v>12</v>
      </c>
      <c r="N152" s="102">
        <v>2380.9500000000003</v>
      </c>
      <c r="R152" t="str">
        <f t="shared" si="12"/>
        <v>21-155-09-57</v>
      </c>
      <c r="S152" s="129" t="s">
        <v>28390</v>
      </c>
      <c r="T152" s="112">
        <v>9</v>
      </c>
    </row>
    <row r="153" spans="1:20" x14ac:dyDescent="0.2">
      <c r="A153" s="102" t="s">
        <v>7521</v>
      </c>
      <c r="B153" s="102" t="s">
        <v>25619</v>
      </c>
      <c r="C153" s="102" t="s">
        <v>8</v>
      </c>
      <c r="D153" s="102" t="s">
        <v>17</v>
      </c>
      <c r="E153" s="102" t="s">
        <v>25711</v>
      </c>
      <c r="F153" s="102" t="s">
        <v>26687</v>
      </c>
      <c r="G153" s="102" t="s">
        <v>28588</v>
      </c>
      <c r="H153" s="102" t="s">
        <v>28442</v>
      </c>
      <c r="I153" s="102" t="s">
        <v>1</v>
      </c>
      <c r="J153" s="102" t="s">
        <v>25979</v>
      </c>
      <c r="K153" s="102" t="s">
        <v>25715</v>
      </c>
      <c r="L153" s="102" t="s">
        <v>25642</v>
      </c>
      <c r="M153" s="102" t="s">
        <v>12</v>
      </c>
      <c r="N153" s="102">
        <v>2380.9500000000003</v>
      </c>
      <c r="R153" t="str">
        <f t="shared" si="12"/>
        <v>21-155-09-59</v>
      </c>
      <c r="S153" s="129" t="s">
        <v>28386</v>
      </c>
      <c r="T153" s="112">
        <v>12</v>
      </c>
    </row>
    <row r="154" spans="1:20" x14ac:dyDescent="0.2">
      <c r="A154" s="102" t="s">
        <v>7521</v>
      </c>
      <c r="B154" s="102" t="s">
        <v>25619</v>
      </c>
      <c r="C154" s="102" t="s">
        <v>8</v>
      </c>
      <c r="D154" s="102" t="s">
        <v>17</v>
      </c>
      <c r="E154" s="102" t="s">
        <v>25711</v>
      </c>
      <c r="F154" s="102" t="s">
        <v>26687</v>
      </c>
      <c r="G154" s="102" t="s">
        <v>28588</v>
      </c>
      <c r="H154" s="102" t="s">
        <v>28442</v>
      </c>
      <c r="I154" s="102" t="s">
        <v>1</v>
      </c>
      <c r="J154" s="102" t="s">
        <v>25979</v>
      </c>
      <c r="K154" s="102" t="s">
        <v>25715</v>
      </c>
      <c r="L154" s="102" t="s">
        <v>25642</v>
      </c>
      <c r="M154" s="102" t="s">
        <v>12</v>
      </c>
      <c r="N154" s="102">
        <v>2380.9500000000003</v>
      </c>
      <c r="R154" t="str">
        <f t="shared" si="12"/>
        <v>21-155-09-61</v>
      </c>
      <c r="S154" s="129" t="s">
        <v>28391</v>
      </c>
      <c r="T154" s="112">
        <v>7</v>
      </c>
    </row>
    <row r="155" spans="1:20" x14ac:dyDescent="0.2">
      <c r="A155" s="102" t="s">
        <v>7521</v>
      </c>
      <c r="B155" s="102" t="s">
        <v>25619</v>
      </c>
      <c r="C155" s="102" t="s">
        <v>8</v>
      </c>
      <c r="D155" s="102" t="s">
        <v>17</v>
      </c>
      <c r="E155" s="102" t="s">
        <v>25711</v>
      </c>
      <c r="F155" s="102" t="s">
        <v>26687</v>
      </c>
      <c r="G155" s="102" t="s">
        <v>28588</v>
      </c>
      <c r="H155" s="102" t="s">
        <v>28442</v>
      </c>
      <c r="I155" s="102" t="s">
        <v>1</v>
      </c>
      <c r="J155" s="102" t="s">
        <v>25979</v>
      </c>
      <c r="K155" s="102" t="s">
        <v>25715</v>
      </c>
      <c r="L155" s="102" t="s">
        <v>25642</v>
      </c>
      <c r="M155" s="102" t="s">
        <v>12</v>
      </c>
      <c r="N155" s="102">
        <v>2380.9500000000003</v>
      </c>
      <c r="R155" t="str">
        <f t="shared" si="12"/>
        <v>21-155-09-63</v>
      </c>
      <c r="S155" s="129" t="s">
        <v>28436</v>
      </c>
      <c r="T155" s="112">
        <v>3</v>
      </c>
    </row>
    <row r="156" spans="1:20" x14ac:dyDescent="0.2">
      <c r="A156" s="102" t="s">
        <v>7525</v>
      </c>
      <c r="B156" s="102" t="s">
        <v>25619</v>
      </c>
      <c r="C156" s="102" t="s">
        <v>8</v>
      </c>
      <c r="D156" s="102" t="s">
        <v>17</v>
      </c>
      <c r="E156" s="102" t="s">
        <v>25711</v>
      </c>
      <c r="F156" s="102" t="s">
        <v>26687</v>
      </c>
      <c r="G156" s="102" t="s">
        <v>28588</v>
      </c>
      <c r="H156" s="102" t="s">
        <v>28613</v>
      </c>
      <c r="I156" s="102" t="s">
        <v>141</v>
      </c>
      <c r="J156" s="102" t="s">
        <v>25979</v>
      </c>
      <c r="K156" s="102" t="s">
        <v>25715</v>
      </c>
      <c r="L156" s="102" t="s">
        <v>25642</v>
      </c>
      <c r="M156" s="102" t="s">
        <v>12</v>
      </c>
      <c r="N156" s="102">
        <v>2380.9500000000003</v>
      </c>
      <c r="R156" t="str">
        <f t="shared" ref="R156:R167" si="13">A156&amp;"-"&amp;S156</f>
        <v>21-155-18-57</v>
      </c>
      <c r="S156" s="129" t="s">
        <v>28390</v>
      </c>
      <c r="T156" s="112">
        <v>2</v>
      </c>
    </row>
    <row r="157" spans="1:20" x14ac:dyDescent="0.2">
      <c r="A157" s="102" t="s">
        <v>7525</v>
      </c>
      <c r="B157" s="102" t="s">
        <v>25619</v>
      </c>
      <c r="C157" s="102" t="s">
        <v>8</v>
      </c>
      <c r="D157" s="102" t="s">
        <v>17</v>
      </c>
      <c r="E157" s="102" t="s">
        <v>25711</v>
      </c>
      <c r="F157" s="102" t="s">
        <v>26687</v>
      </c>
      <c r="G157" s="102" t="s">
        <v>28588</v>
      </c>
      <c r="H157" s="102" t="s">
        <v>28613</v>
      </c>
      <c r="I157" s="102" t="s">
        <v>141</v>
      </c>
      <c r="J157" s="102" t="s">
        <v>25979</v>
      </c>
      <c r="K157" s="102" t="s">
        <v>25715</v>
      </c>
      <c r="L157" s="102" t="s">
        <v>25642</v>
      </c>
      <c r="M157" s="102" t="s">
        <v>12</v>
      </c>
      <c r="N157" s="102">
        <v>2380.9500000000003</v>
      </c>
      <c r="R157" t="str">
        <f t="shared" si="13"/>
        <v>21-155-18-59</v>
      </c>
      <c r="S157" s="129" t="s">
        <v>28386</v>
      </c>
      <c r="T157" s="112">
        <v>7</v>
      </c>
    </row>
    <row r="158" spans="1:20" x14ac:dyDescent="0.2">
      <c r="A158" s="102" t="s">
        <v>7525</v>
      </c>
      <c r="B158" s="102" t="s">
        <v>25619</v>
      </c>
      <c r="C158" s="102" t="s">
        <v>8</v>
      </c>
      <c r="D158" s="102" t="s">
        <v>17</v>
      </c>
      <c r="E158" s="102" t="s">
        <v>25711</v>
      </c>
      <c r="F158" s="102" t="s">
        <v>26687</v>
      </c>
      <c r="G158" s="102" t="s">
        <v>28588</v>
      </c>
      <c r="H158" s="102" t="s">
        <v>28613</v>
      </c>
      <c r="I158" s="102" t="s">
        <v>141</v>
      </c>
      <c r="J158" s="102" t="s">
        <v>25979</v>
      </c>
      <c r="K158" s="102" t="s">
        <v>25715</v>
      </c>
      <c r="L158" s="102" t="s">
        <v>25642</v>
      </c>
      <c r="M158" s="102" t="s">
        <v>12</v>
      </c>
      <c r="N158" s="102">
        <v>2380.9500000000003</v>
      </c>
      <c r="R158" t="str">
        <f t="shared" si="13"/>
        <v>21-155-18-61</v>
      </c>
      <c r="S158" s="129" t="s">
        <v>28391</v>
      </c>
      <c r="T158" s="112">
        <v>3</v>
      </c>
    </row>
    <row r="159" spans="1:20" x14ac:dyDescent="0.2">
      <c r="A159" s="102" t="s">
        <v>7525</v>
      </c>
      <c r="B159" s="102" t="s">
        <v>25619</v>
      </c>
      <c r="C159" s="102" t="s">
        <v>8</v>
      </c>
      <c r="D159" s="102" t="s">
        <v>17</v>
      </c>
      <c r="E159" s="102" t="s">
        <v>25711</v>
      </c>
      <c r="F159" s="102" t="s">
        <v>26687</v>
      </c>
      <c r="G159" s="102" t="s">
        <v>28588</v>
      </c>
      <c r="H159" s="102" t="s">
        <v>28613</v>
      </c>
      <c r="I159" s="102" t="s">
        <v>141</v>
      </c>
      <c r="J159" s="102" t="s">
        <v>25979</v>
      </c>
      <c r="K159" s="102" t="s">
        <v>25715</v>
      </c>
      <c r="L159" s="102" t="s">
        <v>25642</v>
      </c>
      <c r="M159" s="102" t="s">
        <v>12</v>
      </c>
      <c r="N159" s="102">
        <v>2380.9500000000003</v>
      </c>
      <c r="R159" t="str">
        <f t="shared" si="13"/>
        <v>21-155-18-63</v>
      </c>
      <c r="S159" s="129" t="s">
        <v>28436</v>
      </c>
      <c r="T159" s="112">
        <v>1</v>
      </c>
    </row>
    <row r="160" spans="1:20" x14ac:dyDescent="0.2">
      <c r="A160" s="102" t="s">
        <v>7523</v>
      </c>
      <c r="B160" s="102" t="s">
        <v>25619</v>
      </c>
      <c r="C160" s="102" t="s">
        <v>8</v>
      </c>
      <c r="D160" s="102" t="s">
        <v>17</v>
      </c>
      <c r="E160" s="102" t="s">
        <v>25711</v>
      </c>
      <c r="F160" s="102" t="s">
        <v>26687</v>
      </c>
      <c r="G160" s="102" t="s">
        <v>28588</v>
      </c>
      <c r="H160" s="102" t="s">
        <v>28614</v>
      </c>
      <c r="I160" s="102" t="s">
        <v>25411</v>
      </c>
      <c r="J160" s="102" t="s">
        <v>25979</v>
      </c>
      <c r="K160" s="102" t="s">
        <v>25715</v>
      </c>
      <c r="L160" s="102" t="s">
        <v>25642</v>
      </c>
      <c r="M160" s="102" t="s">
        <v>12</v>
      </c>
      <c r="N160" s="102">
        <v>2380.9500000000003</v>
      </c>
      <c r="R160" t="str">
        <f t="shared" si="13"/>
        <v>21-155-15-55</v>
      </c>
      <c r="S160" s="129" t="s">
        <v>28313</v>
      </c>
      <c r="T160" s="112">
        <v>2</v>
      </c>
    </row>
    <row r="161" spans="1:20" x14ac:dyDescent="0.2">
      <c r="A161" s="102" t="s">
        <v>7523</v>
      </c>
      <c r="B161" s="102" t="s">
        <v>25619</v>
      </c>
      <c r="C161" s="102" t="s">
        <v>8</v>
      </c>
      <c r="D161" s="102" t="s">
        <v>17</v>
      </c>
      <c r="E161" s="102" t="s">
        <v>25711</v>
      </c>
      <c r="F161" s="102" t="s">
        <v>26687</v>
      </c>
      <c r="G161" s="102" t="s">
        <v>28588</v>
      </c>
      <c r="H161" s="102" t="s">
        <v>28614</v>
      </c>
      <c r="I161" s="102" t="s">
        <v>25411</v>
      </c>
      <c r="J161" s="102" t="s">
        <v>25979</v>
      </c>
      <c r="K161" s="102" t="s">
        <v>25715</v>
      </c>
      <c r="L161" s="102" t="s">
        <v>25642</v>
      </c>
      <c r="M161" s="102" t="s">
        <v>12</v>
      </c>
      <c r="N161" s="102">
        <v>2380.9500000000003</v>
      </c>
      <c r="R161" t="str">
        <f t="shared" si="13"/>
        <v>21-155-15-57</v>
      </c>
      <c r="S161" s="129" t="s">
        <v>28390</v>
      </c>
      <c r="T161" s="112">
        <v>9</v>
      </c>
    </row>
    <row r="162" spans="1:20" x14ac:dyDescent="0.2">
      <c r="A162" s="102" t="s">
        <v>7523</v>
      </c>
      <c r="B162" s="102" t="s">
        <v>25619</v>
      </c>
      <c r="C162" s="102" t="s">
        <v>8</v>
      </c>
      <c r="D162" s="102" t="s">
        <v>17</v>
      </c>
      <c r="E162" s="102" t="s">
        <v>25711</v>
      </c>
      <c r="F162" s="102" t="s">
        <v>26687</v>
      </c>
      <c r="G162" s="102" t="s">
        <v>28588</v>
      </c>
      <c r="H162" s="102" t="s">
        <v>28614</v>
      </c>
      <c r="I162" s="102" t="s">
        <v>25411</v>
      </c>
      <c r="J162" s="102" t="s">
        <v>25979</v>
      </c>
      <c r="K162" s="102" t="s">
        <v>25715</v>
      </c>
      <c r="L162" s="102" t="s">
        <v>25642</v>
      </c>
      <c r="M162" s="102" t="s">
        <v>12</v>
      </c>
      <c r="N162" s="102">
        <v>2380.9500000000003</v>
      </c>
      <c r="R162" t="str">
        <f t="shared" si="13"/>
        <v>21-155-15-59</v>
      </c>
      <c r="S162" s="129" t="s">
        <v>28386</v>
      </c>
      <c r="T162" s="112">
        <v>10</v>
      </c>
    </row>
    <row r="163" spans="1:20" x14ac:dyDescent="0.2">
      <c r="A163" s="102" t="s">
        <v>7523</v>
      </c>
      <c r="B163" s="102" t="s">
        <v>25619</v>
      </c>
      <c r="C163" s="102" t="s">
        <v>8</v>
      </c>
      <c r="D163" s="102" t="s">
        <v>17</v>
      </c>
      <c r="E163" s="102" t="s">
        <v>25711</v>
      </c>
      <c r="F163" s="102" t="s">
        <v>26687</v>
      </c>
      <c r="G163" s="102" t="s">
        <v>28588</v>
      </c>
      <c r="H163" s="102" t="s">
        <v>28614</v>
      </c>
      <c r="I163" s="102" t="s">
        <v>25411</v>
      </c>
      <c r="J163" s="102" t="s">
        <v>25979</v>
      </c>
      <c r="K163" s="102" t="s">
        <v>25715</v>
      </c>
      <c r="L163" s="102" t="s">
        <v>25642</v>
      </c>
      <c r="M163" s="102" t="s">
        <v>12</v>
      </c>
      <c r="N163" s="102">
        <v>2380.9500000000003</v>
      </c>
      <c r="R163" t="str">
        <f t="shared" si="13"/>
        <v>21-155-15-61</v>
      </c>
      <c r="S163" s="129" t="s">
        <v>28391</v>
      </c>
      <c r="T163" s="112">
        <v>6</v>
      </c>
    </row>
    <row r="164" spans="1:20" x14ac:dyDescent="0.2">
      <c r="A164" s="102" t="s">
        <v>7523</v>
      </c>
      <c r="B164" s="102" t="s">
        <v>25619</v>
      </c>
      <c r="C164" s="102" t="s">
        <v>8</v>
      </c>
      <c r="D164" s="102" t="s">
        <v>17</v>
      </c>
      <c r="E164" s="102" t="s">
        <v>25711</v>
      </c>
      <c r="F164" s="102" t="s">
        <v>26687</v>
      </c>
      <c r="G164" s="102" t="s">
        <v>28588</v>
      </c>
      <c r="H164" s="102" t="s">
        <v>28614</v>
      </c>
      <c r="I164" s="102" t="s">
        <v>25411</v>
      </c>
      <c r="J164" s="102" t="s">
        <v>25979</v>
      </c>
      <c r="K164" s="102" t="s">
        <v>25715</v>
      </c>
      <c r="L164" s="102" t="s">
        <v>25642</v>
      </c>
      <c r="M164" s="102" t="s">
        <v>12</v>
      </c>
      <c r="N164" s="102">
        <v>2380.9500000000003</v>
      </c>
      <c r="R164" t="str">
        <f t="shared" si="13"/>
        <v>21-155-15-63</v>
      </c>
      <c r="S164" s="129" t="s">
        <v>28436</v>
      </c>
      <c r="T164" s="112">
        <v>2</v>
      </c>
    </row>
    <row r="165" spans="1:20" x14ac:dyDescent="0.2">
      <c r="A165" s="102" t="s">
        <v>7515</v>
      </c>
      <c r="B165" s="102" t="s">
        <v>25619</v>
      </c>
      <c r="C165" s="102" t="s">
        <v>8</v>
      </c>
      <c r="D165" s="102" t="s">
        <v>17</v>
      </c>
      <c r="E165" s="102" t="s">
        <v>25711</v>
      </c>
      <c r="F165" s="102" t="s">
        <v>26687</v>
      </c>
      <c r="G165" s="102" t="s">
        <v>28588</v>
      </c>
      <c r="H165" s="102" t="s">
        <v>28615</v>
      </c>
      <c r="I165" s="102" t="s">
        <v>52</v>
      </c>
      <c r="J165" s="102" t="s">
        <v>25979</v>
      </c>
      <c r="K165" s="102" t="s">
        <v>25715</v>
      </c>
      <c r="L165" s="102" t="s">
        <v>25642</v>
      </c>
      <c r="M165" s="102" t="s">
        <v>12</v>
      </c>
      <c r="N165" s="102">
        <v>2380.9500000000003</v>
      </c>
      <c r="R165" t="str">
        <f t="shared" si="13"/>
        <v>21-155-02-55</v>
      </c>
      <c r="S165" s="129" t="s">
        <v>28313</v>
      </c>
      <c r="T165" s="112">
        <v>4</v>
      </c>
    </row>
    <row r="166" spans="1:20" x14ac:dyDescent="0.2">
      <c r="A166" s="102" t="s">
        <v>7515</v>
      </c>
      <c r="B166" s="102" t="s">
        <v>25619</v>
      </c>
      <c r="C166" s="102" t="s">
        <v>8</v>
      </c>
      <c r="D166" s="102" t="s">
        <v>17</v>
      </c>
      <c r="E166" s="102" t="s">
        <v>25711</v>
      </c>
      <c r="F166" s="102" t="s">
        <v>26687</v>
      </c>
      <c r="G166" s="102" t="s">
        <v>28588</v>
      </c>
      <c r="H166" s="102" t="s">
        <v>28615</v>
      </c>
      <c r="I166" s="102" t="s">
        <v>52</v>
      </c>
      <c r="J166" s="102" t="s">
        <v>25979</v>
      </c>
      <c r="K166" s="102" t="s">
        <v>25715</v>
      </c>
      <c r="L166" s="102" t="s">
        <v>25642</v>
      </c>
      <c r="M166" s="102" t="s">
        <v>12</v>
      </c>
      <c r="N166" s="102">
        <v>2380.9500000000003</v>
      </c>
      <c r="R166" t="str">
        <f t="shared" si="13"/>
        <v>21-155-02-57</v>
      </c>
      <c r="S166" s="129" t="s">
        <v>28390</v>
      </c>
      <c r="T166" s="112">
        <v>9</v>
      </c>
    </row>
    <row r="167" spans="1:20" x14ac:dyDescent="0.2">
      <c r="A167" s="102" t="s">
        <v>7515</v>
      </c>
      <c r="B167" s="102" t="s">
        <v>25619</v>
      </c>
      <c r="C167" s="102" t="s">
        <v>8</v>
      </c>
      <c r="D167" s="102" t="s">
        <v>17</v>
      </c>
      <c r="E167" s="102" t="s">
        <v>25711</v>
      </c>
      <c r="F167" s="102" t="s">
        <v>26687</v>
      </c>
      <c r="G167" s="102" t="s">
        <v>28588</v>
      </c>
      <c r="H167" s="102" t="s">
        <v>28615</v>
      </c>
      <c r="I167" s="102" t="s">
        <v>52</v>
      </c>
      <c r="J167" s="102" t="s">
        <v>25979</v>
      </c>
      <c r="K167" s="102" t="s">
        <v>25715</v>
      </c>
      <c r="L167" s="102" t="s">
        <v>25642</v>
      </c>
      <c r="M167" s="102" t="s">
        <v>12</v>
      </c>
      <c r="N167" s="102">
        <v>2380.9500000000003</v>
      </c>
      <c r="R167" t="str">
        <f t="shared" si="13"/>
        <v>21-155-02-59</v>
      </c>
      <c r="S167" s="129" t="s">
        <v>28386</v>
      </c>
      <c r="T167" s="112">
        <v>16</v>
      </c>
    </row>
    <row r="168" spans="1:20" x14ac:dyDescent="0.2">
      <c r="A168" s="102" t="s">
        <v>7515</v>
      </c>
      <c r="B168" s="102" t="s">
        <v>25619</v>
      </c>
      <c r="C168" s="102" t="s">
        <v>8</v>
      </c>
      <c r="D168" s="102" t="s">
        <v>17</v>
      </c>
      <c r="E168" s="102" t="s">
        <v>25711</v>
      </c>
      <c r="F168" s="102" t="s">
        <v>26687</v>
      </c>
      <c r="G168" s="102" t="s">
        <v>28588</v>
      </c>
      <c r="H168" s="102" t="s">
        <v>28615</v>
      </c>
      <c r="I168" s="102" t="s">
        <v>52</v>
      </c>
      <c r="J168" s="102" t="s">
        <v>25979</v>
      </c>
      <c r="K168" s="102" t="s">
        <v>25715</v>
      </c>
      <c r="L168" s="102" t="s">
        <v>25642</v>
      </c>
      <c r="M168" s="102" t="s">
        <v>12</v>
      </c>
      <c r="N168" s="102">
        <v>2380.9500000000003</v>
      </c>
      <c r="R168" t="str">
        <f t="shared" ref="R168:R179" si="14">A168&amp;"-"&amp;S168</f>
        <v>21-155-02-61</v>
      </c>
      <c r="S168" s="129" t="s">
        <v>28391</v>
      </c>
      <c r="T168" s="112">
        <v>10</v>
      </c>
    </row>
    <row r="169" spans="1:20" x14ac:dyDescent="0.2">
      <c r="A169" s="102" t="s">
        <v>7515</v>
      </c>
      <c r="B169" s="102" t="s">
        <v>25619</v>
      </c>
      <c r="C169" s="102" t="s">
        <v>8</v>
      </c>
      <c r="D169" s="102" t="s">
        <v>17</v>
      </c>
      <c r="E169" s="102" t="s">
        <v>25711</v>
      </c>
      <c r="F169" s="102" t="s">
        <v>26687</v>
      </c>
      <c r="G169" s="102" t="s">
        <v>28588</v>
      </c>
      <c r="H169" s="102" t="s">
        <v>28615</v>
      </c>
      <c r="I169" s="102" t="s">
        <v>52</v>
      </c>
      <c r="J169" s="102" t="s">
        <v>25979</v>
      </c>
      <c r="K169" s="102" t="s">
        <v>25715</v>
      </c>
      <c r="L169" s="102" t="s">
        <v>25642</v>
      </c>
      <c r="M169" s="102" t="s">
        <v>12</v>
      </c>
      <c r="N169" s="102">
        <v>2380.9500000000003</v>
      </c>
      <c r="R169" t="str">
        <f t="shared" si="14"/>
        <v>21-155-02-63</v>
      </c>
      <c r="S169" s="129" t="s">
        <v>28436</v>
      </c>
      <c r="T169" s="112">
        <v>4</v>
      </c>
    </row>
    <row r="170" spans="1:20" x14ac:dyDescent="0.2">
      <c r="A170" s="102" t="s">
        <v>7527</v>
      </c>
      <c r="B170" s="102" t="s">
        <v>25619</v>
      </c>
      <c r="C170" s="102" t="s">
        <v>8</v>
      </c>
      <c r="D170" s="102" t="s">
        <v>17</v>
      </c>
      <c r="E170" s="102" t="s">
        <v>25711</v>
      </c>
      <c r="F170" s="102" t="s">
        <v>26687</v>
      </c>
      <c r="G170" s="102" t="s">
        <v>28588</v>
      </c>
      <c r="H170" s="102" t="s">
        <v>28616</v>
      </c>
      <c r="I170" s="102" t="s">
        <v>25472</v>
      </c>
      <c r="J170" s="102" t="s">
        <v>25979</v>
      </c>
      <c r="K170" s="102" t="s">
        <v>25715</v>
      </c>
      <c r="L170" s="102" t="s">
        <v>25642</v>
      </c>
      <c r="M170" s="102" t="s">
        <v>12</v>
      </c>
      <c r="N170" s="102">
        <v>2380.9500000000003</v>
      </c>
      <c r="R170" t="str">
        <f t="shared" si="14"/>
        <v>21-155-36-55</v>
      </c>
      <c r="S170" s="129" t="s">
        <v>28313</v>
      </c>
      <c r="T170" s="112">
        <v>2</v>
      </c>
    </row>
    <row r="171" spans="1:20" x14ac:dyDescent="0.2">
      <c r="A171" s="102" t="s">
        <v>7527</v>
      </c>
      <c r="B171" s="102" t="s">
        <v>25619</v>
      </c>
      <c r="C171" s="102" t="s">
        <v>8</v>
      </c>
      <c r="D171" s="102" t="s">
        <v>17</v>
      </c>
      <c r="E171" s="102" t="s">
        <v>25711</v>
      </c>
      <c r="F171" s="102" t="s">
        <v>26687</v>
      </c>
      <c r="G171" s="102" t="s">
        <v>28588</v>
      </c>
      <c r="H171" s="102" t="s">
        <v>28616</v>
      </c>
      <c r="I171" s="102" t="s">
        <v>25472</v>
      </c>
      <c r="J171" s="102" t="s">
        <v>25979</v>
      </c>
      <c r="K171" s="102" t="s">
        <v>25715</v>
      </c>
      <c r="L171" s="102" t="s">
        <v>25642</v>
      </c>
      <c r="M171" s="102" t="s">
        <v>12</v>
      </c>
      <c r="N171" s="102">
        <v>2380.9500000000003</v>
      </c>
      <c r="R171" t="str">
        <f t="shared" si="14"/>
        <v>21-155-36-57</v>
      </c>
      <c r="S171" s="129" t="s">
        <v>28390</v>
      </c>
      <c r="T171" s="112">
        <v>8</v>
      </c>
    </row>
    <row r="172" spans="1:20" x14ac:dyDescent="0.2">
      <c r="A172" s="102" t="s">
        <v>7527</v>
      </c>
      <c r="B172" s="102" t="s">
        <v>25619</v>
      </c>
      <c r="C172" s="102" t="s">
        <v>8</v>
      </c>
      <c r="D172" s="102" t="s">
        <v>17</v>
      </c>
      <c r="E172" s="102" t="s">
        <v>25711</v>
      </c>
      <c r="F172" s="102" t="s">
        <v>26687</v>
      </c>
      <c r="G172" s="102" t="s">
        <v>28588</v>
      </c>
      <c r="H172" s="102" t="s">
        <v>28616</v>
      </c>
      <c r="I172" s="102" t="s">
        <v>25472</v>
      </c>
      <c r="J172" s="102" t="s">
        <v>25979</v>
      </c>
      <c r="K172" s="102" t="s">
        <v>25715</v>
      </c>
      <c r="L172" s="102" t="s">
        <v>25642</v>
      </c>
      <c r="M172" s="102" t="s">
        <v>12</v>
      </c>
      <c r="N172" s="102">
        <v>2380.9500000000003</v>
      </c>
      <c r="R172" t="str">
        <f t="shared" si="14"/>
        <v>21-155-36-59</v>
      </c>
      <c r="S172" s="129" t="s">
        <v>28386</v>
      </c>
      <c r="T172" s="112">
        <v>9</v>
      </c>
    </row>
    <row r="173" spans="1:20" x14ac:dyDescent="0.2">
      <c r="A173" s="102" t="s">
        <v>7527</v>
      </c>
      <c r="B173" s="102" t="s">
        <v>25619</v>
      </c>
      <c r="C173" s="102" t="s">
        <v>8</v>
      </c>
      <c r="D173" s="102" t="s">
        <v>17</v>
      </c>
      <c r="E173" s="102" t="s">
        <v>25711</v>
      </c>
      <c r="F173" s="102" t="s">
        <v>26687</v>
      </c>
      <c r="G173" s="102" t="s">
        <v>28588</v>
      </c>
      <c r="H173" s="102" t="s">
        <v>28616</v>
      </c>
      <c r="I173" s="102" t="s">
        <v>25472</v>
      </c>
      <c r="J173" s="102" t="s">
        <v>25979</v>
      </c>
      <c r="K173" s="102" t="s">
        <v>25715</v>
      </c>
      <c r="L173" s="102" t="s">
        <v>25642</v>
      </c>
      <c r="M173" s="102" t="s">
        <v>12</v>
      </c>
      <c r="N173" s="102">
        <v>2380.9500000000003</v>
      </c>
      <c r="R173" t="str">
        <f t="shared" si="14"/>
        <v>21-155-36-61</v>
      </c>
      <c r="S173" s="129" t="s">
        <v>28391</v>
      </c>
      <c r="T173" s="112">
        <v>5</v>
      </c>
    </row>
    <row r="174" spans="1:20" x14ac:dyDescent="0.2">
      <c r="A174" s="102" t="s">
        <v>7527</v>
      </c>
      <c r="B174" s="102" t="s">
        <v>25619</v>
      </c>
      <c r="C174" s="102" t="s">
        <v>8</v>
      </c>
      <c r="D174" s="102" t="s">
        <v>17</v>
      </c>
      <c r="E174" s="102" t="s">
        <v>25711</v>
      </c>
      <c r="F174" s="102" t="s">
        <v>26687</v>
      </c>
      <c r="G174" s="102" t="s">
        <v>28588</v>
      </c>
      <c r="H174" s="102" t="s">
        <v>28616</v>
      </c>
      <c r="I174" s="102" t="s">
        <v>25472</v>
      </c>
      <c r="J174" s="102" t="s">
        <v>25979</v>
      </c>
      <c r="K174" s="102" t="s">
        <v>25715</v>
      </c>
      <c r="L174" s="102" t="s">
        <v>25642</v>
      </c>
      <c r="M174" s="102" t="s">
        <v>12</v>
      </c>
      <c r="N174" s="102">
        <v>2380.9500000000003</v>
      </c>
      <c r="R174" t="str">
        <f t="shared" si="14"/>
        <v>21-155-36-63</v>
      </c>
      <c r="S174" s="129" t="s">
        <v>28436</v>
      </c>
      <c r="T174" s="112">
        <v>2</v>
      </c>
    </row>
    <row r="175" spans="1:20" x14ac:dyDescent="0.2">
      <c r="A175" s="102" t="s">
        <v>27086</v>
      </c>
      <c r="B175" s="102" t="s">
        <v>25619</v>
      </c>
      <c r="C175" s="102" t="s">
        <v>8</v>
      </c>
      <c r="D175" s="102" t="s">
        <v>17</v>
      </c>
      <c r="E175" s="102" t="s">
        <v>25711</v>
      </c>
      <c r="F175" s="102" t="s">
        <v>26687</v>
      </c>
      <c r="G175" s="102" t="s">
        <v>28588</v>
      </c>
      <c r="H175" s="102" t="s">
        <v>28617</v>
      </c>
      <c r="I175" s="102" t="s">
        <v>25471</v>
      </c>
      <c r="J175" s="102" t="s">
        <v>25979</v>
      </c>
      <c r="K175" s="102" t="s">
        <v>25715</v>
      </c>
      <c r="L175" s="102" t="s">
        <v>25642</v>
      </c>
      <c r="M175" s="102" t="s">
        <v>12</v>
      </c>
      <c r="N175" s="102">
        <v>2380.9500000000003</v>
      </c>
      <c r="R175" t="str">
        <f t="shared" si="14"/>
        <v>21-155-86-55</v>
      </c>
      <c r="S175" s="129" t="s">
        <v>28313</v>
      </c>
      <c r="T175" s="112">
        <v>3</v>
      </c>
    </row>
    <row r="176" spans="1:20" x14ac:dyDescent="0.2">
      <c r="A176" s="102" t="s">
        <v>27086</v>
      </c>
      <c r="B176" s="102" t="s">
        <v>25619</v>
      </c>
      <c r="C176" s="102" t="s">
        <v>8</v>
      </c>
      <c r="D176" s="102" t="s">
        <v>17</v>
      </c>
      <c r="E176" s="102" t="s">
        <v>25711</v>
      </c>
      <c r="F176" s="102" t="s">
        <v>26687</v>
      </c>
      <c r="G176" s="102" t="s">
        <v>28588</v>
      </c>
      <c r="H176" s="102" t="s">
        <v>28617</v>
      </c>
      <c r="I176" s="102" t="s">
        <v>25471</v>
      </c>
      <c r="J176" s="102" t="s">
        <v>25979</v>
      </c>
      <c r="K176" s="102" t="s">
        <v>25715</v>
      </c>
      <c r="L176" s="102" t="s">
        <v>25642</v>
      </c>
      <c r="M176" s="102" t="s">
        <v>12</v>
      </c>
      <c r="N176" s="102">
        <v>2380.9500000000003</v>
      </c>
      <c r="R176" t="str">
        <f t="shared" si="14"/>
        <v>21-155-86-57</v>
      </c>
      <c r="S176" s="129" t="s">
        <v>28390</v>
      </c>
      <c r="T176" s="112">
        <v>7</v>
      </c>
    </row>
    <row r="177" spans="1:20" x14ac:dyDescent="0.2">
      <c r="A177" s="102" t="s">
        <v>27086</v>
      </c>
      <c r="B177" s="102" t="s">
        <v>25619</v>
      </c>
      <c r="C177" s="102" t="s">
        <v>8</v>
      </c>
      <c r="D177" s="102" t="s">
        <v>17</v>
      </c>
      <c r="E177" s="102" t="s">
        <v>25711</v>
      </c>
      <c r="F177" s="102" t="s">
        <v>26687</v>
      </c>
      <c r="G177" s="102" t="s">
        <v>28588</v>
      </c>
      <c r="H177" s="102" t="s">
        <v>28617</v>
      </c>
      <c r="I177" s="102" t="s">
        <v>25471</v>
      </c>
      <c r="J177" s="102" t="s">
        <v>25979</v>
      </c>
      <c r="K177" s="102" t="s">
        <v>25715</v>
      </c>
      <c r="L177" s="102" t="s">
        <v>25642</v>
      </c>
      <c r="M177" s="102" t="s">
        <v>12</v>
      </c>
      <c r="N177" s="102">
        <v>2380.9500000000003</v>
      </c>
      <c r="R177" t="str">
        <f t="shared" si="14"/>
        <v>21-155-86-59</v>
      </c>
      <c r="S177" s="129" t="s">
        <v>28386</v>
      </c>
      <c r="T177" s="112">
        <v>11</v>
      </c>
    </row>
    <row r="178" spans="1:20" x14ac:dyDescent="0.2">
      <c r="A178" s="102" t="s">
        <v>27086</v>
      </c>
      <c r="B178" s="102" t="s">
        <v>25619</v>
      </c>
      <c r="C178" s="102" t="s">
        <v>8</v>
      </c>
      <c r="D178" s="102" t="s">
        <v>17</v>
      </c>
      <c r="E178" s="102" t="s">
        <v>25711</v>
      </c>
      <c r="F178" s="102" t="s">
        <v>26687</v>
      </c>
      <c r="G178" s="102" t="s">
        <v>28588</v>
      </c>
      <c r="H178" s="102" t="s">
        <v>28617</v>
      </c>
      <c r="I178" s="102" t="s">
        <v>25471</v>
      </c>
      <c r="J178" s="102" t="s">
        <v>25979</v>
      </c>
      <c r="K178" s="102" t="s">
        <v>25715</v>
      </c>
      <c r="L178" s="102" t="s">
        <v>25642</v>
      </c>
      <c r="M178" s="102" t="s">
        <v>12</v>
      </c>
      <c r="N178" s="102">
        <v>2380.9500000000003</v>
      </c>
      <c r="R178" t="str">
        <f t="shared" si="14"/>
        <v>21-155-86-61</v>
      </c>
      <c r="S178" s="129" t="s">
        <v>28391</v>
      </c>
      <c r="T178" s="112">
        <v>6</v>
      </c>
    </row>
    <row r="179" spans="1:20" x14ac:dyDescent="0.2">
      <c r="A179" s="102" t="s">
        <v>27086</v>
      </c>
      <c r="B179" s="102" t="s">
        <v>25619</v>
      </c>
      <c r="C179" s="102" t="s">
        <v>8</v>
      </c>
      <c r="D179" s="102" t="s">
        <v>17</v>
      </c>
      <c r="E179" s="102" t="s">
        <v>25711</v>
      </c>
      <c r="F179" s="102" t="s">
        <v>26687</v>
      </c>
      <c r="G179" s="102" t="s">
        <v>28588</v>
      </c>
      <c r="H179" s="102" t="s">
        <v>28617</v>
      </c>
      <c r="I179" s="102" t="s">
        <v>25471</v>
      </c>
      <c r="J179" s="102" t="s">
        <v>25979</v>
      </c>
      <c r="K179" s="102" t="s">
        <v>25715</v>
      </c>
      <c r="L179" s="102" t="s">
        <v>25642</v>
      </c>
      <c r="M179" s="102" t="s">
        <v>12</v>
      </c>
      <c r="N179" s="102">
        <v>2380.9500000000003</v>
      </c>
      <c r="R179" t="str">
        <f t="shared" si="14"/>
        <v>21-155-86-63</v>
      </c>
      <c r="S179" s="129" t="s">
        <v>28436</v>
      </c>
      <c r="T179" s="112">
        <v>3</v>
      </c>
    </row>
    <row r="180" spans="1:20" x14ac:dyDescent="0.2">
      <c r="A180" s="102" t="s">
        <v>7926</v>
      </c>
      <c r="B180" s="102" t="s">
        <v>25635</v>
      </c>
      <c r="C180" s="102" t="s">
        <v>8</v>
      </c>
      <c r="D180" s="102" t="s">
        <v>21</v>
      </c>
      <c r="E180" s="102" t="s">
        <v>25711</v>
      </c>
      <c r="F180" s="102" t="s">
        <v>26687</v>
      </c>
      <c r="G180" s="102" t="s">
        <v>28588</v>
      </c>
      <c r="H180" s="102" t="s">
        <v>28597</v>
      </c>
      <c r="I180" s="102" t="s">
        <v>52</v>
      </c>
      <c r="J180" s="102" t="s">
        <v>25789</v>
      </c>
      <c r="K180" s="102" t="s">
        <v>25720</v>
      </c>
      <c r="L180" s="102" t="s">
        <v>25642</v>
      </c>
      <c r="M180" s="102" t="s">
        <v>26700</v>
      </c>
      <c r="N180" s="102">
        <v>10945.35</v>
      </c>
      <c r="R180" t="str">
        <f t="shared" ref="R180:R186" si="15">A180&amp;"-"&amp;S180</f>
        <v>21-288-02-59</v>
      </c>
      <c r="S180" s="129" t="s">
        <v>28386</v>
      </c>
      <c r="T180" s="112">
        <v>1</v>
      </c>
    </row>
    <row r="181" spans="1:20" x14ac:dyDescent="0.2">
      <c r="A181" s="102" t="s">
        <v>7926</v>
      </c>
      <c r="B181" s="102" t="s">
        <v>25635</v>
      </c>
      <c r="C181" s="102" t="s">
        <v>8</v>
      </c>
      <c r="D181" s="102" t="s">
        <v>21</v>
      </c>
      <c r="E181" s="102" t="s">
        <v>25711</v>
      </c>
      <c r="F181" s="102" t="s">
        <v>26687</v>
      </c>
      <c r="G181" s="102" t="s">
        <v>28588</v>
      </c>
      <c r="H181" s="102" t="s">
        <v>28597</v>
      </c>
      <c r="I181" s="102" t="s">
        <v>52</v>
      </c>
      <c r="J181" s="102" t="s">
        <v>25789</v>
      </c>
      <c r="K181" s="102" t="s">
        <v>25720</v>
      </c>
      <c r="L181" s="102" t="s">
        <v>25642</v>
      </c>
      <c r="M181" s="102" t="s">
        <v>26700</v>
      </c>
      <c r="N181" s="102">
        <v>10945.35</v>
      </c>
      <c r="R181" t="str">
        <f t="shared" si="15"/>
        <v>21-288-02-61</v>
      </c>
      <c r="S181" s="129" t="s">
        <v>28391</v>
      </c>
      <c r="T181" s="112">
        <v>2</v>
      </c>
    </row>
    <row r="182" spans="1:20" x14ac:dyDescent="0.2">
      <c r="A182" s="102" t="s">
        <v>7926</v>
      </c>
      <c r="B182" s="102" t="s">
        <v>25635</v>
      </c>
      <c r="C182" s="102" t="s">
        <v>8</v>
      </c>
      <c r="D182" s="102" t="s">
        <v>21</v>
      </c>
      <c r="E182" s="102" t="s">
        <v>25711</v>
      </c>
      <c r="F182" s="102" t="s">
        <v>26687</v>
      </c>
      <c r="G182" s="102" t="s">
        <v>28588</v>
      </c>
      <c r="H182" s="102" t="s">
        <v>28597</v>
      </c>
      <c r="I182" s="102" t="s">
        <v>52</v>
      </c>
      <c r="J182" s="102" t="s">
        <v>25789</v>
      </c>
      <c r="K182" s="102" t="s">
        <v>25720</v>
      </c>
      <c r="L182" s="102" t="s">
        <v>25642</v>
      </c>
      <c r="M182" s="102" t="s">
        <v>26700</v>
      </c>
      <c r="N182" s="102">
        <v>10945.35</v>
      </c>
      <c r="R182" t="str">
        <f t="shared" si="15"/>
        <v>21-288-02-63</v>
      </c>
      <c r="S182" s="129" t="s">
        <v>28436</v>
      </c>
      <c r="T182" s="112">
        <v>1</v>
      </c>
    </row>
    <row r="183" spans="1:20" x14ac:dyDescent="0.2">
      <c r="A183" s="102" t="s">
        <v>7952</v>
      </c>
      <c r="B183" s="102" t="s">
        <v>25636</v>
      </c>
      <c r="C183" s="102" t="s">
        <v>8</v>
      </c>
      <c r="D183" s="102" t="s">
        <v>21</v>
      </c>
      <c r="E183" s="102" t="s">
        <v>25711</v>
      </c>
      <c r="F183" s="102" t="s">
        <v>26687</v>
      </c>
      <c r="G183" s="102" t="s">
        <v>28588</v>
      </c>
      <c r="H183" s="102" t="s">
        <v>28597</v>
      </c>
      <c r="I183" s="102" t="s">
        <v>52</v>
      </c>
      <c r="J183" s="102" t="s">
        <v>25775</v>
      </c>
      <c r="K183" s="102" t="s">
        <v>25720</v>
      </c>
      <c r="L183" s="102" t="s">
        <v>25642</v>
      </c>
      <c r="M183" s="102" t="s">
        <v>26700</v>
      </c>
      <c r="N183" s="102">
        <v>10711.35</v>
      </c>
      <c r="R183" t="str">
        <f t="shared" si="15"/>
        <v>21-297-02-57</v>
      </c>
      <c r="S183" s="129" t="s">
        <v>28390</v>
      </c>
      <c r="T183" s="112">
        <v>1</v>
      </c>
    </row>
    <row r="184" spans="1:20" x14ac:dyDescent="0.2">
      <c r="A184" s="102" t="s">
        <v>7952</v>
      </c>
      <c r="B184" s="102" t="s">
        <v>25636</v>
      </c>
      <c r="C184" s="102" t="s">
        <v>8</v>
      </c>
      <c r="D184" s="102" t="s">
        <v>21</v>
      </c>
      <c r="E184" s="102" t="s">
        <v>25711</v>
      </c>
      <c r="F184" s="102" t="s">
        <v>26687</v>
      </c>
      <c r="G184" s="102" t="s">
        <v>28588</v>
      </c>
      <c r="H184" s="102" t="s">
        <v>28597</v>
      </c>
      <c r="I184" s="102" t="s">
        <v>52</v>
      </c>
      <c r="J184" s="102" t="s">
        <v>25775</v>
      </c>
      <c r="K184" s="102" t="s">
        <v>25720</v>
      </c>
      <c r="L184" s="102" t="s">
        <v>25642</v>
      </c>
      <c r="M184" s="102" t="s">
        <v>26700</v>
      </c>
      <c r="N184" s="102">
        <v>10711.35</v>
      </c>
      <c r="R184" t="str">
        <f t="shared" si="15"/>
        <v>21-297-02-59</v>
      </c>
      <c r="S184" s="129" t="s">
        <v>28386</v>
      </c>
      <c r="T184" s="112">
        <v>2</v>
      </c>
    </row>
    <row r="185" spans="1:20" x14ac:dyDescent="0.2">
      <c r="A185" s="102" t="s">
        <v>8608</v>
      </c>
      <c r="B185" s="102" t="s">
        <v>25603</v>
      </c>
      <c r="C185" s="102" t="s">
        <v>8</v>
      </c>
      <c r="D185" s="102" t="s">
        <v>21</v>
      </c>
      <c r="E185" s="102" t="s">
        <v>25711</v>
      </c>
      <c r="F185" s="102" t="s">
        <v>26687</v>
      </c>
      <c r="G185" s="102" t="s">
        <v>28588</v>
      </c>
      <c r="H185" s="102" t="s">
        <v>28597</v>
      </c>
      <c r="I185" s="102" t="s">
        <v>52</v>
      </c>
      <c r="J185" s="102" t="s">
        <v>25790</v>
      </c>
      <c r="K185" s="102" t="s">
        <v>25720</v>
      </c>
      <c r="L185" s="102" t="s">
        <v>25642</v>
      </c>
      <c r="M185" s="102" t="s">
        <v>26700</v>
      </c>
      <c r="N185" s="102">
        <v>6171.75</v>
      </c>
      <c r="R185" t="str">
        <f t="shared" si="15"/>
        <v>21-478-02-57</v>
      </c>
      <c r="S185" s="129" t="s">
        <v>28390</v>
      </c>
      <c r="T185" s="112">
        <v>1</v>
      </c>
    </row>
    <row r="186" spans="1:20" x14ac:dyDescent="0.2">
      <c r="A186" s="102" t="s">
        <v>8608</v>
      </c>
      <c r="B186" s="102" t="s">
        <v>25603</v>
      </c>
      <c r="C186" s="102" t="s">
        <v>8</v>
      </c>
      <c r="D186" s="102" t="s">
        <v>21</v>
      </c>
      <c r="E186" s="102" t="s">
        <v>25711</v>
      </c>
      <c r="F186" s="102" t="s">
        <v>26687</v>
      </c>
      <c r="G186" s="102" t="s">
        <v>28588</v>
      </c>
      <c r="H186" s="102" t="s">
        <v>28597</v>
      </c>
      <c r="I186" s="102" t="s">
        <v>52</v>
      </c>
      <c r="J186" s="102" t="s">
        <v>25790</v>
      </c>
      <c r="K186" s="102" t="s">
        <v>25720</v>
      </c>
      <c r="L186" s="102" t="s">
        <v>25642</v>
      </c>
      <c r="M186" s="102" t="s">
        <v>26700</v>
      </c>
      <c r="N186" s="102">
        <v>6171.75</v>
      </c>
      <c r="R186" t="str">
        <f t="shared" si="15"/>
        <v>21-478-02-59</v>
      </c>
      <c r="S186" s="129" t="s">
        <v>28386</v>
      </c>
      <c r="T186" s="112">
        <v>1</v>
      </c>
    </row>
    <row r="187" spans="1:20" x14ac:dyDescent="0.2">
      <c r="A187" s="102" t="s">
        <v>28525</v>
      </c>
      <c r="B187" s="102" t="s">
        <v>28455</v>
      </c>
      <c r="C187" s="102" t="s">
        <v>8</v>
      </c>
      <c r="D187" s="102" t="s">
        <v>21</v>
      </c>
      <c r="E187" s="102" t="s">
        <v>25711</v>
      </c>
      <c r="F187" s="102" t="s">
        <v>26687</v>
      </c>
      <c r="G187" s="102" t="s">
        <v>28588</v>
      </c>
      <c r="H187" s="102" t="s">
        <v>28618</v>
      </c>
      <c r="I187" s="102" t="s">
        <v>25411</v>
      </c>
      <c r="J187" s="102" t="s">
        <v>25775</v>
      </c>
      <c r="K187" s="102" t="s">
        <v>25720</v>
      </c>
      <c r="L187" s="102" t="s">
        <v>25642</v>
      </c>
      <c r="M187" s="102" t="s">
        <v>26700</v>
      </c>
      <c r="N187" s="102">
        <v>6095.7000000000007</v>
      </c>
      <c r="R187" t="str">
        <f t="shared" ref="R187:R192" si="16">A187&amp;"-"&amp;S187</f>
        <v>21-587-90-57</v>
      </c>
      <c r="S187" s="129" t="s">
        <v>28390</v>
      </c>
      <c r="T187" s="112">
        <v>1</v>
      </c>
    </row>
    <row r="188" spans="1:20" x14ac:dyDescent="0.2">
      <c r="A188" s="102" t="s">
        <v>28525</v>
      </c>
      <c r="B188" s="102" t="s">
        <v>28455</v>
      </c>
      <c r="C188" s="102" t="s">
        <v>8</v>
      </c>
      <c r="D188" s="102" t="s">
        <v>21</v>
      </c>
      <c r="E188" s="102" t="s">
        <v>25711</v>
      </c>
      <c r="F188" s="102" t="s">
        <v>26687</v>
      </c>
      <c r="G188" s="102" t="s">
        <v>28588</v>
      </c>
      <c r="H188" s="102" t="s">
        <v>28618</v>
      </c>
      <c r="I188" s="102" t="s">
        <v>25411</v>
      </c>
      <c r="J188" s="102" t="s">
        <v>25775</v>
      </c>
      <c r="K188" s="102" t="s">
        <v>25720</v>
      </c>
      <c r="L188" s="102" t="s">
        <v>25642</v>
      </c>
      <c r="M188" s="102" t="s">
        <v>26700</v>
      </c>
      <c r="N188" s="102">
        <v>6095.7000000000007</v>
      </c>
      <c r="R188" t="str">
        <f t="shared" si="16"/>
        <v>21-587-90-59</v>
      </c>
      <c r="S188" s="129" t="s">
        <v>28386</v>
      </c>
      <c r="T188" s="112">
        <v>2</v>
      </c>
    </row>
    <row r="189" spans="1:20" x14ac:dyDescent="0.2">
      <c r="A189" s="102" t="s">
        <v>28525</v>
      </c>
      <c r="B189" s="102" t="s">
        <v>28455</v>
      </c>
      <c r="C189" s="102" t="s">
        <v>8</v>
      </c>
      <c r="D189" s="102" t="s">
        <v>21</v>
      </c>
      <c r="E189" s="102" t="s">
        <v>25711</v>
      </c>
      <c r="F189" s="102" t="s">
        <v>26687</v>
      </c>
      <c r="G189" s="102" t="s">
        <v>28588</v>
      </c>
      <c r="H189" s="102" t="s">
        <v>28618</v>
      </c>
      <c r="I189" s="102" t="s">
        <v>25411</v>
      </c>
      <c r="J189" s="102" t="s">
        <v>25775</v>
      </c>
      <c r="K189" s="102" t="s">
        <v>25720</v>
      </c>
      <c r="L189" s="102" t="s">
        <v>25642</v>
      </c>
      <c r="M189" s="102" t="s">
        <v>26700</v>
      </c>
      <c r="N189" s="102">
        <v>6095.7000000000007</v>
      </c>
      <c r="R189" t="str">
        <f t="shared" si="16"/>
        <v>21-587-90-61</v>
      </c>
      <c r="S189" s="129" t="s">
        <v>28391</v>
      </c>
      <c r="T189" s="112">
        <v>1</v>
      </c>
    </row>
    <row r="190" spans="1:20" x14ac:dyDescent="0.2">
      <c r="A190" s="102" t="s">
        <v>8972</v>
      </c>
      <c r="B190" s="102" t="s">
        <v>28455</v>
      </c>
      <c r="C190" s="102" t="s">
        <v>8</v>
      </c>
      <c r="D190" s="102" t="s">
        <v>21</v>
      </c>
      <c r="E190" s="102" t="s">
        <v>25711</v>
      </c>
      <c r="F190" s="102" t="s">
        <v>26687</v>
      </c>
      <c r="G190" s="102" t="s">
        <v>28588</v>
      </c>
      <c r="H190" s="102" t="s">
        <v>28597</v>
      </c>
      <c r="I190" s="102" t="s">
        <v>194</v>
      </c>
      <c r="J190" s="102" t="s">
        <v>25775</v>
      </c>
      <c r="K190" s="102" t="s">
        <v>25720</v>
      </c>
      <c r="L190" s="102" t="s">
        <v>25642</v>
      </c>
      <c r="M190" s="102" t="s">
        <v>26700</v>
      </c>
      <c r="N190" s="102">
        <v>6095.7000000000007</v>
      </c>
      <c r="R190" t="str">
        <f t="shared" si="16"/>
        <v>21-587-36-57</v>
      </c>
      <c r="S190" s="129" t="s">
        <v>28390</v>
      </c>
      <c r="T190" s="112">
        <v>1</v>
      </c>
    </row>
    <row r="191" spans="1:20" x14ac:dyDescent="0.2">
      <c r="A191" s="102" t="s">
        <v>8972</v>
      </c>
      <c r="B191" s="102" t="s">
        <v>28455</v>
      </c>
      <c r="C191" s="102" t="s">
        <v>8</v>
      </c>
      <c r="D191" s="102" t="s">
        <v>21</v>
      </c>
      <c r="E191" s="102" t="s">
        <v>25711</v>
      </c>
      <c r="F191" s="102" t="s">
        <v>26687</v>
      </c>
      <c r="G191" s="102" t="s">
        <v>28588</v>
      </c>
      <c r="H191" s="102" t="s">
        <v>28597</v>
      </c>
      <c r="I191" s="102" t="s">
        <v>194</v>
      </c>
      <c r="J191" s="102" t="s">
        <v>25775</v>
      </c>
      <c r="K191" s="102" t="s">
        <v>25720</v>
      </c>
      <c r="L191" s="102" t="s">
        <v>25642</v>
      </c>
      <c r="M191" s="102" t="s">
        <v>26700</v>
      </c>
      <c r="N191" s="102">
        <v>6095.7000000000007</v>
      </c>
      <c r="R191" t="str">
        <f t="shared" si="16"/>
        <v>21-587-36-59</v>
      </c>
      <c r="S191" s="129" t="s">
        <v>28386</v>
      </c>
      <c r="T191" s="112">
        <v>1</v>
      </c>
    </row>
    <row r="192" spans="1:20" x14ac:dyDescent="0.2">
      <c r="A192" s="102" t="s">
        <v>9117</v>
      </c>
      <c r="B192" s="102" t="s">
        <v>28456</v>
      </c>
      <c r="C192" s="102" t="s">
        <v>8</v>
      </c>
      <c r="D192" s="102" t="s">
        <v>21</v>
      </c>
      <c r="E192" s="102" t="s">
        <v>25711</v>
      </c>
      <c r="F192" s="102" t="s">
        <v>26687</v>
      </c>
      <c r="G192" s="102" t="s">
        <v>28588</v>
      </c>
      <c r="H192" s="102" t="s">
        <v>28619</v>
      </c>
      <c r="I192" s="102" t="s">
        <v>194</v>
      </c>
      <c r="J192" s="102" t="s">
        <v>25775</v>
      </c>
      <c r="K192" s="102" t="s">
        <v>25720</v>
      </c>
      <c r="L192" s="102" t="s">
        <v>25642</v>
      </c>
      <c r="M192" s="102" t="s">
        <v>26700</v>
      </c>
      <c r="N192" s="102">
        <v>6259.5</v>
      </c>
      <c r="R192" t="str">
        <f t="shared" si="16"/>
        <v>21-632-36-59</v>
      </c>
      <c r="S192" s="129" t="s">
        <v>28386</v>
      </c>
      <c r="T192" s="112">
        <v>1</v>
      </c>
    </row>
    <row r="193" spans="1:20" x14ac:dyDescent="0.2">
      <c r="A193" s="102" t="s">
        <v>28526</v>
      </c>
      <c r="B193" s="102" t="s">
        <v>28457</v>
      </c>
      <c r="C193" s="102" t="s">
        <v>8</v>
      </c>
      <c r="D193" s="102" t="s">
        <v>21</v>
      </c>
      <c r="E193" s="102" t="s">
        <v>25711</v>
      </c>
      <c r="F193" s="102" t="s">
        <v>26687</v>
      </c>
      <c r="G193" s="102" t="s">
        <v>28588</v>
      </c>
      <c r="H193" s="102" t="s">
        <v>28617</v>
      </c>
      <c r="I193" s="102" t="s">
        <v>194</v>
      </c>
      <c r="J193" s="102" t="s">
        <v>25789</v>
      </c>
      <c r="K193" s="102" t="s">
        <v>25720</v>
      </c>
      <c r="L193" s="102" t="s">
        <v>25642</v>
      </c>
      <c r="M193" s="102" t="s">
        <v>26700</v>
      </c>
      <c r="N193" s="102">
        <v>7195.5</v>
      </c>
      <c r="R193" t="str">
        <f t="shared" ref="R193:R199" si="17">A193&amp;"-"&amp;S193</f>
        <v>21-782-26-57</v>
      </c>
      <c r="S193" s="129" t="s">
        <v>28390</v>
      </c>
      <c r="T193" s="112">
        <v>1</v>
      </c>
    </row>
    <row r="194" spans="1:20" x14ac:dyDescent="0.2">
      <c r="A194" s="102" t="s">
        <v>28526</v>
      </c>
      <c r="B194" s="102" t="s">
        <v>28457</v>
      </c>
      <c r="C194" s="102" t="s">
        <v>8</v>
      </c>
      <c r="D194" s="102" t="s">
        <v>21</v>
      </c>
      <c r="E194" s="102" t="s">
        <v>25711</v>
      </c>
      <c r="F194" s="102" t="s">
        <v>26687</v>
      </c>
      <c r="G194" s="102" t="s">
        <v>28588</v>
      </c>
      <c r="H194" s="102" t="s">
        <v>28617</v>
      </c>
      <c r="I194" s="102" t="s">
        <v>194</v>
      </c>
      <c r="J194" s="102" t="s">
        <v>25789</v>
      </c>
      <c r="K194" s="102" t="s">
        <v>25720</v>
      </c>
      <c r="L194" s="102" t="s">
        <v>25642</v>
      </c>
      <c r="M194" s="102" t="s">
        <v>26700</v>
      </c>
      <c r="N194" s="102">
        <v>7195.5</v>
      </c>
      <c r="R194" t="str">
        <f t="shared" si="17"/>
        <v>21-782-26-59</v>
      </c>
      <c r="S194" s="129" t="s">
        <v>28386</v>
      </c>
      <c r="T194" s="112">
        <v>2</v>
      </c>
    </row>
    <row r="195" spans="1:20" x14ac:dyDescent="0.2">
      <c r="A195" s="102" t="s">
        <v>28526</v>
      </c>
      <c r="B195" s="102" t="s">
        <v>28457</v>
      </c>
      <c r="C195" s="102" t="s">
        <v>8</v>
      </c>
      <c r="D195" s="102" t="s">
        <v>21</v>
      </c>
      <c r="E195" s="102" t="s">
        <v>25711</v>
      </c>
      <c r="F195" s="102" t="s">
        <v>26687</v>
      </c>
      <c r="G195" s="102" t="s">
        <v>28588</v>
      </c>
      <c r="H195" s="102" t="s">
        <v>28617</v>
      </c>
      <c r="I195" s="102" t="s">
        <v>194</v>
      </c>
      <c r="J195" s="102" t="s">
        <v>25789</v>
      </c>
      <c r="K195" s="102" t="s">
        <v>25720</v>
      </c>
      <c r="L195" s="102" t="s">
        <v>25642</v>
      </c>
      <c r="M195" s="102" t="s">
        <v>26700</v>
      </c>
      <c r="N195" s="102">
        <v>7195.5</v>
      </c>
      <c r="R195" t="str">
        <f t="shared" si="17"/>
        <v>21-782-26-61</v>
      </c>
      <c r="S195" s="129" t="s">
        <v>28391</v>
      </c>
      <c r="T195" s="112">
        <v>1</v>
      </c>
    </row>
    <row r="196" spans="1:20" x14ac:dyDescent="0.2">
      <c r="A196" s="102" t="s">
        <v>8690</v>
      </c>
      <c r="B196" s="102" t="s">
        <v>28458</v>
      </c>
      <c r="C196" s="102" t="s">
        <v>8</v>
      </c>
      <c r="D196" s="102" t="s">
        <v>14</v>
      </c>
      <c r="E196" s="102" t="s">
        <v>25711</v>
      </c>
      <c r="F196" s="102" t="s">
        <v>26687</v>
      </c>
      <c r="G196" s="102" t="s">
        <v>28588</v>
      </c>
      <c r="H196" s="102" t="s">
        <v>28594</v>
      </c>
      <c r="I196" s="102" t="s">
        <v>54</v>
      </c>
      <c r="J196" s="102" t="s">
        <v>26532</v>
      </c>
      <c r="K196" s="102" t="s">
        <v>25715</v>
      </c>
      <c r="L196" s="102" t="s">
        <v>25642</v>
      </c>
      <c r="M196" s="102" t="s">
        <v>12</v>
      </c>
      <c r="N196" s="102">
        <v>2568.15</v>
      </c>
      <c r="R196" t="str">
        <f t="shared" si="17"/>
        <v>21-505-03-55</v>
      </c>
      <c r="S196" s="129" t="s">
        <v>28313</v>
      </c>
      <c r="T196" s="112">
        <v>2</v>
      </c>
    </row>
    <row r="197" spans="1:20" x14ac:dyDescent="0.2">
      <c r="A197" s="102" t="s">
        <v>8690</v>
      </c>
      <c r="B197" s="102" t="s">
        <v>28458</v>
      </c>
      <c r="C197" s="102" t="s">
        <v>8</v>
      </c>
      <c r="D197" s="102" t="s">
        <v>14</v>
      </c>
      <c r="E197" s="102" t="s">
        <v>25711</v>
      </c>
      <c r="F197" s="102" t="s">
        <v>26687</v>
      </c>
      <c r="G197" s="102" t="s">
        <v>28588</v>
      </c>
      <c r="H197" s="102" t="s">
        <v>28594</v>
      </c>
      <c r="I197" s="102" t="s">
        <v>54</v>
      </c>
      <c r="J197" s="102" t="s">
        <v>26532</v>
      </c>
      <c r="K197" s="102" t="s">
        <v>25715</v>
      </c>
      <c r="L197" s="102" t="s">
        <v>25642</v>
      </c>
      <c r="M197" s="102" t="s">
        <v>12</v>
      </c>
      <c r="N197" s="102">
        <v>2568.15</v>
      </c>
      <c r="R197" t="str">
        <f t="shared" si="17"/>
        <v>21-505-03-57</v>
      </c>
      <c r="S197" s="129" t="s">
        <v>28390</v>
      </c>
      <c r="T197" s="112">
        <v>6</v>
      </c>
    </row>
    <row r="198" spans="1:20" x14ac:dyDescent="0.2">
      <c r="A198" s="102" t="s">
        <v>8690</v>
      </c>
      <c r="B198" s="102" t="s">
        <v>28458</v>
      </c>
      <c r="C198" s="102" t="s">
        <v>8</v>
      </c>
      <c r="D198" s="102" t="s">
        <v>14</v>
      </c>
      <c r="E198" s="102" t="s">
        <v>25711</v>
      </c>
      <c r="F198" s="102" t="s">
        <v>26687</v>
      </c>
      <c r="G198" s="102" t="s">
        <v>28588</v>
      </c>
      <c r="H198" s="102" t="s">
        <v>28594</v>
      </c>
      <c r="I198" s="102" t="s">
        <v>54</v>
      </c>
      <c r="J198" s="102" t="s">
        <v>26532</v>
      </c>
      <c r="K198" s="102" t="s">
        <v>25715</v>
      </c>
      <c r="L198" s="102" t="s">
        <v>25642</v>
      </c>
      <c r="M198" s="102" t="s">
        <v>12</v>
      </c>
      <c r="N198" s="102">
        <v>2568.15</v>
      </c>
      <c r="R198" t="str">
        <f t="shared" si="17"/>
        <v>21-505-03-59</v>
      </c>
      <c r="S198" s="129" t="s">
        <v>28386</v>
      </c>
      <c r="T198" s="112">
        <v>7</v>
      </c>
    </row>
    <row r="199" spans="1:20" x14ac:dyDescent="0.2">
      <c r="A199" s="102" t="s">
        <v>8690</v>
      </c>
      <c r="B199" s="102" t="s">
        <v>28458</v>
      </c>
      <c r="C199" s="102" t="s">
        <v>8</v>
      </c>
      <c r="D199" s="102" t="s">
        <v>14</v>
      </c>
      <c r="E199" s="102" t="s">
        <v>25711</v>
      </c>
      <c r="F199" s="102" t="s">
        <v>26687</v>
      </c>
      <c r="G199" s="102" t="s">
        <v>28588</v>
      </c>
      <c r="H199" s="102" t="s">
        <v>28594</v>
      </c>
      <c r="I199" s="102" t="s">
        <v>54</v>
      </c>
      <c r="J199" s="102" t="s">
        <v>26532</v>
      </c>
      <c r="K199" s="102" t="s">
        <v>25715</v>
      </c>
      <c r="L199" s="102" t="s">
        <v>25642</v>
      </c>
      <c r="M199" s="102" t="s">
        <v>12</v>
      </c>
      <c r="N199" s="102">
        <v>2568.15</v>
      </c>
      <c r="R199" t="str">
        <f t="shared" si="17"/>
        <v>21-505-03-61</v>
      </c>
      <c r="S199" s="129" t="s">
        <v>28391</v>
      </c>
      <c r="T199" s="112">
        <v>4</v>
      </c>
    </row>
    <row r="200" spans="1:20" x14ac:dyDescent="0.2">
      <c r="A200" s="102" t="s">
        <v>28527</v>
      </c>
      <c r="B200" s="102" t="s">
        <v>28458</v>
      </c>
      <c r="C200" s="102" t="s">
        <v>8</v>
      </c>
      <c r="D200" s="102" t="s">
        <v>14</v>
      </c>
      <c r="E200" s="102" t="s">
        <v>25711</v>
      </c>
      <c r="F200" s="102" t="s">
        <v>26687</v>
      </c>
      <c r="G200" s="102" t="s">
        <v>28588</v>
      </c>
      <c r="H200" s="102" t="s">
        <v>28597</v>
      </c>
      <c r="I200" s="102" t="s">
        <v>52</v>
      </c>
      <c r="J200" s="102" t="s">
        <v>26532</v>
      </c>
      <c r="K200" s="102" t="s">
        <v>25715</v>
      </c>
      <c r="L200" s="102" t="s">
        <v>25642</v>
      </c>
      <c r="M200" s="102" t="s">
        <v>12</v>
      </c>
      <c r="N200" s="102">
        <v>2568.15</v>
      </c>
      <c r="R200" t="str">
        <f t="shared" ref="R200:R211" si="18">A200&amp;"-"&amp;S200</f>
        <v>21-505-02-55</v>
      </c>
      <c r="S200" s="129" t="s">
        <v>28313</v>
      </c>
      <c r="T200" s="112">
        <v>2</v>
      </c>
    </row>
    <row r="201" spans="1:20" x14ac:dyDescent="0.2">
      <c r="A201" s="102" t="s">
        <v>28527</v>
      </c>
      <c r="B201" s="102" t="s">
        <v>28458</v>
      </c>
      <c r="C201" s="102" t="s">
        <v>8</v>
      </c>
      <c r="D201" s="102" t="s">
        <v>14</v>
      </c>
      <c r="E201" s="102" t="s">
        <v>25711</v>
      </c>
      <c r="F201" s="102" t="s">
        <v>26687</v>
      </c>
      <c r="G201" s="102" t="s">
        <v>28588</v>
      </c>
      <c r="H201" s="102" t="s">
        <v>28597</v>
      </c>
      <c r="I201" s="102" t="s">
        <v>52</v>
      </c>
      <c r="J201" s="102" t="s">
        <v>26532</v>
      </c>
      <c r="K201" s="102" t="s">
        <v>25715</v>
      </c>
      <c r="L201" s="102" t="s">
        <v>25642</v>
      </c>
      <c r="M201" s="102" t="s">
        <v>12</v>
      </c>
      <c r="N201" s="102">
        <v>2568.15</v>
      </c>
      <c r="R201" t="str">
        <f t="shared" si="18"/>
        <v>21-505-02-57</v>
      </c>
      <c r="S201" s="129" t="s">
        <v>28390</v>
      </c>
      <c r="T201" s="112">
        <v>6</v>
      </c>
    </row>
    <row r="202" spans="1:20" x14ac:dyDescent="0.2">
      <c r="A202" s="102" t="s">
        <v>28527</v>
      </c>
      <c r="B202" s="102" t="s">
        <v>28458</v>
      </c>
      <c r="C202" s="102" t="s">
        <v>8</v>
      </c>
      <c r="D202" s="102" t="s">
        <v>14</v>
      </c>
      <c r="E202" s="102" t="s">
        <v>25711</v>
      </c>
      <c r="F202" s="102" t="s">
        <v>26687</v>
      </c>
      <c r="G202" s="102" t="s">
        <v>28588</v>
      </c>
      <c r="H202" s="102" t="s">
        <v>28597</v>
      </c>
      <c r="I202" s="102" t="s">
        <v>52</v>
      </c>
      <c r="J202" s="102" t="s">
        <v>26532</v>
      </c>
      <c r="K202" s="102" t="s">
        <v>25715</v>
      </c>
      <c r="L202" s="102" t="s">
        <v>25642</v>
      </c>
      <c r="M202" s="102" t="s">
        <v>12</v>
      </c>
      <c r="N202" s="102">
        <v>2568.15</v>
      </c>
      <c r="R202" t="str">
        <f t="shared" si="18"/>
        <v>21-505-02-59</v>
      </c>
      <c r="S202" s="129" t="s">
        <v>28386</v>
      </c>
      <c r="T202" s="112">
        <v>8</v>
      </c>
    </row>
    <row r="203" spans="1:20" x14ac:dyDescent="0.2">
      <c r="A203" s="102" t="s">
        <v>28527</v>
      </c>
      <c r="B203" s="102" t="s">
        <v>28458</v>
      </c>
      <c r="C203" s="102" t="s">
        <v>8</v>
      </c>
      <c r="D203" s="102" t="s">
        <v>14</v>
      </c>
      <c r="E203" s="102" t="s">
        <v>25711</v>
      </c>
      <c r="F203" s="102" t="s">
        <v>26687</v>
      </c>
      <c r="G203" s="102" t="s">
        <v>28588</v>
      </c>
      <c r="H203" s="102" t="s">
        <v>28597</v>
      </c>
      <c r="I203" s="102" t="s">
        <v>52</v>
      </c>
      <c r="J203" s="102" t="s">
        <v>26532</v>
      </c>
      <c r="K203" s="102" t="s">
        <v>25715</v>
      </c>
      <c r="L203" s="102" t="s">
        <v>25642</v>
      </c>
      <c r="M203" s="102" t="s">
        <v>12</v>
      </c>
      <c r="N203" s="102">
        <v>2568.15</v>
      </c>
      <c r="R203" t="str">
        <f t="shared" si="18"/>
        <v>21-505-02-61</v>
      </c>
      <c r="S203" s="129" t="s">
        <v>28391</v>
      </c>
      <c r="T203" s="112">
        <v>4</v>
      </c>
    </row>
    <row r="204" spans="1:20" x14ac:dyDescent="0.2">
      <c r="A204" s="102" t="s">
        <v>8994</v>
      </c>
      <c r="B204" s="102" t="s">
        <v>28459</v>
      </c>
      <c r="C204" s="102" t="s">
        <v>8</v>
      </c>
      <c r="D204" s="102" t="s">
        <v>21</v>
      </c>
      <c r="E204" s="102" t="s">
        <v>25711</v>
      </c>
      <c r="F204" s="102" t="s">
        <v>26687</v>
      </c>
      <c r="G204" s="102" t="s">
        <v>28588</v>
      </c>
      <c r="H204" s="102" t="s">
        <v>28597</v>
      </c>
      <c r="I204" s="102" t="s">
        <v>52</v>
      </c>
      <c r="J204" s="102" t="s">
        <v>25744</v>
      </c>
      <c r="K204" s="102" t="s">
        <v>25715</v>
      </c>
      <c r="L204" s="102" t="s">
        <v>25642</v>
      </c>
      <c r="M204" s="102" t="s">
        <v>12</v>
      </c>
      <c r="N204" s="102">
        <v>2152.7999999999997</v>
      </c>
      <c r="R204" t="str">
        <f t="shared" si="18"/>
        <v>21-596-02-55</v>
      </c>
      <c r="S204" s="129" t="s">
        <v>28313</v>
      </c>
      <c r="T204" s="112">
        <v>3</v>
      </c>
    </row>
    <row r="205" spans="1:20" x14ac:dyDescent="0.2">
      <c r="A205" s="102" t="s">
        <v>8994</v>
      </c>
      <c r="B205" s="102" t="s">
        <v>28459</v>
      </c>
      <c r="C205" s="102" t="s">
        <v>8</v>
      </c>
      <c r="D205" s="102" t="s">
        <v>21</v>
      </c>
      <c r="E205" s="102" t="s">
        <v>25711</v>
      </c>
      <c r="F205" s="102" t="s">
        <v>26687</v>
      </c>
      <c r="G205" s="102" t="s">
        <v>28588</v>
      </c>
      <c r="H205" s="102" t="s">
        <v>28597</v>
      </c>
      <c r="I205" s="102" t="s">
        <v>52</v>
      </c>
      <c r="J205" s="102" t="s">
        <v>25744</v>
      </c>
      <c r="K205" s="102" t="s">
        <v>25715</v>
      </c>
      <c r="L205" s="102" t="s">
        <v>25642</v>
      </c>
      <c r="M205" s="102" t="s">
        <v>12</v>
      </c>
      <c r="N205" s="102">
        <v>2152.7999999999997</v>
      </c>
      <c r="R205" t="str">
        <f t="shared" si="18"/>
        <v>21-596-02-57</v>
      </c>
      <c r="S205" s="129" t="s">
        <v>28390</v>
      </c>
      <c r="T205" s="112">
        <v>7</v>
      </c>
    </row>
    <row r="206" spans="1:20" x14ac:dyDescent="0.2">
      <c r="A206" s="102" t="s">
        <v>8994</v>
      </c>
      <c r="B206" s="102" t="s">
        <v>28459</v>
      </c>
      <c r="C206" s="102" t="s">
        <v>8</v>
      </c>
      <c r="D206" s="102" t="s">
        <v>21</v>
      </c>
      <c r="E206" s="102" t="s">
        <v>25711</v>
      </c>
      <c r="F206" s="102" t="s">
        <v>26687</v>
      </c>
      <c r="G206" s="102" t="s">
        <v>28588</v>
      </c>
      <c r="H206" s="102" t="s">
        <v>28597</v>
      </c>
      <c r="I206" s="102" t="s">
        <v>52</v>
      </c>
      <c r="J206" s="102" t="s">
        <v>25744</v>
      </c>
      <c r="K206" s="102" t="s">
        <v>25715</v>
      </c>
      <c r="L206" s="102" t="s">
        <v>25642</v>
      </c>
      <c r="M206" s="102" t="s">
        <v>12</v>
      </c>
      <c r="N206" s="102">
        <v>2152.7999999999997</v>
      </c>
      <c r="R206" t="str">
        <f t="shared" si="18"/>
        <v>21-596-02-59</v>
      </c>
      <c r="S206" s="129" t="s">
        <v>28386</v>
      </c>
      <c r="T206" s="112">
        <v>9</v>
      </c>
    </row>
    <row r="207" spans="1:20" x14ac:dyDescent="0.2">
      <c r="A207" s="102" t="s">
        <v>8994</v>
      </c>
      <c r="B207" s="102" t="s">
        <v>28459</v>
      </c>
      <c r="C207" s="102" t="s">
        <v>8</v>
      </c>
      <c r="D207" s="102" t="s">
        <v>21</v>
      </c>
      <c r="E207" s="102" t="s">
        <v>25711</v>
      </c>
      <c r="F207" s="102" t="s">
        <v>26687</v>
      </c>
      <c r="G207" s="102" t="s">
        <v>28588</v>
      </c>
      <c r="H207" s="102" t="s">
        <v>28597</v>
      </c>
      <c r="I207" s="102" t="s">
        <v>52</v>
      </c>
      <c r="J207" s="102" t="s">
        <v>25744</v>
      </c>
      <c r="K207" s="102" t="s">
        <v>25715</v>
      </c>
      <c r="L207" s="102" t="s">
        <v>25642</v>
      </c>
      <c r="M207" s="102" t="s">
        <v>12</v>
      </c>
      <c r="N207" s="102">
        <v>2152.7999999999997</v>
      </c>
      <c r="R207" t="str">
        <f t="shared" si="18"/>
        <v>21-596-02-61</v>
      </c>
      <c r="S207" s="129" t="s">
        <v>28391</v>
      </c>
      <c r="T207" s="112">
        <v>3</v>
      </c>
    </row>
    <row r="208" spans="1:20" x14ac:dyDescent="0.2">
      <c r="A208" s="102" t="s">
        <v>8996</v>
      </c>
      <c r="B208" s="102" t="s">
        <v>28459</v>
      </c>
      <c r="C208" s="102" t="s">
        <v>8</v>
      </c>
      <c r="D208" s="102" t="s">
        <v>21</v>
      </c>
      <c r="E208" s="102" t="s">
        <v>25711</v>
      </c>
      <c r="F208" s="102" t="s">
        <v>26687</v>
      </c>
      <c r="G208" s="102" t="s">
        <v>28588</v>
      </c>
      <c r="H208" s="102" t="s">
        <v>28620</v>
      </c>
      <c r="I208" s="102" t="s">
        <v>215</v>
      </c>
      <c r="J208" s="102" t="s">
        <v>25744</v>
      </c>
      <c r="K208" s="102" t="s">
        <v>25715</v>
      </c>
      <c r="L208" s="102" t="s">
        <v>25641</v>
      </c>
      <c r="M208" s="102" t="s">
        <v>12</v>
      </c>
      <c r="N208" s="102">
        <v>2152.7999999999997</v>
      </c>
      <c r="R208" t="str">
        <f t="shared" si="18"/>
        <v>21-596-91-55</v>
      </c>
      <c r="S208" s="129" t="s">
        <v>28313</v>
      </c>
      <c r="T208" s="112">
        <v>2</v>
      </c>
    </row>
    <row r="209" spans="1:20" x14ac:dyDescent="0.2">
      <c r="A209" s="102" t="s">
        <v>8996</v>
      </c>
      <c r="B209" s="102" t="s">
        <v>28459</v>
      </c>
      <c r="C209" s="102" t="s">
        <v>8</v>
      </c>
      <c r="D209" s="102" t="s">
        <v>21</v>
      </c>
      <c r="E209" s="102" t="s">
        <v>25711</v>
      </c>
      <c r="F209" s="102" t="s">
        <v>26687</v>
      </c>
      <c r="G209" s="102" t="s">
        <v>28588</v>
      </c>
      <c r="H209" s="102" t="s">
        <v>28620</v>
      </c>
      <c r="I209" s="102" t="s">
        <v>215</v>
      </c>
      <c r="J209" s="102" t="s">
        <v>25744</v>
      </c>
      <c r="K209" s="102" t="s">
        <v>25715</v>
      </c>
      <c r="L209" s="102" t="s">
        <v>25641</v>
      </c>
      <c r="M209" s="102" t="s">
        <v>12</v>
      </c>
      <c r="N209" s="102">
        <v>2152.7999999999997</v>
      </c>
      <c r="R209" t="str">
        <f t="shared" si="18"/>
        <v>21-596-91-57</v>
      </c>
      <c r="S209" s="129" t="s">
        <v>28390</v>
      </c>
      <c r="T209" s="112">
        <v>6</v>
      </c>
    </row>
    <row r="210" spans="1:20" x14ac:dyDescent="0.2">
      <c r="A210" s="102" t="s">
        <v>8996</v>
      </c>
      <c r="B210" s="102" t="s">
        <v>28459</v>
      </c>
      <c r="C210" s="102" t="s">
        <v>8</v>
      </c>
      <c r="D210" s="102" t="s">
        <v>21</v>
      </c>
      <c r="E210" s="102" t="s">
        <v>25711</v>
      </c>
      <c r="F210" s="102" t="s">
        <v>26687</v>
      </c>
      <c r="G210" s="102" t="s">
        <v>28588</v>
      </c>
      <c r="H210" s="102" t="s">
        <v>28620</v>
      </c>
      <c r="I210" s="102" t="s">
        <v>215</v>
      </c>
      <c r="J210" s="102" t="s">
        <v>25744</v>
      </c>
      <c r="K210" s="102" t="s">
        <v>25715</v>
      </c>
      <c r="L210" s="102" t="s">
        <v>25641</v>
      </c>
      <c r="M210" s="102" t="s">
        <v>12</v>
      </c>
      <c r="N210" s="102">
        <v>2152.7999999999997</v>
      </c>
      <c r="R210" t="str">
        <f t="shared" si="18"/>
        <v>21-596-91-59</v>
      </c>
      <c r="S210" s="129" t="s">
        <v>28386</v>
      </c>
      <c r="T210" s="112">
        <v>8</v>
      </c>
    </row>
    <row r="211" spans="1:20" x14ac:dyDescent="0.2">
      <c r="A211" s="102" t="s">
        <v>8996</v>
      </c>
      <c r="B211" s="102" t="s">
        <v>28459</v>
      </c>
      <c r="C211" s="102" t="s">
        <v>8</v>
      </c>
      <c r="D211" s="102" t="s">
        <v>21</v>
      </c>
      <c r="E211" s="102" t="s">
        <v>25711</v>
      </c>
      <c r="F211" s="102" t="s">
        <v>26687</v>
      </c>
      <c r="G211" s="102" t="s">
        <v>28588</v>
      </c>
      <c r="H211" s="102" t="s">
        <v>28620</v>
      </c>
      <c r="I211" s="102" t="s">
        <v>215</v>
      </c>
      <c r="J211" s="102" t="s">
        <v>25744</v>
      </c>
      <c r="K211" s="102" t="s">
        <v>25715</v>
      </c>
      <c r="L211" s="102" t="s">
        <v>25641</v>
      </c>
      <c r="M211" s="102" t="s">
        <v>12</v>
      </c>
      <c r="N211" s="102">
        <v>2152.7999999999997</v>
      </c>
      <c r="R211" t="str">
        <f t="shared" si="18"/>
        <v>21-596-91-61</v>
      </c>
      <c r="S211" s="129" t="s">
        <v>28391</v>
      </c>
      <c r="T211" s="112">
        <v>5</v>
      </c>
    </row>
    <row r="212" spans="1:20" x14ac:dyDescent="0.2">
      <c r="A212" s="102" t="s">
        <v>28528</v>
      </c>
      <c r="B212" s="102" t="s">
        <v>28460</v>
      </c>
      <c r="C212" s="102" t="s">
        <v>8</v>
      </c>
      <c r="D212" s="102" t="s">
        <v>14</v>
      </c>
      <c r="E212" s="102" t="s">
        <v>25711</v>
      </c>
      <c r="F212" s="102" t="s">
        <v>26687</v>
      </c>
      <c r="G212" s="102" t="s">
        <v>28588</v>
      </c>
      <c r="H212" s="102" t="s">
        <v>28621</v>
      </c>
      <c r="I212" s="102" t="s">
        <v>26</v>
      </c>
      <c r="J212" s="102" t="s">
        <v>25979</v>
      </c>
      <c r="K212" s="102" t="s">
        <v>25715</v>
      </c>
      <c r="L212" s="102" t="s">
        <v>25642</v>
      </c>
      <c r="M212" s="102" t="s">
        <v>12</v>
      </c>
      <c r="N212" s="102">
        <v>2094.3000000000002</v>
      </c>
      <c r="R212" t="str">
        <f t="shared" ref="R212:R220" si="19">A212&amp;"-"&amp;S212</f>
        <v>21-396-05-55</v>
      </c>
      <c r="S212" s="129" t="s">
        <v>28313</v>
      </c>
      <c r="T212" s="112">
        <v>1</v>
      </c>
    </row>
    <row r="213" spans="1:20" x14ac:dyDescent="0.2">
      <c r="A213" s="102" t="s">
        <v>28528</v>
      </c>
      <c r="B213" s="102" t="s">
        <v>28460</v>
      </c>
      <c r="C213" s="102" t="s">
        <v>8</v>
      </c>
      <c r="D213" s="102" t="s">
        <v>14</v>
      </c>
      <c r="E213" s="102" t="s">
        <v>25711</v>
      </c>
      <c r="F213" s="102" t="s">
        <v>26687</v>
      </c>
      <c r="G213" s="102" t="s">
        <v>28588</v>
      </c>
      <c r="H213" s="102" t="s">
        <v>28621</v>
      </c>
      <c r="I213" s="102" t="s">
        <v>26</v>
      </c>
      <c r="J213" s="102" t="s">
        <v>25979</v>
      </c>
      <c r="K213" s="102" t="s">
        <v>25715</v>
      </c>
      <c r="L213" s="102" t="s">
        <v>25642</v>
      </c>
      <c r="M213" s="102" t="s">
        <v>12</v>
      </c>
      <c r="N213" s="102">
        <v>2094.3000000000002</v>
      </c>
      <c r="R213" t="str">
        <f t="shared" si="19"/>
        <v>21-396-05-57</v>
      </c>
      <c r="S213" s="129" t="s">
        <v>28390</v>
      </c>
      <c r="T213" s="112">
        <v>4</v>
      </c>
    </row>
    <row r="214" spans="1:20" x14ac:dyDescent="0.2">
      <c r="A214" s="102" t="s">
        <v>28528</v>
      </c>
      <c r="B214" s="102" t="s">
        <v>28460</v>
      </c>
      <c r="C214" s="102" t="s">
        <v>8</v>
      </c>
      <c r="D214" s="102" t="s">
        <v>14</v>
      </c>
      <c r="E214" s="102" t="s">
        <v>25711</v>
      </c>
      <c r="F214" s="102" t="s">
        <v>26687</v>
      </c>
      <c r="G214" s="102" t="s">
        <v>28588</v>
      </c>
      <c r="H214" s="102" t="s">
        <v>28621</v>
      </c>
      <c r="I214" s="102" t="s">
        <v>26</v>
      </c>
      <c r="J214" s="102" t="s">
        <v>25979</v>
      </c>
      <c r="K214" s="102" t="s">
        <v>25715</v>
      </c>
      <c r="L214" s="102" t="s">
        <v>25642</v>
      </c>
      <c r="M214" s="102" t="s">
        <v>12</v>
      </c>
      <c r="N214" s="102">
        <v>2094.3000000000002</v>
      </c>
      <c r="R214" t="str">
        <f t="shared" si="19"/>
        <v>21-396-05-59</v>
      </c>
      <c r="S214" s="129" t="s">
        <v>28386</v>
      </c>
      <c r="T214" s="112">
        <v>7</v>
      </c>
    </row>
    <row r="215" spans="1:20" x14ac:dyDescent="0.2">
      <c r="A215" s="102" t="s">
        <v>28528</v>
      </c>
      <c r="B215" s="102" t="s">
        <v>28460</v>
      </c>
      <c r="C215" s="102" t="s">
        <v>8</v>
      </c>
      <c r="D215" s="102" t="s">
        <v>14</v>
      </c>
      <c r="E215" s="102" t="s">
        <v>25711</v>
      </c>
      <c r="F215" s="102" t="s">
        <v>26687</v>
      </c>
      <c r="G215" s="102" t="s">
        <v>28588</v>
      </c>
      <c r="H215" s="102" t="s">
        <v>28621</v>
      </c>
      <c r="I215" s="102" t="s">
        <v>26</v>
      </c>
      <c r="J215" s="102" t="s">
        <v>25979</v>
      </c>
      <c r="K215" s="102" t="s">
        <v>25715</v>
      </c>
      <c r="L215" s="102" t="s">
        <v>25642</v>
      </c>
      <c r="M215" s="102" t="s">
        <v>12</v>
      </c>
      <c r="N215" s="102">
        <v>2094.3000000000002</v>
      </c>
      <c r="R215" t="str">
        <f t="shared" si="19"/>
        <v>21-396-05-61</v>
      </c>
      <c r="S215" s="129" t="s">
        <v>28391</v>
      </c>
      <c r="T215" s="112">
        <v>4</v>
      </c>
    </row>
    <row r="216" spans="1:20" x14ac:dyDescent="0.2">
      <c r="A216" s="102" t="s">
        <v>8718</v>
      </c>
      <c r="B216" s="102" t="s">
        <v>25605</v>
      </c>
      <c r="C216" s="102" t="s">
        <v>8</v>
      </c>
      <c r="D216" s="102" t="s">
        <v>9</v>
      </c>
      <c r="E216" s="102" t="s">
        <v>25711</v>
      </c>
      <c r="F216" s="102" t="s">
        <v>91</v>
      </c>
      <c r="G216" s="102" t="s">
        <v>28588</v>
      </c>
      <c r="H216" s="102" t="s">
        <v>28597</v>
      </c>
      <c r="I216" s="102" t="s">
        <v>52</v>
      </c>
      <c r="J216" s="102" t="s">
        <v>25770</v>
      </c>
      <c r="L216" s="102" t="s">
        <v>25642</v>
      </c>
      <c r="M216" s="102" t="s">
        <v>12</v>
      </c>
      <c r="N216" s="102">
        <v>2234.7000000000003</v>
      </c>
      <c r="R216" t="str">
        <f t="shared" si="19"/>
        <v>21-512-02-57</v>
      </c>
      <c r="S216" s="129" t="s">
        <v>28390</v>
      </c>
      <c r="T216" s="112">
        <v>2</v>
      </c>
    </row>
    <row r="217" spans="1:20" x14ac:dyDescent="0.2">
      <c r="A217" s="102" t="s">
        <v>8718</v>
      </c>
      <c r="B217" s="102" t="s">
        <v>25605</v>
      </c>
      <c r="C217" s="102" t="s">
        <v>8</v>
      </c>
      <c r="D217" s="102" t="s">
        <v>9</v>
      </c>
      <c r="E217" s="102" t="s">
        <v>25711</v>
      </c>
      <c r="F217" s="102" t="s">
        <v>91</v>
      </c>
      <c r="G217" s="102" t="s">
        <v>28588</v>
      </c>
      <c r="H217" s="102" t="s">
        <v>28597</v>
      </c>
      <c r="I217" s="102" t="s">
        <v>52</v>
      </c>
      <c r="J217" s="102" t="s">
        <v>25770</v>
      </c>
      <c r="L217" s="102" t="s">
        <v>25642</v>
      </c>
      <c r="M217" s="102" t="s">
        <v>12</v>
      </c>
      <c r="N217" s="102">
        <v>2234.7000000000003</v>
      </c>
      <c r="R217" t="str">
        <f t="shared" si="19"/>
        <v>21-512-02-59</v>
      </c>
      <c r="S217" s="129" t="s">
        <v>28386</v>
      </c>
      <c r="T217" s="112">
        <v>4</v>
      </c>
    </row>
    <row r="218" spans="1:20" x14ac:dyDescent="0.2">
      <c r="A218" s="102" t="s">
        <v>8718</v>
      </c>
      <c r="B218" s="102" t="s">
        <v>25605</v>
      </c>
      <c r="C218" s="102" t="s">
        <v>8</v>
      </c>
      <c r="D218" s="102" t="s">
        <v>9</v>
      </c>
      <c r="E218" s="102" t="s">
        <v>25711</v>
      </c>
      <c r="F218" s="102" t="s">
        <v>91</v>
      </c>
      <c r="G218" s="102" t="s">
        <v>28588</v>
      </c>
      <c r="H218" s="102" t="s">
        <v>28597</v>
      </c>
      <c r="I218" s="102" t="s">
        <v>52</v>
      </c>
      <c r="J218" s="102" t="s">
        <v>25770</v>
      </c>
      <c r="L218" s="102" t="s">
        <v>25642</v>
      </c>
      <c r="M218" s="102" t="s">
        <v>12</v>
      </c>
      <c r="N218" s="102">
        <v>2234.7000000000003</v>
      </c>
      <c r="R218" t="str">
        <f t="shared" si="19"/>
        <v>21-512-02-61</v>
      </c>
      <c r="S218" s="129" t="s">
        <v>28391</v>
      </c>
      <c r="T218" s="112">
        <v>5</v>
      </c>
    </row>
    <row r="219" spans="1:20" x14ac:dyDescent="0.2">
      <c r="A219" s="102" t="s">
        <v>8720</v>
      </c>
      <c r="B219" s="102" t="s">
        <v>25605</v>
      </c>
      <c r="C219" s="102" t="s">
        <v>8</v>
      </c>
      <c r="D219" s="102" t="s">
        <v>9</v>
      </c>
      <c r="E219" s="102" t="s">
        <v>25711</v>
      </c>
      <c r="F219" s="102" t="s">
        <v>26687</v>
      </c>
      <c r="G219" s="102" t="s">
        <v>28588</v>
      </c>
      <c r="H219" s="102" t="s">
        <v>28591</v>
      </c>
      <c r="I219" s="102" t="s">
        <v>43</v>
      </c>
      <c r="J219" s="102" t="s">
        <v>25770</v>
      </c>
      <c r="L219" s="102" t="s">
        <v>25642</v>
      </c>
      <c r="M219" s="102" t="s">
        <v>12</v>
      </c>
      <c r="N219" s="102">
        <v>2234.7000000000003</v>
      </c>
      <c r="R219" t="str">
        <f t="shared" si="19"/>
        <v>21-512-15-57</v>
      </c>
      <c r="S219" s="129" t="s">
        <v>28390</v>
      </c>
      <c r="T219" s="112">
        <v>2</v>
      </c>
    </row>
    <row r="220" spans="1:20" x14ac:dyDescent="0.2">
      <c r="A220" s="102" t="s">
        <v>8720</v>
      </c>
      <c r="B220" s="102" t="s">
        <v>25605</v>
      </c>
      <c r="C220" s="102" t="s">
        <v>8</v>
      </c>
      <c r="D220" s="102" t="s">
        <v>9</v>
      </c>
      <c r="E220" s="102" t="s">
        <v>25711</v>
      </c>
      <c r="F220" s="102" t="s">
        <v>26687</v>
      </c>
      <c r="G220" s="102" t="s">
        <v>28588</v>
      </c>
      <c r="H220" s="102" t="s">
        <v>28591</v>
      </c>
      <c r="I220" s="102" t="s">
        <v>43</v>
      </c>
      <c r="J220" s="102" t="s">
        <v>25770</v>
      </c>
      <c r="L220" s="102" t="s">
        <v>25642</v>
      </c>
      <c r="M220" s="102" t="s">
        <v>12</v>
      </c>
      <c r="N220" s="102">
        <v>2234.7000000000003</v>
      </c>
      <c r="R220" t="str">
        <f t="shared" si="19"/>
        <v>21-512-15-59</v>
      </c>
      <c r="S220" s="129" t="s">
        <v>28386</v>
      </c>
      <c r="T220" s="112">
        <v>3</v>
      </c>
    </row>
    <row r="221" spans="1:20" x14ac:dyDescent="0.2">
      <c r="A221" s="102" t="s">
        <v>8720</v>
      </c>
      <c r="B221" s="102" t="s">
        <v>25605</v>
      </c>
      <c r="C221" s="102" t="s">
        <v>8</v>
      </c>
      <c r="D221" s="102" t="s">
        <v>9</v>
      </c>
      <c r="E221" s="102" t="s">
        <v>25711</v>
      </c>
      <c r="F221" s="102" t="s">
        <v>26687</v>
      </c>
      <c r="G221" s="102" t="s">
        <v>28588</v>
      </c>
      <c r="H221" s="102" t="s">
        <v>28591</v>
      </c>
      <c r="I221" s="102" t="s">
        <v>43</v>
      </c>
      <c r="J221" s="102" t="s">
        <v>25770</v>
      </c>
      <c r="L221" s="102" t="s">
        <v>25642</v>
      </c>
      <c r="M221" s="102" t="s">
        <v>12</v>
      </c>
      <c r="N221" s="102">
        <v>2234.7000000000003</v>
      </c>
      <c r="R221" t="str">
        <f t="shared" ref="R221:R228" si="20">A221&amp;"-"&amp;S221</f>
        <v>21-512-15-61</v>
      </c>
      <c r="S221" s="129" t="s">
        <v>28391</v>
      </c>
      <c r="T221" s="112">
        <v>2</v>
      </c>
    </row>
    <row r="222" spans="1:20" x14ac:dyDescent="0.2">
      <c r="A222" s="102" t="s">
        <v>8724</v>
      </c>
      <c r="B222" s="102" t="s">
        <v>25605</v>
      </c>
      <c r="C222" s="102" t="s">
        <v>8</v>
      </c>
      <c r="D222" s="102" t="s">
        <v>9</v>
      </c>
      <c r="E222" s="102" t="s">
        <v>25711</v>
      </c>
      <c r="F222" s="102" t="s">
        <v>26687</v>
      </c>
      <c r="G222" s="102" t="s">
        <v>28588</v>
      </c>
      <c r="H222" s="102" t="s">
        <v>28602</v>
      </c>
      <c r="I222" s="102" t="s">
        <v>100</v>
      </c>
      <c r="J222" s="102" t="s">
        <v>25770</v>
      </c>
      <c r="L222" s="102" t="s">
        <v>25642</v>
      </c>
      <c r="M222" s="102" t="s">
        <v>12</v>
      </c>
      <c r="N222" s="102">
        <v>2234.7000000000003</v>
      </c>
      <c r="R222" t="str">
        <f t="shared" si="20"/>
        <v>21-512-17-57</v>
      </c>
      <c r="S222" s="129" t="s">
        <v>28390</v>
      </c>
      <c r="T222" s="112">
        <v>4</v>
      </c>
    </row>
    <row r="223" spans="1:20" x14ac:dyDescent="0.2">
      <c r="A223" s="102" t="s">
        <v>8724</v>
      </c>
      <c r="B223" s="102" t="s">
        <v>25605</v>
      </c>
      <c r="C223" s="102" t="s">
        <v>8</v>
      </c>
      <c r="D223" s="102" t="s">
        <v>9</v>
      </c>
      <c r="E223" s="102" t="s">
        <v>25711</v>
      </c>
      <c r="F223" s="102" t="s">
        <v>26687</v>
      </c>
      <c r="G223" s="102" t="s">
        <v>28588</v>
      </c>
      <c r="H223" s="102" t="s">
        <v>28602</v>
      </c>
      <c r="I223" s="102" t="s">
        <v>100</v>
      </c>
      <c r="J223" s="102" t="s">
        <v>25770</v>
      </c>
      <c r="L223" s="102" t="s">
        <v>25642</v>
      </c>
      <c r="M223" s="102" t="s">
        <v>12</v>
      </c>
      <c r="N223" s="102">
        <v>2234.7000000000003</v>
      </c>
      <c r="R223" t="str">
        <f t="shared" si="20"/>
        <v>21-512-17-59</v>
      </c>
      <c r="S223" s="129" t="s">
        <v>28386</v>
      </c>
      <c r="T223" s="112">
        <v>6</v>
      </c>
    </row>
    <row r="224" spans="1:20" x14ac:dyDescent="0.2">
      <c r="A224" s="102" t="s">
        <v>8724</v>
      </c>
      <c r="B224" s="102" t="s">
        <v>25605</v>
      </c>
      <c r="C224" s="102" t="s">
        <v>8</v>
      </c>
      <c r="D224" s="102" t="s">
        <v>9</v>
      </c>
      <c r="E224" s="102" t="s">
        <v>25711</v>
      </c>
      <c r="F224" s="102" t="s">
        <v>26687</v>
      </c>
      <c r="G224" s="102" t="s">
        <v>28588</v>
      </c>
      <c r="H224" s="102" t="s">
        <v>28602</v>
      </c>
      <c r="I224" s="102" t="s">
        <v>100</v>
      </c>
      <c r="J224" s="102" t="s">
        <v>25770</v>
      </c>
      <c r="L224" s="102" t="s">
        <v>25642</v>
      </c>
      <c r="M224" s="102" t="s">
        <v>12</v>
      </c>
      <c r="N224" s="102">
        <v>2234.7000000000003</v>
      </c>
      <c r="R224" t="str">
        <f t="shared" si="20"/>
        <v>21-512-17-61</v>
      </c>
      <c r="S224" s="129" t="s">
        <v>28391</v>
      </c>
      <c r="T224" s="112">
        <v>4</v>
      </c>
    </row>
    <row r="225" spans="1:20" x14ac:dyDescent="0.2">
      <c r="A225" s="102" t="s">
        <v>8734</v>
      </c>
      <c r="B225" s="102" t="s">
        <v>25617</v>
      </c>
      <c r="C225" s="102" t="s">
        <v>8</v>
      </c>
      <c r="D225" s="102" t="s">
        <v>21</v>
      </c>
      <c r="E225" s="102" t="s">
        <v>25711</v>
      </c>
      <c r="F225" s="102" t="s">
        <v>26687</v>
      </c>
      <c r="G225" s="102" t="s">
        <v>28588</v>
      </c>
      <c r="H225" s="102" t="s">
        <v>28614</v>
      </c>
      <c r="I225" s="102" t="s">
        <v>22</v>
      </c>
      <c r="J225" s="102" t="s">
        <v>25979</v>
      </c>
      <c r="K225" s="102" t="s">
        <v>25715</v>
      </c>
      <c r="L225" s="102" t="s">
        <v>25642</v>
      </c>
      <c r="M225" s="102" t="s">
        <v>12</v>
      </c>
      <c r="N225" s="102">
        <v>2310.75</v>
      </c>
      <c r="R225" t="str">
        <f t="shared" si="20"/>
        <v>21-514-14-55</v>
      </c>
      <c r="S225" s="129" t="s">
        <v>28313</v>
      </c>
      <c r="T225" s="112">
        <v>5</v>
      </c>
    </row>
    <row r="226" spans="1:20" x14ac:dyDescent="0.2">
      <c r="A226" s="102" t="s">
        <v>8734</v>
      </c>
      <c r="B226" s="102" t="s">
        <v>25617</v>
      </c>
      <c r="C226" s="102" t="s">
        <v>8</v>
      </c>
      <c r="D226" s="102" t="s">
        <v>21</v>
      </c>
      <c r="E226" s="102" t="s">
        <v>25711</v>
      </c>
      <c r="F226" s="102" t="s">
        <v>26687</v>
      </c>
      <c r="G226" s="102" t="s">
        <v>28588</v>
      </c>
      <c r="H226" s="102" t="s">
        <v>28614</v>
      </c>
      <c r="I226" s="102" t="s">
        <v>22</v>
      </c>
      <c r="J226" s="102" t="s">
        <v>25979</v>
      </c>
      <c r="K226" s="102" t="s">
        <v>25715</v>
      </c>
      <c r="L226" s="102" t="s">
        <v>25642</v>
      </c>
      <c r="M226" s="102" t="s">
        <v>12</v>
      </c>
      <c r="N226" s="102">
        <v>2310.75</v>
      </c>
      <c r="R226" t="str">
        <f t="shared" si="20"/>
        <v>21-514-14-57</v>
      </c>
      <c r="S226" s="129" t="s">
        <v>28390</v>
      </c>
      <c r="T226" s="112">
        <v>12</v>
      </c>
    </row>
    <row r="227" spans="1:20" x14ac:dyDescent="0.2">
      <c r="A227" s="102" t="s">
        <v>8734</v>
      </c>
      <c r="B227" s="102" t="s">
        <v>25617</v>
      </c>
      <c r="C227" s="102" t="s">
        <v>8</v>
      </c>
      <c r="D227" s="102" t="s">
        <v>21</v>
      </c>
      <c r="E227" s="102" t="s">
        <v>25711</v>
      </c>
      <c r="F227" s="102" t="s">
        <v>26687</v>
      </c>
      <c r="G227" s="102" t="s">
        <v>28588</v>
      </c>
      <c r="H227" s="102" t="s">
        <v>28614</v>
      </c>
      <c r="I227" s="102" t="s">
        <v>22</v>
      </c>
      <c r="J227" s="102" t="s">
        <v>25979</v>
      </c>
      <c r="K227" s="102" t="s">
        <v>25715</v>
      </c>
      <c r="L227" s="102" t="s">
        <v>25642</v>
      </c>
      <c r="M227" s="102" t="s">
        <v>12</v>
      </c>
      <c r="N227" s="102">
        <v>2310.75</v>
      </c>
      <c r="R227" t="str">
        <f t="shared" si="20"/>
        <v>21-514-14-59</v>
      </c>
      <c r="S227" s="129" t="s">
        <v>28386</v>
      </c>
      <c r="T227" s="112">
        <v>14</v>
      </c>
    </row>
    <row r="228" spans="1:20" x14ac:dyDescent="0.2">
      <c r="A228" s="102" t="s">
        <v>8734</v>
      </c>
      <c r="B228" s="102" t="s">
        <v>25617</v>
      </c>
      <c r="C228" s="102" t="s">
        <v>8</v>
      </c>
      <c r="D228" s="102" t="s">
        <v>21</v>
      </c>
      <c r="E228" s="102" t="s">
        <v>25711</v>
      </c>
      <c r="F228" s="102" t="s">
        <v>26687</v>
      </c>
      <c r="G228" s="102" t="s">
        <v>28588</v>
      </c>
      <c r="H228" s="102" t="s">
        <v>28614</v>
      </c>
      <c r="I228" s="102" t="s">
        <v>22</v>
      </c>
      <c r="J228" s="102" t="s">
        <v>25979</v>
      </c>
      <c r="K228" s="102" t="s">
        <v>25715</v>
      </c>
      <c r="L228" s="102" t="s">
        <v>25642</v>
      </c>
      <c r="M228" s="102" t="s">
        <v>12</v>
      </c>
      <c r="N228" s="102">
        <v>2310.75</v>
      </c>
      <c r="R228" t="str">
        <f t="shared" si="20"/>
        <v>21-514-14-61</v>
      </c>
      <c r="S228" s="129" t="s">
        <v>28391</v>
      </c>
      <c r="T228" s="112">
        <v>8</v>
      </c>
    </row>
    <row r="229" spans="1:20" x14ac:dyDescent="0.2">
      <c r="A229" s="102" t="s">
        <v>8738</v>
      </c>
      <c r="B229" s="102" t="s">
        <v>25617</v>
      </c>
      <c r="C229" s="102" t="s">
        <v>8</v>
      </c>
      <c r="D229" s="102" t="s">
        <v>21</v>
      </c>
      <c r="E229" s="102" t="s">
        <v>25711</v>
      </c>
      <c r="F229" s="102" t="s">
        <v>26687</v>
      </c>
      <c r="G229" s="102" t="s">
        <v>28588</v>
      </c>
      <c r="H229" s="102" t="s">
        <v>28615</v>
      </c>
      <c r="I229" s="102" t="s">
        <v>42</v>
      </c>
      <c r="J229" s="102" t="s">
        <v>25979</v>
      </c>
      <c r="K229" s="102" t="s">
        <v>25715</v>
      </c>
      <c r="L229" s="102" t="s">
        <v>25642</v>
      </c>
      <c r="M229" s="102" t="s">
        <v>12</v>
      </c>
      <c r="N229" s="102">
        <v>2310.75</v>
      </c>
      <c r="R229" t="str">
        <f t="shared" ref="R229:R239" si="21">A229&amp;"-"&amp;S229</f>
        <v>21-514-53-55</v>
      </c>
      <c r="S229" s="129" t="s">
        <v>28313</v>
      </c>
      <c r="T229" s="112">
        <v>4</v>
      </c>
    </row>
    <row r="230" spans="1:20" x14ac:dyDescent="0.2">
      <c r="A230" s="102" t="s">
        <v>8738</v>
      </c>
      <c r="B230" s="102" t="s">
        <v>25617</v>
      </c>
      <c r="C230" s="102" t="s">
        <v>8</v>
      </c>
      <c r="D230" s="102" t="s">
        <v>21</v>
      </c>
      <c r="E230" s="102" t="s">
        <v>25711</v>
      </c>
      <c r="F230" s="102" t="s">
        <v>26687</v>
      </c>
      <c r="G230" s="102" t="s">
        <v>28588</v>
      </c>
      <c r="H230" s="102" t="s">
        <v>28615</v>
      </c>
      <c r="I230" s="102" t="s">
        <v>42</v>
      </c>
      <c r="J230" s="102" t="s">
        <v>25979</v>
      </c>
      <c r="K230" s="102" t="s">
        <v>25715</v>
      </c>
      <c r="L230" s="102" t="s">
        <v>25642</v>
      </c>
      <c r="M230" s="102" t="s">
        <v>12</v>
      </c>
      <c r="N230" s="102">
        <v>2310.75</v>
      </c>
      <c r="R230" t="str">
        <f t="shared" si="21"/>
        <v>21-514-53-57</v>
      </c>
      <c r="S230" s="129" t="s">
        <v>28390</v>
      </c>
      <c r="T230" s="112">
        <v>12</v>
      </c>
    </row>
    <row r="231" spans="1:20" x14ac:dyDescent="0.2">
      <c r="A231" s="102" t="s">
        <v>8738</v>
      </c>
      <c r="B231" s="102" t="s">
        <v>25617</v>
      </c>
      <c r="C231" s="102" t="s">
        <v>8</v>
      </c>
      <c r="D231" s="102" t="s">
        <v>21</v>
      </c>
      <c r="E231" s="102" t="s">
        <v>25711</v>
      </c>
      <c r="F231" s="102" t="s">
        <v>26687</v>
      </c>
      <c r="G231" s="102" t="s">
        <v>28588</v>
      </c>
      <c r="H231" s="102" t="s">
        <v>28615</v>
      </c>
      <c r="I231" s="102" t="s">
        <v>42</v>
      </c>
      <c r="J231" s="102" t="s">
        <v>25979</v>
      </c>
      <c r="K231" s="102" t="s">
        <v>25715</v>
      </c>
      <c r="L231" s="102" t="s">
        <v>25642</v>
      </c>
      <c r="M231" s="102" t="s">
        <v>12</v>
      </c>
      <c r="N231" s="102">
        <v>2310.75</v>
      </c>
      <c r="R231" t="str">
        <f t="shared" si="21"/>
        <v>21-514-53-59</v>
      </c>
      <c r="S231" s="129" t="s">
        <v>28386</v>
      </c>
      <c r="T231" s="112">
        <v>13</v>
      </c>
    </row>
    <row r="232" spans="1:20" x14ac:dyDescent="0.2">
      <c r="A232" s="102" t="s">
        <v>8738</v>
      </c>
      <c r="B232" s="102" t="s">
        <v>25617</v>
      </c>
      <c r="C232" s="102" t="s">
        <v>8</v>
      </c>
      <c r="D232" s="102" t="s">
        <v>21</v>
      </c>
      <c r="E232" s="102" t="s">
        <v>25711</v>
      </c>
      <c r="F232" s="102" t="s">
        <v>26687</v>
      </c>
      <c r="G232" s="102" t="s">
        <v>28588</v>
      </c>
      <c r="H232" s="102" t="s">
        <v>28615</v>
      </c>
      <c r="I232" s="102" t="s">
        <v>42</v>
      </c>
      <c r="J232" s="102" t="s">
        <v>25979</v>
      </c>
      <c r="K232" s="102" t="s">
        <v>25715</v>
      </c>
      <c r="L232" s="102" t="s">
        <v>25642</v>
      </c>
      <c r="M232" s="102" t="s">
        <v>12</v>
      </c>
      <c r="N232" s="102">
        <v>2310.75</v>
      </c>
      <c r="R232" t="str">
        <f t="shared" si="21"/>
        <v>21-514-53-61</v>
      </c>
      <c r="S232" s="129" t="s">
        <v>28391</v>
      </c>
      <c r="T232" s="112">
        <v>9</v>
      </c>
    </row>
    <row r="233" spans="1:20" x14ac:dyDescent="0.2">
      <c r="A233" s="102" t="s">
        <v>8744</v>
      </c>
      <c r="B233" s="102" t="s">
        <v>25618</v>
      </c>
      <c r="C233" s="102" t="s">
        <v>8</v>
      </c>
      <c r="D233" s="102" t="s">
        <v>14</v>
      </c>
      <c r="E233" s="102" t="s">
        <v>25711</v>
      </c>
      <c r="F233" s="102" t="s">
        <v>26687</v>
      </c>
      <c r="G233" s="102" t="s">
        <v>28588</v>
      </c>
      <c r="H233" s="102" t="s">
        <v>28622</v>
      </c>
      <c r="I233" s="102" t="s">
        <v>25486</v>
      </c>
      <c r="J233" s="102" t="s">
        <v>26092</v>
      </c>
      <c r="K233" s="102" t="s">
        <v>25715</v>
      </c>
      <c r="L233" s="102" t="s">
        <v>25642</v>
      </c>
      <c r="M233" s="102" t="s">
        <v>12</v>
      </c>
      <c r="N233" s="102">
        <v>2380.9500000000003</v>
      </c>
      <c r="R233" t="str">
        <f t="shared" si="21"/>
        <v>21-515-81-57</v>
      </c>
      <c r="S233" s="129" t="s">
        <v>28390</v>
      </c>
      <c r="T233" s="112">
        <v>4</v>
      </c>
    </row>
    <row r="234" spans="1:20" x14ac:dyDescent="0.2">
      <c r="A234" s="102" t="s">
        <v>8744</v>
      </c>
      <c r="B234" s="102" t="s">
        <v>25618</v>
      </c>
      <c r="C234" s="102" t="s">
        <v>8</v>
      </c>
      <c r="D234" s="102" t="s">
        <v>14</v>
      </c>
      <c r="E234" s="102" t="s">
        <v>25711</v>
      </c>
      <c r="F234" s="102" t="s">
        <v>26687</v>
      </c>
      <c r="G234" s="102" t="s">
        <v>28588</v>
      </c>
      <c r="H234" s="102" t="s">
        <v>28622</v>
      </c>
      <c r="I234" s="102" t="s">
        <v>25486</v>
      </c>
      <c r="J234" s="102" t="s">
        <v>26092</v>
      </c>
      <c r="K234" s="102" t="s">
        <v>25715</v>
      </c>
      <c r="L234" s="102" t="s">
        <v>25642</v>
      </c>
      <c r="M234" s="102" t="s">
        <v>12</v>
      </c>
      <c r="N234" s="102">
        <v>2380.9500000000003</v>
      </c>
      <c r="R234" t="str">
        <f t="shared" si="21"/>
        <v>21-515-81-59</v>
      </c>
      <c r="S234" s="129" t="s">
        <v>28386</v>
      </c>
      <c r="T234" s="112">
        <v>6</v>
      </c>
    </row>
    <row r="235" spans="1:20" x14ac:dyDescent="0.2">
      <c r="A235" s="102" t="s">
        <v>8744</v>
      </c>
      <c r="B235" s="102" t="s">
        <v>25618</v>
      </c>
      <c r="C235" s="102" t="s">
        <v>8</v>
      </c>
      <c r="D235" s="102" t="s">
        <v>14</v>
      </c>
      <c r="E235" s="102" t="s">
        <v>25711</v>
      </c>
      <c r="F235" s="102" t="s">
        <v>26687</v>
      </c>
      <c r="G235" s="102" t="s">
        <v>28588</v>
      </c>
      <c r="H235" s="102" t="s">
        <v>28622</v>
      </c>
      <c r="I235" s="102" t="s">
        <v>25486</v>
      </c>
      <c r="J235" s="102" t="s">
        <v>26092</v>
      </c>
      <c r="K235" s="102" t="s">
        <v>25715</v>
      </c>
      <c r="L235" s="102" t="s">
        <v>25642</v>
      </c>
      <c r="M235" s="102" t="s">
        <v>12</v>
      </c>
      <c r="N235" s="102">
        <v>2380.9500000000003</v>
      </c>
      <c r="R235" t="str">
        <f t="shared" si="21"/>
        <v>21-515-81-61</v>
      </c>
      <c r="S235" s="129" t="s">
        <v>28391</v>
      </c>
      <c r="T235" s="112">
        <v>4</v>
      </c>
    </row>
    <row r="236" spans="1:20" x14ac:dyDescent="0.2">
      <c r="A236" s="102" t="s">
        <v>28529</v>
      </c>
      <c r="B236" s="102" t="s">
        <v>25618</v>
      </c>
      <c r="C236" s="102" t="s">
        <v>8</v>
      </c>
      <c r="D236" s="102" t="s">
        <v>14</v>
      </c>
      <c r="E236" s="102" t="s">
        <v>25711</v>
      </c>
      <c r="F236" s="102" t="s">
        <v>26687</v>
      </c>
      <c r="G236" s="102" t="s">
        <v>28588</v>
      </c>
      <c r="H236" s="102" t="s">
        <v>28623</v>
      </c>
      <c r="I236" s="102" t="s">
        <v>27815</v>
      </c>
      <c r="J236" s="102" t="s">
        <v>26092</v>
      </c>
      <c r="K236" s="102" t="s">
        <v>25715</v>
      </c>
      <c r="L236" s="102" t="s">
        <v>25642</v>
      </c>
      <c r="M236" s="102" t="s">
        <v>12</v>
      </c>
      <c r="N236" s="102">
        <v>2380.9500000000003</v>
      </c>
      <c r="R236" t="str">
        <f t="shared" si="21"/>
        <v>21-515-06-55</v>
      </c>
      <c r="S236" s="129" t="s">
        <v>28313</v>
      </c>
      <c r="T236" s="112">
        <v>3</v>
      </c>
    </row>
    <row r="237" spans="1:20" x14ac:dyDescent="0.2">
      <c r="A237" s="102" t="s">
        <v>28529</v>
      </c>
      <c r="B237" s="102" t="s">
        <v>25618</v>
      </c>
      <c r="C237" s="102" t="s">
        <v>8</v>
      </c>
      <c r="D237" s="102" t="s">
        <v>14</v>
      </c>
      <c r="E237" s="102" t="s">
        <v>25711</v>
      </c>
      <c r="F237" s="102" t="s">
        <v>26687</v>
      </c>
      <c r="G237" s="102" t="s">
        <v>28588</v>
      </c>
      <c r="H237" s="102" t="s">
        <v>28623</v>
      </c>
      <c r="I237" s="102" t="s">
        <v>27815</v>
      </c>
      <c r="J237" s="102" t="s">
        <v>26092</v>
      </c>
      <c r="K237" s="102" t="s">
        <v>25715</v>
      </c>
      <c r="L237" s="102" t="s">
        <v>25642</v>
      </c>
      <c r="M237" s="102" t="s">
        <v>12</v>
      </c>
      <c r="N237" s="102">
        <v>2380.9500000000003</v>
      </c>
      <c r="R237" t="str">
        <f t="shared" si="21"/>
        <v>21-515-06-57</v>
      </c>
      <c r="S237" s="129" t="s">
        <v>28390</v>
      </c>
      <c r="T237" s="112">
        <v>9</v>
      </c>
    </row>
    <row r="238" spans="1:20" x14ac:dyDescent="0.2">
      <c r="A238" s="102" t="s">
        <v>28529</v>
      </c>
      <c r="B238" s="102" t="s">
        <v>25618</v>
      </c>
      <c r="C238" s="102" t="s">
        <v>8</v>
      </c>
      <c r="D238" s="102" t="s">
        <v>14</v>
      </c>
      <c r="E238" s="102" t="s">
        <v>25711</v>
      </c>
      <c r="F238" s="102" t="s">
        <v>26687</v>
      </c>
      <c r="G238" s="102" t="s">
        <v>28588</v>
      </c>
      <c r="H238" s="102" t="s">
        <v>28623</v>
      </c>
      <c r="I238" s="102" t="s">
        <v>27815</v>
      </c>
      <c r="J238" s="102" t="s">
        <v>26092</v>
      </c>
      <c r="K238" s="102" t="s">
        <v>25715</v>
      </c>
      <c r="L238" s="102" t="s">
        <v>25642</v>
      </c>
      <c r="M238" s="102" t="s">
        <v>12</v>
      </c>
      <c r="N238" s="102">
        <v>2380.9500000000003</v>
      </c>
      <c r="R238" t="str">
        <f t="shared" si="21"/>
        <v>21-515-06-59</v>
      </c>
      <c r="S238" s="129" t="s">
        <v>28386</v>
      </c>
      <c r="T238" s="112">
        <v>12</v>
      </c>
    </row>
    <row r="239" spans="1:20" x14ac:dyDescent="0.2">
      <c r="A239" s="102" t="s">
        <v>28529</v>
      </c>
      <c r="B239" s="102" t="s">
        <v>25618</v>
      </c>
      <c r="C239" s="102" t="s">
        <v>8</v>
      </c>
      <c r="D239" s="102" t="s">
        <v>14</v>
      </c>
      <c r="E239" s="102" t="s">
        <v>25711</v>
      </c>
      <c r="F239" s="102" t="s">
        <v>26687</v>
      </c>
      <c r="G239" s="102" t="s">
        <v>28588</v>
      </c>
      <c r="H239" s="102" t="s">
        <v>28623</v>
      </c>
      <c r="I239" s="102" t="s">
        <v>27815</v>
      </c>
      <c r="J239" s="102" t="s">
        <v>26092</v>
      </c>
      <c r="K239" s="102" t="s">
        <v>25715</v>
      </c>
      <c r="L239" s="102" t="s">
        <v>25642</v>
      </c>
      <c r="M239" s="102" t="s">
        <v>12</v>
      </c>
      <c r="N239" s="102">
        <v>2380.9500000000003</v>
      </c>
      <c r="R239" t="str">
        <f t="shared" si="21"/>
        <v>21-515-06-61</v>
      </c>
      <c r="S239" s="129" t="s">
        <v>28391</v>
      </c>
      <c r="T239" s="112">
        <v>4</v>
      </c>
    </row>
    <row r="240" spans="1:20" x14ac:dyDescent="0.2">
      <c r="A240" s="102" t="s">
        <v>9004</v>
      </c>
      <c r="B240" s="102" t="s">
        <v>28461</v>
      </c>
      <c r="C240" s="102" t="s">
        <v>8</v>
      </c>
      <c r="D240" s="102" t="s">
        <v>21</v>
      </c>
      <c r="E240" s="102" t="s">
        <v>25711</v>
      </c>
      <c r="F240" s="102" t="s">
        <v>26687</v>
      </c>
      <c r="G240" s="102" t="s">
        <v>28588</v>
      </c>
      <c r="H240" s="102" t="s">
        <v>28614</v>
      </c>
      <c r="I240" s="102" t="s">
        <v>25503</v>
      </c>
      <c r="J240" s="102" t="s">
        <v>25979</v>
      </c>
      <c r="K240" s="102" t="s">
        <v>25715</v>
      </c>
      <c r="L240" s="102" t="s">
        <v>25642</v>
      </c>
      <c r="M240" s="102" t="s">
        <v>12</v>
      </c>
      <c r="N240" s="102">
        <v>2263.9500000000003</v>
      </c>
      <c r="R240" t="str">
        <f t="shared" ref="R240:R250" si="22">A240&amp;"-"&amp;S240</f>
        <v>21-599-00-55</v>
      </c>
      <c r="S240" s="129" t="s">
        <v>28313</v>
      </c>
      <c r="T240" s="112">
        <v>4</v>
      </c>
    </row>
    <row r="241" spans="1:20" x14ac:dyDescent="0.2">
      <c r="A241" s="102" t="s">
        <v>9004</v>
      </c>
      <c r="B241" s="102" t="s">
        <v>28461</v>
      </c>
      <c r="C241" s="102" t="s">
        <v>8</v>
      </c>
      <c r="D241" s="102" t="s">
        <v>21</v>
      </c>
      <c r="E241" s="102" t="s">
        <v>25711</v>
      </c>
      <c r="F241" s="102" t="s">
        <v>26687</v>
      </c>
      <c r="G241" s="102" t="s">
        <v>28588</v>
      </c>
      <c r="H241" s="102" t="s">
        <v>28614</v>
      </c>
      <c r="I241" s="102" t="s">
        <v>25503</v>
      </c>
      <c r="J241" s="102" t="s">
        <v>25979</v>
      </c>
      <c r="K241" s="102" t="s">
        <v>25715</v>
      </c>
      <c r="L241" s="102" t="s">
        <v>25642</v>
      </c>
      <c r="M241" s="102" t="s">
        <v>12</v>
      </c>
      <c r="N241" s="102">
        <v>2263.9500000000003</v>
      </c>
      <c r="R241" t="str">
        <f t="shared" si="22"/>
        <v>21-599-00-57</v>
      </c>
      <c r="S241" s="129" t="s">
        <v>28390</v>
      </c>
      <c r="T241" s="112">
        <v>10</v>
      </c>
    </row>
    <row r="242" spans="1:20" x14ac:dyDescent="0.2">
      <c r="A242" s="102" t="s">
        <v>9004</v>
      </c>
      <c r="B242" s="102" t="s">
        <v>28461</v>
      </c>
      <c r="C242" s="102" t="s">
        <v>8</v>
      </c>
      <c r="D242" s="102" t="s">
        <v>21</v>
      </c>
      <c r="E242" s="102" t="s">
        <v>25711</v>
      </c>
      <c r="F242" s="102" t="s">
        <v>26687</v>
      </c>
      <c r="G242" s="102" t="s">
        <v>28588</v>
      </c>
      <c r="H242" s="102" t="s">
        <v>28614</v>
      </c>
      <c r="I242" s="102" t="s">
        <v>25503</v>
      </c>
      <c r="J242" s="102" t="s">
        <v>25979</v>
      </c>
      <c r="K242" s="102" t="s">
        <v>25715</v>
      </c>
      <c r="L242" s="102" t="s">
        <v>25642</v>
      </c>
      <c r="M242" s="102" t="s">
        <v>12</v>
      </c>
      <c r="N242" s="102">
        <v>2263.9500000000003</v>
      </c>
      <c r="R242" t="str">
        <f t="shared" si="22"/>
        <v>21-599-00-59</v>
      </c>
      <c r="S242" s="129" t="s">
        <v>28386</v>
      </c>
      <c r="T242" s="112">
        <v>20</v>
      </c>
    </row>
    <row r="243" spans="1:20" x14ac:dyDescent="0.2">
      <c r="A243" s="102" t="s">
        <v>9004</v>
      </c>
      <c r="B243" s="102" t="s">
        <v>28461</v>
      </c>
      <c r="C243" s="102" t="s">
        <v>8</v>
      </c>
      <c r="D243" s="102" t="s">
        <v>21</v>
      </c>
      <c r="E243" s="102" t="s">
        <v>25711</v>
      </c>
      <c r="F243" s="102" t="s">
        <v>26687</v>
      </c>
      <c r="G243" s="102" t="s">
        <v>28588</v>
      </c>
      <c r="H243" s="102" t="s">
        <v>28614</v>
      </c>
      <c r="I243" s="102" t="s">
        <v>25503</v>
      </c>
      <c r="J243" s="102" t="s">
        <v>25979</v>
      </c>
      <c r="K243" s="102" t="s">
        <v>25715</v>
      </c>
      <c r="L243" s="102" t="s">
        <v>25642</v>
      </c>
      <c r="M243" s="102" t="s">
        <v>12</v>
      </c>
      <c r="N243" s="102">
        <v>2263.9500000000003</v>
      </c>
      <c r="R243" t="str">
        <f t="shared" si="22"/>
        <v>21-599-00-61</v>
      </c>
      <c r="S243" s="129" t="s">
        <v>28391</v>
      </c>
      <c r="T243" s="112">
        <v>12</v>
      </c>
    </row>
    <row r="244" spans="1:20" x14ac:dyDescent="0.2">
      <c r="A244" s="102" t="s">
        <v>9004</v>
      </c>
      <c r="B244" s="102" t="s">
        <v>28461</v>
      </c>
      <c r="C244" s="102" t="s">
        <v>8</v>
      </c>
      <c r="D244" s="102" t="s">
        <v>21</v>
      </c>
      <c r="E244" s="102" t="s">
        <v>25711</v>
      </c>
      <c r="F244" s="102" t="s">
        <v>26687</v>
      </c>
      <c r="G244" s="102" t="s">
        <v>28588</v>
      </c>
      <c r="H244" s="102" t="s">
        <v>28614</v>
      </c>
      <c r="I244" s="102" t="s">
        <v>25503</v>
      </c>
      <c r="J244" s="102" t="s">
        <v>25979</v>
      </c>
      <c r="K244" s="102" t="s">
        <v>25715</v>
      </c>
      <c r="L244" s="102" t="s">
        <v>25642</v>
      </c>
      <c r="M244" s="102" t="s">
        <v>12</v>
      </c>
      <c r="N244" s="102">
        <v>2263.9500000000003</v>
      </c>
      <c r="R244" t="str">
        <f t="shared" si="22"/>
        <v>21-599-00-63</v>
      </c>
      <c r="S244" s="129" t="s">
        <v>28436</v>
      </c>
      <c r="T244" s="112">
        <v>0</v>
      </c>
    </row>
    <row r="245" spans="1:20" x14ac:dyDescent="0.2">
      <c r="A245" s="102" t="s">
        <v>9006</v>
      </c>
      <c r="B245" s="102" t="s">
        <v>28461</v>
      </c>
      <c r="C245" s="102" t="s">
        <v>8</v>
      </c>
      <c r="D245" s="102" t="s">
        <v>21</v>
      </c>
      <c r="E245" s="102" t="s">
        <v>25711</v>
      </c>
      <c r="F245" s="102" t="s">
        <v>26687</v>
      </c>
      <c r="G245" s="102" t="s">
        <v>28588</v>
      </c>
      <c r="H245" s="102" t="s">
        <v>28624</v>
      </c>
      <c r="I245" s="102" t="s">
        <v>27</v>
      </c>
      <c r="J245" s="102" t="s">
        <v>25979</v>
      </c>
      <c r="K245" s="102" t="s">
        <v>25715</v>
      </c>
      <c r="L245" s="102" t="s">
        <v>25642</v>
      </c>
      <c r="M245" s="102" t="s">
        <v>12</v>
      </c>
      <c r="N245" s="102">
        <v>2263.9500000000003</v>
      </c>
      <c r="R245" t="str">
        <f t="shared" si="22"/>
        <v>21-599-06-57</v>
      </c>
      <c r="S245" s="129" t="s">
        <v>28390</v>
      </c>
      <c r="T245" s="112">
        <v>3</v>
      </c>
    </row>
    <row r="246" spans="1:20" x14ac:dyDescent="0.2">
      <c r="A246" s="102" t="s">
        <v>9006</v>
      </c>
      <c r="B246" s="102" t="s">
        <v>28461</v>
      </c>
      <c r="C246" s="102" t="s">
        <v>8</v>
      </c>
      <c r="D246" s="102" t="s">
        <v>21</v>
      </c>
      <c r="E246" s="102" t="s">
        <v>25711</v>
      </c>
      <c r="F246" s="102" t="s">
        <v>26687</v>
      </c>
      <c r="G246" s="102" t="s">
        <v>28588</v>
      </c>
      <c r="H246" s="102" t="s">
        <v>28624</v>
      </c>
      <c r="I246" s="102" t="s">
        <v>27</v>
      </c>
      <c r="J246" s="102" t="s">
        <v>25979</v>
      </c>
      <c r="K246" s="102" t="s">
        <v>25715</v>
      </c>
      <c r="L246" s="102" t="s">
        <v>25642</v>
      </c>
      <c r="M246" s="102" t="s">
        <v>12</v>
      </c>
      <c r="N246" s="102">
        <v>2263.9500000000003</v>
      </c>
      <c r="R246" t="str">
        <f t="shared" si="22"/>
        <v>21-599-06-59</v>
      </c>
      <c r="S246" s="129" t="s">
        <v>28386</v>
      </c>
      <c r="T246" s="112">
        <v>8</v>
      </c>
    </row>
    <row r="247" spans="1:20" x14ac:dyDescent="0.2">
      <c r="A247" s="102" t="s">
        <v>9006</v>
      </c>
      <c r="B247" s="102" t="s">
        <v>28461</v>
      </c>
      <c r="C247" s="102" t="s">
        <v>8</v>
      </c>
      <c r="D247" s="102" t="s">
        <v>21</v>
      </c>
      <c r="E247" s="102" t="s">
        <v>25711</v>
      </c>
      <c r="F247" s="102" t="s">
        <v>26687</v>
      </c>
      <c r="G247" s="102" t="s">
        <v>28588</v>
      </c>
      <c r="H247" s="102" t="s">
        <v>28624</v>
      </c>
      <c r="I247" s="102" t="s">
        <v>27</v>
      </c>
      <c r="J247" s="102" t="s">
        <v>25979</v>
      </c>
      <c r="K247" s="102" t="s">
        <v>25715</v>
      </c>
      <c r="L247" s="102" t="s">
        <v>25642</v>
      </c>
      <c r="M247" s="102" t="s">
        <v>12</v>
      </c>
      <c r="N247" s="102">
        <v>2263.9500000000003</v>
      </c>
      <c r="R247" t="str">
        <f t="shared" si="22"/>
        <v>21-599-06-61</v>
      </c>
      <c r="S247" s="129" t="s">
        <v>28391</v>
      </c>
      <c r="T247" s="112">
        <v>4</v>
      </c>
    </row>
    <row r="248" spans="1:20" x14ac:dyDescent="0.2">
      <c r="A248" s="102" t="s">
        <v>27114</v>
      </c>
      <c r="B248" s="102" t="s">
        <v>28461</v>
      </c>
      <c r="C248" s="102" t="s">
        <v>8</v>
      </c>
      <c r="D248" s="102" t="s">
        <v>21</v>
      </c>
      <c r="E248" s="102" t="s">
        <v>25711</v>
      </c>
      <c r="F248" s="102" t="s">
        <v>26687</v>
      </c>
      <c r="G248" s="102" t="s">
        <v>28588</v>
      </c>
      <c r="H248" s="102" t="s">
        <v>28598</v>
      </c>
      <c r="I248" s="102" t="s">
        <v>25464</v>
      </c>
      <c r="J248" s="102" t="s">
        <v>25979</v>
      </c>
      <c r="K248" s="102" t="s">
        <v>25715</v>
      </c>
      <c r="L248" s="102" t="s">
        <v>25642</v>
      </c>
      <c r="M248" s="102" t="s">
        <v>12</v>
      </c>
      <c r="N248" s="102">
        <v>2263.9500000000003</v>
      </c>
      <c r="R248" t="str">
        <f t="shared" si="22"/>
        <v>21-599-19-55</v>
      </c>
      <c r="S248" s="129" t="s">
        <v>28313</v>
      </c>
      <c r="T248" s="112">
        <v>2</v>
      </c>
    </row>
    <row r="249" spans="1:20" x14ac:dyDescent="0.2">
      <c r="A249" s="102" t="s">
        <v>27114</v>
      </c>
      <c r="B249" s="102" t="s">
        <v>28461</v>
      </c>
      <c r="C249" s="102" t="s">
        <v>8</v>
      </c>
      <c r="D249" s="102" t="s">
        <v>21</v>
      </c>
      <c r="E249" s="102" t="s">
        <v>25711</v>
      </c>
      <c r="F249" s="102" t="s">
        <v>26687</v>
      </c>
      <c r="G249" s="102" t="s">
        <v>28588</v>
      </c>
      <c r="H249" s="102" t="s">
        <v>28598</v>
      </c>
      <c r="I249" s="102" t="s">
        <v>25464</v>
      </c>
      <c r="J249" s="102" t="s">
        <v>25979</v>
      </c>
      <c r="K249" s="102" t="s">
        <v>25715</v>
      </c>
      <c r="L249" s="102" t="s">
        <v>25642</v>
      </c>
      <c r="M249" s="102" t="s">
        <v>12</v>
      </c>
      <c r="N249" s="102">
        <v>2263.9500000000003</v>
      </c>
      <c r="R249" t="str">
        <f t="shared" si="22"/>
        <v>21-599-19-57</v>
      </c>
      <c r="S249" s="129" t="s">
        <v>28390</v>
      </c>
      <c r="T249" s="112">
        <v>7</v>
      </c>
    </row>
    <row r="250" spans="1:20" x14ac:dyDescent="0.2">
      <c r="A250" s="102" t="s">
        <v>27114</v>
      </c>
      <c r="B250" s="102" t="s">
        <v>28461</v>
      </c>
      <c r="C250" s="102" t="s">
        <v>8</v>
      </c>
      <c r="D250" s="102" t="s">
        <v>21</v>
      </c>
      <c r="E250" s="102" t="s">
        <v>25711</v>
      </c>
      <c r="F250" s="102" t="s">
        <v>26687</v>
      </c>
      <c r="G250" s="102" t="s">
        <v>28588</v>
      </c>
      <c r="H250" s="102" t="s">
        <v>28598</v>
      </c>
      <c r="I250" s="102" t="s">
        <v>25464</v>
      </c>
      <c r="J250" s="102" t="s">
        <v>25979</v>
      </c>
      <c r="K250" s="102" t="s">
        <v>25715</v>
      </c>
      <c r="L250" s="102" t="s">
        <v>25642</v>
      </c>
      <c r="M250" s="102" t="s">
        <v>12</v>
      </c>
      <c r="N250" s="102">
        <v>2263.9500000000003</v>
      </c>
      <c r="R250" t="str">
        <f t="shared" si="22"/>
        <v>21-599-19-59</v>
      </c>
      <c r="S250" s="129" t="s">
        <v>28386</v>
      </c>
      <c r="T250" s="112">
        <v>11</v>
      </c>
    </row>
    <row r="251" spans="1:20" x14ac:dyDescent="0.2">
      <c r="A251" s="102" t="s">
        <v>27114</v>
      </c>
      <c r="B251" s="102" t="s">
        <v>28461</v>
      </c>
      <c r="C251" s="102" t="s">
        <v>8</v>
      </c>
      <c r="D251" s="102" t="s">
        <v>21</v>
      </c>
      <c r="E251" s="102" t="s">
        <v>25711</v>
      </c>
      <c r="F251" s="102" t="s">
        <v>26687</v>
      </c>
      <c r="G251" s="102" t="s">
        <v>28588</v>
      </c>
      <c r="H251" s="102" t="s">
        <v>28598</v>
      </c>
      <c r="I251" s="102" t="s">
        <v>25464</v>
      </c>
      <c r="J251" s="102" t="s">
        <v>25979</v>
      </c>
      <c r="K251" s="102" t="s">
        <v>25715</v>
      </c>
      <c r="L251" s="102" t="s">
        <v>25642</v>
      </c>
      <c r="M251" s="102" t="s">
        <v>12</v>
      </c>
      <c r="N251" s="102">
        <v>2263.9500000000003</v>
      </c>
      <c r="R251" t="str">
        <f t="shared" ref="R251:R258" si="23">A251&amp;"-"&amp;S251</f>
        <v>21-599-19-61</v>
      </c>
      <c r="S251" s="129" t="s">
        <v>28391</v>
      </c>
      <c r="T251" s="112">
        <v>7</v>
      </c>
    </row>
    <row r="252" spans="1:20" x14ac:dyDescent="0.2">
      <c r="A252" s="102" t="s">
        <v>9010</v>
      </c>
      <c r="B252" s="102" t="s">
        <v>28461</v>
      </c>
      <c r="C252" s="102" t="s">
        <v>8</v>
      </c>
      <c r="D252" s="102" t="s">
        <v>21</v>
      </c>
      <c r="E252" s="102" t="s">
        <v>25711</v>
      </c>
      <c r="F252" s="102" t="s">
        <v>26687</v>
      </c>
      <c r="G252" s="102" t="s">
        <v>28588</v>
      </c>
      <c r="H252" s="102" t="s">
        <v>28615</v>
      </c>
      <c r="I252" s="102" t="s">
        <v>25463</v>
      </c>
      <c r="J252" s="102" t="s">
        <v>25979</v>
      </c>
      <c r="K252" s="102" t="s">
        <v>25715</v>
      </c>
      <c r="L252" s="102" t="s">
        <v>25642</v>
      </c>
      <c r="M252" s="102" t="s">
        <v>12</v>
      </c>
      <c r="N252" s="102">
        <v>2263.9500000000003</v>
      </c>
      <c r="R252" t="str">
        <f t="shared" si="23"/>
        <v>21-599-79-55</v>
      </c>
      <c r="S252" s="129" t="s">
        <v>28313</v>
      </c>
      <c r="T252" s="112">
        <v>4</v>
      </c>
    </row>
    <row r="253" spans="1:20" x14ac:dyDescent="0.2">
      <c r="A253" s="102" t="s">
        <v>9010</v>
      </c>
      <c r="B253" s="102" t="s">
        <v>28461</v>
      </c>
      <c r="C253" s="102" t="s">
        <v>8</v>
      </c>
      <c r="D253" s="102" t="s">
        <v>21</v>
      </c>
      <c r="E253" s="102" t="s">
        <v>25711</v>
      </c>
      <c r="F253" s="102" t="s">
        <v>26687</v>
      </c>
      <c r="G253" s="102" t="s">
        <v>28588</v>
      </c>
      <c r="H253" s="102" t="s">
        <v>28615</v>
      </c>
      <c r="I253" s="102" t="s">
        <v>25463</v>
      </c>
      <c r="J253" s="102" t="s">
        <v>25979</v>
      </c>
      <c r="K253" s="102" t="s">
        <v>25715</v>
      </c>
      <c r="L253" s="102" t="s">
        <v>25642</v>
      </c>
      <c r="M253" s="102" t="s">
        <v>12</v>
      </c>
      <c r="N253" s="102">
        <v>2263.9500000000003</v>
      </c>
      <c r="R253" t="str">
        <f t="shared" si="23"/>
        <v>21-599-79-57</v>
      </c>
      <c r="S253" s="129" t="s">
        <v>28390</v>
      </c>
      <c r="T253" s="112">
        <v>12</v>
      </c>
    </row>
    <row r="254" spans="1:20" x14ac:dyDescent="0.2">
      <c r="A254" s="102" t="s">
        <v>9010</v>
      </c>
      <c r="B254" s="102" t="s">
        <v>28461</v>
      </c>
      <c r="C254" s="102" t="s">
        <v>8</v>
      </c>
      <c r="D254" s="102" t="s">
        <v>21</v>
      </c>
      <c r="E254" s="102" t="s">
        <v>25711</v>
      </c>
      <c r="F254" s="102" t="s">
        <v>26687</v>
      </c>
      <c r="G254" s="102" t="s">
        <v>28588</v>
      </c>
      <c r="H254" s="102" t="s">
        <v>28615</v>
      </c>
      <c r="I254" s="102" t="s">
        <v>25463</v>
      </c>
      <c r="J254" s="102" t="s">
        <v>25979</v>
      </c>
      <c r="K254" s="102" t="s">
        <v>25715</v>
      </c>
      <c r="L254" s="102" t="s">
        <v>25642</v>
      </c>
      <c r="M254" s="102" t="s">
        <v>12</v>
      </c>
      <c r="N254" s="102">
        <v>2263.9500000000003</v>
      </c>
      <c r="R254" t="str">
        <f t="shared" si="23"/>
        <v>21-599-79-59</v>
      </c>
      <c r="S254" s="129" t="s">
        <v>28386</v>
      </c>
      <c r="T254" s="112">
        <v>20</v>
      </c>
    </row>
    <row r="255" spans="1:20" x14ac:dyDescent="0.2">
      <c r="A255" s="102" t="s">
        <v>9010</v>
      </c>
      <c r="B255" s="102" t="s">
        <v>28461</v>
      </c>
      <c r="C255" s="102" t="s">
        <v>8</v>
      </c>
      <c r="D255" s="102" t="s">
        <v>21</v>
      </c>
      <c r="E255" s="102" t="s">
        <v>25711</v>
      </c>
      <c r="F255" s="102" t="s">
        <v>26687</v>
      </c>
      <c r="G255" s="102" t="s">
        <v>28588</v>
      </c>
      <c r="H255" s="102" t="s">
        <v>28615</v>
      </c>
      <c r="I255" s="102" t="s">
        <v>25463</v>
      </c>
      <c r="J255" s="102" t="s">
        <v>25979</v>
      </c>
      <c r="K255" s="102" t="s">
        <v>25715</v>
      </c>
      <c r="L255" s="102" t="s">
        <v>25642</v>
      </c>
      <c r="M255" s="102" t="s">
        <v>12</v>
      </c>
      <c r="N255" s="102">
        <v>2263.9500000000003</v>
      </c>
      <c r="R255" t="str">
        <f t="shared" si="23"/>
        <v>21-599-79-61</v>
      </c>
      <c r="S255" s="129" t="s">
        <v>28391</v>
      </c>
      <c r="T255" s="112">
        <v>12</v>
      </c>
    </row>
    <row r="256" spans="1:20" x14ac:dyDescent="0.2">
      <c r="A256" s="102" t="s">
        <v>9014</v>
      </c>
      <c r="B256" s="102" t="s">
        <v>28462</v>
      </c>
      <c r="C256" s="102" t="s">
        <v>8</v>
      </c>
      <c r="D256" s="102" t="s">
        <v>21</v>
      </c>
      <c r="E256" s="102" t="s">
        <v>25711</v>
      </c>
      <c r="F256" s="102" t="s">
        <v>26687</v>
      </c>
      <c r="G256" s="102" t="s">
        <v>28588</v>
      </c>
      <c r="H256" s="102" t="s">
        <v>28442</v>
      </c>
      <c r="I256" s="102" t="s">
        <v>1</v>
      </c>
      <c r="J256" s="102" t="s">
        <v>26092</v>
      </c>
      <c r="K256" s="102" t="s">
        <v>25715</v>
      </c>
      <c r="L256" s="102" t="s">
        <v>25642</v>
      </c>
      <c r="M256" s="102" t="s">
        <v>12</v>
      </c>
      <c r="N256" s="102">
        <v>2106</v>
      </c>
      <c r="R256" t="str">
        <f t="shared" si="23"/>
        <v>21-600-09-57</v>
      </c>
      <c r="S256" s="129" t="s">
        <v>28390</v>
      </c>
      <c r="T256" s="112">
        <v>3</v>
      </c>
    </row>
    <row r="257" spans="1:20" x14ac:dyDescent="0.2">
      <c r="A257" s="102" t="s">
        <v>9014</v>
      </c>
      <c r="B257" s="102" t="s">
        <v>28462</v>
      </c>
      <c r="C257" s="102" t="s">
        <v>8</v>
      </c>
      <c r="D257" s="102" t="s">
        <v>21</v>
      </c>
      <c r="E257" s="102" t="s">
        <v>25711</v>
      </c>
      <c r="F257" s="102" t="s">
        <v>26687</v>
      </c>
      <c r="G257" s="102" t="s">
        <v>28588</v>
      </c>
      <c r="H257" s="102" t="s">
        <v>28442</v>
      </c>
      <c r="I257" s="102" t="s">
        <v>1</v>
      </c>
      <c r="J257" s="102" t="s">
        <v>26092</v>
      </c>
      <c r="K257" s="102" t="s">
        <v>25715</v>
      </c>
      <c r="L257" s="102" t="s">
        <v>25642</v>
      </c>
      <c r="M257" s="102" t="s">
        <v>12</v>
      </c>
      <c r="N257" s="102">
        <v>2106</v>
      </c>
      <c r="R257" t="str">
        <f t="shared" si="23"/>
        <v>21-600-09-59</v>
      </c>
      <c r="S257" s="129" t="s">
        <v>28386</v>
      </c>
      <c r="T257" s="112">
        <v>5</v>
      </c>
    </row>
    <row r="258" spans="1:20" x14ac:dyDescent="0.2">
      <c r="A258" s="102" t="s">
        <v>9014</v>
      </c>
      <c r="B258" s="102" t="s">
        <v>28462</v>
      </c>
      <c r="C258" s="102" t="s">
        <v>8</v>
      </c>
      <c r="D258" s="102" t="s">
        <v>21</v>
      </c>
      <c r="E258" s="102" t="s">
        <v>25711</v>
      </c>
      <c r="F258" s="102" t="s">
        <v>26687</v>
      </c>
      <c r="G258" s="102" t="s">
        <v>28588</v>
      </c>
      <c r="H258" s="102" t="s">
        <v>28442</v>
      </c>
      <c r="I258" s="102" t="s">
        <v>1</v>
      </c>
      <c r="J258" s="102" t="s">
        <v>26092</v>
      </c>
      <c r="K258" s="102" t="s">
        <v>25715</v>
      </c>
      <c r="L258" s="102" t="s">
        <v>25642</v>
      </c>
      <c r="M258" s="102" t="s">
        <v>12</v>
      </c>
      <c r="N258" s="102">
        <v>2106</v>
      </c>
      <c r="R258" t="str">
        <f t="shared" si="23"/>
        <v>21-600-09-61</v>
      </c>
      <c r="S258" s="129" t="s">
        <v>28391</v>
      </c>
      <c r="T258" s="112">
        <v>3</v>
      </c>
    </row>
    <row r="259" spans="1:20" x14ac:dyDescent="0.2">
      <c r="A259" s="102" t="s">
        <v>9012</v>
      </c>
      <c r="B259" s="102" t="s">
        <v>28462</v>
      </c>
      <c r="C259" s="102" t="s">
        <v>8</v>
      </c>
      <c r="D259" s="102" t="s">
        <v>21</v>
      </c>
      <c r="E259" s="102" t="s">
        <v>25711</v>
      </c>
      <c r="F259" s="102" t="s">
        <v>26687</v>
      </c>
      <c r="G259" s="102" t="s">
        <v>28588</v>
      </c>
      <c r="H259" s="102" t="s">
        <v>28603</v>
      </c>
      <c r="I259" s="102" t="s">
        <v>52</v>
      </c>
      <c r="J259" s="102" t="s">
        <v>26092</v>
      </c>
      <c r="K259" s="102" t="s">
        <v>25715</v>
      </c>
      <c r="L259" s="102" t="s">
        <v>25642</v>
      </c>
      <c r="M259" s="102" t="s">
        <v>12</v>
      </c>
      <c r="N259" s="102">
        <v>2106</v>
      </c>
      <c r="R259" t="str">
        <f t="shared" ref="R259:R268" si="24">A259&amp;"-"&amp;S259</f>
        <v>21-600-02-57</v>
      </c>
      <c r="S259" s="129" t="s">
        <v>28390</v>
      </c>
      <c r="T259" s="112">
        <v>1</v>
      </c>
    </row>
    <row r="260" spans="1:20" x14ac:dyDescent="0.2">
      <c r="A260" s="102" t="s">
        <v>9012</v>
      </c>
      <c r="B260" s="102" t="s">
        <v>28462</v>
      </c>
      <c r="C260" s="102" t="s">
        <v>8</v>
      </c>
      <c r="D260" s="102" t="s">
        <v>21</v>
      </c>
      <c r="E260" s="102" t="s">
        <v>25711</v>
      </c>
      <c r="F260" s="102" t="s">
        <v>26687</v>
      </c>
      <c r="G260" s="102" t="s">
        <v>28588</v>
      </c>
      <c r="H260" s="102" t="s">
        <v>28603</v>
      </c>
      <c r="I260" s="102" t="s">
        <v>52</v>
      </c>
      <c r="J260" s="102" t="s">
        <v>26092</v>
      </c>
      <c r="K260" s="102" t="s">
        <v>25715</v>
      </c>
      <c r="L260" s="102" t="s">
        <v>25642</v>
      </c>
      <c r="M260" s="102" t="s">
        <v>12</v>
      </c>
      <c r="N260" s="102">
        <v>2106</v>
      </c>
      <c r="R260" t="str">
        <f t="shared" si="24"/>
        <v>21-600-02-59</v>
      </c>
      <c r="S260" s="129" t="s">
        <v>28386</v>
      </c>
      <c r="T260" s="112">
        <v>4</v>
      </c>
    </row>
    <row r="261" spans="1:20" x14ac:dyDescent="0.2">
      <c r="A261" s="102" t="s">
        <v>9012</v>
      </c>
      <c r="B261" s="102" t="s">
        <v>28462</v>
      </c>
      <c r="C261" s="102" t="s">
        <v>8</v>
      </c>
      <c r="D261" s="102" t="s">
        <v>21</v>
      </c>
      <c r="E261" s="102" t="s">
        <v>25711</v>
      </c>
      <c r="F261" s="102" t="s">
        <v>26687</v>
      </c>
      <c r="G261" s="102" t="s">
        <v>28588</v>
      </c>
      <c r="H261" s="102" t="s">
        <v>28603</v>
      </c>
      <c r="I261" s="102" t="s">
        <v>52</v>
      </c>
      <c r="J261" s="102" t="s">
        <v>26092</v>
      </c>
      <c r="K261" s="102" t="s">
        <v>25715</v>
      </c>
      <c r="L261" s="102" t="s">
        <v>25642</v>
      </c>
      <c r="M261" s="102" t="s">
        <v>12</v>
      </c>
      <c r="N261" s="102">
        <v>2106</v>
      </c>
      <c r="R261" t="str">
        <f t="shared" si="24"/>
        <v>21-600-02-61</v>
      </c>
      <c r="S261" s="129" t="s">
        <v>28391</v>
      </c>
      <c r="T261" s="112">
        <v>3</v>
      </c>
    </row>
    <row r="262" spans="1:20" x14ac:dyDescent="0.2">
      <c r="A262" s="102" t="s">
        <v>28530</v>
      </c>
      <c r="B262" s="102" t="s">
        <v>28463</v>
      </c>
      <c r="C262" s="102" t="s">
        <v>8</v>
      </c>
      <c r="D262" s="102" t="s">
        <v>17</v>
      </c>
      <c r="E262" s="102" t="s">
        <v>25711</v>
      </c>
      <c r="F262" s="102" t="s">
        <v>26687</v>
      </c>
      <c r="G262" s="102" t="s">
        <v>28588</v>
      </c>
      <c r="H262" s="102" t="s">
        <v>28597</v>
      </c>
      <c r="I262" s="102" t="s">
        <v>52</v>
      </c>
      <c r="J262" s="102" t="s">
        <v>25979</v>
      </c>
      <c r="K262" s="102" t="s">
        <v>25715</v>
      </c>
      <c r="L262" s="102" t="s">
        <v>25642</v>
      </c>
      <c r="M262" s="102" t="s">
        <v>12</v>
      </c>
      <c r="N262" s="102">
        <v>2380.9500000000003</v>
      </c>
      <c r="R262" t="str">
        <f t="shared" si="24"/>
        <v>21-708-02-55</v>
      </c>
      <c r="S262" s="129" t="s">
        <v>28313</v>
      </c>
      <c r="T262" s="112">
        <v>1</v>
      </c>
    </row>
    <row r="263" spans="1:20" x14ac:dyDescent="0.2">
      <c r="A263" s="102" t="s">
        <v>28530</v>
      </c>
      <c r="B263" s="102" t="s">
        <v>28463</v>
      </c>
      <c r="C263" s="102" t="s">
        <v>8</v>
      </c>
      <c r="D263" s="102" t="s">
        <v>17</v>
      </c>
      <c r="E263" s="102" t="s">
        <v>25711</v>
      </c>
      <c r="F263" s="102" t="s">
        <v>26687</v>
      </c>
      <c r="G263" s="102" t="s">
        <v>28588</v>
      </c>
      <c r="H263" s="102" t="s">
        <v>28597</v>
      </c>
      <c r="I263" s="102" t="s">
        <v>52</v>
      </c>
      <c r="J263" s="102" t="s">
        <v>25979</v>
      </c>
      <c r="K263" s="102" t="s">
        <v>25715</v>
      </c>
      <c r="L263" s="102" t="s">
        <v>25642</v>
      </c>
      <c r="M263" s="102" t="s">
        <v>12</v>
      </c>
      <c r="N263" s="102">
        <v>2380.9500000000003</v>
      </c>
      <c r="R263" t="str">
        <f t="shared" si="24"/>
        <v>21-708-02-57</v>
      </c>
      <c r="S263" s="129" t="s">
        <v>28390</v>
      </c>
      <c r="T263" s="112">
        <v>4</v>
      </c>
    </row>
    <row r="264" spans="1:20" x14ac:dyDescent="0.2">
      <c r="A264" s="102" t="s">
        <v>28530</v>
      </c>
      <c r="B264" s="102" t="s">
        <v>28463</v>
      </c>
      <c r="C264" s="102" t="s">
        <v>8</v>
      </c>
      <c r="D264" s="102" t="s">
        <v>17</v>
      </c>
      <c r="E264" s="102" t="s">
        <v>25711</v>
      </c>
      <c r="F264" s="102" t="s">
        <v>26687</v>
      </c>
      <c r="G264" s="102" t="s">
        <v>28588</v>
      </c>
      <c r="H264" s="102" t="s">
        <v>28597</v>
      </c>
      <c r="I264" s="102" t="s">
        <v>52</v>
      </c>
      <c r="J264" s="102" t="s">
        <v>25979</v>
      </c>
      <c r="K264" s="102" t="s">
        <v>25715</v>
      </c>
      <c r="L264" s="102" t="s">
        <v>25642</v>
      </c>
      <c r="M264" s="102" t="s">
        <v>12</v>
      </c>
      <c r="N264" s="102">
        <v>2380.9500000000003</v>
      </c>
      <c r="R264" t="str">
        <f t="shared" si="24"/>
        <v>21-708-02-59</v>
      </c>
      <c r="S264" s="129" t="s">
        <v>28386</v>
      </c>
      <c r="T264" s="112">
        <v>6</v>
      </c>
    </row>
    <row r="265" spans="1:20" x14ac:dyDescent="0.2">
      <c r="A265" s="102" t="s">
        <v>28530</v>
      </c>
      <c r="B265" s="102" t="s">
        <v>28463</v>
      </c>
      <c r="C265" s="102" t="s">
        <v>8</v>
      </c>
      <c r="D265" s="102" t="s">
        <v>17</v>
      </c>
      <c r="E265" s="102" t="s">
        <v>25711</v>
      </c>
      <c r="F265" s="102" t="s">
        <v>26687</v>
      </c>
      <c r="G265" s="102" t="s">
        <v>28588</v>
      </c>
      <c r="H265" s="102" t="s">
        <v>28597</v>
      </c>
      <c r="I265" s="102" t="s">
        <v>52</v>
      </c>
      <c r="J265" s="102" t="s">
        <v>25979</v>
      </c>
      <c r="K265" s="102" t="s">
        <v>25715</v>
      </c>
      <c r="L265" s="102" t="s">
        <v>25642</v>
      </c>
      <c r="M265" s="102" t="s">
        <v>12</v>
      </c>
      <c r="N265" s="102">
        <v>2380.9500000000003</v>
      </c>
      <c r="R265" t="str">
        <f t="shared" si="24"/>
        <v>21-708-02-61</v>
      </c>
      <c r="S265" s="129" t="s">
        <v>28391</v>
      </c>
      <c r="T265" s="112">
        <v>3</v>
      </c>
    </row>
    <row r="266" spans="1:20" x14ac:dyDescent="0.2">
      <c r="A266" s="102" t="s">
        <v>28531</v>
      </c>
      <c r="B266" s="102" t="s">
        <v>28464</v>
      </c>
      <c r="C266" s="102" t="s">
        <v>8</v>
      </c>
      <c r="D266" s="102" t="s">
        <v>21</v>
      </c>
      <c r="E266" s="102" t="s">
        <v>25711</v>
      </c>
      <c r="F266" s="102" t="s">
        <v>26687</v>
      </c>
      <c r="G266" s="102" t="s">
        <v>28588</v>
      </c>
      <c r="H266" s="102" t="s">
        <v>28597</v>
      </c>
      <c r="I266" s="102" t="s">
        <v>52</v>
      </c>
      <c r="J266" s="102" t="s">
        <v>25979</v>
      </c>
      <c r="K266" s="102" t="s">
        <v>25715</v>
      </c>
      <c r="L266" s="102" t="s">
        <v>25642</v>
      </c>
      <c r="M266" s="102" t="s">
        <v>12</v>
      </c>
      <c r="N266" s="102">
        <v>2263.9500000000003</v>
      </c>
      <c r="R266" t="str">
        <f t="shared" si="24"/>
        <v>21-709-02-57</v>
      </c>
      <c r="S266" s="129" t="s">
        <v>28390</v>
      </c>
      <c r="T266" s="112">
        <v>5</v>
      </c>
    </row>
    <row r="267" spans="1:20" x14ac:dyDescent="0.2">
      <c r="A267" s="102" t="s">
        <v>28531</v>
      </c>
      <c r="B267" s="102" t="s">
        <v>28464</v>
      </c>
      <c r="C267" s="102" t="s">
        <v>8</v>
      </c>
      <c r="D267" s="102" t="s">
        <v>21</v>
      </c>
      <c r="E267" s="102" t="s">
        <v>25711</v>
      </c>
      <c r="F267" s="102" t="s">
        <v>26687</v>
      </c>
      <c r="G267" s="102" t="s">
        <v>28588</v>
      </c>
      <c r="H267" s="102" t="s">
        <v>28597</v>
      </c>
      <c r="I267" s="102" t="s">
        <v>52</v>
      </c>
      <c r="J267" s="102" t="s">
        <v>25979</v>
      </c>
      <c r="K267" s="102" t="s">
        <v>25715</v>
      </c>
      <c r="L267" s="102" t="s">
        <v>25642</v>
      </c>
      <c r="M267" s="102" t="s">
        <v>12</v>
      </c>
      <c r="N267" s="102">
        <v>2263.9500000000003</v>
      </c>
      <c r="R267" t="str">
        <f t="shared" si="24"/>
        <v>21-709-02-59</v>
      </c>
      <c r="S267" s="129" t="s">
        <v>28386</v>
      </c>
      <c r="T267" s="112">
        <v>7</v>
      </c>
    </row>
    <row r="268" spans="1:20" x14ac:dyDescent="0.2">
      <c r="A268" s="102" t="s">
        <v>28531</v>
      </c>
      <c r="B268" s="102" t="s">
        <v>28464</v>
      </c>
      <c r="C268" s="102" t="s">
        <v>8</v>
      </c>
      <c r="D268" s="102" t="s">
        <v>21</v>
      </c>
      <c r="E268" s="102" t="s">
        <v>25711</v>
      </c>
      <c r="F268" s="102" t="s">
        <v>26687</v>
      </c>
      <c r="G268" s="102" t="s">
        <v>28588</v>
      </c>
      <c r="H268" s="102" t="s">
        <v>28597</v>
      </c>
      <c r="I268" s="102" t="s">
        <v>52</v>
      </c>
      <c r="J268" s="102" t="s">
        <v>25979</v>
      </c>
      <c r="K268" s="102" t="s">
        <v>25715</v>
      </c>
      <c r="L268" s="102" t="s">
        <v>25642</v>
      </c>
      <c r="M268" s="102" t="s">
        <v>12</v>
      </c>
      <c r="N268" s="102">
        <v>2263.9500000000003</v>
      </c>
      <c r="R268" t="str">
        <f t="shared" si="24"/>
        <v>21-709-02-61</v>
      </c>
      <c r="S268" s="129" t="s">
        <v>28391</v>
      </c>
      <c r="T268" s="112">
        <v>4</v>
      </c>
    </row>
    <row r="269" spans="1:20" x14ac:dyDescent="0.2">
      <c r="A269" s="102" t="s">
        <v>9295</v>
      </c>
      <c r="B269" s="102" t="s">
        <v>28465</v>
      </c>
      <c r="C269" s="102" t="s">
        <v>8</v>
      </c>
      <c r="D269" s="102" t="s">
        <v>21</v>
      </c>
      <c r="E269" s="102" t="s">
        <v>25711</v>
      </c>
      <c r="F269" s="102" t="s">
        <v>26687</v>
      </c>
      <c r="G269" s="102" t="s">
        <v>28588</v>
      </c>
      <c r="H269" s="102" t="s">
        <v>28625</v>
      </c>
      <c r="I269" s="102" t="s">
        <v>194</v>
      </c>
      <c r="J269" s="102" t="s">
        <v>25977</v>
      </c>
      <c r="K269" s="102" t="s">
        <v>25715</v>
      </c>
      <c r="L269" s="102" t="s">
        <v>25642</v>
      </c>
      <c r="M269" s="102" t="s">
        <v>12</v>
      </c>
      <c r="N269" s="102">
        <v>2380.9500000000003</v>
      </c>
      <c r="R269" t="str">
        <f t="shared" ref="R269:R276" si="25">A269&amp;"-"&amp;S269</f>
        <v>21-710-36-57</v>
      </c>
      <c r="S269" s="129" t="s">
        <v>28390</v>
      </c>
      <c r="T269" s="112">
        <v>3</v>
      </c>
    </row>
    <row r="270" spans="1:20" x14ac:dyDescent="0.2">
      <c r="A270" s="102" t="s">
        <v>9295</v>
      </c>
      <c r="B270" s="102" t="s">
        <v>28465</v>
      </c>
      <c r="C270" s="102" t="s">
        <v>8</v>
      </c>
      <c r="D270" s="102" t="s">
        <v>21</v>
      </c>
      <c r="E270" s="102" t="s">
        <v>25711</v>
      </c>
      <c r="F270" s="102" t="s">
        <v>26687</v>
      </c>
      <c r="G270" s="102" t="s">
        <v>28588</v>
      </c>
      <c r="H270" s="102" t="s">
        <v>28625</v>
      </c>
      <c r="I270" s="102" t="s">
        <v>194</v>
      </c>
      <c r="J270" s="102" t="s">
        <v>25977</v>
      </c>
      <c r="K270" s="102" t="s">
        <v>25715</v>
      </c>
      <c r="L270" s="102" t="s">
        <v>25642</v>
      </c>
      <c r="M270" s="102" t="s">
        <v>12</v>
      </c>
      <c r="N270" s="102">
        <v>2380.9500000000003</v>
      </c>
      <c r="R270" t="str">
        <f t="shared" si="25"/>
        <v>21-710-36-59</v>
      </c>
      <c r="S270" s="129" t="s">
        <v>28386</v>
      </c>
      <c r="T270" s="112">
        <v>4</v>
      </c>
    </row>
    <row r="271" spans="1:20" x14ac:dyDescent="0.2">
      <c r="A271" s="102" t="s">
        <v>9295</v>
      </c>
      <c r="B271" s="102" t="s">
        <v>28465</v>
      </c>
      <c r="C271" s="102" t="s">
        <v>8</v>
      </c>
      <c r="D271" s="102" t="s">
        <v>21</v>
      </c>
      <c r="E271" s="102" t="s">
        <v>25711</v>
      </c>
      <c r="F271" s="102" t="s">
        <v>26687</v>
      </c>
      <c r="G271" s="102" t="s">
        <v>28588</v>
      </c>
      <c r="H271" s="102" t="s">
        <v>28625</v>
      </c>
      <c r="I271" s="102" t="s">
        <v>194</v>
      </c>
      <c r="J271" s="102" t="s">
        <v>25977</v>
      </c>
      <c r="K271" s="102" t="s">
        <v>25715</v>
      </c>
      <c r="L271" s="102" t="s">
        <v>25642</v>
      </c>
      <c r="M271" s="102" t="s">
        <v>12</v>
      </c>
      <c r="N271" s="102">
        <v>2380.9500000000003</v>
      </c>
      <c r="R271" t="str">
        <f t="shared" si="25"/>
        <v>21-710-36-61</v>
      </c>
      <c r="S271" s="129" t="s">
        <v>28391</v>
      </c>
      <c r="T271" s="112">
        <v>3</v>
      </c>
    </row>
    <row r="272" spans="1:20" x14ac:dyDescent="0.2">
      <c r="A272" s="102" t="s">
        <v>28532</v>
      </c>
      <c r="B272" s="102" t="s">
        <v>28466</v>
      </c>
      <c r="C272" s="102" t="s">
        <v>8</v>
      </c>
      <c r="D272" s="102" t="s">
        <v>21</v>
      </c>
      <c r="E272" s="102" t="s">
        <v>25711</v>
      </c>
      <c r="F272" s="102" t="s">
        <v>26687</v>
      </c>
      <c r="G272" s="102" t="s">
        <v>28588</v>
      </c>
      <c r="H272" s="102" t="s">
        <v>28448</v>
      </c>
      <c r="I272" s="102" t="s">
        <v>28</v>
      </c>
      <c r="J272" s="102" t="s">
        <v>25770</v>
      </c>
      <c r="L272" s="102" t="s">
        <v>25642</v>
      </c>
      <c r="M272" s="102" t="s">
        <v>12</v>
      </c>
      <c r="N272" s="102">
        <v>2380.9500000000003</v>
      </c>
      <c r="R272" t="str">
        <f t="shared" si="25"/>
        <v>21-748-08-57</v>
      </c>
      <c r="S272" s="129" t="s">
        <v>28390</v>
      </c>
      <c r="T272" s="112">
        <v>5</v>
      </c>
    </row>
    <row r="273" spans="1:20" x14ac:dyDescent="0.2">
      <c r="A273" s="102" t="s">
        <v>28532</v>
      </c>
      <c r="B273" s="102" t="s">
        <v>28466</v>
      </c>
      <c r="C273" s="102" t="s">
        <v>8</v>
      </c>
      <c r="D273" s="102" t="s">
        <v>21</v>
      </c>
      <c r="E273" s="102" t="s">
        <v>25711</v>
      </c>
      <c r="F273" s="102" t="s">
        <v>26687</v>
      </c>
      <c r="G273" s="102" t="s">
        <v>28588</v>
      </c>
      <c r="H273" s="102" t="s">
        <v>28448</v>
      </c>
      <c r="I273" s="102" t="s">
        <v>28</v>
      </c>
      <c r="J273" s="102" t="s">
        <v>25770</v>
      </c>
      <c r="L273" s="102" t="s">
        <v>25642</v>
      </c>
      <c r="M273" s="102" t="s">
        <v>12</v>
      </c>
      <c r="N273" s="102">
        <v>2380.9500000000003</v>
      </c>
      <c r="R273" t="str">
        <f t="shared" si="25"/>
        <v>21-748-08-59</v>
      </c>
      <c r="S273" s="129" t="s">
        <v>28386</v>
      </c>
      <c r="T273" s="112">
        <v>9</v>
      </c>
    </row>
    <row r="274" spans="1:20" x14ac:dyDescent="0.2">
      <c r="A274" s="102" t="s">
        <v>28532</v>
      </c>
      <c r="B274" s="102" t="s">
        <v>28466</v>
      </c>
      <c r="C274" s="102" t="s">
        <v>8</v>
      </c>
      <c r="D274" s="102" t="s">
        <v>21</v>
      </c>
      <c r="E274" s="102" t="s">
        <v>25711</v>
      </c>
      <c r="F274" s="102" t="s">
        <v>26687</v>
      </c>
      <c r="G274" s="102" t="s">
        <v>28588</v>
      </c>
      <c r="H274" s="102" t="s">
        <v>28448</v>
      </c>
      <c r="I274" s="102" t="s">
        <v>28</v>
      </c>
      <c r="J274" s="102" t="s">
        <v>25770</v>
      </c>
      <c r="L274" s="102" t="s">
        <v>25642</v>
      </c>
      <c r="M274" s="102" t="s">
        <v>12</v>
      </c>
      <c r="N274" s="102">
        <v>2380.9500000000003</v>
      </c>
      <c r="R274" t="str">
        <f t="shared" si="25"/>
        <v>21-748-08-61</v>
      </c>
      <c r="S274" s="129" t="s">
        <v>28391</v>
      </c>
      <c r="T274" s="112">
        <v>5</v>
      </c>
    </row>
    <row r="275" spans="1:20" x14ac:dyDescent="0.2">
      <c r="A275" s="102" t="s">
        <v>28533</v>
      </c>
      <c r="B275" s="102" t="s">
        <v>28466</v>
      </c>
      <c r="C275" s="102" t="s">
        <v>8</v>
      </c>
      <c r="D275" s="102" t="s">
        <v>21</v>
      </c>
      <c r="E275" s="102" t="s">
        <v>25711</v>
      </c>
      <c r="F275" s="102" t="s">
        <v>26687</v>
      </c>
      <c r="G275" s="102" t="s">
        <v>28588</v>
      </c>
      <c r="H275" s="102" t="s">
        <v>28626</v>
      </c>
      <c r="I275" s="102" t="s">
        <v>100</v>
      </c>
      <c r="J275" s="102" t="s">
        <v>25770</v>
      </c>
      <c r="L275" s="102" t="s">
        <v>25642</v>
      </c>
      <c r="M275" s="102" t="s">
        <v>12</v>
      </c>
      <c r="N275" s="102">
        <v>2380.9500000000003</v>
      </c>
      <c r="R275" t="str">
        <f t="shared" si="25"/>
        <v>21-748-17-57</v>
      </c>
      <c r="S275" s="129" t="s">
        <v>28390</v>
      </c>
      <c r="T275" s="112">
        <v>5</v>
      </c>
    </row>
    <row r="276" spans="1:20" x14ac:dyDescent="0.2">
      <c r="A276" s="102" t="s">
        <v>28533</v>
      </c>
      <c r="B276" s="102" t="s">
        <v>28466</v>
      </c>
      <c r="C276" s="102" t="s">
        <v>8</v>
      </c>
      <c r="D276" s="102" t="s">
        <v>21</v>
      </c>
      <c r="E276" s="102" t="s">
        <v>25711</v>
      </c>
      <c r="F276" s="102" t="s">
        <v>26687</v>
      </c>
      <c r="G276" s="102" t="s">
        <v>28588</v>
      </c>
      <c r="H276" s="102" t="s">
        <v>28626</v>
      </c>
      <c r="I276" s="102" t="s">
        <v>100</v>
      </c>
      <c r="J276" s="102" t="s">
        <v>25770</v>
      </c>
      <c r="L276" s="102" t="s">
        <v>25642</v>
      </c>
      <c r="M276" s="102" t="s">
        <v>12</v>
      </c>
      <c r="N276" s="102">
        <v>2380.9500000000003</v>
      </c>
      <c r="R276" t="str">
        <f t="shared" si="25"/>
        <v>21-748-17-59</v>
      </c>
      <c r="S276" s="129" t="s">
        <v>28386</v>
      </c>
      <c r="T276" s="112">
        <v>9</v>
      </c>
    </row>
    <row r="277" spans="1:20" x14ac:dyDescent="0.2">
      <c r="A277" s="102" t="s">
        <v>28533</v>
      </c>
      <c r="B277" s="102" t="s">
        <v>28466</v>
      </c>
      <c r="C277" s="102" t="s">
        <v>8</v>
      </c>
      <c r="D277" s="102" t="s">
        <v>21</v>
      </c>
      <c r="E277" s="102" t="s">
        <v>25711</v>
      </c>
      <c r="F277" s="102" t="s">
        <v>26687</v>
      </c>
      <c r="G277" s="102" t="s">
        <v>28588</v>
      </c>
      <c r="H277" s="102" t="s">
        <v>28626</v>
      </c>
      <c r="I277" s="102" t="s">
        <v>100</v>
      </c>
      <c r="J277" s="102" t="s">
        <v>25770</v>
      </c>
      <c r="L277" s="102" t="s">
        <v>25642</v>
      </c>
      <c r="M277" s="102" t="s">
        <v>12</v>
      </c>
      <c r="N277" s="102">
        <v>2380.9500000000003</v>
      </c>
      <c r="R277" t="str">
        <f t="shared" ref="R277:R285" si="26">A277&amp;"-"&amp;S277</f>
        <v>21-748-17-61</v>
      </c>
      <c r="S277" s="129" t="s">
        <v>28391</v>
      </c>
      <c r="T277" s="112">
        <v>5</v>
      </c>
    </row>
    <row r="278" spans="1:20" x14ac:dyDescent="0.2">
      <c r="A278" s="102" t="s">
        <v>8578</v>
      </c>
      <c r="B278" s="102" t="s">
        <v>25602</v>
      </c>
      <c r="C278" s="102" t="s">
        <v>31</v>
      </c>
      <c r="D278" s="102" t="s">
        <v>25559</v>
      </c>
      <c r="E278" s="102" t="s">
        <v>25711</v>
      </c>
      <c r="F278" s="102" t="s">
        <v>26687</v>
      </c>
      <c r="G278" s="102" t="s">
        <v>28588</v>
      </c>
      <c r="H278" s="102" t="s">
        <v>28627</v>
      </c>
      <c r="I278" s="102" t="s">
        <v>52</v>
      </c>
      <c r="J278" s="102" t="s">
        <v>28628</v>
      </c>
      <c r="K278" s="102" t="s">
        <v>25722</v>
      </c>
      <c r="L278" s="102" t="s">
        <v>25642</v>
      </c>
      <c r="M278" s="102" t="s">
        <v>12</v>
      </c>
      <c r="N278" s="102">
        <v>1737.45</v>
      </c>
      <c r="R278" t="str">
        <f t="shared" si="26"/>
        <v>21-469-02-55</v>
      </c>
      <c r="S278" s="129" t="s">
        <v>28313</v>
      </c>
      <c r="T278" s="112">
        <v>1</v>
      </c>
    </row>
    <row r="279" spans="1:20" x14ac:dyDescent="0.2">
      <c r="A279" s="102" t="s">
        <v>8578</v>
      </c>
      <c r="B279" s="102" t="s">
        <v>25602</v>
      </c>
      <c r="C279" s="102" t="s">
        <v>31</v>
      </c>
      <c r="D279" s="102" t="s">
        <v>25559</v>
      </c>
      <c r="E279" s="102" t="s">
        <v>25711</v>
      </c>
      <c r="F279" s="102" t="s">
        <v>26687</v>
      </c>
      <c r="G279" s="102" t="s">
        <v>28588</v>
      </c>
      <c r="H279" s="102" t="s">
        <v>28627</v>
      </c>
      <c r="I279" s="102" t="s">
        <v>52</v>
      </c>
      <c r="J279" s="102" t="s">
        <v>28628</v>
      </c>
      <c r="K279" s="102" t="s">
        <v>25722</v>
      </c>
      <c r="L279" s="102" t="s">
        <v>25642</v>
      </c>
      <c r="M279" s="102" t="s">
        <v>12</v>
      </c>
      <c r="N279" s="102">
        <v>1737.45</v>
      </c>
      <c r="R279" t="str">
        <f t="shared" si="26"/>
        <v>21-469-02-57</v>
      </c>
      <c r="S279" s="129" t="s">
        <v>28390</v>
      </c>
      <c r="T279" s="112">
        <v>4</v>
      </c>
    </row>
    <row r="280" spans="1:20" x14ac:dyDescent="0.2">
      <c r="A280" s="102" t="s">
        <v>8578</v>
      </c>
      <c r="B280" s="102" t="s">
        <v>25602</v>
      </c>
      <c r="C280" s="102" t="s">
        <v>31</v>
      </c>
      <c r="D280" s="102" t="s">
        <v>25559</v>
      </c>
      <c r="E280" s="102" t="s">
        <v>25711</v>
      </c>
      <c r="F280" s="102" t="s">
        <v>26687</v>
      </c>
      <c r="G280" s="102" t="s">
        <v>28588</v>
      </c>
      <c r="H280" s="102" t="s">
        <v>28627</v>
      </c>
      <c r="I280" s="102" t="s">
        <v>52</v>
      </c>
      <c r="J280" s="102" t="s">
        <v>28628</v>
      </c>
      <c r="K280" s="102" t="s">
        <v>25722</v>
      </c>
      <c r="L280" s="102" t="s">
        <v>25642</v>
      </c>
      <c r="M280" s="102" t="s">
        <v>12</v>
      </c>
      <c r="N280" s="102">
        <v>1737.45</v>
      </c>
      <c r="R280" t="str">
        <f t="shared" si="26"/>
        <v>21-469-02-59</v>
      </c>
      <c r="S280" s="129" t="s">
        <v>28386</v>
      </c>
      <c r="T280" s="112">
        <v>8</v>
      </c>
    </row>
    <row r="281" spans="1:20" x14ac:dyDescent="0.2">
      <c r="A281" s="102" t="s">
        <v>8578</v>
      </c>
      <c r="B281" s="102" t="s">
        <v>25602</v>
      </c>
      <c r="C281" s="102" t="s">
        <v>31</v>
      </c>
      <c r="D281" s="102" t="s">
        <v>25559</v>
      </c>
      <c r="E281" s="102" t="s">
        <v>25711</v>
      </c>
      <c r="F281" s="102" t="s">
        <v>26687</v>
      </c>
      <c r="G281" s="102" t="s">
        <v>28588</v>
      </c>
      <c r="H281" s="102" t="s">
        <v>28627</v>
      </c>
      <c r="I281" s="102" t="s">
        <v>52</v>
      </c>
      <c r="J281" s="102" t="s">
        <v>28628</v>
      </c>
      <c r="K281" s="102" t="s">
        <v>25722</v>
      </c>
      <c r="L281" s="102" t="s">
        <v>25642</v>
      </c>
      <c r="M281" s="102" t="s">
        <v>12</v>
      </c>
      <c r="N281" s="102">
        <v>1737.45</v>
      </c>
      <c r="R281" t="str">
        <f t="shared" si="26"/>
        <v>21-469-02-61</v>
      </c>
      <c r="S281" s="129" t="s">
        <v>28391</v>
      </c>
      <c r="T281" s="112">
        <v>4</v>
      </c>
    </row>
    <row r="282" spans="1:20" x14ac:dyDescent="0.2">
      <c r="A282" s="102" t="s">
        <v>9018</v>
      </c>
      <c r="B282" s="102" t="s">
        <v>28467</v>
      </c>
      <c r="C282" s="102" t="s">
        <v>31</v>
      </c>
      <c r="D282" s="102" t="s">
        <v>25559</v>
      </c>
      <c r="E282" s="102" t="s">
        <v>25711</v>
      </c>
      <c r="F282" s="102" t="s">
        <v>26687</v>
      </c>
      <c r="G282" s="102" t="s">
        <v>28588</v>
      </c>
      <c r="H282" s="102" t="s">
        <v>28621</v>
      </c>
      <c r="I282" s="102" t="s">
        <v>25472</v>
      </c>
      <c r="J282" s="102" t="s">
        <v>28628</v>
      </c>
      <c r="K282" s="102" t="s">
        <v>25722</v>
      </c>
      <c r="L282" s="102" t="s">
        <v>25642</v>
      </c>
      <c r="M282" s="102" t="s">
        <v>12</v>
      </c>
      <c r="N282" s="102">
        <v>1749.1499999999999</v>
      </c>
      <c r="R282" t="str">
        <f t="shared" si="26"/>
        <v>21-602-01-55</v>
      </c>
      <c r="S282" s="129" t="s">
        <v>28313</v>
      </c>
      <c r="T282" s="112">
        <v>1</v>
      </c>
    </row>
    <row r="283" spans="1:20" x14ac:dyDescent="0.2">
      <c r="A283" s="102" t="s">
        <v>9018</v>
      </c>
      <c r="B283" s="102" t="s">
        <v>28467</v>
      </c>
      <c r="C283" s="102" t="s">
        <v>31</v>
      </c>
      <c r="D283" s="102" t="s">
        <v>25559</v>
      </c>
      <c r="E283" s="102" t="s">
        <v>25711</v>
      </c>
      <c r="F283" s="102" t="s">
        <v>26687</v>
      </c>
      <c r="G283" s="102" t="s">
        <v>28588</v>
      </c>
      <c r="H283" s="102" t="s">
        <v>28621</v>
      </c>
      <c r="I283" s="102" t="s">
        <v>25472</v>
      </c>
      <c r="J283" s="102" t="s">
        <v>28628</v>
      </c>
      <c r="K283" s="102" t="s">
        <v>25722</v>
      </c>
      <c r="L283" s="102" t="s">
        <v>25642</v>
      </c>
      <c r="M283" s="102" t="s">
        <v>12</v>
      </c>
      <c r="N283" s="102">
        <v>1749.1499999999999</v>
      </c>
      <c r="R283" t="str">
        <f t="shared" si="26"/>
        <v>21-602-01-57</v>
      </c>
      <c r="S283" s="129" t="s">
        <v>28390</v>
      </c>
      <c r="T283" s="112">
        <v>4</v>
      </c>
    </row>
    <row r="284" spans="1:20" x14ac:dyDescent="0.2">
      <c r="A284" s="102" t="s">
        <v>9018</v>
      </c>
      <c r="B284" s="102" t="s">
        <v>28467</v>
      </c>
      <c r="C284" s="102" t="s">
        <v>31</v>
      </c>
      <c r="D284" s="102" t="s">
        <v>25559</v>
      </c>
      <c r="E284" s="102" t="s">
        <v>25711</v>
      </c>
      <c r="F284" s="102" t="s">
        <v>26687</v>
      </c>
      <c r="G284" s="102" t="s">
        <v>28588</v>
      </c>
      <c r="H284" s="102" t="s">
        <v>28621</v>
      </c>
      <c r="I284" s="102" t="s">
        <v>25472</v>
      </c>
      <c r="J284" s="102" t="s">
        <v>28628</v>
      </c>
      <c r="K284" s="102" t="s">
        <v>25722</v>
      </c>
      <c r="L284" s="102" t="s">
        <v>25642</v>
      </c>
      <c r="M284" s="102" t="s">
        <v>12</v>
      </c>
      <c r="N284" s="102">
        <v>1749.1499999999999</v>
      </c>
      <c r="R284" t="str">
        <f t="shared" si="26"/>
        <v>21-602-01-59</v>
      </c>
      <c r="S284" s="129" t="s">
        <v>28386</v>
      </c>
      <c r="T284" s="112">
        <v>7</v>
      </c>
    </row>
    <row r="285" spans="1:20" x14ac:dyDescent="0.2">
      <c r="A285" s="102" t="s">
        <v>9018</v>
      </c>
      <c r="B285" s="102" t="s">
        <v>28467</v>
      </c>
      <c r="C285" s="102" t="s">
        <v>31</v>
      </c>
      <c r="D285" s="102" t="s">
        <v>25559</v>
      </c>
      <c r="E285" s="102" t="s">
        <v>25711</v>
      </c>
      <c r="F285" s="102" t="s">
        <v>26687</v>
      </c>
      <c r="G285" s="102" t="s">
        <v>28588</v>
      </c>
      <c r="H285" s="102" t="s">
        <v>28621</v>
      </c>
      <c r="I285" s="102" t="s">
        <v>25472</v>
      </c>
      <c r="J285" s="102" t="s">
        <v>28628</v>
      </c>
      <c r="K285" s="102" t="s">
        <v>25722</v>
      </c>
      <c r="L285" s="102" t="s">
        <v>25642</v>
      </c>
      <c r="M285" s="102" t="s">
        <v>12</v>
      </c>
      <c r="N285" s="102">
        <v>1749.1499999999999</v>
      </c>
      <c r="R285" t="str">
        <f t="shared" si="26"/>
        <v>21-602-01-61</v>
      </c>
      <c r="S285" s="129" t="s">
        <v>28391</v>
      </c>
      <c r="T285" s="112">
        <v>4</v>
      </c>
    </row>
    <row r="286" spans="1:20" x14ac:dyDescent="0.2">
      <c r="A286" s="102" t="s">
        <v>9020</v>
      </c>
      <c r="B286" s="102" t="s">
        <v>28467</v>
      </c>
      <c r="C286" s="102" t="s">
        <v>31</v>
      </c>
      <c r="D286" s="102" t="s">
        <v>25559</v>
      </c>
      <c r="E286" s="102" t="s">
        <v>25711</v>
      </c>
      <c r="F286" s="102" t="s">
        <v>26687</v>
      </c>
      <c r="G286" s="102" t="s">
        <v>28588</v>
      </c>
      <c r="H286" s="102" t="s">
        <v>28615</v>
      </c>
      <c r="I286" s="102" t="s">
        <v>52</v>
      </c>
      <c r="J286" s="102" t="s">
        <v>28628</v>
      </c>
      <c r="K286" s="102" t="s">
        <v>25722</v>
      </c>
      <c r="L286" s="102" t="s">
        <v>25642</v>
      </c>
      <c r="M286" s="102" t="s">
        <v>12</v>
      </c>
      <c r="N286" s="102">
        <v>1749.1499999999999</v>
      </c>
      <c r="R286" t="str">
        <f t="shared" ref="R286:R297" si="27">A286&amp;"-"&amp;S286</f>
        <v>21-602-02-55</v>
      </c>
      <c r="S286" s="129" t="s">
        <v>28313</v>
      </c>
      <c r="T286" s="112">
        <v>1</v>
      </c>
    </row>
    <row r="287" spans="1:20" x14ac:dyDescent="0.2">
      <c r="A287" s="102" t="s">
        <v>9020</v>
      </c>
      <c r="B287" s="102" t="s">
        <v>28467</v>
      </c>
      <c r="C287" s="102" t="s">
        <v>31</v>
      </c>
      <c r="D287" s="102" t="s">
        <v>25559</v>
      </c>
      <c r="E287" s="102" t="s">
        <v>25711</v>
      </c>
      <c r="F287" s="102" t="s">
        <v>26687</v>
      </c>
      <c r="G287" s="102" t="s">
        <v>28588</v>
      </c>
      <c r="H287" s="102" t="s">
        <v>28615</v>
      </c>
      <c r="I287" s="102" t="s">
        <v>52</v>
      </c>
      <c r="J287" s="102" t="s">
        <v>28628</v>
      </c>
      <c r="K287" s="102" t="s">
        <v>25722</v>
      </c>
      <c r="L287" s="102" t="s">
        <v>25642</v>
      </c>
      <c r="M287" s="102" t="s">
        <v>12</v>
      </c>
      <c r="N287" s="102">
        <v>1749.1499999999999</v>
      </c>
      <c r="R287" t="str">
        <f t="shared" si="27"/>
        <v>21-602-02-57</v>
      </c>
      <c r="S287" s="129" t="s">
        <v>28390</v>
      </c>
      <c r="T287" s="112">
        <v>3</v>
      </c>
    </row>
    <row r="288" spans="1:20" x14ac:dyDescent="0.2">
      <c r="A288" s="102" t="s">
        <v>9020</v>
      </c>
      <c r="B288" s="102" t="s">
        <v>28467</v>
      </c>
      <c r="C288" s="102" t="s">
        <v>31</v>
      </c>
      <c r="D288" s="102" t="s">
        <v>25559</v>
      </c>
      <c r="E288" s="102" t="s">
        <v>25711</v>
      </c>
      <c r="F288" s="102" t="s">
        <v>26687</v>
      </c>
      <c r="G288" s="102" t="s">
        <v>28588</v>
      </c>
      <c r="H288" s="102" t="s">
        <v>28615</v>
      </c>
      <c r="I288" s="102" t="s">
        <v>52</v>
      </c>
      <c r="J288" s="102" t="s">
        <v>28628</v>
      </c>
      <c r="K288" s="102" t="s">
        <v>25722</v>
      </c>
      <c r="L288" s="102" t="s">
        <v>25642</v>
      </c>
      <c r="M288" s="102" t="s">
        <v>12</v>
      </c>
      <c r="N288" s="102">
        <v>1749.1499999999999</v>
      </c>
      <c r="R288" t="str">
        <f t="shared" si="27"/>
        <v>21-602-02-59</v>
      </c>
      <c r="S288" s="129" t="s">
        <v>28386</v>
      </c>
      <c r="T288" s="112">
        <v>5</v>
      </c>
    </row>
    <row r="289" spans="1:20" x14ac:dyDescent="0.2">
      <c r="A289" s="102" t="s">
        <v>9020</v>
      </c>
      <c r="B289" s="102" t="s">
        <v>28467</v>
      </c>
      <c r="C289" s="102" t="s">
        <v>31</v>
      </c>
      <c r="D289" s="102" t="s">
        <v>25559</v>
      </c>
      <c r="E289" s="102" t="s">
        <v>25711</v>
      </c>
      <c r="F289" s="102" t="s">
        <v>26687</v>
      </c>
      <c r="G289" s="102" t="s">
        <v>28588</v>
      </c>
      <c r="H289" s="102" t="s">
        <v>28615</v>
      </c>
      <c r="I289" s="102" t="s">
        <v>52</v>
      </c>
      <c r="J289" s="102" t="s">
        <v>28628</v>
      </c>
      <c r="K289" s="102" t="s">
        <v>25722</v>
      </c>
      <c r="L289" s="102" t="s">
        <v>25642</v>
      </c>
      <c r="M289" s="102" t="s">
        <v>12</v>
      </c>
      <c r="N289" s="102">
        <v>1749.1499999999999</v>
      </c>
      <c r="R289" t="str">
        <f t="shared" si="27"/>
        <v>21-602-02-61</v>
      </c>
      <c r="S289" s="129" t="s">
        <v>28391</v>
      </c>
      <c r="T289" s="112">
        <v>3</v>
      </c>
    </row>
    <row r="290" spans="1:20" x14ac:dyDescent="0.2">
      <c r="A290" s="102" t="s">
        <v>9022</v>
      </c>
      <c r="B290" s="102" t="s">
        <v>28467</v>
      </c>
      <c r="C290" s="102" t="s">
        <v>31</v>
      </c>
      <c r="D290" s="102" t="s">
        <v>25559</v>
      </c>
      <c r="E290" s="102" t="s">
        <v>25711</v>
      </c>
      <c r="F290" s="102" t="s">
        <v>26687</v>
      </c>
      <c r="G290" s="102" t="s">
        <v>28588</v>
      </c>
      <c r="H290" s="102" t="s">
        <v>28629</v>
      </c>
      <c r="I290" s="102" t="s">
        <v>147</v>
      </c>
      <c r="J290" s="102" t="s">
        <v>28628</v>
      </c>
      <c r="K290" s="102" t="s">
        <v>25722</v>
      </c>
      <c r="L290" s="102" t="s">
        <v>25642</v>
      </c>
      <c r="M290" s="102" t="s">
        <v>12</v>
      </c>
      <c r="N290" s="102">
        <v>1749.1499999999999</v>
      </c>
      <c r="R290" t="str">
        <f t="shared" si="27"/>
        <v>21-602-19-55</v>
      </c>
      <c r="S290" s="129" t="s">
        <v>28313</v>
      </c>
      <c r="T290" s="112">
        <v>1</v>
      </c>
    </row>
    <row r="291" spans="1:20" x14ac:dyDescent="0.2">
      <c r="A291" s="102" t="s">
        <v>9022</v>
      </c>
      <c r="B291" s="102" t="s">
        <v>28467</v>
      </c>
      <c r="C291" s="102" t="s">
        <v>31</v>
      </c>
      <c r="D291" s="102" t="s">
        <v>25559</v>
      </c>
      <c r="E291" s="102" t="s">
        <v>25711</v>
      </c>
      <c r="F291" s="102" t="s">
        <v>26687</v>
      </c>
      <c r="G291" s="102" t="s">
        <v>28588</v>
      </c>
      <c r="H291" s="102" t="s">
        <v>28629</v>
      </c>
      <c r="I291" s="102" t="s">
        <v>147</v>
      </c>
      <c r="J291" s="102" t="s">
        <v>28628</v>
      </c>
      <c r="K291" s="102" t="s">
        <v>25722</v>
      </c>
      <c r="L291" s="102" t="s">
        <v>25642</v>
      </c>
      <c r="M291" s="102" t="s">
        <v>12</v>
      </c>
      <c r="N291" s="102">
        <v>1749.1499999999999</v>
      </c>
      <c r="R291" t="str">
        <f t="shared" si="27"/>
        <v>21-602-19-57</v>
      </c>
      <c r="S291" s="129" t="s">
        <v>28390</v>
      </c>
      <c r="T291" s="112">
        <v>3</v>
      </c>
    </row>
    <row r="292" spans="1:20" x14ac:dyDescent="0.2">
      <c r="A292" s="102" t="s">
        <v>9022</v>
      </c>
      <c r="B292" s="102" t="s">
        <v>28467</v>
      </c>
      <c r="C292" s="102" t="s">
        <v>31</v>
      </c>
      <c r="D292" s="102" t="s">
        <v>25559</v>
      </c>
      <c r="E292" s="102" t="s">
        <v>25711</v>
      </c>
      <c r="F292" s="102" t="s">
        <v>26687</v>
      </c>
      <c r="G292" s="102" t="s">
        <v>28588</v>
      </c>
      <c r="H292" s="102" t="s">
        <v>28629</v>
      </c>
      <c r="I292" s="102" t="s">
        <v>147</v>
      </c>
      <c r="J292" s="102" t="s">
        <v>28628</v>
      </c>
      <c r="K292" s="102" t="s">
        <v>25722</v>
      </c>
      <c r="L292" s="102" t="s">
        <v>25642</v>
      </c>
      <c r="M292" s="102" t="s">
        <v>12</v>
      </c>
      <c r="N292" s="102">
        <v>1749.1499999999999</v>
      </c>
      <c r="R292" t="str">
        <f t="shared" si="27"/>
        <v>21-602-19-59</v>
      </c>
      <c r="S292" s="129" t="s">
        <v>28386</v>
      </c>
      <c r="T292" s="112">
        <v>5</v>
      </c>
    </row>
    <row r="293" spans="1:20" x14ac:dyDescent="0.2">
      <c r="A293" s="102" t="s">
        <v>9022</v>
      </c>
      <c r="B293" s="102" t="s">
        <v>28467</v>
      </c>
      <c r="C293" s="102" t="s">
        <v>31</v>
      </c>
      <c r="D293" s="102" t="s">
        <v>25559</v>
      </c>
      <c r="E293" s="102" t="s">
        <v>25711</v>
      </c>
      <c r="F293" s="102" t="s">
        <v>26687</v>
      </c>
      <c r="G293" s="102" t="s">
        <v>28588</v>
      </c>
      <c r="H293" s="102" t="s">
        <v>28629</v>
      </c>
      <c r="I293" s="102" t="s">
        <v>147</v>
      </c>
      <c r="J293" s="102" t="s">
        <v>28628</v>
      </c>
      <c r="K293" s="102" t="s">
        <v>25722</v>
      </c>
      <c r="L293" s="102" t="s">
        <v>25642</v>
      </c>
      <c r="M293" s="102" t="s">
        <v>12</v>
      </c>
      <c r="N293" s="102">
        <v>1749.1499999999999</v>
      </c>
      <c r="R293" t="str">
        <f t="shared" si="27"/>
        <v>21-602-19-61</v>
      </c>
      <c r="S293" s="129" t="s">
        <v>28391</v>
      </c>
      <c r="T293" s="112">
        <v>4</v>
      </c>
    </row>
    <row r="294" spans="1:20" x14ac:dyDescent="0.2">
      <c r="A294" s="102" t="s">
        <v>28534</v>
      </c>
      <c r="B294" s="102" t="s">
        <v>28468</v>
      </c>
      <c r="C294" s="102" t="s">
        <v>31</v>
      </c>
      <c r="D294" s="102" t="s">
        <v>25559</v>
      </c>
      <c r="E294" s="102" t="s">
        <v>25711</v>
      </c>
      <c r="F294" s="102" t="s">
        <v>26687</v>
      </c>
      <c r="G294" s="102" t="s">
        <v>28588</v>
      </c>
      <c r="H294" s="102" t="s">
        <v>28630</v>
      </c>
      <c r="I294" s="102" t="s">
        <v>27</v>
      </c>
      <c r="J294" s="102" t="s">
        <v>28631</v>
      </c>
      <c r="K294" s="102" t="s">
        <v>25719</v>
      </c>
      <c r="L294" s="102" t="s">
        <v>25642</v>
      </c>
      <c r="M294" s="102" t="s">
        <v>12</v>
      </c>
      <c r="N294" s="102">
        <v>1766.6999999999998</v>
      </c>
      <c r="R294" t="str">
        <f t="shared" si="27"/>
        <v>21-751-06-55</v>
      </c>
      <c r="S294" s="129" t="s">
        <v>28313</v>
      </c>
      <c r="T294" s="112">
        <v>1</v>
      </c>
    </row>
    <row r="295" spans="1:20" x14ac:dyDescent="0.2">
      <c r="A295" s="102" t="s">
        <v>28534</v>
      </c>
      <c r="B295" s="102" t="s">
        <v>28468</v>
      </c>
      <c r="C295" s="102" t="s">
        <v>31</v>
      </c>
      <c r="D295" s="102" t="s">
        <v>25559</v>
      </c>
      <c r="E295" s="102" t="s">
        <v>25711</v>
      </c>
      <c r="F295" s="102" t="s">
        <v>26687</v>
      </c>
      <c r="G295" s="102" t="s">
        <v>28588</v>
      </c>
      <c r="H295" s="102" t="s">
        <v>28630</v>
      </c>
      <c r="I295" s="102" t="s">
        <v>27</v>
      </c>
      <c r="J295" s="102" t="s">
        <v>28631</v>
      </c>
      <c r="K295" s="102" t="s">
        <v>25719</v>
      </c>
      <c r="L295" s="102" t="s">
        <v>25642</v>
      </c>
      <c r="M295" s="102" t="s">
        <v>12</v>
      </c>
      <c r="N295" s="102">
        <v>1766.6999999999998</v>
      </c>
      <c r="R295" t="str">
        <f t="shared" si="27"/>
        <v>21-751-06-57</v>
      </c>
      <c r="S295" s="129" t="s">
        <v>28390</v>
      </c>
      <c r="T295" s="112">
        <v>4</v>
      </c>
    </row>
    <row r="296" spans="1:20" x14ac:dyDescent="0.2">
      <c r="A296" s="102" t="s">
        <v>28534</v>
      </c>
      <c r="B296" s="102" t="s">
        <v>28468</v>
      </c>
      <c r="C296" s="102" t="s">
        <v>31</v>
      </c>
      <c r="D296" s="102" t="s">
        <v>25559</v>
      </c>
      <c r="E296" s="102" t="s">
        <v>25711</v>
      </c>
      <c r="F296" s="102" t="s">
        <v>26687</v>
      </c>
      <c r="G296" s="102" t="s">
        <v>28588</v>
      </c>
      <c r="H296" s="102" t="s">
        <v>28630</v>
      </c>
      <c r="I296" s="102" t="s">
        <v>27</v>
      </c>
      <c r="J296" s="102" t="s">
        <v>28631</v>
      </c>
      <c r="K296" s="102" t="s">
        <v>25719</v>
      </c>
      <c r="L296" s="102" t="s">
        <v>25642</v>
      </c>
      <c r="M296" s="102" t="s">
        <v>12</v>
      </c>
      <c r="N296" s="102">
        <v>1766.6999999999998</v>
      </c>
      <c r="R296" t="str">
        <f t="shared" si="27"/>
        <v>21-751-06-59</v>
      </c>
      <c r="S296" s="129" t="s">
        <v>28386</v>
      </c>
      <c r="T296" s="112">
        <v>7</v>
      </c>
    </row>
    <row r="297" spans="1:20" x14ac:dyDescent="0.2">
      <c r="A297" s="102" t="s">
        <v>28534</v>
      </c>
      <c r="B297" s="102" t="s">
        <v>28468</v>
      </c>
      <c r="C297" s="102" t="s">
        <v>31</v>
      </c>
      <c r="D297" s="102" t="s">
        <v>25559</v>
      </c>
      <c r="E297" s="102" t="s">
        <v>25711</v>
      </c>
      <c r="F297" s="102" t="s">
        <v>26687</v>
      </c>
      <c r="G297" s="102" t="s">
        <v>28588</v>
      </c>
      <c r="H297" s="102" t="s">
        <v>28630</v>
      </c>
      <c r="I297" s="102" t="s">
        <v>27</v>
      </c>
      <c r="J297" s="102" t="s">
        <v>28631</v>
      </c>
      <c r="K297" s="102" t="s">
        <v>25719</v>
      </c>
      <c r="L297" s="102" t="s">
        <v>25642</v>
      </c>
      <c r="M297" s="102" t="s">
        <v>12</v>
      </c>
      <c r="N297" s="102">
        <v>1766.6999999999998</v>
      </c>
      <c r="R297" t="str">
        <f t="shared" si="27"/>
        <v>21-751-06-61</v>
      </c>
      <c r="S297" s="129" t="s">
        <v>28391</v>
      </c>
      <c r="T297" s="112">
        <v>4</v>
      </c>
    </row>
    <row r="298" spans="1:20" x14ac:dyDescent="0.2">
      <c r="A298" s="102" t="s">
        <v>28535</v>
      </c>
      <c r="B298" s="102" t="s">
        <v>28469</v>
      </c>
      <c r="C298" s="102" t="s">
        <v>31</v>
      </c>
      <c r="D298" s="102" t="s">
        <v>25559</v>
      </c>
      <c r="E298" s="102" t="s">
        <v>25711</v>
      </c>
      <c r="F298" s="102" t="s">
        <v>26687</v>
      </c>
      <c r="G298" s="102" t="s">
        <v>28588</v>
      </c>
      <c r="H298" s="102" t="s">
        <v>28441</v>
      </c>
      <c r="I298" s="102" t="s">
        <v>23</v>
      </c>
      <c r="J298" s="102" t="s">
        <v>28632</v>
      </c>
      <c r="K298" s="102" t="s">
        <v>25719</v>
      </c>
      <c r="L298" s="102" t="s">
        <v>25642</v>
      </c>
      <c r="M298" s="102" t="s">
        <v>12</v>
      </c>
      <c r="N298" s="102">
        <v>1755</v>
      </c>
      <c r="R298" t="str">
        <f t="shared" ref="R298:R308" si="28">A298&amp;"-"&amp;S298</f>
        <v>21-752-16-55</v>
      </c>
      <c r="S298" s="129" t="s">
        <v>28313</v>
      </c>
      <c r="T298" s="112">
        <v>1</v>
      </c>
    </row>
    <row r="299" spans="1:20" x14ac:dyDescent="0.2">
      <c r="A299" s="102" t="s">
        <v>28535</v>
      </c>
      <c r="B299" s="102" t="s">
        <v>28469</v>
      </c>
      <c r="C299" s="102" t="s">
        <v>31</v>
      </c>
      <c r="D299" s="102" t="s">
        <v>25559</v>
      </c>
      <c r="E299" s="102" t="s">
        <v>25711</v>
      </c>
      <c r="F299" s="102" t="s">
        <v>26687</v>
      </c>
      <c r="G299" s="102" t="s">
        <v>28588</v>
      </c>
      <c r="H299" s="102" t="s">
        <v>28441</v>
      </c>
      <c r="I299" s="102" t="s">
        <v>23</v>
      </c>
      <c r="J299" s="102" t="s">
        <v>28632</v>
      </c>
      <c r="K299" s="102" t="s">
        <v>25719</v>
      </c>
      <c r="L299" s="102" t="s">
        <v>25642</v>
      </c>
      <c r="M299" s="102" t="s">
        <v>12</v>
      </c>
      <c r="N299" s="102">
        <v>1755</v>
      </c>
      <c r="R299" t="str">
        <f t="shared" si="28"/>
        <v>21-752-16-57</v>
      </c>
      <c r="S299" s="129" t="s">
        <v>28390</v>
      </c>
      <c r="T299" s="112">
        <v>4</v>
      </c>
    </row>
    <row r="300" spans="1:20" x14ac:dyDescent="0.2">
      <c r="A300" s="102" t="s">
        <v>28535</v>
      </c>
      <c r="B300" s="102" t="s">
        <v>28469</v>
      </c>
      <c r="C300" s="102" t="s">
        <v>31</v>
      </c>
      <c r="D300" s="102" t="s">
        <v>25559</v>
      </c>
      <c r="E300" s="102" t="s">
        <v>25711</v>
      </c>
      <c r="F300" s="102" t="s">
        <v>26687</v>
      </c>
      <c r="G300" s="102" t="s">
        <v>28588</v>
      </c>
      <c r="H300" s="102" t="s">
        <v>28441</v>
      </c>
      <c r="I300" s="102" t="s">
        <v>23</v>
      </c>
      <c r="J300" s="102" t="s">
        <v>28632</v>
      </c>
      <c r="K300" s="102" t="s">
        <v>25719</v>
      </c>
      <c r="L300" s="102" t="s">
        <v>25642</v>
      </c>
      <c r="M300" s="102" t="s">
        <v>12</v>
      </c>
      <c r="N300" s="102">
        <v>1755</v>
      </c>
      <c r="R300" t="str">
        <f t="shared" si="28"/>
        <v>21-752-16-59</v>
      </c>
      <c r="S300" s="129" t="s">
        <v>28386</v>
      </c>
      <c r="T300" s="112">
        <v>7</v>
      </c>
    </row>
    <row r="301" spans="1:20" x14ac:dyDescent="0.2">
      <c r="A301" s="102" t="s">
        <v>28535</v>
      </c>
      <c r="B301" s="102" t="s">
        <v>28469</v>
      </c>
      <c r="C301" s="102" t="s">
        <v>31</v>
      </c>
      <c r="D301" s="102" t="s">
        <v>25559</v>
      </c>
      <c r="E301" s="102" t="s">
        <v>25711</v>
      </c>
      <c r="F301" s="102" t="s">
        <v>26687</v>
      </c>
      <c r="G301" s="102" t="s">
        <v>28588</v>
      </c>
      <c r="H301" s="102" t="s">
        <v>28441</v>
      </c>
      <c r="I301" s="102" t="s">
        <v>23</v>
      </c>
      <c r="J301" s="102" t="s">
        <v>28632</v>
      </c>
      <c r="K301" s="102" t="s">
        <v>25719</v>
      </c>
      <c r="L301" s="102" t="s">
        <v>25642</v>
      </c>
      <c r="M301" s="102" t="s">
        <v>12</v>
      </c>
      <c r="N301" s="102">
        <v>1755</v>
      </c>
      <c r="R301" t="str">
        <f t="shared" si="28"/>
        <v>21-752-16-61</v>
      </c>
      <c r="S301" s="129" t="s">
        <v>28391</v>
      </c>
      <c r="T301" s="112">
        <v>4</v>
      </c>
    </row>
    <row r="302" spans="1:20" x14ac:dyDescent="0.2">
      <c r="A302" s="102" t="s">
        <v>27179</v>
      </c>
      <c r="B302" s="102" t="s">
        <v>28470</v>
      </c>
      <c r="C302" s="102" t="s">
        <v>31</v>
      </c>
      <c r="D302" s="102" t="s">
        <v>39</v>
      </c>
      <c r="E302" s="102" t="s">
        <v>25711</v>
      </c>
      <c r="F302" s="102" t="s">
        <v>26687</v>
      </c>
      <c r="G302" s="102" t="s">
        <v>28588</v>
      </c>
      <c r="H302" s="102" t="s">
        <v>28442</v>
      </c>
      <c r="I302" s="102" t="s">
        <v>107</v>
      </c>
      <c r="J302" s="102" t="s">
        <v>28633</v>
      </c>
      <c r="L302" s="102" t="s">
        <v>25642</v>
      </c>
      <c r="M302" s="102" t="s">
        <v>12</v>
      </c>
      <c r="N302" s="102">
        <v>1702.3500000000001</v>
      </c>
      <c r="R302" t="str">
        <f t="shared" si="28"/>
        <v>21-753-48-55</v>
      </c>
      <c r="S302" s="129" t="s">
        <v>28313</v>
      </c>
      <c r="T302" s="112">
        <v>1</v>
      </c>
    </row>
    <row r="303" spans="1:20" x14ac:dyDescent="0.2">
      <c r="A303" s="102" t="s">
        <v>27179</v>
      </c>
      <c r="B303" s="102" t="s">
        <v>28470</v>
      </c>
      <c r="C303" s="102" t="s">
        <v>31</v>
      </c>
      <c r="D303" s="102" t="s">
        <v>39</v>
      </c>
      <c r="E303" s="102" t="s">
        <v>25711</v>
      </c>
      <c r="F303" s="102" t="s">
        <v>26687</v>
      </c>
      <c r="G303" s="102" t="s">
        <v>28588</v>
      </c>
      <c r="H303" s="102" t="s">
        <v>28442</v>
      </c>
      <c r="I303" s="102" t="s">
        <v>107</v>
      </c>
      <c r="J303" s="102" t="s">
        <v>28633</v>
      </c>
      <c r="L303" s="102" t="s">
        <v>25642</v>
      </c>
      <c r="M303" s="102" t="s">
        <v>12</v>
      </c>
      <c r="N303" s="102">
        <v>1702.3500000000001</v>
      </c>
      <c r="R303" t="str">
        <f t="shared" si="28"/>
        <v>21-753-48-57</v>
      </c>
      <c r="S303" s="129" t="s">
        <v>28390</v>
      </c>
      <c r="T303" s="112">
        <v>4</v>
      </c>
    </row>
    <row r="304" spans="1:20" x14ac:dyDescent="0.2">
      <c r="A304" s="102" t="s">
        <v>27179</v>
      </c>
      <c r="B304" s="102" t="s">
        <v>28470</v>
      </c>
      <c r="C304" s="102" t="s">
        <v>31</v>
      </c>
      <c r="D304" s="102" t="s">
        <v>39</v>
      </c>
      <c r="E304" s="102" t="s">
        <v>25711</v>
      </c>
      <c r="F304" s="102" t="s">
        <v>26687</v>
      </c>
      <c r="G304" s="102" t="s">
        <v>28588</v>
      </c>
      <c r="H304" s="102" t="s">
        <v>28442</v>
      </c>
      <c r="I304" s="102" t="s">
        <v>107</v>
      </c>
      <c r="J304" s="102" t="s">
        <v>28633</v>
      </c>
      <c r="L304" s="102" t="s">
        <v>25642</v>
      </c>
      <c r="M304" s="102" t="s">
        <v>12</v>
      </c>
      <c r="N304" s="102">
        <v>1702.3500000000001</v>
      </c>
      <c r="R304" t="str">
        <f t="shared" si="28"/>
        <v>21-753-48-59</v>
      </c>
      <c r="S304" s="129" t="s">
        <v>28386</v>
      </c>
      <c r="T304" s="112">
        <v>7</v>
      </c>
    </row>
    <row r="305" spans="1:20" x14ac:dyDescent="0.2">
      <c r="A305" s="102" t="s">
        <v>27179</v>
      </c>
      <c r="B305" s="102" t="s">
        <v>28470</v>
      </c>
      <c r="C305" s="102" t="s">
        <v>31</v>
      </c>
      <c r="D305" s="102" t="s">
        <v>39</v>
      </c>
      <c r="E305" s="102" t="s">
        <v>25711</v>
      </c>
      <c r="F305" s="102" t="s">
        <v>26687</v>
      </c>
      <c r="G305" s="102" t="s">
        <v>28588</v>
      </c>
      <c r="H305" s="102" t="s">
        <v>28442</v>
      </c>
      <c r="I305" s="102" t="s">
        <v>107</v>
      </c>
      <c r="J305" s="102" t="s">
        <v>28633</v>
      </c>
      <c r="L305" s="102" t="s">
        <v>25642</v>
      </c>
      <c r="M305" s="102" t="s">
        <v>12</v>
      </c>
      <c r="N305" s="102">
        <v>1702.3500000000001</v>
      </c>
      <c r="R305" t="str">
        <f t="shared" si="28"/>
        <v>21-753-48-61</v>
      </c>
      <c r="S305" s="129" t="s">
        <v>28391</v>
      </c>
      <c r="T305" s="112">
        <v>4</v>
      </c>
    </row>
    <row r="306" spans="1:20" x14ac:dyDescent="0.2">
      <c r="A306" s="102" t="s">
        <v>28536</v>
      </c>
      <c r="B306" s="102" t="s">
        <v>28470</v>
      </c>
      <c r="C306" s="102" t="s">
        <v>31</v>
      </c>
      <c r="D306" s="102" t="s">
        <v>39</v>
      </c>
      <c r="E306" s="102" t="s">
        <v>25711</v>
      </c>
      <c r="F306" s="102" t="s">
        <v>26687</v>
      </c>
      <c r="G306" s="102" t="s">
        <v>28588</v>
      </c>
      <c r="H306" s="102" t="s">
        <v>28634</v>
      </c>
      <c r="I306" s="102" t="s">
        <v>54</v>
      </c>
      <c r="J306" s="102" t="s">
        <v>28633</v>
      </c>
      <c r="L306" s="102" t="s">
        <v>25642</v>
      </c>
      <c r="M306" s="102" t="s">
        <v>12</v>
      </c>
      <c r="N306" s="102">
        <v>1702.3500000000001</v>
      </c>
      <c r="R306" t="str">
        <f t="shared" si="28"/>
        <v>21-753-11-55</v>
      </c>
      <c r="S306" s="129" t="s">
        <v>28313</v>
      </c>
      <c r="T306" s="112">
        <v>1</v>
      </c>
    </row>
    <row r="307" spans="1:20" x14ac:dyDescent="0.2">
      <c r="A307" s="102" t="s">
        <v>28536</v>
      </c>
      <c r="B307" s="102" t="s">
        <v>28470</v>
      </c>
      <c r="C307" s="102" t="s">
        <v>31</v>
      </c>
      <c r="D307" s="102" t="s">
        <v>39</v>
      </c>
      <c r="E307" s="102" t="s">
        <v>25711</v>
      </c>
      <c r="F307" s="102" t="s">
        <v>26687</v>
      </c>
      <c r="G307" s="102" t="s">
        <v>28588</v>
      </c>
      <c r="H307" s="102" t="s">
        <v>28634</v>
      </c>
      <c r="I307" s="102" t="s">
        <v>54</v>
      </c>
      <c r="J307" s="102" t="s">
        <v>28633</v>
      </c>
      <c r="L307" s="102" t="s">
        <v>25642</v>
      </c>
      <c r="M307" s="102" t="s">
        <v>12</v>
      </c>
      <c r="N307" s="102">
        <v>1702.3500000000001</v>
      </c>
      <c r="R307" t="str">
        <f t="shared" si="28"/>
        <v>21-753-11-57</v>
      </c>
      <c r="S307" s="129" t="s">
        <v>28390</v>
      </c>
      <c r="T307" s="112">
        <v>4</v>
      </c>
    </row>
    <row r="308" spans="1:20" x14ac:dyDescent="0.2">
      <c r="A308" s="102" t="s">
        <v>28536</v>
      </c>
      <c r="B308" s="102" t="s">
        <v>28470</v>
      </c>
      <c r="C308" s="102" t="s">
        <v>31</v>
      </c>
      <c r="D308" s="102" t="s">
        <v>39</v>
      </c>
      <c r="E308" s="102" t="s">
        <v>25711</v>
      </c>
      <c r="F308" s="102" t="s">
        <v>26687</v>
      </c>
      <c r="G308" s="102" t="s">
        <v>28588</v>
      </c>
      <c r="H308" s="102" t="s">
        <v>28634</v>
      </c>
      <c r="I308" s="102" t="s">
        <v>54</v>
      </c>
      <c r="J308" s="102" t="s">
        <v>28633</v>
      </c>
      <c r="L308" s="102" t="s">
        <v>25642</v>
      </c>
      <c r="M308" s="102" t="s">
        <v>12</v>
      </c>
      <c r="N308" s="102">
        <v>1702.3500000000001</v>
      </c>
      <c r="R308" t="str">
        <f t="shared" si="28"/>
        <v>21-753-11-59</v>
      </c>
      <c r="S308" s="129" t="s">
        <v>28386</v>
      </c>
      <c r="T308" s="112">
        <v>7</v>
      </c>
    </row>
    <row r="309" spans="1:20" x14ac:dyDescent="0.2">
      <c r="A309" s="102" t="s">
        <v>28536</v>
      </c>
      <c r="B309" s="102" t="s">
        <v>28470</v>
      </c>
      <c r="C309" s="102" t="s">
        <v>31</v>
      </c>
      <c r="D309" s="102" t="s">
        <v>39</v>
      </c>
      <c r="E309" s="102" t="s">
        <v>25711</v>
      </c>
      <c r="F309" s="102" t="s">
        <v>26687</v>
      </c>
      <c r="G309" s="102" t="s">
        <v>28588</v>
      </c>
      <c r="H309" s="102" t="s">
        <v>28634</v>
      </c>
      <c r="I309" s="102" t="s">
        <v>54</v>
      </c>
      <c r="J309" s="102" t="s">
        <v>28633</v>
      </c>
      <c r="L309" s="102" t="s">
        <v>25642</v>
      </c>
      <c r="M309" s="102" t="s">
        <v>12</v>
      </c>
      <c r="N309" s="102">
        <v>1702.3500000000001</v>
      </c>
      <c r="R309" t="str">
        <f t="shared" ref="R309:R317" si="29">A309&amp;"-"&amp;S309</f>
        <v>21-753-11-61</v>
      </c>
      <c r="S309" s="129" t="s">
        <v>28391</v>
      </c>
      <c r="T309" s="112">
        <v>4</v>
      </c>
    </row>
    <row r="310" spans="1:20" x14ac:dyDescent="0.2">
      <c r="A310" s="102" t="s">
        <v>27183</v>
      </c>
      <c r="B310" s="102" t="s">
        <v>28471</v>
      </c>
      <c r="C310" s="102" t="s">
        <v>31</v>
      </c>
      <c r="D310" s="102" t="s">
        <v>25559</v>
      </c>
      <c r="E310" s="102" t="s">
        <v>25711</v>
      </c>
      <c r="F310" s="102" t="s">
        <v>26687</v>
      </c>
      <c r="G310" s="102" t="s">
        <v>28588</v>
      </c>
      <c r="H310" s="102" t="s">
        <v>28635</v>
      </c>
      <c r="I310" s="102" t="s">
        <v>43</v>
      </c>
      <c r="J310" s="102" t="s">
        <v>28631</v>
      </c>
      <c r="K310" s="102" t="s">
        <v>25719</v>
      </c>
      <c r="L310" s="102" t="s">
        <v>25642</v>
      </c>
      <c r="M310" s="102" t="s">
        <v>12</v>
      </c>
      <c r="N310" s="102">
        <v>1877.8500000000001</v>
      </c>
      <c r="R310" t="str">
        <f t="shared" si="29"/>
        <v>21-755-15-55</v>
      </c>
      <c r="S310" s="129" t="s">
        <v>28313</v>
      </c>
      <c r="T310" s="112">
        <v>1</v>
      </c>
    </row>
    <row r="311" spans="1:20" x14ac:dyDescent="0.2">
      <c r="A311" s="102" t="s">
        <v>27183</v>
      </c>
      <c r="B311" s="102" t="s">
        <v>28471</v>
      </c>
      <c r="C311" s="102" t="s">
        <v>31</v>
      </c>
      <c r="D311" s="102" t="s">
        <v>25559</v>
      </c>
      <c r="E311" s="102" t="s">
        <v>25711</v>
      </c>
      <c r="F311" s="102" t="s">
        <v>26687</v>
      </c>
      <c r="G311" s="102" t="s">
        <v>28588</v>
      </c>
      <c r="H311" s="102" t="s">
        <v>28635</v>
      </c>
      <c r="I311" s="102" t="s">
        <v>43</v>
      </c>
      <c r="J311" s="102" t="s">
        <v>28631</v>
      </c>
      <c r="K311" s="102" t="s">
        <v>25719</v>
      </c>
      <c r="L311" s="102" t="s">
        <v>25642</v>
      </c>
      <c r="M311" s="102" t="s">
        <v>12</v>
      </c>
      <c r="N311" s="102">
        <v>1877.8500000000001</v>
      </c>
      <c r="R311" t="str">
        <f t="shared" si="29"/>
        <v>21-755-15-57</v>
      </c>
      <c r="S311" s="129" t="s">
        <v>28390</v>
      </c>
      <c r="T311" s="112">
        <v>4</v>
      </c>
    </row>
    <row r="312" spans="1:20" x14ac:dyDescent="0.2">
      <c r="A312" s="102" t="s">
        <v>27183</v>
      </c>
      <c r="B312" s="102" t="s">
        <v>28471</v>
      </c>
      <c r="C312" s="102" t="s">
        <v>31</v>
      </c>
      <c r="D312" s="102" t="s">
        <v>25559</v>
      </c>
      <c r="E312" s="102" t="s">
        <v>25711</v>
      </c>
      <c r="F312" s="102" t="s">
        <v>26687</v>
      </c>
      <c r="G312" s="102" t="s">
        <v>28588</v>
      </c>
      <c r="H312" s="102" t="s">
        <v>28635</v>
      </c>
      <c r="I312" s="102" t="s">
        <v>43</v>
      </c>
      <c r="J312" s="102" t="s">
        <v>28631</v>
      </c>
      <c r="K312" s="102" t="s">
        <v>25719</v>
      </c>
      <c r="L312" s="102" t="s">
        <v>25642</v>
      </c>
      <c r="M312" s="102" t="s">
        <v>12</v>
      </c>
      <c r="N312" s="102">
        <v>1877.8500000000001</v>
      </c>
      <c r="R312" t="str">
        <f t="shared" si="29"/>
        <v>21-755-15-59</v>
      </c>
      <c r="S312" s="129" t="s">
        <v>28386</v>
      </c>
      <c r="T312" s="112">
        <v>7</v>
      </c>
    </row>
    <row r="313" spans="1:20" x14ac:dyDescent="0.2">
      <c r="A313" s="102" t="s">
        <v>27183</v>
      </c>
      <c r="B313" s="102" t="s">
        <v>28471</v>
      </c>
      <c r="C313" s="102" t="s">
        <v>31</v>
      </c>
      <c r="D313" s="102" t="s">
        <v>25559</v>
      </c>
      <c r="E313" s="102" t="s">
        <v>25711</v>
      </c>
      <c r="F313" s="102" t="s">
        <v>26687</v>
      </c>
      <c r="G313" s="102" t="s">
        <v>28588</v>
      </c>
      <c r="H313" s="102" t="s">
        <v>28635</v>
      </c>
      <c r="I313" s="102" t="s">
        <v>43</v>
      </c>
      <c r="J313" s="102" t="s">
        <v>28631</v>
      </c>
      <c r="K313" s="102" t="s">
        <v>25719</v>
      </c>
      <c r="L313" s="102" t="s">
        <v>25642</v>
      </c>
      <c r="M313" s="102" t="s">
        <v>12</v>
      </c>
      <c r="N313" s="102">
        <v>1877.8500000000001</v>
      </c>
      <c r="R313" t="str">
        <f t="shared" si="29"/>
        <v>21-755-15-61</v>
      </c>
      <c r="S313" s="129" t="s">
        <v>28391</v>
      </c>
      <c r="T313" s="112">
        <v>4</v>
      </c>
    </row>
    <row r="314" spans="1:20" x14ac:dyDescent="0.2">
      <c r="A314" s="102" t="s">
        <v>28537</v>
      </c>
      <c r="B314" s="102" t="s">
        <v>28471</v>
      </c>
      <c r="C314" s="102" t="s">
        <v>31</v>
      </c>
      <c r="D314" s="102" t="s">
        <v>25559</v>
      </c>
      <c r="E314" s="102" t="s">
        <v>25711</v>
      </c>
      <c r="F314" s="102" t="s">
        <v>26687</v>
      </c>
      <c r="G314" s="102" t="s">
        <v>28588</v>
      </c>
      <c r="H314" s="102" t="s">
        <v>28448</v>
      </c>
      <c r="I314" s="102" t="s">
        <v>28</v>
      </c>
      <c r="J314" s="102" t="s">
        <v>28631</v>
      </c>
      <c r="K314" s="102" t="s">
        <v>25719</v>
      </c>
      <c r="L314" s="102" t="s">
        <v>25642</v>
      </c>
      <c r="M314" s="102" t="s">
        <v>12</v>
      </c>
      <c r="N314" s="102">
        <v>1877.8500000000001</v>
      </c>
      <c r="R314" t="str">
        <f t="shared" si="29"/>
        <v>21-755-08-55</v>
      </c>
      <c r="S314" s="129" t="s">
        <v>28313</v>
      </c>
      <c r="T314" s="112">
        <v>1</v>
      </c>
    </row>
    <row r="315" spans="1:20" x14ac:dyDescent="0.2">
      <c r="A315" s="102" t="s">
        <v>28537</v>
      </c>
      <c r="B315" s="102" t="s">
        <v>28471</v>
      </c>
      <c r="C315" s="102" t="s">
        <v>31</v>
      </c>
      <c r="D315" s="102" t="s">
        <v>25559</v>
      </c>
      <c r="E315" s="102" t="s">
        <v>25711</v>
      </c>
      <c r="F315" s="102" t="s">
        <v>26687</v>
      </c>
      <c r="G315" s="102" t="s">
        <v>28588</v>
      </c>
      <c r="H315" s="102" t="s">
        <v>28448</v>
      </c>
      <c r="I315" s="102" t="s">
        <v>28</v>
      </c>
      <c r="J315" s="102" t="s">
        <v>28631</v>
      </c>
      <c r="K315" s="102" t="s">
        <v>25719</v>
      </c>
      <c r="L315" s="102" t="s">
        <v>25642</v>
      </c>
      <c r="M315" s="102" t="s">
        <v>12</v>
      </c>
      <c r="N315" s="102">
        <v>1877.8500000000001</v>
      </c>
      <c r="R315" t="str">
        <f t="shared" si="29"/>
        <v>21-755-08-57</v>
      </c>
      <c r="S315" s="129" t="s">
        <v>28390</v>
      </c>
      <c r="T315" s="112">
        <v>4</v>
      </c>
    </row>
    <row r="316" spans="1:20" x14ac:dyDescent="0.2">
      <c r="A316" s="102" t="s">
        <v>28537</v>
      </c>
      <c r="B316" s="102" t="s">
        <v>28471</v>
      </c>
      <c r="C316" s="102" t="s">
        <v>31</v>
      </c>
      <c r="D316" s="102" t="s">
        <v>25559</v>
      </c>
      <c r="E316" s="102" t="s">
        <v>25711</v>
      </c>
      <c r="F316" s="102" t="s">
        <v>26687</v>
      </c>
      <c r="G316" s="102" t="s">
        <v>28588</v>
      </c>
      <c r="H316" s="102" t="s">
        <v>28448</v>
      </c>
      <c r="I316" s="102" t="s">
        <v>28</v>
      </c>
      <c r="J316" s="102" t="s">
        <v>28631</v>
      </c>
      <c r="K316" s="102" t="s">
        <v>25719</v>
      </c>
      <c r="L316" s="102" t="s">
        <v>25642</v>
      </c>
      <c r="M316" s="102" t="s">
        <v>12</v>
      </c>
      <c r="N316" s="102">
        <v>1877.8500000000001</v>
      </c>
      <c r="R316" t="str">
        <f t="shared" si="29"/>
        <v>21-755-08-59</v>
      </c>
      <c r="S316" s="129" t="s">
        <v>28386</v>
      </c>
      <c r="T316" s="112">
        <v>7</v>
      </c>
    </row>
    <row r="317" spans="1:20" x14ac:dyDescent="0.2">
      <c r="A317" s="102" t="s">
        <v>28537</v>
      </c>
      <c r="B317" s="102" t="s">
        <v>28471</v>
      </c>
      <c r="C317" s="102" t="s">
        <v>31</v>
      </c>
      <c r="D317" s="102" t="s">
        <v>25559</v>
      </c>
      <c r="E317" s="102" t="s">
        <v>25711</v>
      </c>
      <c r="F317" s="102" t="s">
        <v>26687</v>
      </c>
      <c r="G317" s="102" t="s">
        <v>28588</v>
      </c>
      <c r="H317" s="102" t="s">
        <v>28448</v>
      </c>
      <c r="I317" s="102" t="s">
        <v>28</v>
      </c>
      <c r="J317" s="102" t="s">
        <v>28631</v>
      </c>
      <c r="K317" s="102" t="s">
        <v>25719</v>
      </c>
      <c r="L317" s="102" t="s">
        <v>25642</v>
      </c>
      <c r="M317" s="102" t="s">
        <v>12</v>
      </c>
      <c r="N317" s="102">
        <v>1877.8500000000001</v>
      </c>
      <c r="R317" t="str">
        <f t="shared" si="29"/>
        <v>21-755-08-61</v>
      </c>
      <c r="S317" s="129" t="s">
        <v>28391</v>
      </c>
      <c r="T317" s="112">
        <v>4</v>
      </c>
    </row>
    <row r="318" spans="1:20" x14ac:dyDescent="0.2">
      <c r="A318" s="102" t="s">
        <v>10140</v>
      </c>
      <c r="B318" s="102" t="s">
        <v>28472</v>
      </c>
      <c r="C318" s="102" t="s">
        <v>8</v>
      </c>
      <c r="D318" s="102" t="s">
        <v>25585</v>
      </c>
      <c r="E318" s="102" t="s">
        <v>25646</v>
      </c>
      <c r="F318" s="102" t="s">
        <v>26687</v>
      </c>
      <c r="G318" s="102" t="s">
        <v>25646</v>
      </c>
      <c r="H318" s="102" t="s">
        <v>28636</v>
      </c>
      <c r="I318" s="102" t="s">
        <v>25472</v>
      </c>
      <c r="J318" s="102" t="s">
        <v>26561</v>
      </c>
      <c r="K318" s="102" t="s">
        <v>25715</v>
      </c>
      <c r="L318" s="102" t="s">
        <v>25640</v>
      </c>
      <c r="M318" s="102" t="s">
        <v>12</v>
      </c>
      <c r="N318" s="102">
        <v>537.03</v>
      </c>
      <c r="R318" t="str">
        <f t="shared" ref="R318:R320" si="30">A318&amp;"-"&amp;S318</f>
        <v>31-064-01-00</v>
      </c>
      <c r="S318" s="129" t="s">
        <v>25308</v>
      </c>
      <c r="T318" s="112">
        <v>6</v>
      </c>
    </row>
    <row r="319" spans="1:20" x14ac:dyDescent="0.2">
      <c r="A319" s="102" t="s">
        <v>10158</v>
      </c>
      <c r="B319" s="102" t="s">
        <v>28472</v>
      </c>
      <c r="C319" s="102" t="s">
        <v>8</v>
      </c>
      <c r="D319" s="102" t="s">
        <v>25585</v>
      </c>
      <c r="E319" s="102" t="s">
        <v>25646</v>
      </c>
      <c r="F319" s="102" t="s">
        <v>26687</v>
      </c>
      <c r="G319" s="102" t="s">
        <v>25646</v>
      </c>
      <c r="H319" s="102" t="s">
        <v>28637</v>
      </c>
      <c r="I319" s="102" t="s">
        <v>25463</v>
      </c>
      <c r="J319" s="102" t="s">
        <v>26561</v>
      </c>
      <c r="K319" s="102" t="s">
        <v>25715</v>
      </c>
      <c r="L319" s="102" t="s">
        <v>25640</v>
      </c>
      <c r="M319" s="102" t="s">
        <v>12</v>
      </c>
      <c r="N319" s="102">
        <v>537.03</v>
      </c>
      <c r="R319" t="str">
        <f t="shared" si="30"/>
        <v>31-064-42-00</v>
      </c>
      <c r="S319" s="129" t="s">
        <v>25308</v>
      </c>
      <c r="T319" s="112">
        <v>6</v>
      </c>
    </row>
    <row r="320" spans="1:20" x14ac:dyDescent="0.2">
      <c r="A320" s="102" t="s">
        <v>10146</v>
      </c>
      <c r="B320" s="102" t="s">
        <v>28472</v>
      </c>
      <c r="C320" s="102" t="s">
        <v>8</v>
      </c>
      <c r="D320" s="102" t="s">
        <v>25585</v>
      </c>
      <c r="E320" s="102" t="s">
        <v>25646</v>
      </c>
      <c r="F320" s="102" t="s">
        <v>26687</v>
      </c>
      <c r="G320" s="102" t="s">
        <v>25646</v>
      </c>
      <c r="H320" s="102" t="s">
        <v>28638</v>
      </c>
      <c r="I320" s="102" t="s">
        <v>27</v>
      </c>
      <c r="J320" s="102" t="s">
        <v>26561</v>
      </c>
      <c r="K320" s="102" t="s">
        <v>25715</v>
      </c>
      <c r="L320" s="102" t="s">
        <v>25640</v>
      </c>
      <c r="M320" s="102" t="s">
        <v>12</v>
      </c>
      <c r="N320" s="102">
        <v>537.03</v>
      </c>
      <c r="R320" t="str">
        <f t="shared" si="30"/>
        <v>31-064-06-00</v>
      </c>
      <c r="S320" s="129" t="s">
        <v>25308</v>
      </c>
      <c r="T320" s="112">
        <v>6</v>
      </c>
    </row>
    <row r="321" spans="1:20" x14ac:dyDescent="0.2">
      <c r="A321" s="102" t="s">
        <v>10148</v>
      </c>
      <c r="B321" s="102" t="s">
        <v>28472</v>
      </c>
      <c r="C321" s="102" t="s">
        <v>8</v>
      </c>
      <c r="D321" s="102" t="s">
        <v>25585</v>
      </c>
      <c r="E321" s="102" t="s">
        <v>25646</v>
      </c>
      <c r="F321" s="102" t="s">
        <v>26687</v>
      </c>
      <c r="G321" s="102" t="s">
        <v>25646</v>
      </c>
      <c r="H321" s="102" t="s">
        <v>28639</v>
      </c>
      <c r="I321" s="102" t="s">
        <v>123</v>
      </c>
      <c r="J321" s="102" t="s">
        <v>26561</v>
      </c>
      <c r="K321" s="102" t="s">
        <v>25715</v>
      </c>
      <c r="L321" s="102" t="s">
        <v>25640</v>
      </c>
      <c r="M321" s="102" t="s">
        <v>12</v>
      </c>
      <c r="N321" s="102">
        <v>537.03</v>
      </c>
      <c r="R321" t="str">
        <f t="shared" ref="R321:R323" si="31">A321&amp;"-"&amp;S321</f>
        <v>31-064-13-00</v>
      </c>
      <c r="S321" s="129" t="s">
        <v>25308</v>
      </c>
      <c r="T321" s="112">
        <v>4</v>
      </c>
    </row>
    <row r="322" spans="1:20" x14ac:dyDescent="0.2">
      <c r="A322" s="102" t="s">
        <v>10110</v>
      </c>
      <c r="B322" s="102" t="s">
        <v>25630</v>
      </c>
      <c r="C322" s="102" t="s">
        <v>26848</v>
      </c>
      <c r="D322" s="102" t="s">
        <v>25561</v>
      </c>
      <c r="E322" s="102" t="s">
        <v>25646</v>
      </c>
      <c r="F322" s="102" t="s">
        <v>26687</v>
      </c>
      <c r="G322" s="102" t="s">
        <v>25646</v>
      </c>
      <c r="H322" s="102" t="s">
        <v>28640</v>
      </c>
      <c r="I322" s="102" t="s">
        <v>25340</v>
      </c>
      <c r="J322" s="102" t="s">
        <v>25775</v>
      </c>
      <c r="K322" s="102" t="s">
        <v>25720</v>
      </c>
      <c r="L322" s="102" t="s">
        <v>25640</v>
      </c>
      <c r="M322" s="102" t="s">
        <v>12</v>
      </c>
      <c r="N322" s="102">
        <v>676.26</v>
      </c>
      <c r="R322" t="str">
        <f t="shared" si="31"/>
        <v>31-056-17-00</v>
      </c>
      <c r="S322" s="129" t="s">
        <v>25308</v>
      </c>
      <c r="T322" s="112">
        <v>3</v>
      </c>
    </row>
    <row r="323" spans="1:20" x14ac:dyDescent="0.2">
      <c r="A323" s="102" t="s">
        <v>10198</v>
      </c>
      <c r="B323" s="102" t="s">
        <v>28473</v>
      </c>
      <c r="C323" s="102" t="s">
        <v>8</v>
      </c>
      <c r="D323" s="102" t="s">
        <v>25585</v>
      </c>
      <c r="E323" s="102" t="s">
        <v>25646</v>
      </c>
      <c r="F323" s="102" t="s">
        <v>26687</v>
      </c>
      <c r="G323" s="102" t="s">
        <v>25646</v>
      </c>
      <c r="H323" s="102" t="s">
        <v>28641</v>
      </c>
      <c r="I323" s="102" t="s">
        <v>107</v>
      </c>
      <c r="J323" s="102" t="s">
        <v>26561</v>
      </c>
      <c r="K323" s="102" t="s">
        <v>25715</v>
      </c>
      <c r="L323" s="102" t="s">
        <v>25640</v>
      </c>
      <c r="M323" s="102" t="s">
        <v>12</v>
      </c>
      <c r="N323" s="102">
        <v>581.49</v>
      </c>
      <c r="R323" t="str">
        <f t="shared" si="31"/>
        <v>31-078-09-00</v>
      </c>
      <c r="S323" s="129" t="s">
        <v>25308</v>
      </c>
      <c r="T323" s="112">
        <v>8</v>
      </c>
    </row>
    <row r="324" spans="1:20" x14ac:dyDescent="0.2">
      <c r="A324" s="102" t="s">
        <v>10208</v>
      </c>
      <c r="B324" s="102" t="s">
        <v>28473</v>
      </c>
      <c r="C324" s="102" t="s">
        <v>8</v>
      </c>
      <c r="D324" s="102" t="s">
        <v>25585</v>
      </c>
      <c r="E324" s="102" t="s">
        <v>25646</v>
      </c>
      <c r="F324" s="102" t="s">
        <v>26687</v>
      </c>
      <c r="G324" s="102" t="s">
        <v>25646</v>
      </c>
      <c r="H324" s="102" t="s">
        <v>28642</v>
      </c>
      <c r="I324" s="102" t="s">
        <v>25360</v>
      </c>
      <c r="J324" s="102" t="s">
        <v>26561</v>
      </c>
      <c r="K324" s="102" t="s">
        <v>25715</v>
      </c>
      <c r="L324" s="102" t="s">
        <v>25640</v>
      </c>
      <c r="M324" s="102" t="s">
        <v>12</v>
      </c>
      <c r="N324" s="102">
        <v>581.49</v>
      </c>
      <c r="R324" t="str">
        <f t="shared" ref="R324:R325" si="32">A324&amp;"-"&amp;S324</f>
        <v>31-078-49-00</v>
      </c>
      <c r="S324" s="129" t="s">
        <v>25308</v>
      </c>
      <c r="T324" s="112">
        <v>10</v>
      </c>
    </row>
    <row r="325" spans="1:20" x14ac:dyDescent="0.2">
      <c r="A325" s="102" t="s">
        <v>10200</v>
      </c>
      <c r="B325" s="102" t="s">
        <v>28473</v>
      </c>
      <c r="C325" s="102" t="s">
        <v>8</v>
      </c>
      <c r="D325" s="102" t="s">
        <v>25585</v>
      </c>
      <c r="E325" s="102" t="s">
        <v>25646</v>
      </c>
      <c r="F325" s="102" t="s">
        <v>26687</v>
      </c>
      <c r="G325" s="102" t="s">
        <v>25646</v>
      </c>
      <c r="H325" s="102" t="s">
        <v>28643</v>
      </c>
      <c r="I325" s="102" t="s">
        <v>201</v>
      </c>
      <c r="J325" s="102" t="s">
        <v>26561</v>
      </c>
      <c r="K325" s="102" t="s">
        <v>25715</v>
      </c>
      <c r="L325" s="102" t="s">
        <v>25640</v>
      </c>
      <c r="M325" s="102" t="s">
        <v>12</v>
      </c>
      <c r="N325" s="102">
        <v>581.49</v>
      </c>
      <c r="R325" t="str">
        <f t="shared" si="32"/>
        <v>31-078-17-00</v>
      </c>
      <c r="S325" s="129" t="s">
        <v>25308</v>
      </c>
      <c r="T325" s="112">
        <v>8</v>
      </c>
    </row>
    <row r="326" spans="1:20" x14ac:dyDescent="0.2">
      <c r="A326" s="102" t="s">
        <v>28538</v>
      </c>
      <c r="B326" s="102" t="s">
        <v>25632</v>
      </c>
      <c r="C326" s="102" t="s">
        <v>8</v>
      </c>
      <c r="D326" s="102" t="s">
        <v>25585</v>
      </c>
      <c r="E326" s="102" t="s">
        <v>25646</v>
      </c>
      <c r="F326" s="102" t="s">
        <v>26687</v>
      </c>
      <c r="G326" s="102" t="s">
        <v>25646</v>
      </c>
      <c r="H326" s="102" t="s">
        <v>28644</v>
      </c>
      <c r="I326" s="102" t="s">
        <v>100</v>
      </c>
      <c r="J326" s="102" t="s">
        <v>26473</v>
      </c>
      <c r="K326" s="102" t="s">
        <v>25715</v>
      </c>
      <c r="L326" s="102" t="s">
        <v>25640</v>
      </c>
      <c r="M326" s="102" t="s">
        <v>12</v>
      </c>
      <c r="N326" s="102">
        <v>654.03000000000009</v>
      </c>
      <c r="R326" t="str">
        <f t="shared" ref="R326:R328" si="33">A326&amp;"-"&amp;S326</f>
        <v>31-136-17-00</v>
      </c>
      <c r="S326" s="129" t="s">
        <v>25308</v>
      </c>
      <c r="T326" s="112">
        <v>5</v>
      </c>
    </row>
    <row r="327" spans="1:20" x14ac:dyDescent="0.2">
      <c r="A327" s="102" t="s">
        <v>10521</v>
      </c>
      <c r="B327" s="102" t="s">
        <v>25593</v>
      </c>
      <c r="C327" s="102" t="s">
        <v>8</v>
      </c>
      <c r="D327" s="102" t="s">
        <v>25585</v>
      </c>
      <c r="E327" s="102" t="s">
        <v>25646</v>
      </c>
      <c r="F327" s="102" t="s">
        <v>26687</v>
      </c>
      <c r="G327" s="102" t="s">
        <v>25646</v>
      </c>
      <c r="H327" s="102" t="s">
        <v>28645</v>
      </c>
      <c r="I327" s="102" t="s">
        <v>25487</v>
      </c>
      <c r="J327" s="102" t="s">
        <v>25744</v>
      </c>
      <c r="K327" s="102" t="s">
        <v>25715</v>
      </c>
      <c r="L327" s="102" t="s">
        <v>25640</v>
      </c>
      <c r="M327" s="102" t="s">
        <v>12</v>
      </c>
      <c r="N327" s="102">
        <v>628.29000000000008</v>
      </c>
      <c r="R327" t="str">
        <f t="shared" si="33"/>
        <v>31-128-95-00</v>
      </c>
      <c r="S327" s="129" t="s">
        <v>25308</v>
      </c>
      <c r="T327" s="112">
        <v>3</v>
      </c>
    </row>
    <row r="328" spans="1:20" x14ac:dyDescent="0.2">
      <c r="A328" s="102" t="s">
        <v>10262</v>
      </c>
      <c r="B328" s="102" t="s">
        <v>25594</v>
      </c>
      <c r="C328" s="102" t="s">
        <v>8</v>
      </c>
      <c r="D328" s="102" t="s">
        <v>25585</v>
      </c>
      <c r="E328" s="102" t="s">
        <v>25646</v>
      </c>
      <c r="F328" s="102" t="s">
        <v>26687</v>
      </c>
      <c r="G328" s="102" t="s">
        <v>25646</v>
      </c>
      <c r="H328" s="102" t="s">
        <v>28646</v>
      </c>
      <c r="I328" s="102" t="s">
        <v>25463</v>
      </c>
      <c r="J328" s="102" t="s">
        <v>25919</v>
      </c>
      <c r="K328" s="102" t="s">
        <v>25715</v>
      </c>
      <c r="L328" s="102" t="s">
        <v>25640</v>
      </c>
      <c r="M328" s="102" t="s">
        <v>12</v>
      </c>
      <c r="N328" s="102">
        <v>576.80999999999995</v>
      </c>
      <c r="R328" t="str">
        <f t="shared" si="33"/>
        <v>31-083-75-00</v>
      </c>
      <c r="S328" s="129" t="s">
        <v>25308</v>
      </c>
      <c r="T328" s="112">
        <v>14</v>
      </c>
    </row>
    <row r="329" spans="1:20" x14ac:dyDescent="0.2">
      <c r="A329" s="102" t="s">
        <v>10248</v>
      </c>
      <c r="B329" s="102" t="s">
        <v>25594</v>
      </c>
      <c r="C329" s="102" t="s">
        <v>8</v>
      </c>
      <c r="D329" s="102" t="s">
        <v>25585</v>
      </c>
      <c r="E329" s="102" t="s">
        <v>25646</v>
      </c>
      <c r="F329" s="102" t="s">
        <v>26687</v>
      </c>
      <c r="G329" s="102" t="s">
        <v>25646</v>
      </c>
      <c r="H329" s="102" t="s">
        <v>28647</v>
      </c>
      <c r="I329" s="102" t="s">
        <v>100</v>
      </c>
      <c r="J329" s="102" t="s">
        <v>25977</v>
      </c>
      <c r="K329" s="102" t="s">
        <v>25715</v>
      </c>
      <c r="L329" s="102" t="s">
        <v>25640</v>
      </c>
      <c r="M329" s="102" t="s">
        <v>12</v>
      </c>
      <c r="N329" s="102">
        <v>576.80999999999995</v>
      </c>
      <c r="R329" t="str">
        <f t="shared" ref="R329:R331" si="34">A329&amp;"-"&amp;S329</f>
        <v>31-083-17-00</v>
      </c>
      <c r="S329" s="129" t="s">
        <v>25308</v>
      </c>
      <c r="T329" s="112">
        <v>14</v>
      </c>
    </row>
    <row r="330" spans="1:20" x14ac:dyDescent="0.2">
      <c r="A330" s="102" t="s">
        <v>10607</v>
      </c>
      <c r="B330" s="102" t="s">
        <v>25595</v>
      </c>
      <c r="C330" s="102" t="s">
        <v>8</v>
      </c>
      <c r="D330" s="102" t="s">
        <v>25585</v>
      </c>
      <c r="E330" s="102" t="s">
        <v>25646</v>
      </c>
      <c r="F330" s="102" t="s">
        <v>26687</v>
      </c>
      <c r="G330" s="102" t="s">
        <v>25646</v>
      </c>
      <c r="H330" s="102" t="s">
        <v>28648</v>
      </c>
      <c r="I330" s="102" t="s">
        <v>1</v>
      </c>
      <c r="J330" s="102" t="s">
        <v>26561</v>
      </c>
      <c r="K330" s="102" t="s">
        <v>25715</v>
      </c>
      <c r="L330" s="102" t="s">
        <v>25640</v>
      </c>
      <c r="M330" s="102" t="s">
        <v>12</v>
      </c>
      <c r="N330" s="102">
        <v>661.05000000000007</v>
      </c>
      <c r="R330" t="str">
        <f t="shared" si="34"/>
        <v>31-150-09-00</v>
      </c>
      <c r="S330" s="129" t="s">
        <v>25308</v>
      </c>
      <c r="T330" s="112">
        <v>3</v>
      </c>
    </row>
    <row r="331" spans="1:20" x14ac:dyDescent="0.2">
      <c r="A331" s="102" t="s">
        <v>10619</v>
      </c>
      <c r="B331" s="102" t="s">
        <v>25596</v>
      </c>
      <c r="C331" s="102" t="s">
        <v>8</v>
      </c>
      <c r="D331" s="102" t="s">
        <v>25585</v>
      </c>
      <c r="E331" s="102" t="s">
        <v>25646</v>
      </c>
      <c r="F331" s="102" t="s">
        <v>26687</v>
      </c>
      <c r="G331" s="102" t="s">
        <v>25646</v>
      </c>
      <c r="H331" s="102" t="s">
        <v>28649</v>
      </c>
      <c r="I331" s="102" t="s">
        <v>42</v>
      </c>
      <c r="J331" s="102" t="s">
        <v>25977</v>
      </c>
      <c r="K331" s="102" t="s">
        <v>25715</v>
      </c>
      <c r="L331" s="102" t="s">
        <v>25640</v>
      </c>
      <c r="M331" s="102" t="s">
        <v>12</v>
      </c>
      <c r="N331" s="102">
        <v>717.21</v>
      </c>
      <c r="R331" t="str">
        <f t="shared" si="34"/>
        <v>31-152-53-00</v>
      </c>
      <c r="S331" s="129" t="s">
        <v>25308</v>
      </c>
      <c r="T331" s="112">
        <v>3</v>
      </c>
    </row>
    <row r="332" spans="1:20" x14ac:dyDescent="0.2">
      <c r="A332" s="102" t="s">
        <v>10621</v>
      </c>
      <c r="B332" s="102" t="s">
        <v>25638</v>
      </c>
      <c r="C332" s="102" t="s">
        <v>8</v>
      </c>
      <c r="D332" s="102" t="s">
        <v>21</v>
      </c>
      <c r="E332" s="102" t="s">
        <v>25646</v>
      </c>
      <c r="F332" s="102" t="s">
        <v>26687</v>
      </c>
      <c r="G332" s="102" t="s">
        <v>25646</v>
      </c>
      <c r="H332" s="102" t="s">
        <v>28650</v>
      </c>
      <c r="I332" s="102" t="s">
        <v>107</v>
      </c>
      <c r="J332" s="102" t="s">
        <v>25744</v>
      </c>
      <c r="K332" s="102" t="s">
        <v>25715</v>
      </c>
      <c r="L332" s="102" t="s">
        <v>25640</v>
      </c>
      <c r="M332" s="102" t="s">
        <v>12</v>
      </c>
      <c r="N332" s="102">
        <v>804.96</v>
      </c>
      <c r="R332" t="str">
        <f t="shared" ref="R332:R333" si="35">A332&amp;"-"&amp;S332</f>
        <v>31-153-48-00</v>
      </c>
      <c r="S332" s="129" t="s">
        <v>25308</v>
      </c>
      <c r="T332" s="112">
        <v>5</v>
      </c>
    </row>
    <row r="333" spans="1:20" x14ac:dyDescent="0.2">
      <c r="A333" s="102" t="s">
        <v>10677</v>
      </c>
      <c r="B333" s="102" t="s">
        <v>25597</v>
      </c>
      <c r="C333" s="102" t="s">
        <v>8</v>
      </c>
      <c r="D333" s="102" t="s">
        <v>25585</v>
      </c>
      <c r="E333" s="102" t="s">
        <v>25646</v>
      </c>
      <c r="F333" s="102" t="s">
        <v>26687</v>
      </c>
      <c r="G333" s="102" t="s">
        <v>25646</v>
      </c>
      <c r="H333" s="102" t="s">
        <v>28651</v>
      </c>
      <c r="I333" s="102" t="s">
        <v>42</v>
      </c>
      <c r="J333" s="102" t="s">
        <v>25919</v>
      </c>
      <c r="K333" s="102" t="s">
        <v>25715</v>
      </c>
      <c r="L333" s="102" t="s">
        <v>25640</v>
      </c>
      <c r="M333" s="102" t="s">
        <v>12</v>
      </c>
      <c r="N333" s="102">
        <v>725.40000000000009</v>
      </c>
      <c r="R333" t="str">
        <f t="shared" si="35"/>
        <v>31-171-53-00</v>
      </c>
      <c r="S333" s="129" t="s">
        <v>25308</v>
      </c>
      <c r="T333" s="112">
        <v>3</v>
      </c>
    </row>
    <row r="334" spans="1:20" x14ac:dyDescent="0.2">
      <c r="A334" s="102" t="s">
        <v>10675</v>
      </c>
      <c r="B334" s="102" t="s">
        <v>25597</v>
      </c>
      <c r="C334" s="102" t="s">
        <v>8</v>
      </c>
      <c r="D334" s="102" t="s">
        <v>25585</v>
      </c>
      <c r="E334" s="102" t="s">
        <v>25646</v>
      </c>
      <c r="F334" s="102" t="s">
        <v>26687</v>
      </c>
      <c r="G334" s="102" t="s">
        <v>25646</v>
      </c>
      <c r="H334" s="102" t="s">
        <v>28652</v>
      </c>
      <c r="I334" s="102" t="s">
        <v>25340</v>
      </c>
      <c r="J334" s="102" t="s">
        <v>25919</v>
      </c>
      <c r="K334" s="102" t="s">
        <v>25715</v>
      </c>
      <c r="L334" s="102" t="s">
        <v>25640</v>
      </c>
      <c r="M334" s="102" t="s">
        <v>12</v>
      </c>
      <c r="N334" s="102">
        <v>725.40000000000009</v>
      </c>
      <c r="R334" t="str">
        <f t="shared" ref="R334:R336" si="36">A334&amp;"-"&amp;S334</f>
        <v>31-171-00-00</v>
      </c>
      <c r="S334" s="129" t="s">
        <v>25308</v>
      </c>
      <c r="T334" s="112">
        <v>3</v>
      </c>
    </row>
    <row r="335" spans="1:20" x14ac:dyDescent="0.2">
      <c r="A335" s="102" t="s">
        <v>10300</v>
      </c>
      <c r="B335" s="102" t="s">
        <v>25598</v>
      </c>
      <c r="C335" s="102" t="s">
        <v>8</v>
      </c>
      <c r="D335" s="102" t="s">
        <v>25583</v>
      </c>
      <c r="E335" s="102" t="s">
        <v>25646</v>
      </c>
      <c r="F335" s="102" t="s">
        <v>26687</v>
      </c>
      <c r="G335" s="102" t="s">
        <v>25646</v>
      </c>
      <c r="H335" s="102" t="s">
        <v>28653</v>
      </c>
      <c r="I335" s="102" t="s">
        <v>25503</v>
      </c>
      <c r="J335" s="102" t="s">
        <v>25977</v>
      </c>
      <c r="K335" s="102" t="s">
        <v>25715</v>
      </c>
      <c r="L335" s="102" t="s">
        <v>25640</v>
      </c>
      <c r="M335" s="102" t="s">
        <v>12</v>
      </c>
      <c r="N335" s="102">
        <v>573.30000000000007</v>
      </c>
      <c r="R335" t="str">
        <f t="shared" si="36"/>
        <v>31-084-59-00</v>
      </c>
      <c r="S335" s="129" t="s">
        <v>25308</v>
      </c>
      <c r="T335" s="112">
        <v>2</v>
      </c>
    </row>
    <row r="336" spans="1:20" x14ac:dyDescent="0.2">
      <c r="A336" s="102" t="s">
        <v>28539</v>
      </c>
      <c r="B336" s="102" t="s">
        <v>25598</v>
      </c>
      <c r="C336" s="102" t="s">
        <v>8</v>
      </c>
      <c r="D336" s="102" t="s">
        <v>25583</v>
      </c>
      <c r="E336" s="102" t="s">
        <v>25646</v>
      </c>
      <c r="F336" s="102" t="s">
        <v>26687</v>
      </c>
      <c r="G336" s="102" t="s">
        <v>25646</v>
      </c>
      <c r="H336" s="102" t="s">
        <v>28654</v>
      </c>
      <c r="I336" s="102" t="s">
        <v>54</v>
      </c>
      <c r="J336" s="102" t="s">
        <v>25919</v>
      </c>
      <c r="K336" s="102" t="s">
        <v>25715</v>
      </c>
      <c r="L336" s="102" t="s">
        <v>25640</v>
      </c>
      <c r="M336" s="102" t="s">
        <v>12</v>
      </c>
      <c r="N336" s="102">
        <v>573.30000000000007</v>
      </c>
      <c r="R336" t="str">
        <f t="shared" si="36"/>
        <v>31-084-11-00</v>
      </c>
      <c r="S336" s="129" t="s">
        <v>25308</v>
      </c>
      <c r="T336" s="112">
        <v>5</v>
      </c>
    </row>
    <row r="337" spans="1:20" x14ac:dyDescent="0.2">
      <c r="A337" s="102" t="s">
        <v>10292</v>
      </c>
      <c r="B337" s="102" t="s">
        <v>25598</v>
      </c>
      <c r="C337" s="102" t="s">
        <v>8</v>
      </c>
      <c r="D337" s="102" t="s">
        <v>25583</v>
      </c>
      <c r="E337" s="102" t="s">
        <v>25646</v>
      </c>
      <c r="F337" s="102" t="s">
        <v>26687</v>
      </c>
      <c r="G337" s="102" t="s">
        <v>25646</v>
      </c>
      <c r="H337" s="102" t="s">
        <v>28655</v>
      </c>
      <c r="I337" s="102" t="s">
        <v>25499</v>
      </c>
      <c r="J337" s="102" t="s">
        <v>25977</v>
      </c>
      <c r="K337" s="102" t="s">
        <v>25715</v>
      </c>
      <c r="L337" s="102" t="s">
        <v>25640</v>
      </c>
      <c r="M337" s="102" t="s">
        <v>12</v>
      </c>
      <c r="N337" s="102">
        <v>573.30000000000007</v>
      </c>
      <c r="R337" t="str">
        <f t="shared" ref="R337:R339" si="37">A337&amp;"-"&amp;S337</f>
        <v>31-084-31-00</v>
      </c>
      <c r="S337" s="129" t="s">
        <v>25308</v>
      </c>
      <c r="T337" s="112">
        <v>4</v>
      </c>
    </row>
    <row r="338" spans="1:20" x14ac:dyDescent="0.2">
      <c r="A338" s="102" t="s">
        <v>10280</v>
      </c>
      <c r="B338" s="102" t="s">
        <v>25598</v>
      </c>
      <c r="C338" s="102" t="s">
        <v>8</v>
      </c>
      <c r="D338" s="102" t="s">
        <v>25583</v>
      </c>
      <c r="E338" s="102" t="s">
        <v>25646</v>
      </c>
      <c r="F338" s="102" t="s">
        <v>26687</v>
      </c>
      <c r="G338" s="102" t="s">
        <v>25646</v>
      </c>
      <c r="H338" s="102" t="s">
        <v>28656</v>
      </c>
      <c r="I338" s="102" t="s">
        <v>22</v>
      </c>
      <c r="J338" s="102" t="s">
        <v>25977</v>
      </c>
      <c r="K338" s="102" t="s">
        <v>25715</v>
      </c>
      <c r="L338" s="102" t="s">
        <v>25640</v>
      </c>
      <c r="M338" s="102" t="s">
        <v>12</v>
      </c>
      <c r="N338" s="102">
        <v>573.30000000000007</v>
      </c>
      <c r="R338" t="str">
        <f t="shared" si="37"/>
        <v>31-084-14-00</v>
      </c>
      <c r="S338" s="129" t="s">
        <v>25308</v>
      </c>
      <c r="T338" s="112">
        <v>7</v>
      </c>
    </row>
    <row r="339" spans="1:20" x14ac:dyDescent="0.2">
      <c r="A339" s="102" t="s">
        <v>10310</v>
      </c>
      <c r="B339" s="102" t="s">
        <v>25598</v>
      </c>
      <c r="C339" s="102" t="s">
        <v>8</v>
      </c>
      <c r="D339" s="102" t="s">
        <v>25583</v>
      </c>
      <c r="E339" s="102" t="s">
        <v>25646</v>
      </c>
      <c r="F339" s="102" t="s">
        <v>26687</v>
      </c>
      <c r="G339" s="102" t="s">
        <v>25646</v>
      </c>
      <c r="H339" s="102" t="s">
        <v>28657</v>
      </c>
      <c r="I339" s="102" t="s">
        <v>25410</v>
      </c>
      <c r="J339" s="102" t="s">
        <v>25977</v>
      </c>
      <c r="K339" s="102" t="s">
        <v>25715</v>
      </c>
      <c r="L339" s="102" t="s">
        <v>25640</v>
      </c>
      <c r="M339" s="102" t="s">
        <v>12</v>
      </c>
      <c r="N339" s="102">
        <v>573.30000000000007</v>
      </c>
      <c r="R339" t="str">
        <f t="shared" si="37"/>
        <v>31-084-87-00</v>
      </c>
      <c r="S339" s="129" t="s">
        <v>25308</v>
      </c>
      <c r="T339" s="112">
        <v>3</v>
      </c>
    </row>
    <row r="340" spans="1:20" x14ac:dyDescent="0.2">
      <c r="A340" s="102" t="s">
        <v>10284</v>
      </c>
      <c r="B340" s="102" t="s">
        <v>25598</v>
      </c>
      <c r="C340" s="102" t="s">
        <v>8</v>
      </c>
      <c r="D340" s="102" t="s">
        <v>25583</v>
      </c>
      <c r="E340" s="102" t="s">
        <v>25646</v>
      </c>
      <c r="F340" s="102" t="s">
        <v>26687</v>
      </c>
      <c r="G340" s="102" t="s">
        <v>25646</v>
      </c>
      <c r="H340" s="102" t="s">
        <v>28647</v>
      </c>
      <c r="I340" s="102" t="s">
        <v>100</v>
      </c>
      <c r="J340" s="102" t="s">
        <v>25977</v>
      </c>
      <c r="K340" s="102" t="s">
        <v>25715</v>
      </c>
      <c r="L340" s="102" t="s">
        <v>25640</v>
      </c>
      <c r="M340" s="102" t="s">
        <v>12</v>
      </c>
      <c r="N340" s="102">
        <v>573.30000000000007</v>
      </c>
      <c r="R340" t="str">
        <f t="shared" ref="R340:R341" si="38">A340&amp;"-"&amp;S340</f>
        <v>31-084-17-00</v>
      </c>
      <c r="S340" s="129" t="s">
        <v>25308</v>
      </c>
      <c r="T340" s="112">
        <v>12</v>
      </c>
    </row>
    <row r="341" spans="1:20" x14ac:dyDescent="0.2">
      <c r="A341" s="102" t="s">
        <v>10838</v>
      </c>
      <c r="B341" s="102" t="s">
        <v>25606</v>
      </c>
      <c r="C341" s="102" t="s">
        <v>8</v>
      </c>
      <c r="D341" s="102" t="s">
        <v>21</v>
      </c>
      <c r="E341" s="102" t="s">
        <v>25646</v>
      </c>
      <c r="F341" s="102" t="s">
        <v>26687</v>
      </c>
      <c r="G341" s="102" t="s">
        <v>25646</v>
      </c>
      <c r="H341" s="102" t="s">
        <v>28648</v>
      </c>
      <c r="I341" s="102" t="s">
        <v>1</v>
      </c>
      <c r="J341" s="102" t="s">
        <v>26473</v>
      </c>
      <c r="K341" s="102" t="s">
        <v>25715</v>
      </c>
      <c r="L341" s="102" t="s">
        <v>25640</v>
      </c>
      <c r="M341" s="102" t="s">
        <v>12</v>
      </c>
      <c r="N341" s="102">
        <v>787.41000000000008</v>
      </c>
      <c r="R341" t="str">
        <f t="shared" si="38"/>
        <v>31-206-09-00</v>
      </c>
      <c r="S341" s="129" t="s">
        <v>25308</v>
      </c>
      <c r="T341" s="112">
        <v>8</v>
      </c>
    </row>
    <row r="342" spans="1:20" x14ac:dyDescent="0.2">
      <c r="A342" s="102" t="s">
        <v>10840</v>
      </c>
      <c r="B342" s="102" t="s">
        <v>25606</v>
      </c>
      <c r="C342" s="102" t="s">
        <v>8</v>
      </c>
      <c r="D342" s="102" t="s">
        <v>21</v>
      </c>
      <c r="E342" s="102" t="s">
        <v>25646</v>
      </c>
      <c r="F342" s="102" t="s">
        <v>26687</v>
      </c>
      <c r="G342" s="102" t="s">
        <v>25646</v>
      </c>
      <c r="H342" s="102" t="s">
        <v>28658</v>
      </c>
      <c r="I342" s="102" t="s">
        <v>22</v>
      </c>
      <c r="J342" s="102" t="s">
        <v>26473</v>
      </c>
      <c r="K342" s="102" t="s">
        <v>25715</v>
      </c>
      <c r="L342" s="102" t="s">
        <v>25640</v>
      </c>
      <c r="M342" s="102" t="s">
        <v>12</v>
      </c>
      <c r="N342" s="102">
        <v>787.41000000000008</v>
      </c>
      <c r="R342" t="str">
        <f t="shared" ref="R342:R344" si="39">A342&amp;"-"&amp;S342</f>
        <v>31-206-14-00</v>
      </c>
      <c r="S342" s="129" t="s">
        <v>25308</v>
      </c>
      <c r="T342" s="112">
        <v>8</v>
      </c>
    </row>
    <row r="343" spans="1:20" x14ac:dyDescent="0.2">
      <c r="A343" s="102" t="s">
        <v>10836</v>
      </c>
      <c r="B343" s="102" t="s">
        <v>25606</v>
      </c>
      <c r="C343" s="102" t="s">
        <v>8</v>
      </c>
      <c r="D343" s="102" t="s">
        <v>21</v>
      </c>
      <c r="E343" s="102" t="s">
        <v>25646</v>
      </c>
      <c r="F343" s="102" t="s">
        <v>26687</v>
      </c>
      <c r="G343" s="102" t="s">
        <v>25646</v>
      </c>
      <c r="H343" s="102" t="s">
        <v>28642</v>
      </c>
      <c r="I343" s="102" t="s">
        <v>52</v>
      </c>
      <c r="J343" s="102" t="s">
        <v>26473</v>
      </c>
      <c r="K343" s="102" t="s">
        <v>25715</v>
      </c>
      <c r="L343" s="102" t="s">
        <v>25640</v>
      </c>
      <c r="M343" s="102" t="s">
        <v>12</v>
      </c>
      <c r="N343" s="102">
        <v>787.41000000000008</v>
      </c>
      <c r="R343" t="str">
        <f t="shared" si="39"/>
        <v>31-206-02-00</v>
      </c>
      <c r="S343" s="129" t="s">
        <v>25308</v>
      </c>
      <c r="T343" s="112">
        <v>8</v>
      </c>
    </row>
    <row r="344" spans="1:20" x14ac:dyDescent="0.2">
      <c r="A344" s="102" t="s">
        <v>28540</v>
      </c>
      <c r="B344" s="102" t="s">
        <v>28474</v>
      </c>
      <c r="C344" s="102" t="s">
        <v>8</v>
      </c>
      <c r="D344" s="102" t="s">
        <v>25583</v>
      </c>
      <c r="E344" s="102" t="s">
        <v>25646</v>
      </c>
      <c r="F344" s="102" t="s">
        <v>26687</v>
      </c>
      <c r="G344" s="102" t="s">
        <v>25646</v>
      </c>
      <c r="H344" s="102" t="s">
        <v>28655</v>
      </c>
      <c r="I344" s="102" t="s">
        <v>28</v>
      </c>
      <c r="J344" s="102" t="s">
        <v>25977</v>
      </c>
      <c r="K344" s="102" t="s">
        <v>25715</v>
      </c>
      <c r="L344" s="102" t="s">
        <v>25640</v>
      </c>
      <c r="M344" s="102" t="s">
        <v>12</v>
      </c>
      <c r="N344" s="102">
        <v>629.46</v>
      </c>
      <c r="R344" t="str">
        <f t="shared" si="39"/>
        <v>31-237-08-00</v>
      </c>
      <c r="S344" s="129" t="s">
        <v>25308</v>
      </c>
      <c r="T344" s="112">
        <v>5</v>
      </c>
    </row>
    <row r="345" spans="1:20" x14ac:dyDescent="0.2">
      <c r="A345" s="102" t="s">
        <v>10958</v>
      </c>
      <c r="B345" s="102" t="s">
        <v>28474</v>
      </c>
      <c r="C345" s="102" t="s">
        <v>8</v>
      </c>
      <c r="D345" s="102" t="s">
        <v>25583</v>
      </c>
      <c r="E345" s="102" t="s">
        <v>25646</v>
      </c>
      <c r="F345" s="102" t="s">
        <v>26687</v>
      </c>
      <c r="G345" s="102" t="s">
        <v>25646</v>
      </c>
      <c r="H345" s="102" t="s">
        <v>28659</v>
      </c>
      <c r="I345" s="102" t="s">
        <v>28403</v>
      </c>
      <c r="J345" s="102" t="s">
        <v>25919</v>
      </c>
      <c r="K345" s="102" t="s">
        <v>25715</v>
      </c>
      <c r="L345" s="102" t="s">
        <v>25640</v>
      </c>
      <c r="M345" s="102" t="s">
        <v>12</v>
      </c>
      <c r="N345" s="102">
        <v>629.46</v>
      </c>
      <c r="R345" t="str">
        <f t="shared" ref="R345:R347" si="40">A345&amp;"-"&amp;S345</f>
        <v>31-237-20-00</v>
      </c>
      <c r="S345" s="129" t="s">
        <v>25308</v>
      </c>
      <c r="T345" s="112">
        <v>5</v>
      </c>
    </row>
    <row r="346" spans="1:20" x14ac:dyDescent="0.2">
      <c r="A346" s="102" t="s">
        <v>10954</v>
      </c>
      <c r="B346" s="102" t="s">
        <v>28474</v>
      </c>
      <c r="C346" s="102" t="s">
        <v>8</v>
      </c>
      <c r="D346" s="102" t="s">
        <v>25583</v>
      </c>
      <c r="E346" s="102" t="s">
        <v>25646</v>
      </c>
      <c r="F346" s="102" t="s">
        <v>26687</v>
      </c>
      <c r="G346" s="102" t="s">
        <v>25646</v>
      </c>
      <c r="H346" s="102" t="s">
        <v>28647</v>
      </c>
      <c r="I346" s="102" t="s">
        <v>100</v>
      </c>
      <c r="J346" s="102" t="s">
        <v>25919</v>
      </c>
      <c r="K346" s="102" t="s">
        <v>25715</v>
      </c>
      <c r="L346" s="102" t="s">
        <v>25640</v>
      </c>
      <c r="M346" s="102" t="s">
        <v>12</v>
      </c>
      <c r="N346" s="102">
        <v>629.46</v>
      </c>
      <c r="R346" t="str">
        <f t="shared" si="40"/>
        <v>31-237-17-00</v>
      </c>
      <c r="S346" s="129" t="s">
        <v>25308</v>
      </c>
      <c r="T346" s="112">
        <v>4</v>
      </c>
    </row>
    <row r="347" spans="1:20" x14ac:dyDescent="0.2">
      <c r="A347" s="102" t="s">
        <v>10972</v>
      </c>
      <c r="B347" s="102" t="s">
        <v>28475</v>
      </c>
      <c r="C347" s="102" t="s">
        <v>8</v>
      </c>
      <c r="D347" s="102" t="s">
        <v>25585</v>
      </c>
      <c r="E347" s="102" t="s">
        <v>25646</v>
      </c>
      <c r="F347" s="102" t="s">
        <v>26687</v>
      </c>
      <c r="G347" s="102" t="s">
        <v>25646</v>
      </c>
      <c r="H347" s="102" t="s">
        <v>28660</v>
      </c>
      <c r="I347" s="102" t="s">
        <v>25427</v>
      </c>
      <c r="J347" s="102" t="s">
        <v>25919</v>
      </c>
      <c r="K347" s="102" t="s">
        <v>25715</v>
      </c>
      <c r="L347" s="102" t="s">
        <v>25640</v>
      </c>
      <c r="M347" s="102" t="s">
        <v>12</v>
      </c>
      <c r="N347" s="102">
        <v>787.41000000000008</v>
      </c>
      <c r="R347" t="str">
        <f t="shared" si="40"/>
        <v>31-238-91-00</v>
      </c>
      <c r="S347" s="129" t="s">
        <v>25308</v>
      </c>
      <c r="T347" s="112">
        <v>3</v>
      </c>
    </row>
    <row r="348" spans="1:20" x14ac:dyDescent="0.2">
      <c r="A348" s="102" t="s">
        <v>10966</v>
      </c>
      <c r="B348" s="102" t="s">
        <v>28475</v>
      </c>
      <c r="C348" s="102" t="s">
        <v>8</v>
      </c>
      <c r="D348" s="102" t="s">
        <v>25585</v>
      </c>
      <c r="E348" s="102" t="s">
        <v>25646</v>
      </c>
      <c r="F348" s="102" t="s">
        <v>26687</v>
      </c>
      <c r="G348" s="102" t="s">
        <v>25646</v>
      </c>
      <c r="H348" s="102" t="s">
        <v>28642</v>
      </c>
      <c r="I348" s="102" t="s">
        <v>52</v>
      </c>
      <c r="J348" s="102" t="s">
        <v>25919</v>
      </c>
      <c r="K348" s="102" t="s">
        <v>25715</v>
      </c>
      <c r="L348" s="102" t="s">
        <v>25640</v>
      </c>
      <c r="M348" s="102" t="s">
        <v>12</v>
      </c>
      <c r="N348" s="102">
        <v>787.41000000000008</v>
      </c>
      <c r="R348" t="str">
        <f t="shared" ref="R348:R349" si="41">A348&amp;"-"&amp;S348</f>
        <v>31-238-02-00</v>
      </c>
      <c r="S348" s="129" t="s">
        <v>25308</v>
      </c>
      <c r="T348" s="112">
        <v>3</v>
      </c>
    </row>
    <row r="349" spans="1:20" x14ac:dyDescent="0.2">
      <c r="A349" s="102" t="s">
        <v>10984</v>
      </c>
      <c r="B349" s="102" t="s">
        <v>28476</v>
      </c>
      <c r="C349" s="102" t="s">
        <v>8</v>
      </c>
      <c r="D349" s="102" t="s">
        <v>25582</v>
      </c>
      <c r="E349" s="102" t="s">
        <v>25646</v>
      </c>
      <c r="F349" s="102" t="s">
        <v>26687</v>
      </c>
      <c r="G349" s="102" t="s">
        <v>25646</v>
      </c>
      <c r="H349" s="102" t="s">
        <v>28648</v>
      </c>
      <c r="I349" s="102" t="s">
        <v>1</v>
      </c>
      <c r="J349" s="102" t="s">
        <v>25775</v>
      </c>
      <c r="K349" s="102" t="s">
        <v>25720</v>
      </c>
      <c r="L349" s="102" t="s">
        <v>25640</v>
      </c>
      <c r="M349" s="102" t="s">
        <v>12</v>
      </c>
      <c r="N349" s="102">
        <v>606.05999999999995</v>
      </c>
      <c r="R349" t="str">
        <f t="shared" si="41"/>
        <v>31-243-09-00</v>
      </c>
      <c r="S349" s="129" t="s">
        <v>25308</v>
      </c>
      <c r="T349" s="112">
        <v>2</v>
      </c>
    </row>
    <row r="350" spans="1:20" x14ac:dyDescent="0.2">
      <c r="A350" s="102" t="s">
        <v>11070</v>
      </c>
      <c r="B350" s="102" t="s">
        <v>28477</v>
      </c>
      <c r="C350" s="102" t="s">
        <v>8</v>
      </c>
      <c r="D350" s="102" t="s">
        <v>25585</v>
      </c>
      <c r="E350" s="102" t="s">
        <v>25646</v>
      </c>
      <c r="F350" s="102" t="s">
        <v>26687</v>
      </c>
      <c r="G350" s="102" t="s">
        <v>25646</v>
      </c>
      <c r="H350" s="102" t="s">
        <v>28661</v>
      </c>
      <c r="I350" s="102" t="s">
        <v>22</v>
      </c>
      <c r="J350" s="102" t="s">
        <v>28662</v>
      </c>
      <c r="K350" s="102" t="s">
        <v>25715</v>
      </c>
      <c r="L350" s="102" t="s">
        <v>25640</v>
      </c>
      <c r="M350" s="102" t="s">
        <v>12</v>
      </c>
      <c r="N350" s="102">
        <v>699.66000000000008</v>
      </c>
      <c r="R350" t="str">
        <f t="shared" ref="R350:R352" si="42">A350&amp;"-"&amp;S350</f>
        <v>31-270-14-00</v>
      </c>
      <c r="S350" s="129" t="s">
        <v>25308</v>
      </c>
      <c r="T350" s="112">
        <v>5</v>
      </c>
    </row>
    <row r="351" spans="1:20" x14ac:dyDescent="0.2">
      <c r="A351" s="102" t="s">
        <v>11110</v>
      </c>
      <c r="B351" s="102" t="s">
        <v>28478</v>
      </c>
      <c r="C351" s="102" t="s">
        <v>8</v>
      </c>
      <c r="D351" s="102" t="s">
        <v>25585</v>
      </c>
      <c r="E351" s="102" t="s">
        <v>25646</v>
      </c>
      <c r="F351" s="102" t="s">
        <v>26687</v>
      </c>
      <c r="G351" s="102" t="s">
        <v>25646</v>
      </c>
      <c r="H351" s="102" t="s">
        <v>28648</v>
      </c>
      <c r="I351" s="102" t="s">
        <v>1</v>
      </c>
      <c r="J351" s="102" t="s">
        <v>59</v>
      </c>
      <c r="L351" s="102" t="s">
        <v>25640</v>
      </c>
      <c r="M351" s="102" t="s">
        <v>12</v>
      </c>
      <c r="N351" s="102">
        <v>760.50000000000011</v>
      </c>
      <c r="R351" t="str">
        <f t="shared" si="42"/>
        <v>31-289-09-00</v>
      </c>
      <c r="S351" s="129" t="s">
        <v>25308</v>
      </c>
      <c r="T351" s="112">
        <v>3</v>
      </c>
    </row>
    <row r="352" spans="1:20" x14ac:dyDescent="0.2">
      <c r="A352" s="102" t="s">
        <v>28541</v>
      </c>
      <c r="B352" s="102" t="s">
        <v>28479</v>
      </c>
      <c r="C352" s="102" t="s">
        <v>8</v>
      </c>
      <c r="D352" s="102" t="s">
        <v>25585</v>
      </c>
      <c r="E352" s="102" t="s">
        <v>25646</v>
      </c>
      <c r="F352" s="102" t="s">
        <v>26687</v>
      </c>
      <c r="G352" s="102" t="s">
        <v>25646</v>
      </c>
      <c r="H352" s="102" t="s">
        <v>28663</v>
      </c>
      <c r="I352" s="102" t="s">
        <v>1</v>
      </c>
      <c r="J352" s="102" t="s">
        <v>28664</v>
      </c>
      <c r="K352" s="102" t="s">
        <v>25715</v>
      </c>
      <c r="L352" s="102" t="s">
        <v>25640</v>
      </c>
      <c r="M352" s="102" t="s">
        <v>12</v>
      </c>
      <c r="N352" s="102">
        <v>760.50000000000011</v>
      </c>
      <c r="R352" t="str">
        <f t="shared" si="42"/>
        <v>31-295-09-00</v>
      </c>
      <c r="S352" s="129" t="s">
        <v>25308</v>
      </c>
      <c r="T352" s="112">
        <v>3</v>
      </c>
    </row>
    <row r="353" spans="1:20" x14ac:dyDescent="0.2">
      <c r="A353" s="102" t="s">
        <v>10078</v>
      </c>
      <c r="B353" s="102" t="s">
        <v>28480</v>
      </c>
      <c r="C353" s="102" t="s">
        <v>31</v>
      </c>
      <c r="D353" s="102" t="s">
        <v>25558</v>
      </c>
      <c r="E353" s="102" t="s">
        <v>25646</v>
      </c>
      <c r="F353" s="102" t="s">
        <v>91</v>
      </c>
      <c r="G353" s="102" t="s">
        <v>25646</v>
      </c>
      <c r="H353" s="102" t="s">
        <v>28648</v>
      </c>
      <c r="I353" s="102" t="s">
        <v>1</v>
      </c>
      <c r="J353" s="102" t="s">
        <v>11</v>
      </c>
      <c r="K353" s="102" t="s">
        <v>25722</v>
      </c>
      <c r="L353" s="102" t="s">
        <v>25640</v>
      </c>
      <c r="M353" s="102" t="s">
        <v>12</v>
      </c>
      <c r="N353" s="102">
        <v>594.36</v>
      </c>
      <c r="R353" t="str">
        <f t="shared" ref="R353:R355" si="43">A353&amp;"-"&amp;S353</f>
        <v>31-053-09-00</v>
      </c>
      <c r="S353" s="129" t="s">
        <v>25308</v>
      </c>
      <c r="T353" s="112">
        <v>10</v>
      </c>
    </row>
    <row r="354" spans="1:20" x14ac:dyDescent="0.2">
      <c r="A354" s="102" t="s">
        <v>10090</v>
      </c>
      <c r="B354" s="102" t="s">
        <v>28480</v>
      </c>
      <c r="C354" s="102" t="s">
        <v>31</v>
      </c>
      <c r="D354" s="102" t="s">
        <v>25558</v>
      </c>
      <c r="E354" s="102" t="s">
        <v>25646</v>
      </c>
      <c r="F354" s="102" t="s">
        <v>26687</v>
      </c>
      <c r="G354" s="102" t="s">
        <v>25646</v>
      </c>
      <c r="H354" s="102" t="s">
        <v>28665</v>
      </c>
      <c r="I354" s="102" t="s">
        <v>171</v>
      </c>
      <c r="J354" s="102" t="s">
        <v>11</v>
      </c>
      <c r="K354" s="102" t="s">
        <v>25722</v>
      </c>
      <c r="L354" s="102" t="s">
        <v>25640</v>
      </c>
      <c r="M354" s="102" t="s">
        <v>12</v>
      </c>
      <c r="N354" s="102">
        <v>594.36</v>
      </c>
      <c r="R354" t="str">
        <f t="shared" si="43"/>
        <v>31-053-48-00</v>
      </c>
      <c r="S354" s="129" t="s">
        <v>25308</v>
      </c>
      <c r="T354" s="112">
        <v>10</v>
      </c>
    </row>
    <row r="355" spans="1:20" x14ac:dyDescent="0.2">
      <c r="A355" s="102" t="s">
        <v>8458</v>
      </c>
      <c r="B355" s="102" t="s">
        <v>25607</v>
      </c>
      <c r="C355" s="102" t="s">
        <v>8</v>
      </c>
      <c r="D355" s="102" t="s">
        <v>21</v>
      </c>
      <c r="E355" s="102" t="s">
        <v>25711</v>
      </c>
      <c r="F355" s="102" t="s">
        <v>91</v>
      </c>
      <c r="G355" s="102" t="s">
        <v>25725</v>
      </c>
      <c r="H355" s="102" t="s">
        <v>28666</v>
      </c>
      <c r="I355" s="102" t="s">
        <v>28</v>
      </c>
      <c r="J355" s="102" t="s">
        <v>0</v>
      </c>
      <c r="K355" s="102" t="s">
        <v>25721</v>
      </c>
      <c r="L355" s="102" t="s">
        <v>25642</v>
      </c>
      <c r="M355" s="102" t="s">
        <v>26700</v>
      </c>
      <c r="N355" s="102">
        <v>702.00000000000011</v>
      </c>
      <c r="R355" t="str">
        <f t="shared" si="43"/>
        <v>21-432-08-57</v>
      </c>
      <c r="S355" s="129" t="s">
        <v>28390</v>
      </c>
      <c r="T355" s="112">
        <v>1</v>
      </c>
    </row>
    <row r="356" spans="1:20" x14ac:dyDescent="0.2">
      <c r="A356" s="102" t="s">
        <v>28542</v>
      </c>
      <c r="B356" s="102" t="s">
        <v>28481</v>
      </c>
      <c r="C356" s="102" t="s">
        <v>8</v>
      </c>
      <c r="D356" s="102" t="s">
        <v>21</v>
      </c>
      <c r="E356" s="102" t="s">
        <v>25711</v>
      </c>
      <c r="F356" s="102" t="s">
        <v>91</v>
      </c>
      <c r="G356" s="102" t="s">
        <v>25725</v>
      </c>
      <c r="H356" s="102" t="s">
        <v>28667</v>
      </c>
      <c r="I356" s="102" t="s">
        <v>22</v>
      </c>
      <c r="J356" s="102" t="s">
        <v>0</v>
      </c>
      <c r="K356" s="102" t="s">
        <v>25721</v>
      </c>
      <c r="L356" s="102" t="s">
        <v>25642</v>
      </c>
      <c r="M356" s="102" t="s">
        <v>26700</v>
      </c>
      <c r="N356" s="102">
        <v>702.00000000000011</v>
      </c>
      <c r="R356" t="str">
        <f t="shared" ref="R356:R357" si="44">A356&amp;"-"&amp;S356</f>
        <v>21-782-14-59</v>
      </c>
      <c r="S356" s="129" t="s">
        <v>28386</v>
      </c>
      <c r="T356" s="112">
        <v>1</v>
      </c>
    </row>
    <row r="357" spans="1:20" x14ac:dyDescent="0.2">
      <c r="A357" s="102" t="s">
        <v>28543</v>
      </c>
      <c r="B357" s="102" t="s">
        <v>28482</v>
      </c>
      <c r="C357" s="102" t="s">
        <v>31</v>
      </c>
      <c r="D357" s="102" t="s">
        <v>28585</v>
      </c>
      <c r="E357" s="102" t="s">
        <v>25711</v>
      </c>
      <c r="F357" s="102" t="s">
        <v>91</v>
      </c>
      <c r="G357" s="102" t="s">
        <v>25725</v>
      </c>
      <c r="H357" s="102" t="s">
        <v>28447</v>
      </c>
      <c r="I357" s="102" t="s">
        <v>1</v>
      </c>
      <c r="J357" s="102" t="s">
        <v>28668</v>
      </c>
      <c r="K357" s="102" t="s">
        <v>25718</v>
      </c>
      <c r="L357" s="102" t="s">
        <v>25642</v>
      </c>
      <c r="M357" s="102" t="s">
        <v>12</v>
      </c>
      <c r="N357" s="102">
        <v>702.00000000000011</v>
      </c>
      <c r="R357" t="str">
        <f t="shared" si="44"/>
        <v>21-783-09-59</v>
      </c>
      <c r="S357" s="129" t="s">
        <v>28386</v>
      </c>
      <c r="T357" s="112">
        <v>1</v>
      </c>
    </row>
    <row r="358" spans="1:20" x14ac:dyDescent="0.2">
      <c r="A358" s="102" t="s">
        <v>28544</v>
      </c>
      <c r="B358" s="102" t="s">
        <v>28483</v>
      </c>
      <c r="C358" s="102" t="s">
        <v>31</v>
      </c>
      <c r="D358" s="102" t="s">
        <v>28585</v>
      </c>
      <c r="E358" s="102" t="s">
        <v>25711</v>
      </c>
      <c r="F358" s="102" t="s">
        <v>91</v>
      </c>
      <c r="G358" s="102" t="s">
        <v>25725</v>
      </c>
      <c r="H358" s="102" t="s">
        <v>28669</v>
      </c>
      <c r="I358" s="102" t="s">
        <v>27</v>
      </c>
      <c r="J358" s="102" t="s">
        <v>28670</v>
      </c>
      <c r="L358" s="102" t="s">
        <v>25642</v>
      </c>
      <c r="M358" s="102" t="s">
        <v>12</v>
      </c>
      <c r="N358" s="102">
        <v>702.00000000000011</v>
      </c>
      <c r="R358" t="str">
        <f t="shared" ref="R358:R360" si="45">A358&amp;"-"&amp;S358</f>
        <v>21-784-06-59</v>
      </c>
      <c r="S358" s="129" t="s">
        <v>28386</v>
      </c>
      <c r="T358" s="112">
        <v>1</v>
      </c>
    </row>
    <row r="359" spans="1:20" x14ac:dyDescent="0.2">
      <c r="A359" s="102" t="s">
        <v>28545</v>
      </c>
      <c r="B359" s="102" t="s">
        <v>28484</v>
      </c>
      <c r="C359" s="102" t="s">
        <v>31</v>
      </c>
      <c r="D359" s="102" t="s">
        <v>28586</v>
      </c>
      <c r="E359" s="102" t="s">
        <v>25711</v>
      </c>
      <c r="F359" s="102" t="s">
        <v>91</v>
      </c>
      <c r="G359" s="102" t="s">
        <v>25725</v>
      </c>
      <c r="H359" s="102" t="s">
        <v>28666</v>
      </c>
      <c r="I359" s="102" t="s">
        <v>28</v>
      </c>
      <c r="J359" s="102" t="s">
        <v>28671</v>
      </c>
      <c r="K359" s="102" t="s">
        <v>264</v>
      </c>
      <c r="L359" s="102" t="s">
        <v>25642</v>
      </c>
      <c r="M359" s="102" t="s">
        <v>12</v>
      </c>
      <c r="N359" s="102">
        <v>702.00000000000011</v>
      </c>
      <c r="R359" t="str">
        <f t="shared" si="45"/>
        <v>21-785-08-59</v>
      </c>
      <c r="S359" s="129" t="s">
        <v>28386</v>
      </c>
      <c r="T359" s="112">
        <v>1</v>
      </c>
    </row>
    <row r="360" spans="1:20" x14ac:dyDescent="0.2">
      <c r="A360" s="102" t="s">
        <v>28546</v>
      </c>
      <c r="B360" s="102" t="s">
        <v>28485</v>
      </c>
      <c r="C360" s="102" t="s">
        <v>31</v>
      </c>
      <c r="D360" s="102" t="s">
        <v>39</v>
      </c>
      <c r="E360" s="102" t="s">
        <v>25711</v>
      </c>
      <c r="F360" s="102" t="s">
        <v>91</v>
      </c>
      <c r="G360" s="102" t="s">
        <v>25725</v>
      </c>
      <c r="H360" s="102" t="s">
        <v>28672</v>
      </c>
      <c r="I360" s="102" t="s">
        <v>25379</v>
      </c>
      <c r="J360" s="102" t="s">
        <v>28670</v>
      </c>
      <c r="L360" s="102" t="s">
        <v>25642</v>
      </c>
      <c r="M360" s="102" t="s">
        <v>12</v>
      </c>
      <c r="N360" s="102">
        <v>702.00000000000011</v>
      </c>
      <c r="R360" t="str">
        <f t="shared" si="45"/>
        <v>21-786-14-59</v>
      </c>
      <c r="S360" s="129" t="s">
        <v>28386</v>
      </c>
      <c r="T360" s="112">
        <v>1</v>
      </c>
    </row>
    <row r="361" spans="1:20" x14ac:dyDescent="0.2">
      <c r="A361" s="102" t="s">
        <v>28547</v>
      </c>
      <c r="B361" s="102" t="s">
        <v>28486</v>
      </c>
      <c r="C361" s="102" t="s">
        <v>31</v>
      </c>
      <c r="D361" s="102" t="s">
        <v>25559</v>
      </c>
      <c r="E361" s="102" t="s">
        <v>25711</v>
      </c>
      <c r="F361" s="102" t="s">
        <v>91</v>
      </c>
      <c r="G361" s="102" t="s">
        <v>25725</v>
      </c>
      <c r="H361" s="102" t="s">
        <v>28673</v>
      </c>
      <c r="I361" s="102" t="s">
        <v>54</v>
      </c>
      <c r="J361" s="102" t="s">
        <v>28674</v>
      </c>
      <c r="K361" s="102" t="s">
        <v>264</v>
      </c>
      <c r="L361" s="102" t="s">
        <v>25642</v>
      </c>
      <c r="M361" s="102" t="s">
        <v>12</v>
      </c>
      <c r="N361" s="102">
        <v>702.00000000000011</v>
      </c>
      <c r="R361" t="str">
        <f t="shared" ref="R361:R363" si="46">A361&amp;"-"&amp;S361</f>
        <v>21-787-11-59</v>
      </c>
      <c r="S361" s="129" t="s">
        <v>28386</v>
      </c>
      <c r="T361" s="112">
        <v>1</v>
      </c>
    </row>
    <row r="362" spans="1:20" x14ac:dyDescent="0.2">
      <c r="A362" s="102" t="s">
        <v>28548</v>
      </c>
      <c r="B362" s="102" t="s">
        <v>28487</v>
      </c>
      <c r="C362" s="102" t="s">
        <v>31</v>
      </c>
      <c r="D362" s="102" t="s">
        <v>25559</v>
      </c>
      <c r="E362" s="102" t="s">
        <v>25711</v>
      </c>
      <c r="F362" s="102" t="s">
        <v>91</v>
      </c>
      <c r="G362" s="102" t="s">
        <v>25725</v>
      </c>
      <c r="H362" s="102" t="s">
        <v>28675</v>
      </c>
      <c r="I362" s="102" t="s">
        <v>28</v>
      </c>
      <c r="J362" s="102" t="s">
        <v>28671</v>
      </c>
      <c r="K362" s="102" t="s">
        <v>264</v>
      </c>
      <c r="L362" s="102" t="s">
        <v>25642</v>
      </c>
      <c r="M362" s="102" t="s">
        <v>12</v>
      </c>
      <c r="N362" s="102">
        <v>702.00000000000011</v>
      </c>
      <c r="R362" t="str">
        <f t="shared" si="46"/>
        <v>21-788-08-59</v>
      </c>
      <c r="S362" s="129" t="s">
        <v>28386</v>
      </c>
      <c r="T362" s="112">
        <v>1</v>
      </c>
    </row>
    <row r="363" spans="1:20" x14ac:dyDescent="0.2">
      <c r="A363" s="102" t="s">
        <v>28549</v>
      </c>
      <c r="B363" s="102" t="s">
        <v>28488</v>
      </c>
      <c r="C363" s="102" t="s">
        <v>31</v>
      </c>
      <c r="D363" s="102" t="s">
        <v>25559</v>
      </c>
      <c r="E363" s="102" t="s">
        <v>25711</v>
      </c>
      <c r="F363" s="102" t="s">
        <v>91</v>
      </c>
      <c r="G363" s="102" t="s">
        <v>25725</v>
      </c>
      <c r="H363" s="102" t="s">
        <v>28676</v>
      </c>
      <c r="I363" s="102" t="s">
        <v>23</v>
      </c>
      <c r="J363" s="102" t="s">
        <v>28677</v>
      </c>
      <c r="K363" s="102" t="s">
        <v>264</v>
      </c>
      <c r="L363" s="102" t="s">
        <v>25642</v>
      </c>
      <c r="M363" s="102" t="s">
        <v>12</v>
      </c>
      <c r="N363" s="102">
        <v>702.00000000000011</v>
      </c>
      <c r="R363" t="str">
        <f t="shared" si="46"/>
        <v>21-789-16-59</v>
      </c>
      <c r="S363" s="129" t="s">
        <v>28386</v>
      </c>
      <c r="T363" s="112">
        <v>1</v>
      </c>
    </row>
    <row r="364" spans="1:20" x14ac:dyDescent="0.2">
      <c r="A364" s="102" t="s">
        <v>28550</v>
      </c>
      <c r="B364" s="102" t="s">
        <v>28489</v>
      </c>
      <c r="C364" s="102" t="s">
        <v>31</v>
      </c>
      <c r="D364" s="102" t="s">
        <v>28585</v>
      </c>
      <c r="E364" s="102" t="s">
        <v>25711</v>
      </c>
      <c r="F364" s="102" t="s">
        <v>91</v>
      </c>
      <c r="G364" s="102" t="s">
        <v>25725</v>
      </c>
      <c r="H364" s="102" t="s">
        <v>28678</v>
      </c>
      <c r="I364" s="102" t="s">
        <v>54</v>
      </c>
      <c r="J364" s="102" t="s">
        <v>28679</v>
      </c>
      <c r="K364" s="102" t="s">
        <v>25721</v>
      </c>
      <c r="L364" s="102" t="s">
        <v>25642</v>
      </c>
      <c r="M364" s="102" t="s">
        <v>12</v>
      </c>
      <c r="N364" s="102">
        <v>702.00000000000011</v>
      </c>
      <c r="R364" t="str">
        <f t="shared" ref="R364:R365" si="47">A364&amp;"-"&amp;S364</f>
        <v>21-790-11-59</v>
      </c>
      <c r="S364" s="129" t="s">
        <v>28386</v>
      </c>
      <c r="T364" s="112">
        <v>1</v>
      </c>
    </row>
    <row r="365" spans="1:20" x14ac:dyDescent="0.2">
      <c r="A365" s="102" t="s">
        <v>28551</v>
      </c>
      <c r="B365" s="102" t="s">
        <v>28490</v>
      </c>
      <c r="C365" s="102" t="s">
        <v>31</v>
      </c>
      <c r="D365" s="102" t="s">
        <v>28587</v>
      </c>
      <c r="E365" s="102" t="s">
        <v>25711</v>
      </c>
      <c r="F365" s="102" t="s">
        <v>91</v>
      </c>
      <c r="G365" s="102" t="s">
        <v>25725</v>
      </c>
      <c r="H365" s="102" t="s">
        <v>28680</v>
      </c>
      <c r="I365" s="102" t="s">
        <v>28</v>
      </c>
      <c r="J365" s="102" t="s">
        <v>28681</v>
      </c>
      <c r="K365" s="102" t="s">
        <v>264</v>
      </c>
      <c r="L365" s="102" t="s">
        <v>25642</v>
      </c>
      <c r="M365" s="102" t="s">
        <v>12</v>
      </c>
      <c r="N365" s="102">
        <v>702.00000000000011</v>
      </c>
      <c r="R365" t="str">
        <f t="shared" si="47"/>
        <v>21-791-08-59</v>
      </c>
      <c r="S365" s="129" t="s">
        <v>28386</v>
      </c>
      <c r="T365" s="112">
        <v>1</v>
      </c>
    </row>
    <row r="366" spans="1:20" x14ac:dyDescent="0.2">
      <c r="A366" s="102" t="s">
        <v>28552</v>
      </c>
      <c r="B366" s="102" t="s">
        <v>28491</v>
      </c>
      <c r="C366" s="102" t="s">
        <v>31</v>
      </c>
      <c r="D366" s="102" t="s">
        <v>28587</v>
      </c>
      <c r="E366" s="102" t="s">
        <v>25711</v>
      </c>
      <c r="F366" s="102" t="s">
        <v>91</v>
      </c>
      <c r="G366" s="102" t="s">
        <v>25725</v>
      </c>
      <c r="H366" s="102" t="s">
        <v>28682</v>
      </c>
      <c r="I366" s="102" t="s">
        <v>210</v>
      </c>
      <c r="J366" s="102" t="s">
        <v>28679</v>
      </c>
      <c r="K366" s="102" t="s">
        <v>264</v>
      </c>
      <c r="L366" s="102" t="s">
        <v>25642</v>
      </c>
      <c r="M366" s="102" t="s">
        <v>12</v>
      </c>
      <c r="N366" s="102">
        <v>702.00000000000011</v>
      </c>
      <c r="R366" t="str">
        <f t="shared" ref="R366:R368" si="48">A366&amp;"-"&amp;S366</f>
        <v>21-792-72-59</v>
      </c>
      <c r="S366" s="129" t="s">
        <v>28386</v>
      </c>
      <c r="T366" s="112">
        <v>1</v>
      </c>
    </row>
    <row r="367" spans="1:20" x14ac:dyDescent="0.2">
      <c r="A367" s="102" t="s">
        <v>28553</v>
      </c>
      <c r="B367" s="102" t="s">
        <v>28492</v>
      </c>
      <c r="C367" s="102" t="s">
        <v>8</v>
      </c>
      <c r="D367" s="102" t="s">
        <v>21</v>
      </c>
      <c r="E367" s="102" t="s">
        <v>25711</v>
      </c>
      <c r="F367" s="102" t="s">
        <v>91</v>
      </c>
      <c r="G367" s="102" t="s">
        <v>25725</v>
      </c>
      <c r="H367" s="102" t="s">
        <v>28447</v>
      </c>
      <c r="I367" s="102" t="s">
        <v>1</v>
      </c>
      <c r="J367" s="102" t="s">
        <v>0</v>
      </c>
      <c r="K367" s="102" t="s">
        <v>25721</v>
      </c>
      <c r="L367" s="102" t="s">
        <v>25642</v>
      </c>
      <c r="M367" s="102" t="s">
        <v>26700</v>
      </c>
      <c r="N367" s="102">
        <v>702.00000000000011</v>
      </c>
      <c r="R367" t="str">
        <f t="shared" si="48"/>
        <v>21-793-09-59</v>
      </c>
      <c r="S367" s="129" t="s">
        <v>28386</v>
      </c>
      <c r="T367" s="112">
        <v>1</v>
      </c>
    </row>
    <row r="368" spans="1:20" x14ac:dyDescent="0.2">
      <c r="A368" s="102" t="s">
        <v>28554</v>
      </c>
      <c r="B368" s="102" t="s">
        <v>28493</v>
      </c>
      <c r="C368" s="102" t="s">
        <v>8</v>
      </c>
      <c r="D368" s="102" t="s">
        <v>21</v>
      </c>
      <c r="E368" s="102" t="s">
        <v>25711</v>
      </c>
      <c r="F368" s="102" t="s">
        <v>91</v>
      </c>
      <c r="G368" s="102" t="s">
        <v>25725</v>
      </c>
      <c r="H368" s="102" t="s">
        <v>28667</v>
      </c>
      <c r="I368" s="102" t="s">
        <v>22</v>
      </c>
      <c r="J368" s="102" t="s">
        <v>28679</v>
      </c>
      <c r="K368" s="102" t="s">
        <v>25721</v>
      </c>
      <c r="L368" s="102" t="s">
        <v>25642</v>
      </c>
      <c r="M368" s="102" t="s">
        <v>26700</v>
      </c>
      <c r="N368" s="102">
        <v>702.00000000000011</v>
      </c>
      <c r="R368" t="str">
        <f t="shared" si="48"/>
        <v>21-582-14-59</v>
      </c>
      <c r="S368" s="129" t="s">
        <v>28386</v>
      </c>
      <c r="T368" s="112">
        <v>1</v>
      </c>
    </row>
    <row r="369" spans="1:20" x14ac:dyDescent="0.2">
      <c r="A369" s="102" t="s">
        <v>28555</v>
      </c>
      <c r="B369" s="102" t="s">
        <v>28494</v>
      </c>
      <c r="C369" s="102" t="s">
        <v>8</v>
      </c>
      <c r="D369" s="102" t="s">
        <v>21</v>
      </c>
      <c r="E369" s="102" t="s">
        <v>25711</v>
      </c>
      <c r="F369" s="102" t="s">
        <v>91</v>
      </c>
      <c r="G369" s="102" t="s">
        <v>25725</v>
      </c>
      <c r="H369" s="102" t="s">
        <v>28666</v>
      </c>
      <c r="I369" s="102" t="s">
        <v>28</v>
      </c>
      <c r="J369" s="102" t="s">
        <v>0</v>
      </c>
      <c r="K369" s="102" t="s">
        <v>25721</v>
      </c>
      <c r="L369" s="102" t="s">
        <v>25642</v>
      </c>
      <c r="M369" s="102" t="s">
        <v>26700</v>
      </c>
      <c r="N369" s="102">
        <v>702.00000000000011</v>
      </c>
      <c r="R369" t="str">
        <f t="shared" ref="R369:R371" si="49">A369&amp;"-"&amp;S369</f>
        <v>21-676-08-57</v>
      </c>
      <c r="S369" s="129" t="s">
        <v>28390</v>
      </c>
      <c r="T369" s="112">
        <v>1</v>
      </c>
    </row>
    <row r="370" spans="1:20" x14ac:dyDescent="0.2">
      <c r="A370" s="102" t="s">
        <v>28556</v>
      </c>
      <c r="B370" s="102" t="s">
        <v>28495</v>
      </c>
      <c r="C370" s="102" t="s">
        <v>8</v>
      </c>
      <c r="D370" s="102" t="s">
        <v>21</v>
      </c>
      <c r="E370" s="102" t="s">
        <v>25711</v>
      </c>
      <c r="F370" s="102" t="s">
        <v>91</v>
      </c>
      <c r="G370" s="102" t="s">
        <v>25725</v>
      </c>
      <c r="H370" s="102" t="s">
        <v>28683</v>
      </c>
      <c r="I370" s="102" t="s">
        <v>100</v>
      </c>
      <c r="J370" s="102" t="s">
        <v>28679</v>
      </c>
      <c r="K370" s="102" t="s">
        <v>25721</v>
      </c>
      <c r="L370" s="102" t="s">
        <v>25642</v>
      </c>
      <c r="M370" s="102" t="s">
        <v>26700</v>
      </c>
      <c r="N370" s="102">
        <v>702.00000000000011</v>
      </c>
      <c r="R370" t="str">
        <f t="shared" si="49"/>
        <v>21-719-17-57</v>
      </c>
      <c r="S370" s="129" t="s">
        <v>28390</v>
      </c>
      <c r="T370" s="112">
        <v>1</v>
      </c>
    </row>
    <row r="371" spans="1:20" x14ac:dyDescent="0.2">
      <c r="A371" s="102" t="s">
        <v>28557</v>
      </c>
      <c r="B371" s="102" t="s">
        <v>28496</v>
      </c>
      <c r="C371" s="102" t="s">
        <v>8</v>
      </c>
      <c r="D371" s="102" t="s">
        <v>21</v>
      </c>
      <c r="E371" s="102" t="s">
        <v>25711</v>
      </c>
      <c r="F371" s="102" t="s">
        <v>91</v>
      </c>
      <c r="G371" s="102" t="s">
        <v>25725</v>
      </c>
      <c r="H371" s="102" t="s">
        <v>28684</v>
      </c>
      <c r="I371" s="102" t="s">
        <v>27</v>
      </c>
      <c r="J371" s="102" t="s">
        <v>0</v>
      </c>
      <c r="K371" s="102" t="s">
        <v>25721</v>
      </c>
      <c r="L371" s="102" t="s">
        <v>25642</v>
      </c>
      <c r="M371" s="102" t="s">
        <v>26700</v>
      </c>
      <c r="N371" s="102">
        <v>702.00000000000011</v>
      </c>
      <c r="R371" t="str">
        <f t="shared" si="49"/>
        <v>21-720-06-59</v>
      </c>
      <c r="S371" s="129" t="s">
        <v>28386</v>
      </c>
      <c r="T371" s="112">
        <v>1</v>
      </c>
    </row>
    <row r="372" spans="1:20" x14ac:dyDescent="0.2">
      <c r="A372" s="102" t="s">
        <v>28558</v>
      </c>
      <c r="B372" s="102" t="s">
        <v>28497</v>
      </c>
      <c r="C372" s="102" t="s">
        <v>8</v>
      </c>
      <c r="D372" s="102" t="s">
        <v>21</v>
      </c>
      <c r="E372" s="102" t="s">
        <v>25711</v>
      </c>
      <c r="F372" s="102" t="s">
        <v>91</v>
      </c>
      <c r="G372" s="102" t="s">
        <v>25725</v>
      </c>
      <c r="H372" s="102" t="s">
        <v>28683</v>
      </c>
      <c r="I372" s="102" t="s">
        <v>100</v>
      </c>
      <c r="J372" s="102" t="s">
        <v>0</v>
      </c>
      <c r="K372" s="102" t="s">
        <v>25721</v>
      </c>
      <c r="L372" s="102" t="s">
        <v>25642</v>
      </c>
      <c r="M372" s="102" t="s">
        <v>26700</v>
      </c>
      <c r="N372" s="102">
        <v>702.00000000000011</v>
      </c>
      <c r="R372" t="str">
        <f t="shared" ref="R372:R373" si="50">A372&amp;"-"&amp;S372</f>
        <v>21-794-17-57</v>
      </c>
      <c r="S372" s="129" t="s">
        <v>28390</v>
      </c>
      <c r="T372" s="112">
        <v>1</v>
      </c>
    </row>
    <row r="373" spans="1:20" x14ac:dyDescent="0.2">
      <c r="A373" s="102" t="s">
        <v>28559</v>
      </c>
      <c r="B373" s="102" t="s">
        <v>28498</v>
      </c>
      <c r="C373" s="102" t="s">
        <v>8</v>
      </c>
      <c r="D373" s="102" t="s">
        <v>21</v>
      </c>
      <c r="E373" s="102" t="s">
        <v>25711</v>
      </c>
      <c r="F373" s="102" t="s">
        <v>91</v>
      </c>
      <c r="G373" s="102" t="s">
        <v>25725</v>
      </c>
      <c r="H373" s="102" t="s">
        <v>28667</v>
      </c>
      <c r="I373" s="102" t="s">
        <v>22</v>
      </c>
      <c r="J373" s="102" t="s">
        <v>0</v>
      </c>
      <c r="K373" s="102" t="s">
        <v>25721</v>
      </c>
      <c r="L373" s="102" t="s">
        <v>25642</v>
      </c>
      <c r="M373" s="102" t="s">
        <v>26700</v>
      </c>
      <c r="N373" s="102">
        <v>702.00000000000011</v>
      </c>
      <c r="R373" t="str">
        <f t="shared" si="50"/>
        <v>21-795-14-59</v>
      </c>
      <c r="S373" s="129" t="s">
        <v>28386</v>
      </c>
      <c r="T373" s="112">
        <v>1</v>
      </c>
    </row>
    <row r="374" spans="1:20" x14ac:dyDescent="0.2">
      <c r="A374" s="102" t="s">
        <v>28560</v>
      </c>
      <c r="B374" s="102" t="s">
        <v>28499</v>
      </c>
      <c r="C374" s="102" t="s">
        <v>8</v>
      </c>
      <c r="D374" s="102" t="s">
        <v>21</v>
      </c>
      <c r="E374" s="102" t="s">
        <v>25711</v>
      </c>
      <c r="F374" s="102" t="s">
        <v>91</v>
      </c>
      <c r="G374" s="102" t="s">
        <v>25725</v>
      </c>
      <c r="H374" s="102" t="s">
        <v>28685</v>
      </c>
      <c r="I374" s="102" t="s">
        <v>197</v>
      </c>
      <c r="J374" s="102" t="s">
        <v>0</v>
      </c>
      <c r="K374" s="102" t="s">
        <v>25721</v>
      </c>
      <c r="L374" s="102" t="s">
        <v>25642</v>
      </c>
      <c r="M374" s="102" t="s">
        <v>26700</v>
      </c>
      <c r="N374" s="102">
        <v>702.00000000000011</v>
      </c>
      <c r="R374" t="str">
        <f t="shared" ref="R374:R376" si="51">A374&amp;"-"&amp;S374</f>
        <v>21-796-13-57</v>
      </c>
      <c r="S374" s="129" t="s">
        <v>28390</v>
      </c>
      <c r="T374" s="112">
        <v>1</v>
      </c>
    </row>
    <row r="375" spans="1:20" x14ac:dyDescent="0.2">
      <c r="A375" s="102" t="s">
        <v>28561</v>
      </c>
      <c r="B375" s="102" t="s">
        <v>28500</v>
      </c>
      <c r="C375" s="102" t="s">
        <v>8</v>
      </c>
      <c r="D375" s="102" t="s">
        <v>21</v>
      </c>
      <c r="E375" s="102" t="s">
        <v>25711</v>
      </c>
      <c r="F375" s="102" t="s">
        <v>91</v>
      </c>
      <c r="G375" s="102" t="s">
        <v>25725</v>
      </c>
      <c r="H375" s="102" t="s">
        <v>28686</v>
      </c>
      <c r="I375" s="102" t="s">
        <v>54</v>
      </c>
      <c r="J375" s="102" t="s">
        <v>0</v>
      </c>
      <c r="K375" s="102" t="s">
        <v>25721</v>
      </c>
      <c r="L375" s="102" t="s">
        <v>25642</v>
      </c>
      <c r="M375" s="102" t="s">
        <v>26700</v>
      </c>
      <c r="N375" s="102">
        <v>702.00000000000011</v>
      </c>
      <c r="R375" t="str">
        <f t="shared" si="51"/>
        <v>21-797-11-59</v>
      </c>
      <c r="S375" s="129" t="s">
        <v>28386</v>
      </c>
      <c r="T375" s="112">
        <v>1</v>
      </c>
    </row>
    <row r="376" spans="1:20" x14ac:dyDescent="0.2">
      <c r="A376" s="102" t="s">
        <v>28562</v>
      </c>
      <c r="B376" s="102" t="s">
        <v>28501</v>
      </c>
      <c r="C376" s="102" t="s">
        <v>8</v>
      </c>
      <c r="D376" s="102" t="s">
        <v>21</v>
      </c>
      <c r="E376" s="102" t="s">
        <v>25711</v>
      </c>
      <c r="F376" s="102" t="s">
        <v>91</v>
      </c>
      <c r="G376" s="102" t="s">
        <v>25725</v>
      </c>
      <c r="H376" s="102" t="s">
        <v>28447</v>
      </c>
      <c r="I376" s="102" t="s">
        <v>1</v>
      </c>
      <c r="J376" s="102" t="s">
        <v>0</v>
      </c>
      <c r="K376" s="102" t="s">
        <v>25721</v>
      </c>
      <c r="L376" s="102" t="s">
        <v>25642</v>
      </c>
      <c r="M376" s="102" t="s">
        <v>12</v>
      </c>
      <c r="N376" s="102">
        <v>702.00000000000011</v>
      </c>
      <c r="R376" t="str">
        <f t="shared" si="51"/>
        <v>21-798-09-57</v>
      </c>
      <c r="S376" s="129" t="s">
        <v>28390</v>
      </c>
      <c r="T376" s="112">
        <v>1</v>
      </c>
    </row>
    <row r="377" spans="1:20" x14ac:dyDescent="0.2">
      <c r="A377" s="102" t="s">
        <v>28563</v>
      </c>
      <c r="B377" s="102" t="s">
        <v>28502</v>
      </c>
      <c r="C377" s="102" t="s">
        <v>8</v>
      </c>
      <c r="D377" s="102" t="s">
        <v>21</v>
      </c>
      <c r="E377" s="102" t="s">
        <v>25711</v>
      </c>
      <c r="F377" s="102" t="s">
        <v>91</v>
      </c>
      <c r="G377" s="102" t="s">
        <v>25725</v>
      </c>
      <c r="H377" s="102" t="s">
        <v>28686</v>
      </c>
      <c r="I377" s="102" t="s">
        <v>54</v>
      </c>
      <c r="J377" s="102" t="s">
        <v>0</v>
      </c>
      <c r="K377" s="102" t="s">
        <v>25721</v>
      </c>
      <c r="L377" s="102" t="s">
        <v>25642</v>
      </c>
      <c r="M377" s="102" t="s">
        <v>12</v>
      </c>
      <c r="N377" s="102">
        <v>702.00000000000011</v>
      </c>
      <c r="R377" t="str">
        <f t="shared" ref="R377:R379" si="52">A377&amp;"-"&amp;S377</f>
        <v>21-799-11-59</v>
      </c>
      <c r="S377" s="129" t="s">
        <v>28386</v>
      </c>
      <c r="T377" s="112">
        <v>1</v>
      </c>
    </row>
    <row r="378" spans="1:20" x14ac:dyDescent="0.2">
      <c r="A378" s="102" t="s">
        <v>28564</v>
      </c>
      <c r="B378" s="102" t="s">
        <v>28503</v>
      </c>
      <c r="C378" s="102" t="s">
        <v>8</v>
      </c>
      <c r="D378" s="102" t="s">
        <v>21</v>
      </c>
      <c r="E378" s="102" t="s">
        <v>25711</v>
      </c>
      <c r="F378" s="102" t="s">
        <v>91</v>
      </c>
      <c r="G378" s="102" t="s">
        <v>25725</v>
      </c>
      <c r="H378" s="102" t="s">
        <v>28687</v>
      </c>
      <c r="I378" s="102" t="s">
        <v>52</v>
      </c>
      <c r="J378" s="102" t="s">
        <v>0</v>
      </c>
      <c r="K378" s="102" t="s">
        <v>25721</v>
      </c>
      <c r="L378" s="102" t="s">
        <v>25642</v>
      </c>
      <c r="M378" s="102" t="s">
        <v>26700</v>
      </c>
      <c r="N378" s="102">
        <v>702.00000000000011</v>
      </c>
      <c r="R378" t="str">
        <f t="shared" si="52"/>
        <v>21-800-02-59</v>
      </c>
      <c r="S378" s="129" t="s">
        <v>28386</v>
      </c>
      <c r="T378" s="112">
        <v>1</v>
      </c>
    </row>
    <row r="379" spans="1:20" x14ac:dyDescent="0.2">
      <c r="A379" s="102" t="s">
        <v>28565</v>
      </c>
      <c r="B379" s="102" t="s">
        <v>28504</v>
      </c>
      <c r="C379" s="102" t="s">
        <v>8</v>
      </c>
      <c r="D379" s="102" t="s">
        <v>21</v>
      </c>
      <c r="E379" s="102" t="s">
        <v>25711</v>
      </c>
      <c r="F379" s="102" t="s">
        <v>91</v>
      </c>
      <c r="G379" s="102" t="s">
        <v>25725</v>
      </c>
      <c r="H379" s="102" t="s">
        <v>28688</v>
      </c>
      <c r="I379" s="102" t="s">
        <v>25411</v>
      </c>
      <c r="J379" s="102" t="s">
        <v>0</v>
      </c>
      <c r="K379" s="102" t="s">
        <v>25721</v>
      </c>
      <c r="L379" s="102" t="s">
        <v>25642</v>
      </c>
      <c r="M379" s="102" t="s">
        <v>26700</v>
      </c>
      <c r="N379" s="102">
        <v>702.00000000000011</v>
      </c>
      <c r="R379" t="str">
        <f t="shared" si="52"/>
        <v>21-801-90-57</v>
      </c>
      <c r="S379" s="129" t="s">
        <v>28390</v>
      </c>
      <c r="T379" s="112">
        <v>1</v>
      </c>
    </row>
    <row r="380" spans="1:20" x14ac:dyDescent="0.2">
      <c r="A380" s="102" t="s">
        <v>28566</v>
      </c>
      <c r="B380" s="102" t="s">
        <v>28505</v>
      </c>
      <c r="C380" s="102" t="s">
        <v>8</v>
      </c>
      <c r="D380" s="102" t="s">
        <v>21</v>
      </c>
      <c r="E380" s="102" t="s">
        <v>25711</v>
      </c>
      <c r="F380" s="102" t="s">
        <v>91</v>
      </c>
      <c r="G380" s="102" t="s">
        <v>25725</v>
      </c>
      <c r="H380" s="102" t="s">
        <v>28686</v>
      </c>
      <c r="I380" s="102" t="s">
        <v>54</v>
      </c>
      <c r="J380" s="102" t="s">
        <v>26192</v>
      </c>
      <c r="K380" s="102" t="s">
        <v>25716</v>
      </c>
      <c r="L380" s="102" t="s">
        <v>25642</v>
      </c>
      <c r="M380" s="102" t="s">
        <v>26700</v>
      </c>
      <c r="N380" s="102">
        <v>702.00000000000011</v>
      </c>
      <c r="R380" t="str">
        <f t="shared" ref="R380:R381" si="53">A380&amp;"-"&amp;S380</f>
        <v>21-802-11-59</v>
      </c>
      <c r="S380" s="129" t="s">
        <v>28386</v>
      </c>
      <c r="T380" s="112">
        <v>1</v>
      </c>
    </row>
    <row r="381" spans="1:20" x14ac:dyDescent="0.2">
      <c r="A381" s="102" t="s">
        <v>6825</v>
      </c>
      <c r="B381" s="102" t="s">
        <v>25588</v>
      </c>
      <c r="C381" s="102" t="s">
        <v>8</v>
      </c>
      <c r="D381" s="102" t="s">
        <v>9</v>
      </c>
      <c r="E381" s="102" t="s">
        <v>25711</v>
      </c>
      <c r="F381" s="102" t="s">
        <v>91</v>
      </c>
      <c r="G381" s="102" t="s">
        <v>25725</v>
      </c>
      <c r="H381" s="102" t="s">
        <v>28689</v>
      </c>
      <c r="I381" s="102" t="s">
        <v>100</v>
      </c>
      <c r="J381" s="102" t="s">
        <v>0</v>
      </c>
      <c r="K381" s="102" t="s">
        <v>25721</v>
      </c>
      <c r="L381" s="102" t="s">
        <v>25642</v>
      </c>
      <c r="M381" s="102" t="s">
        <v>26700</v>
      </c>
      <c r="N381" s="102">
        <v>702.00000000000011</v>
      </c>
      <c r="R381" t="str">
        <f t="shared" si="53"/>
        <v>21-012-17-57</v>
      </c>
      <c r="S381" s="129" t="s">
        <v>28390</v>
      </c>
      <c r="T381" s="112">
        <v>1</v>
      </c>
    </row>
    <row r="382" spans="1:20" x14ac:dyDescent="0.2">
      <c r="A382" s="102" t="s">
        <v>28567</v>
      </c>
      <c r="B382" s="102" t="s">
        <v>25631</v>
      </c>
      <c r="C382" s="102" t="s">
        <v>8</v>
      </c>
      <c r="D382" s="102" t="s">
        <v>21</v>
      </c>
      <c r="E382" s="102" t="s">
        <v>25711</v>
      </c>
      <c r="F382" s="102" t="s">
        <v>91</v>
      </c>
      <c r="G382" s="102" t="s">
        <v>25725</v>
      </c>
      <c r="H382" s="102" t="s">
        <v>28683</v>
      </c>
      <c r="I382" s="102" t="s">
        <v>100</v>
      </c>
      <c r="J382" s="102" t="s">
        <v>0</v>
      </c>
      <c r="K382" s="102" t="s">
        <v>25721</v>
      </c>
      <c r="L382" s="102" t="s">
        <v>25642</v>
      </c>
      <c r="M382" s="102" t="s">
        <v>26700</v>
      </c>
      <c r="N382" s="102">
        <v>702.00000000000011</v>
      </c>
      <c r="R382" t="str">
        <f t="shared" ref="R382:R384" si="54">A382&amp;"-"&amp;S382</f>
        <v>21-068-17-59</v>
      </c>
      <c r="S382" s="129" t="s">
        <v>28386</v>
      </c>
      <c r="T382" s="112">
        <v>1</v>
      </c>
    </row>
    <row r="383" spans="1:20" x14ac:dyDescent="0.2">
      <c r="A383" s="102" t="s">
        <v>6749</v>
      </c>
      <c r="B383" s="102" t="s">
        <v>25608</v>
      </c>
      <c r="C383" s="102" t="s">
        <v>8</v>
      </c>
      <c r="D383" s="102" t="s">
        <v>21</v>
      </c>
      <c r="E383" s="102" t="s">
        <v>25711</v>
      </c>
      <c r="F383" s="102" t="s">
        <v>91</v>
      </c>
      <c r="G383" s="102" t="s">
        <v>25725</v>
      </c>
      <c r="H383" s="102" t="s">
        <v>28690</v>
      </c>
      <c r="I383" s="102" t="s">
        <v>147</v>
      </c>
      <c r="J383" s="102" t="s">
        <v>0</v>
      </c>
      <c r="K383" s="102" t="s">
        <v>25721</v>
      </c>
      <c r="L383" s="102" t="s">
        <v>25642</v>
      </c>
      <c r="M383" s="102" t="s">
        <v>26700</v>
      </c>
      <c r="N383" s="102">
        <v>702.00000000000011</v>
      </c>
      <c r="R383" t="str">
        <f t="shared" si="54"/>
        <v>21-009-19-57</v>
      </c>
      <c r="S383" s="129" t="s">
        <v>28390</v>
      </c>
      <c r="T383" s="112">
        <v>1</v>
      </c>
    </row>
    <row r="384" spans="1:20" x14ac:dyDescent="0.2">
      <c r="A384" s="102" t="s">
        <v>28568</v>
      </c>
      <c r="B384" s="102" t="s">
        <v>25609</v>
      </c>
      <c r="C384" s="102" t="s">
        <v>8</v>
      </c>
      <c r="D384" s="102" t="s">
        <v>17</v>
      </c>
      <c r="E384" s="102" t="s">
        <v>25711</v>
      </c>
      <c r="F384" s="102" t="s">
        <v>91</v>
      </c>
      <c r="G384" s="102" t="s">
        <v>25725</v>
      </c>
      <c r="H384" s="102" t="s">
        <v>28691</v>
      </c>
      <c r="I384" s="102" t="s">
        <v>25394</v>
      </c>
      <c r="J384" s="102" t="s">
        <v>0</v>
      </c>
      <c r="K384" s="102" t="s">
        <v>25721</v>
      </c>
      <c r="L384" s="102" t="s">
        <v>25642</v>
      </c>
      <c r="M384" s="102" t="s">
        <v>26700</v>
      </c>
      <c r="N384" s="102">
        <v>702.00000000000011</v>
      </c>
      <c r="R384" t="str">
        <f t="shared" si="54"/>
        <v>21-072-20-59</v>
      </c>
      <c r="S384" s="129" t="s">
        <v>28386</v>
      </c>
      <c r="T384" s="112">
        <v>1</v>
      </c>
    </row>
    <row r="385" spans="1:20" x14ac:dyDescent="0.2">
      <c r="A385" s="102" t="s">
        <v>28569</v>
      </c>
      <c r="B385" s="102" t="s">
        <v>25600</v>
      </c>
      <c r="C385" s="102" t="s">
        <v>8</v>
      </c>
      <c r="D385" s="102" t="s">
        <v>21</v>
      </c>
      <c r="E385" s="102" t="s">
        <v>25711</v>
      </c>
      <c r="F385" s="102" t="s">
        <v>91</v>
      </c>
      <c r="G385" s="102" t="s">
        <v>25725</v>
      </c>
      <c r="H385" s="102" t="s">
        <v>28666</v>
      </c>
      <c r="I385" s="102" t="s">
        <v>28</v>
      </c>
      <c r="J385" s="102" t="s">
        <v>0</v>
      </c>
      <c r="K385" s="102" t="s">
        <v>25721</v>
      </c>
      <c r="L385" s="102" t="s">
        <v>25642</v>
      </c>
      <c r="M385" s="102" t="s">
        <v>26700</v>
      </c>
      <c r="N385" s="102">
        <v>702.00000000000011</v>
      </c>
      <c r="R385" t="str">
        <f t="shared" ref="R385:R387" si="55">A385&amp;"-"&amp;S385</f>
        <v>21-074-08-57</v>
      </c>
      <c r="S385" s="129" t="s">
        <v>28390</v>
      </c>
      <c r="T385" s="112">
        <v>1</v>
      </c>
    </row>
    <row r="386" spans="1:20" x14ac:dyDescent="0.2">
      <c r="A386" s="102" t="s">
        <v>28570</v>
      </c>
      <c r="B386" s="102" t="s">
        <v>28506</v>
      </c>
      <c r="C386" s="102" t="s">
        <v>8</v>
      </c>
      <c r="D386" s="102" t="s">
        <v>21</v>
      </c>
      <c r="E386" s="102" t="s">
        <v>25711</v>
      </c>
      <c r="F386" s="102" t="s">
        <v>91</v>
      </c>
      <c r="G386" s="102" t="s">
        <v>25725</v>
      </c>
      <c r="H386" s="102" t="s">
        <v>28666</v>
      </c>
      <c r="I386" s="102" t="s">
        <v>28</v>
      </c>
      <c r="J386" s="102" t="s">
        <v>0</v>
      </c>
      <c r="K386" s="102" t="s">
        <v>25721</v>
      </c>
      <c r="L386" s="102" t="s">
        <v>25642</v>
      </c>
      <c r="M386" s="102" t="s">
        <v>26700</v>
      </c>
      <c r="N386" s="102">
        <v>702.00000000000011</v>
      </c>
      <c r="R386" t="str">
        <f t="shared" si="55"/>
        <v>21-803-08-57</v>
      </c>
      <c r="S386" s="129" t="s">
        <v>28390</v>
      </c>
      <c r="T386" s="112">
        <v>1</v>
      </c>
    </row>
    <row r="387" spans="1:20" x14ac:dyDescent="0.2">
      <c r="A387" s="102" t="s">
        <v>28571</v>
      </c>
      <c r="B387" s="102" t="s">
        <v>28507</v>
      </c>
      <c r="C387" s="102" t="s">
        <v>8</v>
      </c>
      <c r="D387" s="102" t="s">
        <v>21</v>
      </c>
      <c r="E387" s="102" t="s">
        <v>25711</v>
      </c>
      <c r="F387" s="102" t="s">
        <v>91</v>
      </c>
      <c r="G387" s="102" t="s">
        <v>25725</v>
      </c>
      <c r="H387" s="102" t="s">
        <v>28667</v>
      </c>
      <c r="I387" s="102" t="s">
        <v>22</v>
      </c>
      <c r="J387" s="102" t="s">
        <v>0</v>
      </c>
      <c r="K387" s="102" t="s">
        <v>25721</v>
      </c>
      <c r="L387" s="102" t="s">
        <v>25642</v>
      </c>
      <c r="M387" s="102" t="s">
        <v>26700</v>
      </c>
      <c r="N387" s="102">
        <v>702.00000000000011</v>
      </c>
      <c r="R387" t="str">
        <f t="shared" si="55"/>
        <v>21-804-14-59</v>
      </c>
      <c r="S387" s="129" t="s">
        <v>28386</v>
      </c>
      <c r="T387" s="112">
        <v>1</v>
      </c>
    </row>
    <row r="388" spans="1:20" x14ac:dyDescent="0.2">
      <c r="A388" s="102" t="s">
        <v>28572</v>
      </c>
      <c r="B388" s="102" t="s">
        <v>28508</v>
      </c>
      <c r="C388" s="102" t="s">
        <v>8</v>
      </c>
      <c r="D388" s="102" t="s">
        <v>21</v>
      </c>
      <c r="E388" s="102" t="s">
        <v>25711</v>
      </c>
      <c r="F388" s="102" t="s">
        <v>91</v>
      </c>
      <c r="G388" s="102" t="s">
        <v>25725</v>
      </c>
      <c r="H388" s="102" t="s">
        <v>28686</v>
      </c>
      <c r="I388" s="102" t="s">
        <v>54</v>
      </c>
      <c r="J388" s="102" t="s">
        <v>0</v>
      </c>
      <c r="K388" s="102" t="s">
        <v>25721</v>
      </c>
      <c r="L388" s="102" t="s">
        <v>25642</v>
      </c>
      <c r="M388" s="102" t="s">
        <v>26700</v>
      </c>
      <c r="N388" s="102">
        <v>702.00000000000011</v>
      </c>
      <c r="R388" t="str">
        <f t="shared" ref="R388:R389" si="56">A388&amp;"-"&amp;S388</f>
        <v>21-805-11-59</v>
      </c>
      <c r="S388" s="129" t="s">
        <v>28386</v>
      </c>
      <c r="T388" s="112">
        <v>1</v>
      </c>
    </row>
    <row r="389" spans="1:20" x14ac:dyDescent="0.2">
      <c r="A389" s="102" t="s">
        <v>28573</v>
      </c>
      <c r="B389" s="102" t="s">
        <v>28509</v>
      </c>
      <c r="C389" s="102" t="s">
        <v>8</v>
      </c>
      <c r="D389" s="102" t="s">
        <v>21</v>
      </c>
      <c r="E389" s="102" t="s">
        <v>25711</v>
      </c>
      <c r="F389" s="102" t="s">
        <v>91</v>
      </c>
      <c r="G389" s="102" t="s">
        <v>25725</v>
      </c>
      <c r="H389" s="102" t="s">
        <v>28447</v>
      </c>
      <c r="I389" s="102" t="s">
        <v>1</v>
      </c>
      <c r="J389" s="102" t="s">
        <v>0</v>
      </c>
      <c r="K389" s="102" t="s">
        <v>25721</v>
      </c>
      <c r="L389" s="102" t="s">
        <v>25642</v>
      </c>
      <c r="M389" s="102" t="s">
        <v>26700</v>
      </c>
      <c r="N389" s="102">
        <v>702.00000000000011</v>
      </c>
      <c r="R389" t="str">
        <f t="shared" si="56"/>
        <v>21-806-09-59</v>
      </c>
      <c r="S389" s="129" t="s">
        <v>28386</v>
      </c>
      <c r="T389" s="112">
        <v>1</v>
      </c>
    </row>
    <row r="390" spans="1:20" x14ac:dyDescent="0.2">
      <c r="A390" s="102" t="s">
        <v>7149</v>
      </c>
      <c r="B390" s="102" t="s">
        <v>25610</v>
      </c>
      <c r="C390" s="102" t="s">
        <v>8</v>
      </c>
      <c r="D390" s="102" t="s">
        <v>9</v>
      </c>
      <c r="E390" s="102" t="s">
        <v>25711</v>
      </c>
      <c r="F390" s="102" t="s">
        <v>91</v>
      </c>
      <c r="G390" s="102" t="s">
        <v>25725</v>
      </c>
      <c r="H390" s="102" t="s">
        <v>28684</v>
      </c>
      <c r="I390" s="102" t="s">
        <v>27</v>
      </c>
      <c r="J390" s="102" t="s">
        <v>0</v>
      </c>
      <c r="K390" s="102" t="s">
        <v>25721</v>
      </c>
      <c r="L390" s="102" t="s">
        <v>25642</v>
      </c>
      <c r="M390" s="102" t="s">
        <v>26700</v>
      </c>
      <c r="N390" s="102">
        <v>702.00000000000011</v>
      </c>
      <c r="R390" t="str">
        <f t="shared" ref="R390:R392" si="57">A390&amp;"-"&amp;S390</f>
        <v>21-077-06-59</v>
      </c>
      <c r="S390" s="129" t="s">
        <v>28386</v>
      </c>
      <c r="T390" s="112">
        <v>1</v>
      </c>
    </row>
    <row r="391" spans="1:20" x14ac:dyDescent="0.2">
      <c r="A391" s="102" t="s">
        <v>28574</v>
      </c>
      <c r="B391" s="102" t="s">
        <v>28510</v>
      </c>
      <c r="C391" s="102" t="s">
        <v>8</v>
      </c>
      <c r="D391" s="102" t="s">
        <v>30</v>
      </c>
      <c r="E391" s="102" t="s">
        <v>25711</v>
      </c>
      <c r="F391" s="102" t="s">
        <v>91</v>
      </c>
      <c r="G391" s="102" t="s">
        <v>25725</v>
      </c>
      <c r="H391" s="102" t="s">
        <v>28692</v>
      </c>
      <c r="I391" s="102" t="s">
        <v>28693</v>
      </c>
      <c r="J391" s="102" t="s">
        <v>28694</v>
      </c>
      <c r="K391" s="102" t="s">
        <v>264</v>
      </c>
      <c r="L391" s="102" t="s">
        <v>25642</v>
      </c>
      <c r="M391" s="102" t="s">
        <v>26700</v>
      </c>
      <c r="N391" s="102">
        <v>702.00000000000011</v>
      </c>
      <c r="R391" t="str">
        <f t="shared" si="57"/>
        <v>21-726-14-57</v>
      </c>
      <c r="S391" s="129" t="s">
        <v>28390</v>
      </c>
      <c r="T391" s="112">
        <v>1</v>
      </c>
    </row>
    <row r="392" spans="1:20" x14ac:dyDescent="0.2">
      <c r="A392" s="102" t="s">
        <v>28575</v>
      </c>
      <c r="B392" s="102" t="s">
        <v>28511</v>
      </c>
      <c r="C392" s="102" t="s">
        <v>8</v>
      </c>
      <c r="D392" s="102" t="s">
        <v>30</v>
      </c>
      <c r="E392" s="102" t="s">
        <v>25711</v>
      </c>
      <c r="F392" s="102" t="s">
        <v>91</v>
      </c>
      <c r="G392" s="102" t="s">
        <v>25725</v>
      </c>
      <c r="H392" s="102" t="s">
        <v>28447</v>
      </c>
      <c r="I392" s="102" t="s">
        <v>1</v>
      </c>
      <c r="J392" s="102" t="s">
        <v>28679</v>
      </c>
      <c r="K392" s="102" t="s">
        <v>264</v>
      </c>
      <c r="L392" s="102" t="s">
        <v>25642</v>
      </c>
      <c r="M392" s="102" t="s">
        <v>26700</v>
      </c>
      <c r="N392" s="102">
        <v>702.00000000000011</v>
      </c>
      <c r="R392" t="str">
        <f t="shared" si="57"/>
        <v>21-782-09-55</v>
      </c>
      <c r="S392" s="129" t="s">
        <v>28313</v>
      </c>
      <c r="T392" s="112">
        <v>1</v>
      </c>
    </row>
    <row r="393" spans="1:20" x14ac:dyDescent="0.2">
      <c r="A393" s="102" t="s">
        <v>28576</v>
      </c>
      <c r="B393" s="102" t="s">
        <v>28512</v>
      </c>
      <c r="C393" s="102" t="s">
        <v>8</v>
      </c>
      <c r="D393" s="102" t="s">
        <v>30</v>
      </c>
      <c r="E393" s="102" t="s">
        <v>25711</v>
      </c>
      <c r="F393" s="102" t="s">
        <v>91</v>
      </c>
      <c r="G393" s="102" t="s">
        <v>25725</v>
      </c>
      <c r="H393" s="102" t="s">
        <v>28695</v>
      </c>
      <c r="I393" s="102" t="s">
        <v>28693</v>
      </c>
      <c r="J393" s="102" t="s">
        <v>28679</v>
      </c>
      <c r="K393" s="102" t="s">
        <v>264</v>
      </c>
      <c r="L393" s="102" t="s">
        <v>25642</v>
      </c>
      <c r="M393" s="102" t="s">
        <v>26700</v>
      </c>
      <c r="N393" s="102">
        <v>702.00000000000011</v>
      </c>
      <c r="R393" t="str">
        <f t="shared" ref="R393:R395" si="58">A393&amp;"-"&amp;S393</f>
        <v>21-783-14-62</v>
      </c>
      <c r="S393" s="129" t="s">
        <v>28273</v>
      </c>
      <c r="T393" s="112">
        <v>1</v>
      </c>
    </row>
    <row r="394" spans="1:20" x14ac:dyDescent="0.2">
      <c r="A394" s="102" t="s">
        <v>28577</v>
      </c>
      <c r="B394" s="102" t="s">
        <v>28513</v>
      </c>
      <c r="C394" s="102" t="s">
        <v>8</v>
      </c>
      <c r="D394" s="102" t="s">
        <v>30</v>
      </c>
      <c r="E394" s="102" t="s">
        <v>25711</v>
      </c>
      <c r="F394" s="102" t="s">
        <v>91</v>
      </c>
      <c r="G394" s="102" t="s">
        <v>25725</v>
      </c>
      <c r="H394" s="102" t="s">
        <v>28696</v>
      </c>
      <c r="I394" s="102" t="s">
        <v>28</v>
      </c>
      <c r="J394" s="102" t="s">
        <v>28679</v>
      </c>
      <c r="K394" s="102" t="s">
        <v>264</v>
      </c>
      <c r="L394" s="102" t="s">
        <v>25642</v>
      </c>
      <c r="M394" s="102" t="s">
        <v>26700</v>
      </c>
      <c r="N394" s="102">
        <v>702.00000000000011</v>
      </c>
      <c r="R394" t="str">
        <f t="shared" si="58"/>
        <v>21-784-08-57</v>
      </c>
      <c r="S394" s="129" t="s">
        <v>28390</v>
      </c>
      <c r="T394" s="112">
        <v>1</v>
      </c>
    </row>
    <row r="395" spans="1:20" x14ac:dyDescent="0.2">
      <c r="A395" s="102" t="s">
        <v>28578</v>
      </c>
      <c r="B395" s="102" t="s">
        <v>28514</v>
      </c>
      <c r="C395" s="102" t="s">
        <v>8</v>
      </c>
      <c r="D395" s="102" t="s">
        <v>30</v>
      </c>
      <c r="E395" s="102" t="s">
        <v>25711</v>
      </c>
      <c r="F395" s="102" t="s">
        <v>91</v>
      </c>
      <c r="G395" s="102" t="s">
        <v>25725</v>
      </c>
      <c r="H395" s="102" t="s">
        <v>28447</v>
      </c>
      <c r="I395" s="102" t="s">
        <v>1</v>
      </c>
      <c r="J395" s="102" t="s">
        <v>28679</v>
      </c>
      <c r="K395" s="102" t="s">
        <v>264</v>
      </c>
      <c r="L395" s="102" t="s">
        <v>25642</v>
      </c>
      <c r="M395" s="102" t="s">
        <v>26700</v>
      </c>
      <c r="N395" s="102">
        <v>702.00000000000011</v>
      </c>
      <c r="R395" t="str">
        <f t="shared" si="58"/>
        <v>21-785-09-59</v>
      </c>
      <c r="S395" s="129" t="s">
        <v>28386</v>
      </c>
      <c r="T395" s="112">
        <v>1</v>
      </c>
    </row>
    <row r="396" spans="1:20" x14ac:dyDescent="0.2">
      <c r="A396" s="102" t="s">
        <v>28579</v>
      </c>
      <c r="B396" s="102" t="s">
        <v>28515</v>
      </c>
      <c r="C396" s="102" t="s">
        <v>8</v>
      </c>
      <c r="D396" s="102" t="s">
        <v>30</v>
      </c>
      <c r="E396" s="102" t="s">
        <v>25711</v>
      </c>
      <c r="F396" s="102" t="s">
        <v>91</v>
      </c>
      <c r="G396" s="102" t="s">
        <v>25725</v>
      </c>
      <c r="H396" s="102" t="s">
        <v>28447</v>
      </c>
      <c r="I396" s="102" t="s">
        <v>1</v>
      </c>
      <c r="J396" s="102" t="s">
        <v>28679</v>
      </c>
      <c r="K396" s="102" t="s">
        <v>264</v>
      </c>
      <c r="L396" s="102" t="s">
        <v>25642</v>
      </c>
      <c r="M396" s="102" t="s">
        <v>26700</v>
      </c>
      <c r="N396" s="102">
        <v>702.00000000000011</v>
      </c>
      <c r="R396" t="str">
        <f t="shared" ref="R396:R397" si="59">A396&amp;"-"&amp;S396</f>
        <v>21-786-09-57</v>
      </c>
      <c r="S396" s="129" t="s">
        <v>28390</v>
      </c>
      <c r="T396" s="112">
        <v>1</v>
      </c>
    </row>
    <row r="397" spans="1:20" x14ac:dyDescent="0.2">
      <c r="A397" s="102" t="s">
        <v>28580</v>
      </c>
      <c r="B397" s="102" t="s">
        <v>28516</v>
      </c>
      <c r="C397" s="102" t="s">
        <v>8</v>
      </c>
      <c r="D397" s="102" t="s">
        <v>30</v>
      </c>
      <c r="E397" s="102" t="s">
        <v>25711</v>
      </c>
      <c r="F397" s="102" t="s">
        <v>91</v>
      </c>
      <c r="G397" s="102" t="s">
        <v>25725</v>
      </c>
      <c r="H397" s="102" t="s">
        <v>28697</v>
      </c>
      <c r="I397" s="102" t="s">
        <v>100</v>
      </c>
      <c r="J397" s="102" t="s">
        <v>28679</v>
      </c>
      <c r="K397" s="102" t="s">
        <v>264</v>
      </c>
      <c r="L397" s="102" t="s">
        <v>25642</v>
      </c>
      <c r="M397" s="102" t="s">
        <v>26700</v>
      </c>
      <c r="N397" s="102">
        <v>702.00000000000011</v>
      </c>
      <c r="R397" t="str">
        <f t="shared" si="59"/>
        <v>21-787-17-59</v>
      </c>
      <c r="S397" s="129" t="s">
        <v>28386</v>
      </c>
      <c r="T397" s="112">
        <v>1</v>
      </c>
    </row>
    <row r="398" spans="1:20" x14ac:dyDescent="0.2">
      <c r="A398" s="102" t="s">
        <v>28581</v>
      </c>
      <c r="B398" s="102" t="s">
        <v>28517</v>
      </c>
      <c r="C398" s="102" t="s">
        <v>8</v>
      </c>
      <c r="D398" s="102" t="s">
        <v>30</v>
      </c>
      <c r="E398" s="102" t="s">
        <v>25711</v>
      </c>
      <c r="F398" s="102" t="s">
        <v>91</v>
      </c>
      <c r="G398" s="102" t="s">
        <v>25725</v>
      </c>
      <c r="H398" s="102" t="s">
        <v>28698</v>
      </c>
      <c r="I398" s="102" t="s">
        <v>25463</v>
      </c>
      <c r="J398" s="102" t="s">
        <v>28679</v>
      </c>
      <c r="K398" s="102" t="s">
        <v>264</v>
      </c>
      <c r="L398" s="102" t="s">
        <v>25642</v>
      </c>
      <c r="M398" s="102" t="s">
        <v>26700</v>
      </c>
      <c r="N398" s="102">
        <v>702.00000000000011</v>
      </c>
      <c r="R398" t="str">
        <f t="shared" ref="R398:R400" si="60">A398&amp;"-"&amp;S398</f>
        <v>21-788-83-62</v>
      </c>
      <c r="S398" s="129" t="s">
        <v>28273</v>
      </c>
      <c r="T398" s="112">
        <v>1</v>
      </c>
    </row>
    <row r="399" spans="1:20" x14ac:dyDescent="0.2">
      <c r="A399" s="102" t="s">
        <v>28582</v>
      </c>
      <c r="B399" s="102" t="s">
        <v>28518</v>
      </c>
      <c r="C399" s="102" t="s">
        <v>8</v>
      </c>
      <c r="D399" s="102" t="s">
        <v>30</v>
      </c>
      <c r="E399" s="102" t="s">
        <v>25711</v>
      </c>
      <c r="F399" s="102" t="s">
        <v>91</v>
      </c>
      <c r="G399" s="102" t="s">
        <v>25725</v>
      </c>
      <c r="H399" s="102" t="s">
        <v>28447</v>
      </c>
      <c r="I399" s="102" t="s">
        <v>1</v>
      </c>
      <c r="J399" s="102" t="s">
        <v>28679</v>
      </c>
      <c r="K399" s="102" t="s">
        <v>264</v>
      </c>
      <c r="L399" s="102" t="s">
        <v>25642</v>
      </c>
      <c r="M399" s="102" t="s">
        <v>26700</v>
      </c>
      <c r="N399" s="102">
        <v>702.00000000000011</v>
      </c>
      <c r="R399" t="str">
        <f t="shared" si="60"/>
        <v>21-789-09-59</v>
      </c>
      <c r="S399" s="129" t="s">
        <v>28386</v>
      </c>
      <c r="T399" s="112">
        <v>1</v>
      </c>
    </row>
    <row r="400" spans="1:20" x14ac:dyDescent="0.2">
      <c r="A400" s="102" t="s">
        <v>28583</v>
      </c>
      <c r="B400" s="102" t="s">
        <v>28519</v>
      </c>
      <c r="C400" s="102" t="s">
        <v>8</v>
      </c>
      <c r="D400" s="102" t="s">
        <v>30</v>
      </c>
      <c r="E400" s="102" t="s">
        <v>25711</v>
      </c>
      <c r="F400" s="102" t="s">
        <v>91</v>
      </c>
      <c r="G400" s="102" t="s">
        <v>25725</v>
      </c>
      <c r="H400" s="102" t="s">
        <v>28699</v>
      </c>
      <c r="I400" s="102" t="s">
        <v>28</v>
      </c>
      <c r="J400" s="102" t="s">
        <v>28679</v>
      </c>
      <c r="K400" s="102" t="s">
        <v>264</v>
      </c>
      <c r="L400" s="102" t="s">
        <v>25640</v>
      </c>
      <c r="M400" s="102" t="s">
        <v>26700</v>
      </c>
      <c r="N400" s="102">
        <v>702.00000000000011</v>
      </c>
      <c r="R400" t="str">
        <f t="shared" si="60"/>
        <v>21-790-08-62</v>
      </c>
      <c r="S400" s="129" t="s">
        <v>28273</v>
      </c>
      <c r="T400" s="112">
        <v>1</v>
      </c>
    </row>
    <row r="401" spans="1:20" x14ac:dyDescent="0.2">
      <c r="A401" s="102" t="s">
        <v>28584</v>
      </c>
      <c r="B401" s="102" t="s">
        <v>28520</v>
      </c>
      <c r="C401" s="102" t="s">
        <v>8</v>
      </c>
      <c r="D401" s="102" t="s">
        <v>30</v>
      </c>
      <c r="E401" s="102" t="s">
        <v>25711</v>
      </c>
      <c r="F401" s="102" t="s">
        <v>91</v>
      </c>
      <c r="G401" s="102" t="s">
        <v>25725</v>
      </c>
      <c r="H401" s="102" t="s">
        <v>28700</v>
      </c>
      <c r="I401" s="102" t="s">
        <v>25448</v>
      </c>
      <c r="J401" s="102" t="s">
        <v>28679</v>
      </c>
      <c r="K401" s="102" t="s">
        <v>264</v>
      </c>
      <c r="L401" s="102" t="s">
        <v>25640</v>
      </c>
      <c r="M401" s="102" t="s">
        <v>26700</v>
      </c>
      <c r="N401" s="102">
        <v>702.00000000000011</v>
      </c>
      <c r="R401" t="str">
        <f t="shared" ref="R401" si="61">A401&amp;"-"&amp;S401</f>
        <v>21-791-94-57</v>
      </c>
      <c r="S401" s="129" t="s">
        <v>28390</v>
      </c>
      <c r="T401" s="112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B25"/>
  <sheetViews>
    <sheetView showGridLines="0" workbookViewId="0">
      <selection activeCell="Q29" sqref="Q29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66" t="s">
        <v>27611</v>
      </c>
      <c r="B1" s="66" t="s">
        <v>239</v>
      </c>
    </row>
    <row r="2" spans="1:2" x14ac:dyDescent="0.2">
      <c r="A2" s="67" t="str">
        <f>Форма!G1</f>
        <v>Производитель</v>
      </c>
      <c r="B2" s="67" t="str">
        <f ca="1">Форма!$G$2</f>
        <v>BETMAR</v>
      </c>
    </row>
    <row r="3" spans="1:2" x14ac:dyDescent="0.2">
      <c r="A3" s="67" t="str">
        <f>Форма!E1</f>
        <v>Коллекция</v>
      </c>
    </row>
    <row r="4" spans="1:2" x14ac:dyDescent="0.2">
      <c r="A4" s="67" t="str">
        <f>Форма!C1</f>
        <v>Группа</v>
      </c>
    </row>
    <row r="5" spans="1:2" x14ac:dyDescent="0.2">
      <c r="A5" s="67" t="str">
        <f>Форма!D1</f>
        <v>Форма</v>
      </c>
    </row>
    <row r="6" spans="1:2" x14ac:dyDescent="0.2">
      <c r="A6" s="67" t="str">
        <f>Форма!K1</f>
        <v>Материал</v>
      </c>
    </row>
    <row r="7" spans="1:2" x14ac:dyDescent="0.2">
      <c r="A7" s="67" t="str">
        <f>Форма!L1</f>
        <v>Пол</v>
      </c>
    </row>
    <row r="8" spans="1:2" x14ac:dyDescent="0.2">
      <c r="A8" s="67" t="str">
        <f>Форма!B1</f>
        <v>Модель</v>
      </c>
    </row>
    <row r="9" spans="1:2" x14ac:dyDescent="0.2">
      <c r="A9" s="67" t="str">
        <f>Форма!H1</f>
        <v>Цвет Поставщика</v>
      </c>
    </row>
    <row r="10" spans="1:2" x14ac:dyDescent="0.2">
      <c r="A10" s="67" t="str">
        <f>Форма!I1</f>
        <v>ЦветПолный</v>
      </c>
    </row>
    <row r="11" spans="1:2" x14ac:dyDescent="0.2">
      <c r="A11" s="67" t="str">
        <f>Форма!F1</f>
        <v>Сезон</v>
      </c>
    </row>
    <row r="12" spans="1:2" x14ac:dyDescent="0.2">
      <c r="A12" s="67" t="str">
        <f>Форма!J1</f>
        <v>Состав</v>
      </c>
    </row>
    <row r="13" spans="1:2" x14ac:dyDescent="0.2">
      <c r="A13" s="67" t="str">
        <f>Форма!R1</f>
        <v>Размер</v>
      </c>
    </row>
    <row r="14" spans="1:2" x14ac:dyDescent="0.2">
      <c r="A14" s="67" t="str">
        <f>Форма!M1</f>
        <v>Страна</v>
      </c>
    </row>
    <row r="15" spans="1:2" x14ac:dyDescent="0.2">
      <c r="A15" s="67" t="str">
        <f>Форма!S1</f>
        <v>КОЛ</v>
      </c>
    </row>
    <row r="16" spans="1:2" x14ac:dyDescent="0.2">
      <c r="A16" s="67" t="str">
        <f>Форма!P1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Форма!T1</f>
        <v>Маркет</v>
      </c>
    </row>
    <row r="19" spans="1:1" x14ac:dyDescent="0.2">
      <c r="A19" s="67" t="str">
        <f>Форма!Q1</f>
        <v>Фабрика</v>
      </c>
    </row>
    <row r="20" spans="1:1" x14ac:dyDescent="0.2">
      <c r="A20" s="67" t="str">
        <f>Форма!U1</f>
        <v>Наименование полное</v>
      </c>
    </row>
    <row r="21" spans="1:1" x14ac:dyDescent="0.2">
      <c r="A21" s="67" t="str">
        <f>Форма!V1</f>
        <v>Наименование</v>
      </c>
    </row>
    <row r="22" spans="1:1" x14ac:dyDescent="0.2">
      <c r="A22" s="67" t="str">
        <f>Форма!Y1</f>
        <v>Цвет</v>
      </c>
    </row>
    <row r="23" spans="1:1" x14ac:dyDescent="0.2">
      <c r="A23" s="67" t="s">
        <v>28701</v>
      </c>
    </row>
    <row r="24" spans="1:1" x14ac:dyDescent="0.2">
      <c r="A24" s="67" t="s">
        <v>28703</v>
      </c>
    </row>
    <row r="25" spans="1:1" x14ac:dyDescent="0.2">
      <c r="A25" s="67" t="str">
        <f ca="1"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3</vt:i4>
      </vt:variant>
    </vt:vector>
  </HeadingPairs>
  <TitlesOfParts>
    <vt:vector size="22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2022-03-02T09:06:58Z</dcterms:modified>
</cp:coreProperties>
</file>