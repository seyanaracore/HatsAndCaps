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3.06\"/>
    </mc:Choice>
  </mc:AlternateContent>
  <xr:revisionPtr revIDLastSave="0" documentId="13_ncr:1_{8BF026F1-BBF8-4984-BA5B-80CE524752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6" i="1" l="1"/>
  <c r="AY33" i="1"/>
  <c r="AY30" i="1"/>
  <c r="AY27" i="1"/>
  <c r="AY26" i="1"/>
  <c r="AY25" i="1"/>
  <c r="AY23" i="1"/>
  <c r="AY22" i="1"/>
  <c r="AY19" i="1"/>
  <c r="AX6" i="1"/>
  <c r="AX5" i="1"/>
  <c r="AY5" i="1" s="1"/>
  <c r="AX4" i="1"/>
  <c r="AY4" i="1" s="1"/>
  <c r="AX35" i="1"/>
  <c r="AY35" i="1" s="1"/>
  <c r="AX34" i="1"/>
  <c r="AY34" i="1" s="1"/>
  <c r="AX33" i="1"/>
  <c r="AX32" i="1"/>
  <c r="AY32" i="1" s="1"/>
  <c r="AX18" i="1"/>
  <c r="AY18" i="1" s="1"/>
  <c r="AX17" i="1"/>
  <c r="AY17" i="1" s="1"/>
  <c r="AX16" i="1"/>
  <c r="AY16" i="1" s="1"/>
  <c r="AX31" i="1"/>
  <c r="AY31" i="1" s="1"/>
  <c r="AX15" i="1"/>
  <c r="AY15" i="1" s="1"/>
  <c r="AX14" i="1"/>
  <c r="AY14" i="1" s="1"/>
  <c r="AX13" i="1"/>
  <c r="AY13" i="1" s="1"/>
  <c r="AX12" i="1"/>
  <c r="AY12" i="1" s="1"/>
  <c r="AX11" i="1"/>
  <c r="AY11" i="1" s="1"/>
  <c r="AX30" i="1"/>
  <c r="AX29" i="1"/>
  <c r="AY29" i="1" s="1"/>
  <c r="AX28" i="1"/>
  <c r="AY28" i="1" s="1"/>
  <c r="AX27" i="1"/>
  <c r="AX26" i="1"/>
  <c r="AX10" i="1"/>
  <c r="AY10" i="1" s="1"/>
  <c r="AX9" i="1"/>
  <c r="AY9" i="1" s="1"/>
  <c r="AX8" i="1"/>
  <c r="AY8" i="1" s="1"/>
  <c r="AX25" i="1"/>
  <c r="AX7" i="1"/>
  <c r="AY7" i="1" s="1"/>
  <c r="AX24" i="1"/>
  <c r="AY24" i="1" s="1"/>
  <c r="AX23" i="1"/>
  <c r="AX22" i="1"/>
  <c r="AX21" i="1"/>
  <c r="AY21" i="1" s="1"/>
  <c r="AX20" i="1"/>
  <c r="AY20" i="1" s="1"/>
  <c r="AX3" i="1"/>
  <c r="AY3" i="1" s="1"/>
  <c r="AX19" i="1"/>
  <c r="AT6" i="1"/>
  <c r="AZ6" i="1" s="1"/>
  <c r="AT5" i="1"/>
  <c r="BC5" i="1" s="1"/>
  <c r="AT4" i="1"/>
  <c r="BC4" i="1" s="1"/>
  <c r="AT35" i="1"/>
  <c r="BC35" i="1" s="1"/>
  <c r="AT34" i="1"/>
  <c r="AZ34" i="1" s="1"/>
  <c r="AT33" i="1"/>
  <c r="AZ33" i="1" s="1"/>
  <c r="AT32" i="1"/>
  <c r="AT18" i="1"/>
  <c r="BC18" i="1" s="1"/>
  <c r="AT17" i="1"/>
  <c r="AZ17" i="1" s="1"/>
  <c r="AT16" i="1"/>
  <c r="BC16" i="1" s="1"/>
  <c r="AT31" i="1"/>
  <c r="BC31" i="1" s="1"/>
  <c r="AT15" i="1"/>
  <c r="BC15" i="1" s="1"/>
  <c r="AT14" i="1"/>
  <c r="AZ14" i="1" s="1"/>
  <c r="AT13" i="1"/>
  <c r="AZ13" i="1" s="1"/>
  <c r="AT12" i="1"/>
  <c r="AT11" i="1"/>
  <c r="BC11" i="1" s="1"/>
  <c r="AT30" i="1"/>
  <c r="AZ30" i="1" s="1"/>
  <c r="AT29" i="1"/>
  <c r="BC29" i="1" s="1"/>
  <c r="AT28" i="1"/>
  <c r="BC28" i="1" s="1"/>
  <c r="AT27" i="1"/>
  <c r="BC27" i="1" s="1"/>
  <c r="AT26" i="1"/>
  <c r="AZ26" i="1" s="1"/>
  <c r="AT10" i="1"/>
  <c r="AZ10" i="1" s="1"/>
  <c r="AT9" i="1"/>
  <c r="AT8" i="1"/>
  <c r="BC8" i="1" s="1"/>
  <c r="AT25" i="1"/>
  <c r="AZ25" i="1" s="1"/>
  <c r="AT7" i="1"/>
  <c r="BC7" i="1" s="1"/>
  <c r="AT24" i="1"/>
  <c r="BC24" i="1" s="1"/>
  <c r="AT23" i="1"/>
  <c r="BC23" i="1" s="1"/>
  <c r="AT22" i="1"/>
  <c r="AZ22" i="1" s="1"/>
  <c r="AT21" i="1"/>
  <c r="AZ21" i="1" s="1"/>
  <c r="AT20" i="1"/>
  <c r="AT3" i="1"/>
  <c r="BC3" i="1" s="1"/>
  <c r="AT19" i="1"/>
  <c r="AZ19" i="1" s="1"/>
  <c r="E6" i="1"/>
  <c r="E5" i="1"/>
  <c r="E4" i="1"/>
  <c r="E3" i="1"/>
  <c r="A6" i="1"/>
  <c r="A5" i="1"/>
  <c r="A4" i="1"/>
  <c r="A35" i="1"/>
  <c r="A34" i="1"/>
  <c r="A33" i="1"/>
  <c r="A32" i="1"/>
  <c r="A18" i="1"/>
  <c r="A17" i="1"/>
  <c r="A16" i="1"/>
  <c r="A31" i="1"/>
  <c r="A15" i="1"/>
  <c r="A14" i="1"/>
  <c r="A13" i="1"/>
  <c r="A12" i="1"/>
  <c r="A11" i="1"/>
  <c r="A30" i="1"/>
  <c r="A29" i="1"/>
  <c r="A28" i="1"/>
  <c r="A27" i="1"/>
  <c r="A26" i="1"/>
  <c r="A10" i="1"/>
  <c r="A9" i="1"/>
  <c r="A8" i="1"/>
  <c r="A25" i="1"/>
  <c r="A7" i="1"/>
  <c r="A24" i="1"/>
  <c r="A23" i="1"/>
  <c r="A22" i="1"/>
  <c r="A21" i="1"/>
  <c r="A20" i="1"/>
  <c r="A3" i="1"/>
  <c r="A19" i="1"/>
  <c r="BE2" i="1"/>
  <c r="BD2" i="1"/>
  <c r="AW3" i="1"/>
  <c r="AV3" i="1"/>
  <c r="AV4" i="1"/>
  <c r="AW5" i="1"/>
  <c r="AW4" i="1"/>
  <c r="AV6" i="1"/>
  <c r="AV5" i="1"/>
  <c r="AW6" i="1"/>
  <c r="BA19" i="1" l="1"/>
  <c r="BA25" i="1"/>
  <c r="BA30" i="1"/>
  <c r="BA17" i="1"/>
  <c r="BA6" i="1"/>
  <c r="BC22" i="1"/>
  <c r="BA21" i="1"/>
  <c r="BA10" i="1"/>
  <c r="BA13" i="1"/>
  <c r="BA33" i="1"/>
  <c r="BC25" i="1"/>
  <c r="BA22" i="1"/>
  <c r="BA26" i="1"/>
  <c r="BA14" i="1"/>
  <c r="BA34" i="1"/>
  <c r="BC26" i="1"/>
  <c r="BC30" i="1"/>
  <c r="BC14" i="1"/>
  <c r="BA7" i="1"/>
  <c r="BA29" i="1"/>
  <c r="BA16" i="1"/>
  <c r="BA5" i="1"/>
  <c r="BC17" i="1"/>
  <c r="BA20" i="1"/>
  <c r="BA9" i="1"/>
  <c r="BA12" i="1"/>
  <c r="BA32" i="1"/>
  <c r="BC34" i="1"/>
  <c r="BC19" i="1"/>
  <c r="BC6" i="1"/>
  <c r="BC20" i="1"/>
  <c r="BC9" i="1"/>
  <c r="BC12" i="1"/>
  <c r="BC32" i="1"/>
  <c r="AZ23" i="1"/>
  <c r="AZ27" i="1"/>
  <c r="AZ15" i="1"/>
  <c r="AZ35" i="1"/>
  <c r="BC21" i="1"/>
  <c r="BC10" i="1"/>
  <c r="BC13" i="1"/>
  <c r="BC33" i="1"/>
  <c r="AZ24" i="1"/>
  <c r="AZ28" i="1"/>
  <c r="AZ31" i="1"/>
  <c r="AZ4" i="1"/>
  <c r="BA23" i="1"/>
  <c r="BA27" i="1"/>
  <c r="BA15" i="1"/>
  <c r="BA35" i="1"/>
  <c r="AZ7" i="1"/>
  <c r="AZ29" i="1"/>
  <c r="AZ16" i="1"/>
  <c r="AZ5" i="1"/>
  <c r="BA24" i="1"/>
  <c r="BA28" i="1"/>
  <c r="BA31" i="1"/>
  <c r="BA4" i="1"/>
  <c r="AZ3" i="1"/>
  <c r="AZ8" i="1"/>
  <c r="AZ11" i="1"/>
  <c r="AZ18" i="1"/>
  <c r="AZ20" i="1"/>
  <c r="AZ9" i="1"/>
  <c r="AZ12" i="1"/>
  <c r="AZ32" i="1"/>
  <c r="BA3" i="1"/>
  <c r="BA8" i="1"/>
  <c r="BA11" i="1"/>
  <c r="BA18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V6008" i="8" s="1"/>
  <c r="W6009" i="8"/>
  <c r="W6010" i="8"/>
  <c r="W6011" i="8"/>
  <c r="W6012" i="8"/>
  <c r="V6012" i="8" s="1"/>
  <c r="W6013" i="8"/>
  <c r="W6014" i="8"/>
  <c r="W6015" i="8"/>
  <c r="W6016" i="8"/>
  <c r="V6016" i="8" s="1"/>
  <c r="W6017" i="8"/>
  <c r="W6018" i="8"/>
  <c r="W6019" i="8"/>
  <c r="W6020" i="8"/>
  <c r="V6020" i="8" s="1"/>
  <c r="W6021" i="8"/>
  <c r="W6022" i="8"/>
  <c r="W6023" i="8"/>
  <c r="W6024" i="8"/>
  <c r="V6024" i="8" s="1"/>
  <c r="W6025" i="8"/>
  <c r="W6026" i="8"/>
  <c r="W6027" i="8"/>
  <c r="W6028" i="8"/>
  <c r="V6028" i="8" s="1"/>
  <c r="W6029" i="8"/>
  <c r="W6030" i="8"/>
  <c r="W6031" i="8"/>
  <c r="W6032" i="8"/>
  <c r="V6032" i="8" s="1"/>
  <c r="W6033" i="8"/>
  <c r="W6034" i="8"/>
  <c r="W6035" i="8"/>
  <c r="W6036" i="8"/>
  <c r="V6036" i="8" s="1"/>
  <c r="W6037" i="8"/>
  <c r="W6038" i="8"/>
  <c r="W6039" i="8"/>
  <c r="W6040" i="8"/>
  <c r="V6040" i="8" s="1"/>
  <c r="W6041" i="8"/>
  <c r="W6042" i="8"/>
  <c r="W6043" i="8"/>
  <c r="W6044" i="8"/>
  <c r="V6044" i="8" s="1"/>
  <c r="W6045" i="8"/>
  <c r="W6046" i="8"/>
  <c r="W6047" i="8"/>
  <c r="W6048" i="8"/>
  <c r="V6048" i="8" s="1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V6064" i="8" s="1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V6080" i="8" s="1"/>
  <c r="W6081" i="8"/>
  <c r="W6082" i="8"/>
  <c r="W6083" i="8"/>
  <c r="W6084" i="8"/>
  <c r="V6084" i="8" s="1"/>
  <c r="W6085" i="8"/>
  <c r="W6086" i="8"/>
  <c r="W6087" i="8"/>
  <c r="W6088" i="8"/>
  <c r="V6088" i="8" s="1"/>
  <c r="W6089" i="8"/>
  <c r="W6090" i="8"/>
  <c r="W6091" i="8"/>
  <c r="W6092" i="8"/>
  <c r="V6092" i="8" s="1"/>
  <c r="W6093" i="8"/>
  <c r="W6094" i="8"/>
  <c r="W6095" i="8"/>
  <c r="W6096" i="8"/>
  <c r="V6096" i="8" s="1"/>
  <c r="W6097" i="8"/>
  <c r="W6098" i="8"/>
  <c r="W6099" i="8"/>
  <c r="W6100" i="8"/>
  <c r="V6100" i="8" s="1"/>
  <c r="W6101" i="8"/>
  <c r="W6102" i="8"/>
  <c r="W6103" i="8"/>
  <c r="W6104" i="8"/>
  <c r="V6104" i="8" s="1"/>
  <c r="W6105" i="8"/>
  <c r="W6106" i="8"/>
  <c r="W6107" i="8"/>
  <c r="W6108" i="8"/>
  <c r="W6109" i="8"/>
  <c r="W6110" i="8"/>
  <c r="W6111" i="8"/>
  <c r="W6112" i="8"/>
  <c r="V6112" i="8" s="1"/>
  <c r="W6113" i="8"/>
  <c r="W6114" i="8"/>
  <c r="W6115" i="8"/>
  <c r="W6116" i="8"/>
  <c r="V6116" i="8" s="1"/>
  <c r="W6117" i="8"/>
  <c r="W6118" i="8"/>
  <c r="W6119" i="8"/>
  <c r="W6120" i="8"/>
  <c r="V6120" i="8" s="1"/>
  <c r="W6121" i="8"/>
  <c r="W6122" i="8"/>
  <c r="W6123" i="8"/>
  <c r="W6124" i="8"/>
  <c r="V6124" i="8" s="1"/>
  <c r="W6125" i="8"/>
  <c r="W6126" i="8"/>
  <c r="W6127" i="8"/>
  <c r="W6128" i="8"/>
  <c r="V6128" i="8" s="1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V6368" i="8" s="1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V6424" i="8" s="1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V6448" i="8" s="1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V6480" i="8" s="1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V6496" i="8" s="1"/>
  <c r="W6497" i="8"/>
  <c r="W6498" i="8"/>
  <c r="W6499" i="8"/>
  <c r="W6500" i="8"/>
  <c r="V6500" i="8" s="1"/>
  <c r="W6501" i="8"/>
  <c r="W6502" i="8"/>
  <c r="W6503" i="8"/>
  <c r="W6504" i="8"/>
  <c r="V6504" i="8" s="1"/>
  <c r="W6505" i="8"/>
  <c r="W6506" i="8"/>
  <c r="W6507" i="8"/>
  <c r="W6508" i="8"/>
  <c r="V6508" i="8" s="1"/>
  <c r="W6509" i="8"/>
  <c r="W6510" i="8"/>
  <c r="W6511" i="8"/>
  <c r="W6512" i="8"/>
  <c r="V6512" i="8" s="1"/>
  <c r="W6513" i="8"/>
  <c r="W6514" i="8"/>
  <c r="W6515" i="8"/>
  <c r="W6516" i="8"/>
  <c r="V6516" i="8" s="1"/>
  <c r="W6517" i="8"/>
  <c r="W6518" i="8"/>
  <c r="W6519" i="8"/>
  <c r="W6520" i="8"/>
  <c r="V6520" i="8" s="1"/>
  <c r="W6521" i="8"/>
  <c r="W6522" i="8"/>
  <c r="W6523" i="8"/>
  <c r="W6524" i="8"/>
  <c r="V6524" i="8" s="1"/>
  <c r="W6525" i="8"/>
  <c r="W6526" i="8"/>
  <c r="W6527" i="8"/>
  <c r="W6528" i="8"/>
  <c r="V6528" i="8" s="1"/>
  <c r="W6529" i="8"/>
  <c r="W6530" i="8"/>
  <c r="W6531" i="8"/>
  <c r="W6532" i="8"/>
  <c r="V6532" i="8" s="1"/>
  <c r="W6533" i="8"/>
  <c r="W6534" i="8"/>
  <c r="W6535" i="8"/>
  <c r="W6536" i="8"/>
  <c r="V6536" i="8" s="1"/>
  <c r="W6537" i="8"/>
  <c r="W6538" i="8"/>
  <c r="W6539" i="8"/>
  <c r="W6540" i="8"/>
  <c r="V6540" i="8" s="1"/>
  <c r="W6541" i="8"/>
  <c r="W6542" i="8"/>
  <c r="W6543" i="8"/>
  <c r="W6544" i="8"/>
  <c r="V6544" i="8" s="1"/>
  <c r="W6545" i="8"/>
  <c r="W6546" i="8"/>
  <c r="W6547" i="8"/>
  <c r="W6548" i="8"/>
  <c r="W6549" i="8"/>
  <c r="W6550" i="8"/>
  <c r="W6551" i="8"/>
  <c r="W6552" i="8"/>
  <c r="V6552" i="8" s="1"/>
  <c r="W6553" i="8"/>
  <c r="W6554" i="8"/>
  <c r="W6555" i="8"/>
  <c r="W6556" i="8"/>
  <c r="V6556" i="8" s="1"/>
  <c r="W6557" i="8"/>
  <c r="W6558" i="8"/>
  <c r="W6559" i="8"/>
  <c r="W6560" i="8"/>
  <c r="V6560" i="8" s="1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V6576" i="8" s="1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V6592" i="8" s="1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V6616" i="8" s="1"/>
  <c r="W6617" i="8"/>
  <c r="W6618" i="8"/>
  <c r="W6619" i="8"/>
  <c r="W6620" i="8"/>
  <c r="V6620" i="8" s="1"/>
  <c r="W6621" i="8"/>
  <c r="W6622" i="8"/>
  <c r="W6623" i="8"/>
  <c r="W6624" i="8"/>
  <c r="V6624" i="8" s="1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V6640" i="8" s="1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V6656" i="8" s="1"/>
  <c r="W6657" i="8"/>
  <c r="W6658" i="8"/>
  <c r="W6659" i="8"/>
  <c r="W6660" i="8"/>
  <c r="V6660" i="8" s="1"/>
  <c r="W6661" i="8"/>
  <c r="W6662" i="8"/>
  <c r="W6663" i="8"/>
  <c r="W6664" i="8"/>
  <c r="V6664" i="8" s="1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V6688" i="8" s="1"/>
  <c r="W6689" i="8"/>
  <c r="W6690" i="8"/>
  <c r="W6691" i="8"/>
  <c r="W6692" i="8"/>
  <c r="V6692" i="8" s="1"/>
  <c r="W6693" i="8"/>
  <c r="W6694" i="8"/>
  <c r="W6695" i="8"/>
  <c r="W6696" i="8"/>
  <c r="V6696" i="8" s="1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V6712" i="8" s="1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V6728" i="8" s="1"/>
  <c r="W6729" i="8"/>
  <c r="W6730" i="8"/>
  <c r="W6731" i="8"/>
  <c r="W6732" i="8"/>
  <c r="W6733" i="8"/>
  <c r="W6734" i="8"/>
  <c r="W6735" i="8"/>
  <c r="W6736" i="8"/>
  <c r="V6736" i="8" s="1"/>
  <c r="W6737" i="8"/>
  <c r="W6738" i="8"/>
  <c r="W6739" i="8"/>
  <c r="W6740" i="8"/>
  <c r="V6740" i="8" s="1"/>
  <c r="W6741" i="8"/>
  <c r="W6742" i="8"/>
  <c r="W6743" i="8"/>
  <c r="W6744" i="8"/>
  <c r="V6744" i="8" s="1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V6760" i="8" s="1"/>
  <c r="W6761" i="8"/>
  <c r="W6762" i="8"/>
  <c r="W6763" i="8"/>
  <c r="W6764" i="8"/>
  <c r="V6764" i="8" s="1"/>
  <c r="W6765" i="8"/>
  <c r="W6766" i="8"/>
  <c r="W6767" i="8"/>
  <c r="W6768" i="8"/>
  <c r="V6768" i="8" s="1"/>
  <c r="W6769" i="8"/>
  <c r="W6770" i="8"/>
  <c r="W6771" i="8"/>
  <c r="W6772" i="8"/>
  <c r="V6772" i="8" s="1"/>
  <c r="W6773" i="8"/>
  <c r="W6774" i="8"/>
  <c r="W6775" i="8"/>
  <c r="W6776" i="8"/>
  <c r="V6776" i="8" s="1"/>
  <c r="W6777" i="8"/>
  <c r="W6778" i="8"/>
  <c r="W6779" i="8"/>
  <c r="W6780" i="8"/>
  <c r="V6780" i="8" s="1"/>
  <c r="W6781" i="8"/>
  <c r="W6782" i="8"/>
  <c r="W6783" i="8"/>
  <c r="W6784" i="8"/>
  <c r="V6784" i="8" s="1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V6800" i="8" s="1"/>
  <c r="W6801" i="8"/>
  <c r="W6802" i="8"/>
  <c r="W6803" i="8"/>
  <c r="W6804" i="8"/>
  <c r="V6804" i="8" s="1"/>
  <c r="W6805" i="8"/>
  <c r="W6806" i="8"/>
  <c r="W6807" i="8"/>
  <c r="W6808" i="8"/>
  <c r="V6808" i="8" s="1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V6824" i="8" s="1"/>
  <c r="W6825" i="8"/>
  <c r="W6826" i="8"/>
  <c r="W6827" i="8"/>
  <c r="W6828" i="8"/>
  <c r="V6828" i="8" s="1"/>
  <c r="W6829" i="8"/>
  <c r="W6830" i="8"/>
  <c r="W6831" i="8"/>
  <c r="W6832" i="8"/>
  <c r="V6832" i="8" s="1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V6840" i="8" s="1"/>
  <c r="W6841" i="8"/>
  <c r="W6842" i="8"/>
  <c r="W6843" i="8"/>
  <c r="W6844" i="8"/>
  <c r="V6844" i="8" s="1"/>
  <c r="W6845" i="8"/>
  <c r="W6846" i="8"/>
  <c r="W6847" i="8"/>
  <c r="W6848" i="8"/>
  <c r="V6848" i="8" s="1"/>
  <c r="W6849" i="8"/>
  <c r="W6850" i="8"/>
  <c r="W6851" i="8"/>
  <c r="W6852" i="8"/>
  <c r="V6852" i="8" s="1"/>
  <c r="W6853" i="8"/>
  <c r="W6854" i="8"/>
  <c r="W6855" i="8"/>
  <c r="W6856" i="8"/>
  <c r="V6856" i="8" s="1"/>
  <c r="W6857" i="8"/>
  <c r="W6858" i="8"/>
  <c r="W6859" i="8"/>
  <c r="W6860" i="8"/>
  <c r="V6860" i="8" s="1"/>
  <c r="W6861" i="8"/>
  <c r="W6862" i="8"/>
  <c r="W6863" i="8"/>
  <c r="W6864" i="8"/>
  <c r="V6864" i="8" s="1"/>
  <c r="W6865" i="8"/>
  <c r="W6866" i="8"/>
  <c r="W6867" i="8"/>
  <c r="W6868" i="8"/>
  <c r="W6869" i="8"/>
  <c r="V6869" i="8" s="1"/>
  <c r="W6870" i="8"/>
  <c r="W6871" i="8"/>
  <c r="W6872" i="8"/>
  <c r="V6872" i="8" s="1"/>
  <c r="W6873" i="8"/>
  <c r="W6874" i="8"/>
  <c r="W6875" i="8"/>
  <c r="W6876" i="8"/>
  <c r="V6876" i="8" s="1"/>
  <c r="W6877" i="8"/>
  <c r="W6878" i="8"/>
  <c r="W6879" i="8"/>
  <c r="W6880" i="8"/>
  <c r="V6880" i="8" s="1"/>
  <c r="W6881" i="8"/>
  <c r="V6881" i="8" s="1"/>
  <c r="W6882" i="8"/>
  <c r="W6883" i="8"/>
  <c r="W6884" i="8"/>
  <c r="V6884" i="8" s="1"/>
  <c r="W6885" i="8"/>
  <c r="W6886" i="8"/>
  <c r="W6887" i="8"/>
  <c r="W6888" i="8"/>
  <c r="V6888" i="8" s="1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V6912" i="8" s="1"/>
  <c r="W6913" i="8"/>
  <c r="W6914" i="8"/>
  <c r="W6915" i="8"/>
  <c r="W6916" i="8"/>
  <c r="V6916" i="8" s="1"/>
  <c r="W6917" i="8"/>
  <c r="W6918" i="8"/>
  <c r="W6919" i="8"/>
  <c r="W6920" i="8"/>
  <c r="V6920" i="8" s="1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V6944" i="8" s="1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V6960" i="8" s="1"/>
  <c r="W6961" i="8"/>
  <c r="W6962" i="8"/>
  <c r="W6963" i="8"/>
  <c r="W6964" i="8"/>
  <c r="V6964" i="8" s="1"/>
  <c r="W6965" i="8"/>
  <c r="W6966" i="8"/>
  <c r="W6967" i="8"/>
  <c r="W6968" i="8"/>
  <c r="V6968" i="8" s="1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V6984" i="8" s="1"/>
  <c r="W6985" i="8"/>
  <c r="W6986" i="8"/>
  <c r="W6987" i="8"/>
  <c r="W6988" i="8"/>
  <c r="W6989" i="8"/>
  <c r="W6990" i="8"/>
  <c r="W6991" i="8"/>
  <c r="W6992" i="8"/>
  <c r="V6992" i="8" s="1"/>
  <c r="W6993" i="8"/>
  <c r="W6994" i="8"/>
  <c r="W6995" i="8"/>
  <c r="W6996" i="8"/>
  <c r="V6996" i="8" s="1"/>
  <c r="W6997" i="8"/>
  <c r="V6997" i="8" s="1"/>
  <c r="W6998" i="8"/>
  <c r="W6999" i="8"/>
  <c r="W7000" i="8"/>
  <c r="V7000" i="8" s="1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V7032" i="8" s="1"/>
  <c r="W7033" i="8"/>
  <c r="W7034" i="8"/>
  <c r="W7035" i="8"/>
  <c r="W7036" i="8"/>
  <c r="V7036" i="8" s="1"/>
  <c r="W7037" i="8"/>
  <c r="V7037" i="8" s="1"/>
  <c r="W7038" i="8"/>
  <c r="W7039" i="8"/>
  <c r="W7040" i="8"/>
  <c r="V7040" i="8" s="1"/>
  <c r="W7041" i="8"/>
  <c r="V7041" i="8" s="1"/>
  <c r="W7042" i="8"/>
  <c r="W7043" i="8"/>
  <c r="W7044" i="8"/>
  <c r="V7044" i="8" s="1"/>
  <c r="W7045" i="8"/>
  <c r="W7046" i="8"/>
  <c r="W7047" i="8"/>
  <c r="W7048" i="8"/>
  <c r="V7048" i="8" s="1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V7056" i="8" s="1"/>
  <c r="W7057" i="8"/>
  <c r="W7058" i="8"/>
  <c r="W7059" i="8"/>
  <c r="W7060" i="8"/>
  <c r="V7060" i="8" s="1"/>
  <c r="W7061" i="8"/>
  <c r="W7062" i="8"/>
  <c r="W7063" i="8"/>
  <c r="W7064" i="8"/>
  <c r="V7064" i="8" s="1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V7080" i="8" s="1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V7104" i="8" s="1"/>
  <c r="W7105" i="8"/>
  <c r="W7106" i="8"/>
  <c r="W7107" i="8"/>
  <c r="W7108" i="8"/>
  <c r="V7108" i="8" s="1"/>
  <c r="W7109" i="8"/>
  <c r="V7109" i="8" s="1"/>
  <c r="W7110" i="8"/>
  <c r="W7111" i="8"/>
  <c r="W7112" i="8"/>
  <c r="V7112" i="8" s="1"/>
  <c r="W7113" i="8"/>
  <c r="W7114" i="8"/>
  <c r="W7115" i="8"/>
  <c r="W7116" i="8"/>
  <c r="V7116" i="8" s="1"/>
  <c r="W7117" i="8"/>
  <c r="W7118" i="8"/>
  <c r="W7119" i="8"/>
  <c r="W7120" i="8"/>
  <c r="V7120" i="8" s="1"/>
  <c r="W7121" i="8"/>
  <c r="W7122" i="8"/>
  <c r="W7123" i="8"/>
  <c r="W7124" i="8"/>
  <c r="V7124" i="8" s="1"/>
  <c r="W7125" i="8"/>
  <c r="V7125" i="8" s="1"/>
  <c r="W7126" i="8"/>
  <c r="W7127" i="8"/>
  <c r="W7128" i="8"/>
  <c r="V7128" i="8" s="1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V7144" i="8" s="1"/>
  <c r="W7145" i="8"/>
  <c r="W7146" i="8"/>
  <c r="W7147" i="8"/>
  <c r="W7148" i="8"/>
  <c r="W7149" i="8"/>
  <c r="V7149" i="8" s="1"/>
  <c r="W7150" i="8"/>
  <c r="W7151" i="8"/>
  <c r="W7152" i="8"/>
  <c r="V7152" i="8" s="1"/>
  <c r="W7153" i="8"/>
  <c r="W7154" i="8"/>
  <c r="W7155" i="8"/>
  <c r="W7156" i="8"/>
  <c r="V7156" i="8" s="1"/>
  <c r="W7157" i="8"/>
  <c r="W7158" i="8"/>
  <c r="W7159" i="8"/>
  <c r="W7160" i="8"/>
  <c r="V7160" i="8" s="1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V7168" i="8" s="1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V7184" i="8" s="1"/>
  <c r="W7185" i="8"/>
  <c r="W7186" i="8"/>
  <c r="W7187" i="8"/>
  <c r="W7188" i="8"/>
  <c r="W7189" i="8"/>
  <c r="V7189" i="8" s="1"/>
  <c r="W7190" i="8"/>
  <c r="W7191" i="8"/>
  <c r="W7192" i="8"/>
  <c r="V7192" i="8" s="1"/>
  <c r="W7193" i="8"/>
  <c r="W7194" i="8"/>
  <c r="W7195" i="8"/>
  <c r="W7196" i="8"/>
  <c r="V7196" i="8" s="1"/>
  <c r="W7197" i="8"/>
  <c r="W7198" i="8"/>
  <c r="W7199" i="8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V7216" i="8" s="1"/>
  <c r="W7217" i="8"/>
  <c r="W7218" i="8"/>
  <c r="W7219" i="8"/>
  <c r="W7220" i="8"/>
  <c r="V7220" i="8" s="1"/>
  <c r="W7221" i="8"/>
  <c r="V7221" i="8" s="1"/>
  <c r="W7222" i="8"/>
  <c r="W7223" i="8"/>
  <c r="W7224" i="8"/>
  <c r="V7224" i="8" s="1"/>
  <c r="W7225" i="8"/>
  <c r="W7226" i="8"/>
  <c r="W7227" i="8"/>
  <c r="W7228" i="8"/>
  <c r="V7228" i="8" s="1"/>
  <c r="W7229" i="8"/>
  <c r="W7230" i="8"/>
  <c r="W7231" i="8"/>
  <c r="W7232" i="8"/>
  <c r="V7232" i="8" s="1"/>
  <c r="W7233" i="8"/>
  <c r="W7234" i="8"/>
  <c r="W7235" i="8"/>
  <c r="W7236" i="8"/>
  <c r="V7236" i="8" s="1"/>
  <c r="W7237" i="8"/>
  <c r="V7237" i="8" s="1"/>
  <c r="W7238" i="8"/>
  <c r="W7239" i="8"/>
  <c r="W7240" i="8"/>
  <c r="V7240" i="8" s="1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V7264" i="8" s="1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V7288" i="8" s="1"/>
  <c r="W7289" i="8"/>
  <c r="V7289" i="8" s="1"/>
  <c r="W7290" i="8"/>
  <c r="W7291" i="8"/>
  <c r="W7292" i="8"/>
  <c r="V7292" i="8" s="1"/>
  <c r="W7293" i="8"/>
  <c r="W7294" i="8"/>
  <c r="W7295" i="8"/>
  <c r="W7296" i="8"/>
  <c r="V7296" i="8" s="1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V7312" i="8" s="1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V7328" i="8" s="1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V7336" i="8" s="1"/>
  <c r="W7337" i="8"/>
  <c r="W7338" i="8"/>
  <c r="W7339" i="8"/>
  <c r="W7340" i="8"/>
  <c r="V7340" i="8" s="1"/>
  <c r="W7341" i="8"/>
  <c r="W7342" i="8"/>
  <c r="W7343" i="8"/>
  <c r="W7344" i="8"/>
  <c r="V7344" i="8" s="1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V7360" i="8" s="1"/>
  <c r="W7361" i="8"/>
  <c r="W7362" i="8"/>
  <c r="W7363" i="8"/>
  <c r="W7364" i="8"/>
  <c r="V7364" i="8" s="1"/>
  <c r="W7365" i="8"/>
  <c r="V7365" i="8" s="1"/>
  <c r="W7366" i="8"/>
  <c r="W7367" i="8"/>
  <c r="W7368" i="8"/>
  <c r="V7368" i="8" s="1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V7376" i="8" s="1"/>
  <c r="W7377" i="8"/>
  <c r="W7378" i="8"/>
  <c r="W7379" i="8"/>
  <c r="W7380" i="8"/>
  <c r="V7380" i="8" s="1"/>
  <c r="W7381" i="8"/>
  <c r="W7382" i="8"/>
  <c r="W7383" i="8"/>
  <c r="W7384" i="8"/>
  <c r="V7384" i="8" s="1"/>
  <c r="W7385" i="8"/>
  <c r="W7386" i="8"/>
  <c r="W7387" i="8"/>
  <c r="W7388" i="8"/>
  <c r="V7388" i="8" s="1"/>
  <c r="W7389" i="8"/>
  <c r="W7390" i="8"/>
  <c r="W7391" i="8"/>
  <c r="W7392" i="8"/>
  <c r="V7392" i="8" s="1"/>
  <c r="W7393" i="8"/>
  <c r="W7394" i="8"/>
  <c r="W7395" i="8"/>
  <c r="W7396" i="8"/>
  <c r="V7396" i="8" s="1"/>
  <c r="W7397" i="8"/>
  <c r="W7398" i="8"/>
  <c r="W7399" i="8"/>
  <c r="W7400" i="8"/>
  <c r="V7400" i="8" s="1"/>
  <c r="W7401" i="8"/>
  <c r="W7402" i="8"/>
  <c r="W7403" i="8"/>
  <c r="W7404" i="8"/>
  <c r="V7404" i="8" s="1"/>
  <c r="W7405" i="8"/>
  <c r="V7405" i="8" s="1"/>
  <c r="W7406" i="8"/>
  <c r="W7407" i="8"/>
  <c r="W7408" i="8"/>
  <c r="V7408" i="8" s="1"/>
  <c r="W7409" i="8"/>
  <c r="V7409" i="8" s="1"/>
  <c r="W7410" i="8"/>
  <c r="W7411" i="8"/>
  <c r="W7412" i="8"/>
  <c r="V7412" i="8" s="1"/>
  <c r="W7413" i="8"/>
  <c r="W7414" i="8"/>
  <c r="W7415" i="8"/>
  <c r="W7416" i="8"/>
  <c r="V7416" i="8" s="1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V7424" i="8" s="1"/>
  <c r="W7425" i="8"/>
  <c r="W7426" i="8"/>
  <c r="W7427" i="8"/>
  <c r="W7428" i="8"/>
  <c r="V7428" i="8" s="1"/>
  <c r="W7429" i="8"/>
  <c r="W7430" i="8"/>
  <c r="W7431" i="8"/>
  <c r="W7432" i="8"/>
  <c r="V7432" i="8" s="1"/>
  <c r="W7433" i="8"/>
  <c r="W7434" i="8"/>
  <c r="W7435" i="8"/>
  <c r="W7436" i="8"/>
  <c r="V7436" i="8" s="1"/>
  <c r="W7437" i="8"/>
  <c r="W7438" i="8"/>
  <c r="W7439" i="8"/>
  <c r="W7440" i="8"/>
  <c r="V7440" i="8" s="1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V7456" i="8" s="1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V7472" i="8" s="1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V7496" i="8" s="1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V7504" i="8" s="1"/>
  <c r="W7505" i="8"/>
  <c r="W7506" i="8"/>
  <c r="W7507" i="8"/>
  <c r="W7508" i="8"/>
  <c r="V7508" i="8" s="1"/>
  <c r="W7509" i="8"/>
  <c r="W7510" i="8"/>
  <c r="W7511" i="8"/>
  <c r="W7512" i="8"/>
  <c r="V7512" i="8" s="1"/>
  <c r="W7513" i="8"/>
  <c r="W7514" i="8"/>
  <c r="W7515" i="8"/>
  <c r="W7516" i="8"/>
  <c r="V7516" i="8" s="1"/>
  <c r="W7517" i="8"/>
  <c r="W7518" i="8"/>
  <c r="W7519" i="8"/>
  <c r="W7520" i="8"/>
  <c r="V7520" i="8" s="1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V7528" i="8" s="1"/>
  <c r="W7529" i="8"/>
  <c r="W7530" i="8"/>
  <c r="W7531" i="8"/>
  <c r="W7532" i="8"/>
  <c r="V7532" i="8" s="1"/>
  <c r="W7533" i="8"/>
  <c r="W7534" i="8"/>
  <c r="W7535" i="8"/>
  <c r="W7536" i="8"/>
  <c r="V7536" i="8" s="1"/>
  <c r="W7537" i="8"/>
  <c r="W7538" i="8"/>
  <c r="W7539" i="8"/>
  <c r="W7540" i="8"/>
  <c r="V7540" i="8" s="1"/>
  <c r="W7541" i="8"/>
  <c r="V7541" i="8" s="1"/>
  <c r="W7542" i="8"/>
  <c r="W7543" i="8"/>
  <c r="W7544" i="8"/>
  <c r="V7544" i="8" s="1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V7560" i="8" s="1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V7568" i="8" s="1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V7576" i="8" s="1"/>
  <c r="W7577" i="8"/>
  <c r="V7577" i="8" s="1"/>
  <c r="W7578" i="8"/>
  <c r="W7579" i="8"/>
  <c r="W7580" i="8"/>
  <c r="V7580" i="8" s="1"/>
  <c r="W7581" i="8"/>
  <c r="W7582" i="8"/>
  <c r="W7583" i="8"/>
  <c r="W7584" i="8"/>
  <c r="V7584" i="8" s="1"/>
  <c r="W7585" i="8"/>
  <c r="V7585" i="8" s="1"/>
  <c r="W7586" i="8"/>
  <c r="W7587" i="8"/>
  <c r="W7588" i="8"/>
  <c r="V7588" i="8" s="1"/>
  <c r="W7589" i="8"/>
  <c r="W7590" i="8"/>
  <c r="W7591" i="8"/>
  <c r="W7592" i="8"/>
  <c r="V7592" i="8" s="1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V7608" i="8" s="1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V7616" i="8" s="1"/>
  <c r="W7617" i="8"/>
  <c r="W7618" i="8"/>
  <c r="W7619" i="8"/>
  <c r="W7620" i="8"/>
  <c r="V7620" i="8" s="1"/>
  <c r="W7621" i="8"/>
  <c r="W7622" i="8"/>
  <c r="W7623" i="8"/>
  <c r="W7624" i="8"/>
  <c r="V7624" i="8" s="1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V7640" i="8" s="1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V7648" i="8" s="1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V7664" i="8" s="1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V7696" i="8" s="1"/>
  <c r="W7697" i="8"/>
  <c r="V7697" i="8" s="1"/>
  <c r="W7698" i="8"/>
  <c r="W7699" i="8"/>
  <c r="W7700" i="8"/>
  <c r="V7700" i="8" s="1"/>
  <c r="W7701" i="8"/>
  <c r="W7702" i="8"/>
  <c r="W7703" i="8"/>
  <c r="W7704" i="8"/>
  <c r="V7704" i="8" s="1"/>
  <c r="W7705" i="8"/>
  <c r="W7706" i="8"/>
  <c r="W7707" i="8"/>
  <c r="W7708" i="8"/>
  <c r="V7708" i="8" s="1"/>
  <c r="W7709" i="8"/>
  <c r="V7709" i="8" s="1"/>
  <c r="W7710" i="8"/>
  <c r="W7711" i="8"/>
  <c r="W7712" i="8"/>
  <c r="V7712" i="8" s="1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V7744" i="8" s="1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V7768" i="8" s="1"/>
  <c r="W7769" i="8"/>
  <c r="W7770" i="8"/>
  <c r="W7771" i="8"/>
  <c r="W7772" i="8"/>
  <c r="V7772" i="8" s="1"/>
  <c r="W7773" i="8"/>
  <c r="W7774" i="8"/>
  <c r="W7775" i="8"/>
  <c r="W7776" i="8"/>
  <c r="V7776" i="8" s="1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V7784" i="8" s="1"/>
  <c r="W7785" i="8"/>
  <c r="W7786" i="8"/>
  <c r="W7787" i="8"/>
  <c r="W7788" i="8"/>
  <c r="V7788" i="8" s="1"/>
  <c r="W7789" i="8"/>
  <c r="W7790" i="8"/>
  <c r="W7791" i="8"/>
  <c r="W7792" i="8"/>
  <c r="V7792" i="8" s="1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V7800" i="8" s="1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V7808" i="8" s="1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V7840" i="8" s="1"/>
  <c r="W7841" i="8"/>
  <c r="W7842" i="8"/>
  <c r="W7843" i="8"/>
  <c r="W7844" i="8"/>
  <c r="V7844" i="8" s="1"/>
  <c r="W7845" i="8"/>
  <c r="V7845" i="8" s="1"/>
  <c r="W7846" i="8"/>
  <c r="W7847" i="8"/>
  <c r="W7848" i="8"/>
  <c r="V7848" i="8" s="1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V7864" i="8" s="1"/>
  <c r="W7865" i="8"/>
  <c r="W7866" i="8"/>
  <c r="W7867" i="8"/>
  <c r="W7868" i="8"/>
  <c r="V7868" i="8" s="1"/>
  <c r="W7869" i="8"/>
  <c r="W7870" i="8"/>
  <c r="W7871" i="8"/>
  <c r="W7872" i="8"/>
  <c r="V7872" i="8" s="1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V7888" i="8" s="1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V7904" i="8" s="1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V7920" i="8" s="1"/>
  <c r="W7921" i="8"/>
  <c r="W7922" i="8"/>
  <c r="W7923" i="8"/>
  <c r="W7924" i="8"/>
  <c r="V7924" i="8" s="1"/>
  <c r="W7925" i="8"/>
  <c r="W7926" i="8"/>
  <c r="W7927" i="8"/>
  <c r="W7928" i="8"/>
  <c r="V7928" i="8" s="1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V7936" i="8" s="1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V7952" i="8" s="1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V7968" i="8" s="1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V7984" i="8" s="1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V7992" i="8" s="1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V8000" i="8" s="1"/>
  <c r="W8001" i="8"/>
  <c r="V8001" i="8" s="1"/>
  <c r="W8002" i="8"/>
  <c r="W8003" i="8"/>
  <c r="W8004" i="8"/>
  <c r="V8004" i="8" s="1"/>
  <c r="W8005" i="8"/>
  <c r="W8006" i="8"/>
  <c r="W8007" i="8"/>
  <c r="W8008" i="8"/>
  <c r="V8008" i="8" s="1"/>
  <c r="W8009" i="8"/>
  <c r="V8009" i="8" s="1"/>
  <c r="W8010" i="8"/>
  <c r="W8011" i="8"/>
  <c r="W8012" i="8"/>
  <c r="V8012" i="8" s="1"/>
  <c r="W8013" i="8"/>
  <c r="W8014" i="8"/>
  <c r="W8015" i="8"/>
  <c r="W8016" i="8"/>
  <c r="V8016" i="8" s="1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V8040" i="8" s="1"/>
  <c r="W8041" i="8"/>
  <c r="W8042" i="8"/>
  <c r="W8043" i="8"/>
  <c r="W8044" i="8"/>
  <c r="V8044" i="8" s="1"/>
  <c r="W8045" i="8"/>
  <c r="V8045" i="8" s="1"/>
  <c r="W8046" i="8"/>
  <c r="W8047" i="8"/>
  <c r="W8048" i="8"/>
  <c r="V8048" i="8" s="1"/>
  <c r="W8049" i="8"/>
  <c r="W8050" i="8"/>
  <c r="W8051" i="8"/>
  <c r="W8052" i="8"/>
  <c r="V8052" i="8" s="1"/>
  <c r="W8053" i="8"/>
  <c r="V8053" i="8" s="1"/>
  <c r="W8054" i="8"/>
  <c r="W8055" i="8"/>
  <c r="W8056" i="8"/>
  <c r="V8056" i="8" s="1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V8072" i="8" s="1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V8088" i="8" s="1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V8104" i="8" s="1"/>
  <c r="W8105" i="8"/>
  <c r="V8105" i="8" s="1"/>
  <c r="W8106" i="8"/>
  <c r="W8107" i="8"/>
  <c r="W8108" i="8"/>
  <c r="V8108" i="8" s="1"/>
  <c r="W8109" i="8"/>
  <c r="W8110" i="8"/>
  <c r="W8111" i="8"/>
  <c r="W8112" i="8"/>
  <c r="V8112" i="8" s="1"/>
  <c r="W8113" i="8"/>
  <c r="V8113" i="8" s="1"/>
  <c r="W8114" i="8"/>
  <c r="W8115" i="8"/>
  <c r="W8116" i="8"/>
  <c r="V8116" i="8" s="1"/>
  <c r="W8117" i="8"/>
  <c r="W8118" i="8"/>
  <c r="W8119" i="8"/>
  <c r="W8120" i="8"/>
  <c r="V8120" i="8" s="1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V8144" i="8" s="1"/>
  <c r="W8145" i="8"/>
  <c r="W8146" i="8"/>
  <c r="W8147" i="8"/>
  <c r="W8148" i="8"/>
  <c r="V8148" i="8" s="1"/>
  <c r="W8149" i="8"/>
  <c r="W8150" i="8"/>
  <c r="W8151" i="8"/>
  <c r="W8152" i="8"/>
  <c r="V8152" i="8" s="1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V8176" i="8" s="1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V8192" i="8" s="1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V8208" i="8" s="1"/>
  <c r="W8209" i="8"/>
  <c r="V8209" i="8" s="1"/>
  <c r="W8210" i="8"/>
  <c r="W8211" i="8"/>
  <c r="W8212" i="8"/>
  <c r="V8212" i="8" s="1"/>
  <c r="W8213" i="8"/>
  <c r="W8214" i="8"/>
  <c r="W8215" i="8"/>
  <c r="W8216" i="8"/>
  <c r="V8216" i="8" s="1"/>
  <c r="W8217" i="8"/>
  <c r="W8218" i="8"/>
  <c r="W8219" i="8"/>
  <c r="W8220" i="8"/>
  <c r="V8220" i="8" s="1"/>
  <c r="W8221" i="8"/>
  <c r="V8221" i="8" s="1"/>
  <c r="W8222" i="8"/>
  <c r="W8223" i="8"/>
  <c r="W8224" i="8"/>
  <c r="V8224" i="8" s="1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V8240" i="8" s="1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V8248" i="8" s="1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V8256" i="8" s="1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V8272" i="8" s="1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V8304" i="8" s="1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V8312" i="8" s="1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V8336" i="8" s="1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V8368" i="8" s="1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V8384" i="8" s="1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V8416" i="8" s="1"/>
  <c r="W8417" i="8"/>
  <c r="V8417" i="8" s="1"/>
  <c r="W8418" i="8"/>
  <c r="W8419" i="8"/>
  <c r="W8420" i="8"/>
  <c r="V8420" i="8" s="1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V8432" i="8" s="1"/>
  <c r="W8433" i="8"/>
  <c r="W8434" i="8"/>
  <c r="W8435" i="8"/>
  <c r="W8436" i="8"/>
  <c r="V8436" i="8" s="1"/>
  <c r="W8437" i="8"/>
  <c r="W8438" i="8"/>
  <c r="W8439" i="8"/>
  <c r="W8440" i="8"/>
  <c r="V8440" i="8" s="1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V8464" i="8" s="1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V8480" i="8" s="1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V8504" i="8" s="1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V8544" i="8" s="1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V8560" i="8" s="1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V8608" i="8" s="1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V8696" i="8" s="1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V8768" i="8" s="1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V8824" i="8" s="1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V8832" i="8" s="1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V8896" i="8" s="1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V8960" i="8" s="1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V9024" i="8" s="1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V9080" i="8" s="1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9" i="8"/>
  <c r="V6011" i="8"/>
  <c r="V6013" i="8"/>
  <c r="V6014" i="8"/>
  <c r="V6015" i="8"/>
  <c r="V6017" i="8"/>
  <c r="V6019" i="8"/>
  <c r="V6021" i="8"/>
  <c r="V6022" i="8"/>
  <c r="V6023" i="8"/>
  <c r="V6025" i="8"/>
  <c r="V6027" i="8"/>
  <c r="V6029" i="8"/>
  <c r="V6030" i="8"/>
  <c r="V6031" i="8"/>
  <c r="V6033" i="8"/>
  <c r="V6035" i="8"/>
  <c r="V6037" i="8"/>
  <c r="V6038" i="8"/>
  <c r="V6039" i="8"/>
  <c r="V6041" i="8"/>
  <c r="V6043" i="8"/>
  <c r="V6045" i="8"/>
  <c r="V6046" i="8"/>
  <c r="V6047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5" i="8"/>
  <c r="V6067" i="8"/>
  <c r="V6069" i="8"/>
  <c r="V6070" i="8"/>
  <c r="V6071" i="8"/>
  <c r="V6072" i="8"/>
  <c r="V6073" i="8"/>
  <c r="V6075" i="8"/>
  <c r="V6078" i="8"/>
  <c r="V6079" i="8"/>
  <c r="V6081" i="8"/>
  <c r="V6083" i="8"/>
  <c r="V6085" i="8"/>
  <c r="V6086" i="8"/>
  <c r="V6087" i="8"/>
  <c r="V6089" i="8"/>
  <c r="V6091" i="8"/>
  <c r="V6093" i="8"/>
  <c r="V6094" i="8"/>
  <c r="V6095" i="8"/>
  <c r="V6097" i="8"/>
  <c r="V6099" i="8"/>
  <c r="V6101" i="8"/>
  <c r="V6102" i="8"/>
  <c r="V6103" i="8"/>
  <c r="V6105" i="8"/>
  <c r="V6107" i="8"/>
  <c r="V6108" i="8"/>
  <c r="V6110" i="8"/>
  <c r="V6111" i="8"/>
  <c r="V6113" i="8"/>
  <c r="V6115" i="8"/>
  <c r="V6117" i="8"/>
  <c r="V6118" i="8"/>
  <c r="V6119" i="8"/>
  <c r="V6121" i="8"/>
  <c r="V6123" i="8"/>
  <c r="V6125" i="8"/>
  <c r="V6126" i="8"/>
  <c r="V6127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7" i="8"/>
  <c r="V6499" i="8"/>
  <c r="V6501" i="8"/>
  <c r="V6502" i="8"/>
  <c r="V6503" i="8"/>
  <c r="V6505" i="8"/>
  <c r="V6507" i="8"/>
  <c r="V6509" i="8"/>
  <c r="V6510" i="8"/>
  <c r="V6511" i="8"/>
  <c r="V6513" i="8"/>
  <c r="V6515" i="8"/>
  <c r="V6517" i="8"/>
  <c r="V6518" i="8"/>
  <c r="V6519" i="8"/>
  <c r="V6521" i="8"/>
  <c r="V6523" i="8"/>
  <c r="V6525" i="8"/>
  <c r="V6526" i="8"/>
  <c r="V6527" i="8"/>
  <c r="V6529" i="8"/>
  <c r="V6531" i="8"/>
  <c r="V6533" i="8"/>
  <c r="V6534" i="8"/>
  <c r="V6535" i="8"/>
  <c r="V6537" i="8"/>
  <c r="V6539" i="8"/>
  <c r="V6541" i="8"/>
  <c r="V6542" i="8"/>
  <c r="V6543" i="8"/>
  <c r="V6545" i="8"/>
  <c r="V6548" i="8"/>
  <c r="V6549" i="8"/>
  <c r="V6550" i="8"/>
  <c r="V6551" i="8"/>
  <c r="V6553" i="8"/>
  <c r="V6555" i="8"/>
  <c r="V6557" i="8"/>
  <c r="V6558" i="8"/>
  <c r="V6559" i="8"/>
  <c r="V6561" i="8"/>
  <c r="V6565" i="8"/>
  <c r="V6566" i="8"/>
  <c r="V6567" i="8"/>
  <c r="V6568" i="8"/>
  <c r="V6569" i="8"/>
  <c r="V6573" i="8"/>
  <c r="V6574" i="8"/>
  <c r="V6575" i="8"/>
  <c r="V6577" i="8"/>
  <c r="V6581" i="8"/>
  <c r="V6582" i="8"/>
  <c r="V6583" i="8"/>
  <c r="V6584" i="8"/>
  <c r="V6585" i="8"/>
  <c r="V6589" i="8"/>
  <c r="V6590" i="8"/>
  <c r="V6591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7" i="8"/>
  <c r="V6619" i="8"/>
  <c r="V6621" i="8"/>
  <c r="V6622" i="8"/>
  <c r="V6623" i="8"/>
  <c r="V6625" i="8"/>
  <c r="V6629" i="8"/>
  <c r="V6630" i="8"/>
  <c r="V6631" i="8"/>
  <c r="V6632" i="8"/>
  <c r="V6633" i="8"/>
  <c r="V6637" i="8"/>
  <c r="V6638" i="8"/>
  <c r="V6639" i="8"/>
  <c r="V6641" i="8"/>
  <c r="V6645" i="8"/>
  <c r="V6646" i="8"/>
  <c r="V6647" i="8"/>
  <c r="V6648" i="8"/>
  <c r="V6649" i="8"/>
  <c r="V6653" i="8"/>
  <c r="V6654" i="8"/>
  <c r="V6655" i="8"/>
  <c r="V6657" i="8"/>
  <c r="V6661" i="8"/>
  <c r="V6662" i="8"/>
  <c r="V6663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9" i="8"/>
  <c r="V6693" i="8"/>
  <c r="V6694" i="8"/>
  <c r="V6695" i="8"/>
  <c r="V6697" i="8"/>
  <c r="V6701" i="8"/>
  <c r="V6702" i="8"/>
  <c r="V6703" i="8"/>
  <c r="V6704" i="8"/>
  <c r="V6705" i="8"/>
  <c r="V6709" i="8"/>
  <c r="V6710" i="8"/>
  <c r="V6711" i="8"/>
  <c r="V6713" i="8"/>
  <c r="V6717" i="8"/>
  <c r="V6718" i="8"/>
  <c r="V6719" i="8"/>
  <c r="V6720" i="8"/>
  <c r="V6721" i="8"/>
  <c r="V6725" i="8"/>
  <c r="V6726" i="8"/>
  <c r="V6727" i="8"/>
  <c r="V6729" i="8"/>
  <c r="V6731" i="8"/>
  <c r="V6732" i="8"/>
  <c r="V6733" i="8"/>
  <c r="V6734" i="8"/>
  <c r="V6735" i="8"/>
  <c r="V6737" i="8"/>
  <c r="V6741" i="8"/>
  <c r="V6742" i="8"/>
  <c r="V6743" i="8"/>
  <c r="V6747" i="8"/>
  <c r="V6749" i="8"/>
  <c r="V6750" i="8"/>
  <c r="V6751" i="8"/>
  <c r="V6752" i="8"/>
  <c r="V6753" i="8"/>
  <c r="V6757" i="8"/>
  <c r="V6758" i="8"/>
  <c r="V6759" i="8"/>
  <c r="V6761" i="8"/>
  <c r="V6763" i="8"/>
  <c r="V6765" i="8"/>
  <c r="V6766" i="8"/>
  <c r="V6767" i="8"/>
  <c r="V6769" i="8"/>
  <c r="V6771" i="8"/>
  <c r="V6773" i="8"/>
  <c r="V6774" i="8"/>
  <c r="V6775" i="8"/>
  <c r="V6777" i="8"/>
  <c r="V6781" i="8"/>
  <c r="V6782" i="8"/>
  <c r="V6783" i="8"/>
  <c r="V6785" i="8"/>
  <c r="V6787" i="8"/>
  <c r="V6789" i="8"/>
  <c r="V6790" i="8"/>
  <c r="V6791" i="8"/>
  <c r="V6792" i="8"/>
  <c r="V6795" i="8"/>
  <c r="V6797" i="8"/>
  <c r="V6798" i="8"/>
  <c r="V6799" i="8"/>
  <c r="V6801" i="8"/>
  <c r="V6803" i="8"/>
  <c r="V6805" i="8"/>
  <c r="V6806" i="8"/>
  <c r="V6807" i="8"/>
  <c r="V6809" i="8"/>
  <c r="V6811" i="8"/>
  <c r="V6814" i="8"/>
  <c r="V6815" i="8"/>
  <c r="V6816" i="8"/>
  <c r="V6817" i="8"/>
  <c r="V6820" i="8"/>
  <c r="V6822" i="8"/>
  <c r="V6823" i="8"/>
  <c r="V6825" i="8"/>
  <c r="V6827" i="8"/>
  <c r="V6829" i="8"/>
  <c r="V6830" i="8"/>
  <c r="V6831" i="8"/>
  <c r="V6835" i="8"/>
  <c r="V6838" i="8"/>
  <c r="V6839" i="8"/>
  <c r="V6841" i="8"/>
  <c r="V6843" i="8"/>
  <c r="V6845" i="8"/>
  <c r="V6846" i="8"/>
  <c r="V6847" i="8"/>
  <c r="V6849" i="8"/>
  <c r="V6851" i="8"/>
  <c r="V6853" i="8"/>
  <c r="V6854" i="8"/>
  <c r="V6855" i="8"/>
  <c r="V6857" i="8"/>
  <c r="V6859" i="8"/>
  <c r="V6861" i="8"/>
  <c r="V6862" i="8"/>
  <c r="V6863" i="8"/>
  <c r="V6865" i="8"/>
  <c r="V6867" i="8"/>
  <c r="V6868" i="8"/>
  <c r="V6870" i="8"/>
  <c r="V6871" i="8"/>
  <c r="V6873" i="8"/>
  <c r="V6875" i="8"/>
  <c r="V6877" i="8"/>
  <c r="V6878" i="8"/>
  <c r="V6879" i="8"/>
  <c r="V6885" i="8"/>
  <c r="V6886" i="8"/>
  <c r="V6887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3" i="8"/>
  <c r="V6915" i="8"/>
  <c r="V6917" i="8"/>
  <c r="V6918" i="8"/>
  <c r="V6919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5" i="8"/>
  <c r="V6948" i="8"/>
  <c r="V6950" i="8"/>
  <c r="V6951" i="8"/>
  <c r="V6952" i="8"/>
  <c r="V6953" i="8"/>
  <c r="V6955" i="8"/>
  <c r="V6958" i="8"/>
  <c r="V6959" i="8"/>
  <c r="V6961" i="8"/>
  <c r="V6963" i="8"/>
  <c r="V6965" i="8"/>
  <c r="V6966" i="8"/>
  <c r="V6967" i="8"/>
  <c r="V6971" i="8"/>
  <c r="V6973" i="8"/>
  <c r="V6974" i="8"/>
  <c r="V6975" i="8"/>
  <c r="V6976" i="8"/>
  <c r="V6977" i="8"/>
  <c r="V6979" i="8"/>
  <c r="V6982" i="8"/>
  <c r="V6983" i="8"/>
  <c r="V6985" i="8"/>
  <c r="V6987" i="8"/>
  <c r="V6988" i="8"/>
  <c r="V6989" i="8"/>
  <c r="V6990" i="8"/>
  <c r="V6991" i="8"/>
  <c r="V6993" i="8"/>
  <c r="V6995" i="8"/>
  <c r="V6998" i="8"/>
  <c r="V6999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3" i="8"/>
  <c r="V7035" i="8"/>
  <c r="V7038" i="8"/>
  <c r="V7039" i="8"/>
  <c r="V7043" i="8"/>
  <c r="V7045" i="8"/>
  <c r="V7046" i="8"/>
  <c r="V7047" i="8"/>
  <c r="V7051" i="8"/>
  <c r="V7054" i="8"/>
  <c r="V7055" i="8"/>
  <c r="V7057" i="8"/>
  <c r="V7059" i="8"/>
  <c r="V7061" i="8"/>
  <c r="V7062" i="8"/>
  <c r="V7063" i="8"/>
  <c r="V7065" i="8"/>
  <c r="V7067" i="8"/>
  <c r="V7070" i="8"/>
  <c r="V7071" i="8"/>
  <c r="V7072" i="8"/>
  <c r="V7073" i="8"/>
  <c r="V7077" i="8"/>
  <c r="V7078" i="8"/>
  <c r="V7079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5" i="8"/>
  <c r="V7107" i="8"/>
  <c r="V7110" i="8"/>
  <c r="V7111" i="8"/>
  <c r="V7113" i="8"/>
  <c r="V7115" i="8"/>
  <c r="V7117" i="8"/>
  <c r="V7118" i="8"/>
  <c r="V7119" i="8"/>
  <c r="V7121" i="8"/>
  <c r="V7123" i="8"/>
  <c r="V7126" i="8"/>
  <c r="V7127" i="8"/>
  <c r="V7131" i="8"/>
  <c r="V7134" i="8"/>
  <c r="V7135" i="8"/>
  <c r="V7136" i="8"/>
  <c r="V7137" i="8"/>
  <c r="V7141" i="8"/>
  <c r="V7142" i="8"/>
  <c r="V7143" i="8"/>
  <c r="V7145" i="8"/>
  <c r="V7147" i="8"/>
  <c r="V7148" i="8"/>
  <c r="V7150" i="8"/>
  <c r="V7151" i="8"/>
  <c r="V7153" i="8"/>
  <c r="V7155" i="8"/>
  <c r="V7157" i="8"/>
  <c r="V7158" i="8"/>
  <c r="V7159" i="8"/>
  <c r="V7163" i="8"/>
  <c r="V7166" i="8"/>
  <c r="V7167" i="8"/>
  <c r="V7171" i="8"/>
  <c r="V7173" i="8"/>
  <c r="V7174" i="8"/>
  <c r="V7175" i="8"/>
  <c r="V7176" i="8"/>
  <c r="V7177" i="8"/>
  <c r="V7179" i="8"/>
  <c r="V7182" i="8"/>
  <c r="V7183" i="8"/>
  <c r="V7185" i="8"/>
  <c r="V7187" i="8"/>
  <c r="V7188" i="8"/>
  <c r="V7190" i="8"/>
  <c r="V7191" i="8"/>
  <c r="V7193" i="8"/>
  <c r="V7195" i="8"/>
  <c r="V7197" i="8"/>
  <c r="V7198" i="8"/>
  <c r="V7199" i="8"/>
  <c r="V7206" i="8"/>
  <c r="V7207" i="8"/>
  <c r="V7208" i="8"/>
  <c r="V7209" i="8"/>
  <c r="V7211" i="8"/>
  <c r="V7213" i="8"/>
  <c r="V7214" i="8"/>
  <c r="V7215" i="8"/>
  <c r="V7217" i="8"/>
  <c r="V7219" i="8"/>
  <c r="V7222" i="8"/>
  <c r="V7223" i="8"/>
  <c r="V7225" i="8"/>
  <c r="V7227" i="8"/>
  <c r="V7229" i="8"/>
  <c r="V7230" i="8"/>
  <c r="V7231" i="8"/>
  <c r="V7233" i="8"/>
  <c r="V7235" i="8"/>
  <c r="V7238" i="8"/>
  <c r="V7239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91" i="8"/>
  <c r="V7293" i="8"/>
  <c r="V7294" i="8"/>
  <c r="V7295" i="8"/>
  <c r="V7297" i="8"/>
  <c r="V7299" i="8"/>
  <c r="V7302" i="8"/>
  <c r="V7303" i="8"/>
  <c r="V7304" i="8"/>
  <c r="V7305" i="8"/>
  <c r="V7307" i="8"/>
  <c r="V7308" i="8"/>
  <c r="V7310" i="8"/>
  <c r="V7311" i="8"/>
  <c r="V7313" i="8"/>
  <c r="V7315" i="8"/>
  <c r="V7317" i="8"/>
  <c r="V7318" i="8"/>
  <c r="V7319" i="8"/>
  <c r="V7320" i="8"/>
  <c r="V7323" i="8"/>
  <c r="V7325" i="8"/>
  <c r="V7326" i="8"/>
  <c r="V7327" i="8"/>
  <c r="V7331" i="8"/>
  <c r="V7334" i="8"/>
  <c r="V7335" i="8"/>
  <c r="V7337" i="8"/>
  <c r="V7339" i="8"/>
  <c r="V7341" i="8"/>
  <c r="V7342" i="8"/>
  <c r="V7343" i="8"/>
  <c r="V7345" i="8"/>
  <c r="V7347" i="8"/>
  <c r="V7350" i="8"/>
  <c r="V7351" i="8"/>
  <c r="V7352" i="8"/>
  <c r="V7353" i="8"/>
  <c r="V7355" i="8"/>
  <c r="V7357" i="8"/>
  <c r="V7358" i="8"/>
  <c r="V7359" i="8"/>
  <c r="V7361" i="8"/>
  <c r="V7363" i="8"/>
  <c r="V7366" i="8"/>
  <c r="V7367" i="8"/>
  <c r="V7371" i="8"/>
  <c r="V7374" i="8"/>
  <c r="V7375" i="8"/>
  <c r="V7377" i="8"/>
  <c r="V7379" i="8"/>
  <c r="V7381" i="8"/>
  <c r="V7382" i="8"/>
  <c r="V7383" i="8"/>
  <c r="V7385" i="8"/>
  <c r="V7387" i="8"/>
  <c r="V7389" i="8"/>
  <c r="V7390" i="8"/>
  <c r="V7391" i="8"/>
  <c r="V7393" i="8"/>
  <c r="V7395" i="8"/>
  <c r="V7397" i="8"/>
  <c r="V7398" i="8"/>
  <c r="V7399" i="8"/>
  <c r="V7401" i="8"/>
  <c r="V7403" i="8"/>
  <c r="V7406" i="8"/>
  <c r="V7407" i="8"/>
  <c r="V7411" i="8"/>
  <c r="V7413" i="8"/>
  <c r="V7414" i="8"/>
  <c r="V7415" i="8"/>
  <c r="V7419" i="8"/>
  <c r="V7422" i="8"/>
  <c r="V7423" i="8"/>
  <c r="V7425" i="8"/>
  <c r="V7427" i="8"/>
  <c r="V7429" i="8"/>
  <c r="V7430" i="8"/>
  <c r="V7431" i="8"/>
  <c r="V7433" i="8"/>
  <c r="V7435" i="8"/>
  <c r="V7437" i="8"/>
  <c r="V7438" i="8"/>
  <c r="V7439" i="8"/>
  <c r="V7443" i="8"/>
  <c r="V7445" i="8"/>
  <c r="V7446" i="8"/>
  <c r="V7447" i="8"/>
  <c r="V7448" i="8"/>
  <c r="V7449" i="8"/>
  <c r="V7451" i="8"/>
  <c r="V7454" i="8"/>
  <c r="V7455" i="8"/>
  <c r="V7457" i="8"/>
  <c r="V7459" i="8"/>
  <c r="V7462" i="8"/>
  <c r="V7463" i="8"/>
  <c r="V7464" i="8"/>
  <c r="V7467" i="8"/>
  <c r="V7470" i="8"/>
  <c r="V7471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9" i="8"/>
  <c r="V7502" i="8"/>
  <c r="V7503" i="8"/>
  <c r="V7505" i="8"/>
  <c r="V7507" i="8"/>
  <c r="V7509" i="8"/>
  <c r="V7510" i="8"/>
  <c r="V7511" i="8"/>
  <c r="V7513" i="8"/>
  <c r="V7515" i="8"/>
  <c r="V7517" i="8"/>
  <c r="V7518" i="8"/>
  <c r="V7519" i="8"/>
  <c r="V7523" i="8"/>
  <c r="V7526" i="8"/>
  <c r="V7527" i="8"/>
  <c r="V7529" i="8"/>
  <c r="V7531" i="8"/>
  <c r="V7533" i="8"/>
  <c r="V7534" i="8"/>
  <c r="V7535" i="8"/>
  <c r="V7537" i="8"/>
  <c r="V7539" i="8"/>
  <c r="V7542" i="8"/>
  <c r="V7543" i="8"/>
  <c r="V7545" i="8"/>
  <c r="V7547" i="8"/>
  <c r="V7549" i="8"/>
  <c r="V7550" i="8"/>
  <c r="V7551" i="8"/>
  <c r="V7552" i="8"/>
  <c r="V7555" i="8"/>
  <c r="V7557" i="8"/>
  <c r="V7558" i="8"/>
  <c r="V7559" i="8"/>
  <c r="V7563" i="8"/>
  <c r="V7566" i="8"/>
  <c r="V7567" i="8"/>
  <c r="V7571" i="8"/>
  <c r="V7574" i="8"/>
  <c r="V7575" i="8"/>
  <c r="V7579" i="8"/>
  <c r="V7581" i="8"/>
  <c r="V7582" i="8"/>
  <c r="V7583" i="8"/>
  <c r="V7587" i="8"/>
  <c r="V7589" i="8"/>
  <c r="V7590" i="8"/>
  <c r="V7591" i="8"/>
  <c r="V7593" i="8"/>
  <c r="V7595" i="8"/>
  <c r="V7598" i="8"/>
  <c r="V7599" i="8"/>
  <c r="V7600" i="8"/>
  <c r="V7601" i="8"/>
  <c r="V7603" i="8"/>
  <c r="V7606" i="8"/>
  <c r="V7607" i="8"/>
  <c r="V7611" i="8"/>
  <c r="V7614" i="8"/>
  <c r="V7615" i="8"/>
  <c r="V7617" i="8"/>
  <c r="V7619" i="8"/>
  <c r="V7621" i="8"/>
  <c r="V7622" i="8"/>
  <c r="V7623" i="8"/>
  <c r="V7627" i="8"/>
  <c r="V7629" i="8"/>
  <c r="V7630" i="8"/>
  <c r="V7631" i="8"/>
  <c r="V7632" i="8"/>
  <c r="V7633" i="8"/>
  <c r="V7635" i="8"/>
  <c r="V7638" i="8"/>
  <c r="V7639" i="8"/>
  <c r="V7643" i="8"/>
  <c r="V7646" i="8"/>
  <c r="V7647" i="8"/>
  <c r="V7651" i="8"/>
  <c r="V7653" i="8"/>
  <c r="V7654" i="8"/>
  <c r="V7655" i="8"/>
  <c r="V7656" i="8"/>
  <c r="V7657" i="8"/>
  <c r="V7659" i="8"/>
  <c r="V7662" i="8"/>
  <c r="V7663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9" i="8"/>
  <c r="V7701" i="8"/>
  <c r="V7702" i="8"/>
  <c r="V7703" i="8"/>
  <c r="V7705" i="8"/>
  <c r="V7707" i="8"/>
  <c r="V7710" i="8"/>
  <c r="V7711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9" i="8"/>
  <c r="V7771" i="8"/>
  <c r="V7773" i="8"/>
  <c r="V7774" i="8"/>
  <c r="V7775" i="8"/>
  <c r="V7779" i="8"/>
  <c r="V7782" i="8"/>
  <c r="V7783" i="8"/>
  <c r="V7785" i="8"/>
  <c r="V7787" i="8"/>
  <c r="V7789" i="8"/>
  <c r="V7790" i="8"/>
  <c r="V7791" i="8"/>
  <c r="V7795" i="8"/>
  <c r="V7798" i="8"/>
  <c r="V7799" i="8"/>
  <c r="V7803" i="8"/>
  <c r="V7806" i="8"/>
  <c r="V7807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1" i="8"/>
  <c r="V7843" i="8"/>
  <c r="V7846" i="8"/>
  <c r="V7847" i="8"/>
  <c r="V7851" i="8"/>
  <c r="V7854" i="8"/>
  <c r="V7855" i="8"/>
  <c r="V7856" i="8"/>
  <c r="V7857" i="8"/>
  <c r="V7859" i="8"/>
  <c r="V7862" i="8"/>
  <c r="V7863" i="8"/>
  <c r="V7865" i="8"/>
  <c r="V7867" i="8"/>
  <c r="V7869" i="8"/>
  <c r="V7870" i="8"/>
  <c r="V7871" i="8"/>
  <c r="V7875" i="8"/>
  <c r="V7877" i="8"/>
  <c r="V7878" i="8"/>
  <c r="V7879" i="8"/>
  <c r="V7880" i="8"/>
  <c r="V7883" i="8"/>
  <c r="V7886" i="8"/>
  <c r="V7887" i="8"/>
  <c r="V7891" i="8"/>
  <c r="V7894" i="8"/>
  <c r="V7895" i="8"/>
  <c r="V7896" i="8"/>
  <c r="V7899" i="8"/>
  <c r="V7901" i="8"/>
  <c r="V7902" i="8"/>
  <c r="V7903" i="8"/>
  <c r="V7907" i="8"/>
  <c r="V7909" i="8"/>
  <c r="V7910" i="8"/>
  <c r="V7911" i="8"/>
  <c r="V7912" i="8"/>
  <c r="V7913" i="8"/>
  <c r="V7915" i="8"/>
  <c r="V7918" i="8"/>
  <c r="V7919" i="8"/>
  <c r="V7921" i="8"/>
  <c r="V7923" i="8"/>
  <c r="V7925" i="8"/>
  <c r="V7926" i="8"/>
  <c r="V7927" i="8"/>
  <c r="V7931" i="8"/>
  <c r="V7934" i="8"/>
  <c r="V7935" i="8"/>
  <c r="V7937" i="8"/>
  <c r="V7939" i="8"/>
  <c r="V7942" i="8"/>
  <c r="V7943" i="8"/>
  <c r="V7944" i="8"/>
  <c r="V7945" i="8"/>
  <c r="V7947" i="8"/>
  <c r="V7950" i="8"/>
  <c r="V7951" i="8"/>
  <c r="V7955" i="8"/>
  <c r="V7957" i="8"/>
  <c r="V7958" i="8"/>
  <c r="V7959" i="8"/>
  <c r="V7960" i="8"/>
  <c r="V7961" i="8"/>
  <c r="V7963" i="8"/>
  <c r="V7966" i="8"/>
  <c r="V7967" i="8"/>
  <c r="V7969" i="8"/>
  <c r="V7971" i="8"/>
  <c r="V7974" i="8"/>
  <c r="V7975" i="8"/>
  <c r="V7976" i="8"/>
  <c r="V7979" i="8"/>
  <c r="V7981" i="8"/>
  <c r="V7982" i="8"/>
  <c r="V7983" i="8"/>
  <c r="V7987" i="8"/>
  <c r="V7990" i="8"/>
  <c r="V7991" i="8"/>
  <c r="V7995" i="8"/>
  <c r="V7998" i="8"/>
  <c r="V7999" i="8"/>
  <c r="V8003" i="8"/>
  <c r="V8005" i="8"/>
  <c r="V8006" i="8"/>
  <c r="V8007" i="8"/>
  <c r="V8011" i="8"/>
  <c r="V8013" i="8"/>
  <c r="V8014" i="8"/>
  <c r="V8015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1" i="8"/>
  <c r="V8043" i="8"/>
  <c r="V8046" i="8"/>
  <c r="V8047" i="8"/>
  <c r="V8049" i="8"/>
  <c r="V8051" i="8"/>
  <c r="V8054" i="8"/>
  <c r="V8055" i="8"/>
  <c r="V8059" i="8"/>
  <c r="V8061" i="8"/>
  <c r="V8062" i="8"/>
  <c r="V8063" i="8"/>
  <c r="V8064" i="8"/>
  <c r="V8065" i="8"/>
  <c r="V8067" i="8"/>
  <c r="V8070" i="8"/>
  <c r="V8071" i="8"/>
  <c r="V8073" i="8"/>
  <c r="V8075" i="8"/>
  <c r="V8078" i="8"/>
  <c r="V8079" i="8"/>
  <c r="V8080" i="8"/>
  <c r="V8083" i="8"/>
  <c r="V8086" i="8"/>
  <c r="V8087" i="8"/>
  <c r="V8089" i="8"/>
  <c r="V8091" i="8"/>
  <c r="V8093" i="8"/>
  <c r="V8094" i="8"/>
  <c r="V8095" i="8"/>
  <c r="V8096" i="8"/>
  <c r="V8097" i="8"/>
  <c r="V8099" i="8"/>
  <c r="V8102" i="8"/>
  <c r="V8103" i="8"/>
  <c r="V8107" i="8"/>
  <c r="V8109" i="8"/>
  <c r="V8110" i="8"/>
  <c r="V8111" i="8"/>
  <c r="V8115" i="8"/>
  <c r="V8117" i="8"/>
  <c r="V8118" i="8"/>
  <c r="V8119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5" i="8"/>
  <c r="V8147" i="8"/>
  <c r="V8149" i="8"/>
  <c r="V8150" i="8"/>
  <c r="V8151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7" i="8"/>
  <c r="V8179" i="8"/>
  <c r="V8182" i="8"/>
  <c r="V8183" i="8"/>
  <c r="V8184" i="8"/>
  <c r="V8187" i="8"/>
  <c r="V8190" i="8"/>
  <c r="V8191" i="8"/>
  <c r="V8193" i="8"/>
  <c r="V8195" i="8"/>
  <c r="V8197" i="8"/>
  <c r="V8198" i="8"/>
  <c r="V8199" i="8"/>
  <c r="V8201" i="8"/>
  <c r="V8203" i="8"/>
  <c r="V8205" i="8"/>
  <c r="V8206" i="8"/>
  <c r="V8207" i="8"/>
  <c r="V8211" i="8"/>
  <c r="V8213" i="8"/>
  <c r="V8214" i="8"/>
  <c r="V8215" i="8"/>
  <c r="V8217" i="8"/>
  <c r="V8219" i="8"/>
  <c r="V8222" i="8"/>
  <c r="V8223" i="8"/>
  <c r="V8225" i="8"/>
  <c r="V8227" i="8"/>
  <c r="V8229" i="8"/>
  <c r="V8230" i="8"/>
  <c r="V8231" i="8"/>
  <c r="V8233" i="8"/>
  <c r="V8235" i="8"/>
  <c r="V8238" i="8"/>
  <c r="V8239" i="8"/>
  <c r="V8243" i="8"/>
  <c r="V8246" i="8"/>
  <c r="V8247" i="8"/>
  <c r="V8251" i="8"/>
  <c r="V8254" i="8"/>
  <c r="V8255" i="8"/>
  <c r="V8259" i="8"/>
  <c r="V8261" i="8"/>
  <c r="V8262" i="8"/>
  <c r="V8263" i="8"/>
  <c r="V8265" i="8"/>
  <c r="V8267" i="8"/>
  <c r="V8269" i="8"/>
  <c r="V8270" i="8"/>
  <c r="V8271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7" i="8"/>
  <c r="V8310" i="8"/>
  <c r="V8311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9" i="8"/>
  <c r="V8371" i="8"/>
  <c r="V8374" i="8"/>
  <c r="V8375" i="8"/>
  <c r="V8376" i="8"/>
  <c r="V8379" i="8"/>
  <c r="V8381" i="8"/>
  <c r="V8382" i="8"/>
  <c r="V8383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9" i="8"/>
  <c r="V8422" i="8"/>
  <c r="V8423" i="8"/>
  <c r="V8427" i="8"/>
  <c r="V8430" i="8"/>
  <c r="V8431" i="8"/>
  <c r="V8433" i="8"/>
  <c r="V8435" i="8"/>
  <c r="V8437" i="8"/>
  <c r="V8438" i="8"/>
  <c r="V8439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5" i="8"/>
  <c r="V8467" i="8"/>
  <c r="V8469" i="8"/>
  <c r="V8470" i="8"/>
  <c r="V8471" i="8"/>
  <c r="V8475" i="8"/>
  <c r="V8478" i="8"/>
  <c r="V8479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5" i="8"/>
  <c r="V8547" i="8"/>
  <c r="V8550" i="8"/>
  <c r="V8551" i="8"/>
  <c r="V8555" i="8"/>
  <c r="V8558" i="8"/>
  <c r="V8559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7" i="8"/>
  <c r="V8830" i="8"/>
  <c r="V8831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24" i="1" l="1"/>
  <c r="BE28" i="1"/>
  <c r="BE31" i="1"/>
  <c r="BE7" i="1"/>
  <c r="BE17" i="1"/>
  <c r="BE10" i="1"/>
  <c r="BE29" i="1"/>
  <c r="BE20" i="1"/>
  <c r="BE13" i="1"/>
  <c r="BE25" i="1"/>
  <c r="BE30" i="1"/>
  <c r="BE21" i="1"/>
  <c r="BE19" i="1"/>
  <c r="BE8" i="1"/>
  <c r="BE11" i="1"/>
  <c r="BE18" i="1"/>
  <c r="BE12" i="1"/>
  <c r="BE22" i="1"/>
  <c r="BE26" i="1"/>
  <c r="BE14" i="1"/>
  <c r="BE34" i="1"/>
  <c r="BE32" i="1"/>
  <c r="BE23" i="1"/>
  <c r="BE27" i="1"/>
  <c r="BE15" i="1"/>
  <c r="BE35" i="1"/>
  <c r="BE16" i="1"/>
  <c r="BE9" i="1"/>
  <c r="BE33" i="1"/>
  <c r="BE4" i="1"/>
  <c r="BF4" i="1" s="1"/>
  <c r="BE5" i="1"/>
  <c r="BF5" i="1" s="1"/>
  <c r="BE6" i="1"/>
  <c r="BF6" i="1" s="1"/>
  <c r="BE3" i="1"/>
  <c r="BF3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Q28" i="1" l="1"/>
  <c r="AU26" i="1"/>
  <c r="H20" i="1"/>
  <c r="U19" i="1"/>
  <c r="Q33" i="1"/>
  <c r="X153" i="8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6" i="1" l="1"/>
  <c r="U21" i="1"/>
  <c r="AU34" i="1"/>
  <c r="H31" i="1"/>
  <c r="Q19" i="1"/>
  <c r="U32" i="1"/>
  <c r="AU20" i="1"/>
  <c r="U29" i="1"/>
  <c r="S35" i="1"/>
  <c r="H23" i="1"/>
  <c r="H19" i="1"/>
  <c r="Q22" i="1"/>
  <c r="L27" i="1"/>
  <c r="B27" i="1" s="1"/>
  <c r="L23" i="1"/>
  <c r="B23" i="1" s="1"/>
  <c r="M33" i="1"/>
  <c r="M19" i="1"/>
  <c r="L25" i="1"/>
  <c r="B25" i="1" s="1"/>
  <c r="L20" i="1"/>
  <c r="B20" i="1" s="1"/>
  <c r="J34" i="1"/>
  <c r="M28" i="1"/>
  <c r="BD34" i="1"/>
  <c r="AU23" i="1"/>
  <c r="S33" i="1"/>
  <c r="B5" i="1"/>
  <c r="AU22" i="1"/>
  <c r="S24" i="1"/>
  <c r="AU35" i="1"/>
  <c r="H25" i="1"/>
  <c r="H30" i="1"/>
  <c r="U33" i="1"/>
  <c r="AU29" i="1"/>
  <c r="Q21" i="1"/>
  <c r="S25" i="1"/>
  <c r="L24" i="1"/>
  <c r="B24" i="1" s="1"/>
  <c r="L33" i="1"/>
  <c r="B33" i="1" s="1"/>
  <c r="L29" i="1"/>
  <c r="B29" i="1" s="1"/>
  <c r="M25" i="1"/>
  <c r="L21" i="1"/>
  <c r="B21" i="1" s="1"/>
  <c r="J33" i="1"/>
  <c r="L19" i="1"/>
  <c r="B19" i="1" s="1"/>
  <c r="J32" i="1"/>
  <c r="BD19" i="1"/>
  <c r="J26" i="1"/>
  <c r="J25" i="1"/>
  <c r="J29" i="1"/>
  <c r="B4" i="1"/>
  <c r="H32" i="1"/>
  <c r="H22" i="1"/>
  <c r="S31" i="1"/>
  <c r="AU32" i="1"/>
  <c r="S34" i="1"/>
  <c r="S32" i="1"/>
  <c r="AU33" i="1"/>
  <c r="Q26" i="1"/>
  <c r="H21" i="1"/>
  <c r="Q27" i="1"/>
  <c r="L22" i="1"/>
  <c r="B22" i="1" s="1"/>
  <c r="BD24" i="1"/>
  <c r="M29" i="1"/>
  <c r="J31" i="1"/>
  <c r="J19" i="1"/>
  <c r="L34" i="1"/>
  <c r="B34" i="1" s="1"/>
  <c r="BD23" i="1"/>
  <c r="M32" i="1"/>
  <c r="J24" i="1"/>
  <c r="BD29" i="1"/>
  <c r="S12" i="1"/>
  <c r="T12" i="1" s="1"/>
  <c r="AU21" i="1"/>
  <c r="AU25" i="1"/>
  <c r="H27" i="1"/>
  <c r="U27" i="1"/>
  <c r="AU31" i="1"/>
  <c r="H26" i="1"/>
  <c r="U26" i="1"/>
  <c r="L35" i="1"/>
  <c r="B35" i="1" s="1"/>
  <c r="M31" i="1"/>
  <c r="L31" i="1"/>
  <c r="B31" i="1" s="1"/>
  <c r="BD35" i="1"/>
  <c r="J23" i="1"/>
  <c r="BD30" i="1"/>
  <c r="J30" i="1"/>
  <c r="BD31" i="1"/>
  <c r="M24" i="1"/>
  <c r="M21" i="1"/>
  <c r="U22" i="1"/>
  <c r="Q25" i="1"/>
  <c r="H33" i="1"/>
  <c r="S26" i="1"/>
  <c r="U24" i="1"/>
  <c r="Q35" i="1"/>
  <c r="Q31" i="1"/>
  <c r="Q23" i="1"/>
  <c r="J20" i="1"/>
  <c r="BD26" i="1"/>
  <c r="BD27" i="1"/>
  <c r="J35" i="1"/>
  <c r="BD33" i="1"/>
  <c r="M23" i="1"/>
  <c r="BD21" i="1"/>
  <c r="L26" i="1"/>
  <c r="B26" i="1" s="1"/>
  <c r="BD22" i="1"/>
  <c r="J28" i="1"/>
  <c r="BD28" i="1"/>
  <c r="U23" i="1"/>
  <c r="AU19" i="1"/>
  <c r="S29" i="1"/>
  <c r="J22" i="1"/>
  <c r="Q30" i="1"/>
  <c r="Q24" i="1"/>
  <c r="U35" i="1"/>
  <c r="H29" i="1"/>
  <c r="S30" i="1"/>
  <c r="U31" i="1"/>
  <c r="Q29" i="1"/>
  <c r="Q34" i="1"/>
  <c r="AU24" i="1"/>
  <c r="H34" i="1"/>
  <c r="Q32" i="1"/>
  <c r="S27" i="1"/>
  <c r="U20" i="1"/>
  <c r="U28" i="1"/>
  <c r="M20" i="1"/>
  <c r="L30" i="1"/>
  <c r="B30" i="1" s="1"/>
  <c r="BD32" i="1"/>
  <c r="L32" i="1"/>
  <c r="B32" i="1" s="1"/>
  <c r="BD20" i="1"/>
  <c r="M22" i="1"/>
  <c r="BD25" i="1"/>
  <c r="AU28" i="1"/>
  <c r="U34" i="1"/>
  <c r="L28" i="1"/>
  <c r="B28" i="1" s="1"/>
  <c r="J21" i="1"/>
  <c r="H35" i="1"/>
  <c r="H24" i="1"/>
  <c r="Q20" i="1"/>
  <c r="U30" i="1"/>
  <c r="U25" i="1"/>
  <c r="AU30" i="1"/>
  <c r="H28" i="1"/>
  <c r="AU27" i="1"/>
  <c r="M35" i="1"/>
  <c r="J27" i="1"/>
  <c r="M30" i="1"/>
  <c r="M34" i="1"/>
  <c r="M27" i="1"/>
  <c r="M26" i="1"/>
  <c r="U9" i="1"/>
  <c r="S14" i="1"/>
  <c r="T14" i="1" s="1"/>
  <c r="AU17" i="1"/>
  <c r="B7" i="1"/>
  <c r="H7" i="1"/>
  <c r="H14" i="1"/>
  <c r="BD13" i="1"/>
  <c r="G13" i="1" s="1"/>
  <c r="BD11" i="1"/>
  <c r="BF11" i="1" s="1"/>
  <c r="AU16" i="1"/>
  <c r="AU7" i="1"/>
  <c r="U14" i="1"/>
  <c r="AU13" i="1"/>
  <c r="B18" i="1"/>
  <c r="U15" i="1"/>
  <c r="H15" i="1"/>
  <c r="BD17" i="1"/>
  <c r="G17" i="1" s="1"/>
  <c r="H12" i="1"/>
  <c r="Q8" i="1"/>
  <c r="BD5" i="1"/>
  <c r="L13" i="1"/>
  <c r="B13" i="1" s="1"/>
  <c r="U11" i="1"/>
  <c r="H17" i="1"/>
  <c r="H16" i="1"/>
  <c r="H11" i="1"/>
  <c r="S15" i="1"/>
  <c r="T15" i="1" s="1"/>
  <c r="BD14" i="1"/>
  <c r="BF14" i="1" s="1"/>
  <c r="B12" i="1"/>
  <c r="S11" i="1"/>
  <c r="BD10" i="1"/>
  <c r="Q14" i="1"/>
  <c r="AU9" i="1"/>
  <c r="U12" i="1"/>
  <c r="B16" i="1"/>
  <c r="BD4" i="1"/>
  <c r="S10" i="1"/>
  <c r="T10" i="1" s="1"/>
  <c r="H8" i="1"/>
  <c r="AU10" i="1"/>
  <c r="Q13" i="1"/>
  <c r="S17" i="1"/>
  <c r="Q18" i="1"/>
  <c r="U10" i="1"/>
  <c r="Q17" i="1"/>
  <c r="Q9" i="1"/>
  <c r="T9" i="1" s="1"/>
  <c r="U17" i="1"/>
  <c r="H10" i="1"/>
  <c r="B11" i="1"/>
  <c r="L8" i="1"/>
  <c r="B8" i="1" s="1"/>
  <c r="U18" i="1"/>
  <c r="L3" i="1"/>
  <c r="B3" i="1" s="1"/>
  <c r="H9" i="1"/>
  <c r="U8" i="1"/>
  <c r="Q12" i="1"/>
  <c r="AU11" i="1"/>
  <c r="BD3" i="1"/>
  <c r="B14" i="1"/>
  <c r="S8" i="1"/>
  <c r="BD6" i="1"/>
  <c r="AU14" i="1"/>
  <c r="Q11" i="1"/>
  <c r="T11" i="1" s="1"/>
  <c r="S9" i="1"/>
  <c r="L9" i="1"/>
  <c r="B9" i="1" s="1"/>
  <c r="AU12" i="1"/>
  <c r="BD8" i="1"/>
  <c r="G8" i="1" s="1"/>
  <c r="S7" i="1"/>
  <c r="BD7" i="1"/>
  <c r="BF7" i="1" s="1"/>
  <c r="Q16" i="1"/>
  <c r="H18" i="1"/>
  <c r="U16" i="1"/>
  <c r="BD15" i="1"/>
  <c r="F15" i="1" s="1"/>
  <c r="E15" i="1" s="1"/>
  <c r="S13" i="1"/>
  <c r="S18" i="1"/>
  <c r="BD18" i="1"/>
  <c r="F18" i="1" s="1"/>
  <c r="E18" i="1" s="1"/>
  <c r="U13" i="1"/>
  <c r="AU18" i="1"/>
  <c r="BD16" i="1"/>
  <c r="G16" i="1" s="1"/>
  <c r="H13" i="1"/>
  <c r="BD12" i="1"/>
  <c r="F12" i="1" s="1"/>
  <c r="E12" i="1" s="1"/>
  <c r="Q15" i="1"/>
  <c r="AU15" i="1"/>
  <c r="Q7" i="1"/>
  <c r="T7" i="1" s="1"/>
  <c r="S16" i="1"/>
  <c r="B17" i="1"/>
  <c r="U7" i="1"/>
  <c r="BD9" i="1"/>
  <c r="Q10" i="1"/>
  <c r="L15" i="1"/>
  <c r="B15" i="1" s="1"/>
  <c r="AU8" i="1"/>
  <c r="L10" i="1"/>
  <c r="B10" i="1" s="1"/>
  <c r="G9" i="1"/>
  <c r="BF9" i="1"/>
  <c r="F9" i="1"/>
  <c r="E9" i="1" s="1"/>
  <c r="G10" i="1"/>
  <c r="BF10" i="1"/>
  <c r="F10" i="1"/>
  <c r="E10" i="1" s="1"/>
  <c r="F8" i="1"/>
  <c r="E8" i="1" s="1"/>
  <c r="G15" i="1"/>
  <c r="BF15" i="1"/>
  <c r="T13" i="1"/>
  <c r="G18" i="1"/>
  <c r="G12" i="1"/>
  <c r="BF12" i="1"/>
  <c r="X10" i="8"/>
  <c r="X18" i="8"/>
  <c r="X8" i="8"/>
  <c r="C24" i="5"/>
  <c r="AW20" i="1"/>
  <c r="AV20" i="1"/>
  <c r="AW21" i="1"/>
  <c r="AV21" i="1"/>
  <c r="AW32" i="1"/>
  <c r="AV32" i="1"/>
  <c r="AW35" i="1"/>
  <c r="AV35" i="1"/>
  <c r="AW34" i="1"/>
  <c r="AV34" i="1"/>
  <c r="AW23" i="1"/>
  <c r="AV23" i="1"/>
  <c r="AW22" i="1"/>
  <c r="AV22" i="1"/>
  <c r="AV26" i="1"/>
  <c r="AW26" i="1"/>
  <c r="AW28" i="1"/>
  <c r="AV28" i="1"/>
  <c r="AW27" i="1"/>
  <c r="AV27" i="1"/>
  <c r="AW33" i="1"/>
  <c r="AV33" i="1"/>
  <c r="AW25" i="1"/>
  <c r="AV25" i="1"/>
  <c r="AW31" i="1"/>
  <c r="AV31" i="1"/>
  <c r="AW19" i="1"/>
  <c r="AV19" i="1"/>
  <c r="AW24" i="1"/>
  <c r="AV24" i="1"/>
  <c r="AW30" i="1"/>
  <c r="AV30" i="1"/>
  <c r="AW29" i="1"/>
  <c r="AV29" i="1"/>
  <c r="AV17" i="1"/>
  <c r="AW17" i="1"/>
  <c r="AW14" i="1"/>
  <c r="AV14" i="1"/>
  <c r="AW18" i="1"/>
  <c r="AV18" i="1"/>
  <c r="AV8" i="1"/>
  <c r="AW8" i="1"/>
  <c r="AV13" i="1"/>
  <c r="AW13" i="1"/>
  <c r="AV15" i="1"/>
  <c r="AW15" i="1"/>
  <c r="AV16" i="1"/>
  <c r="AW16" i="1"/>
  <c r="AV7" i="1"/>
  <c r="AW7" i="1"/>
  <c r="AW12" i="1"/>
  <c r="AV12" i="1"/>
  <c r="AV9" i="1"/>
  <c r="AW9" i="1"/>
  <c r="AV10" i="1"/>
  <c r="AW10" i="1"/>
  <c r="AV11" i="1"/>
  <c r="AW11" i="1"/>
  <c r="G22" i="1" l="1"/>
  <c r="F22" i="1"/>
  <c r="E22" i="1" s="1"/>
  <c r="BF22" i="1"/>
  <c r="G23" i="1"/>
  <c r="F23" i="1"/>
  <c r="E23" i="1" s="1"/>
  <c r="BF23" i="1"/>
  <c r="G24" i="1"/>
  <c r="F24" i="1"/>
  <c r="E24" i="1" s="1"/>
  <c r="BF24" i="1"/>
  <c r="F14" i="1"/>
  <c r="E14" i="1" s="1"/>
  <c r="G25" i="1"/>
  <c r="F25" i="1"/>
  <c r="E25" i="1" s="1"/>
  <c r="BF25" i="1"/>
  <c r="T30" i="1"/>
  <c r="G21" i="1"/>
  <c r="F21" i="1"/>
  <c r="E21" i="1" s="1"/>
  <c r="BF21" i="1"/>
  <c r="G29" i="1"/>
  <c r="F29" i="1"/>
  <c r="E29" i="1" s="1"/>
  <c r="BF29" i="1"/>
  <c r="G7" i="1"/>
  <c r="G14" i="1"/>
  <c r="G28" i="1"/>
  <c r="F28" i="1"/>
  <c r="E28" i="1" s="1"/>
  <c r="BF28" i="1"/>
  <c r="G31" i="1"/>
  <c r="F31" i="1"/>
  <c r="E31" i="1" s="1"/>
  <c r="BF31" i="1"/>
  <c r="T25" i="1"/>
  <c r="G34" i="1"/>
  <c r="F34" i="1"/>
  <c r="E34" i="1" s="1"/>
  <c r="BF34" i="1"/>
  <c r="T24" i="1"/>
  <c r="G20" i="1"/>
  <c r="F20" i="1"/>
  <c r="E20" i="1" s="1"/>
  <c r="BF20" i="1"/>
  <c r="G27" i="1"/>
  <c r="F27" i="1"/>
  <c r="E27" i="1" s="1"/>
  <c r="BF27" i="1"/>
  <c r="G33" i="1"/>
  <c r="F33" i="1"/>
  <c r="E33" i="1" s="1"/>
  <c r="BF33" i="1"/>
  <c r="BF16" i="1"/>
  <c r="G30" i="1"/>
  <c r="F30" i="1"/>
  <c r="E30" i="1" s="1"/>
  <c r="BF30" i="1"/>
  <c r="G19" i="1"/>
  <c r="F19" i="1"/>
  <c r="E19" i="1" s="1"/>
  <c r="BF19" i="1"/>
  <c r="G32" i="1"/>
  <c r="F32" i="1"/>
  <c r="E32" i="1" s="1"/>
  <c r="BF32" i="1"/>
  <c r="G26" i="1"/>
  <c r="F26" i="1"/>
  <c r="E26" i="1" s="1"/>
  <c r="BF26" i="1"/>
  <c r="G35" i="1"/>
  <c r="F35" i="1"/>
  <c r="E35" i="1" s="1"/>
  <c r="BF35" i="1"/>
  <c r="G11" i="1"/>
  <c r="F11" i="1"/>
  <c r="E11" i="1" s="1"/>
  <c r="T8" i="1"/>
  <c r="BF8" i="1"/>
  <c r="F13" i="1"/>
  <c r="E13" i="1" s="1"/>
  <c r="F16" i="1"/>
  <c r="E16" i="1" s="1"/>
  <c r="BF13" i="1"/>
  <c r="BF17" i="1"/>
  <c r="BF18" i="1"/>
  <c r="F7" i="1"/>
  <c r="E7" i="1" s="1"/>
  <c r="F17" i="1"/>
  <c r="E17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<sst xmlns="http://schemas.openxmlformats.org/spreadsheetml/2006/main" count="7000" uniqueCount="1308">
  <si>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</si>
  <si>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</si>
  <si>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</si>
  <si>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</si>
  <si>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</si>
  <si>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</si>
  <si>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</si>
  <si>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</si>
  <si>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</si>
  <si>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</si>
  <si>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</si>
  <si>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</si>
  <si>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</si>
  <si>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</si>
  <si>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</si>
  <si>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</si>
  <si>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</si>
  <si>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</si>
  <si>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</si>
  <si>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</si>
  <si>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</si>
  <si>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</si>
  <si>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</si>
  <si>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</si>
  <si>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</si>
  <si>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</si>
  <si>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</si>
  <si>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</si>
  <si>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</si>
  <si>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</si>
  <si>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</si>
  <si>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</si>
  <si>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</si>
  <si>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</si>
  <si>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</si>
  <si>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</si>
  <si>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</si>
  <si>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</si>
  <si>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</si>
  <si>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</si>
  <si>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</si>
  <si>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</si>
  <si>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</si>
  <si>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</si>
  <si>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</si>
  <si>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</si>
  <si>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</si>
  <si>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</si>
  <si>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</si>
  <si>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</si>
  <si>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</si>
  <si>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</si>
  <si>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</si>
  <si>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</si>
  <si>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</si>
  <si>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</si>
  <si>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</si>
  <si>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</si>
  <si>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</si>
  <si>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</si>
  <si>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</si>
  <si>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</si>
  <si>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</si>
  <si>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</si>
  <si>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</si>
  <si>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</si>
  <si>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</si>
  <si>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</si>
  <si>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</si>
  <si>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</si>
  <si>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</si>
  <si>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</si>
  <si>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</si>
  <si>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</si>
  <si>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</si>
  <si>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</si>
  <si>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</si>
  <si>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</si>
  <si>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</si>
  <si>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</si>
  <si>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</si>
  <si>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</si>
  <si>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</si>
  <si>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</si>
  <si>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</si>
  <si>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</si>
  <si>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</si>
  <si>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</si>
  <si>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</si>
  <si>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</si>
  <si>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</si>
  <si>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</si>
  <si>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</si>
  <si>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</si>
  <si>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</si>
  <si>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</si>
  <si>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</si>
  <si>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</si>
  <si>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</si>
  <si>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</si>
  <si>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</si>
  <si>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</si>
  <si>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</si>
  <si>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</si>
  <si>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</si>
  <si>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</si>
  <si>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</si>
  <si>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</si>
  <si>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</si>
  <si>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</si>
  <si>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</si>
  <si>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</si>
  <si>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</si>
  <si>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</si>
  <si>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</si>
  <si>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</si>
  <si>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</si>
  <si>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</si>
  <si>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</si>
  <si>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</si>
  <si>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</si>
  <si>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</si>
  <si>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</si>
  <si>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</si>
  <si>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</si>
  <si>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</si>
  <si>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</si>
  <si>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</si>
  <si>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</si>
  <si>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</si>
  <si>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</si>
  <si>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</si>
  <si>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</si>
  <si>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</si>
  <si>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</si>
  <si>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</si>
  <si>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</si>
  <si>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</si>
  <si>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</si>
  <si>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</si>
  <si>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</si>
  <si>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</si>
  <si>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</si>
  <si>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</si>
  <si>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</si>
  <si>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</si>
  <si>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</si>
  <si>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</si>
  <si>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</si>
  <si>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</si>
  <si>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</si>
  <si>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</si>
  <si>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</si>
  <si>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</si>
  <si>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</si>
  <si>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</si>
  <si>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</si>
  <si>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</si>
  <si>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</si>
  <si>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</si>
  <si>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</si>
  <si>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</si>
  <si>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</si>
  <si>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</si>
  <si>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</si>
  <si>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</si>
  <si>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</si>
  <si>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</si>
  <si>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</si>
  <si>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</si>
  <si>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</si>
  <si>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</si>
  <si>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</si>
  <si>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</si>
  <si>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</si>
  <si>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</si>
  <si>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</si>
  <si>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</si>
  <si>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</si>
  <si>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</si>
  <si>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</si>
  <si>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</si>
  <si>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</si>
  <si>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</si>
  <si>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</si>
  <si>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</si>
  <si>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</si>
  <si>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</si>
  <si>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</si>
  <si>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</si>
  <si>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</si>
  <si>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</si>
  <si>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</si>
  <si>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</si>
  <si>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</si>
  <si>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</si>
  <si>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</si>
  <si>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</si>
  <si>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</si>
  <si>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</si>
  <si>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</si>
  <si>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</si>
  <si>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</si>
  <si>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</si>
  <si>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</si>
  <si>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</si>
  <si>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</si>
  <si>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</si>
  <si>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</si>
  <si>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</si>
  <si>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</si>
  <si>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</si>
  <si>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</si>
  <si>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</si>
  <si>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</si>
  <si>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</si>
  <si>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</si>
  <si>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</si>
  <si>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</si>
  <si>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</si>
  <si>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</si>
  <si>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</si>
  <si>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</si>
  <si>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</si>
  <si>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</si>
  <si>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</si>
  <si>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</si>
  <si>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</si>
  <si>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</si>
  <si>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</si>
  <si>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</si>
  <si>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</si>
  <si>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</si>
  <si>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</si>
  <si>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</si>
  <si>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</si>
  <si>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</si>
  <si>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</si>
  <si>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</si>
  <si>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</si>
  <si>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</si>
  <si>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</si>
  <si>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</si>
  <si>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</si>
  <si>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</si>
  <si>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</si>
  <si>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</si>
  <si>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</si>
  <si>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</si>
  <si>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</si>
  <si>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</si>
  <si>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</si>
  <si>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</si>
  <si>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</si>
  <si>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</si>
  <si>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</si>
  <si>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</si>
  <si>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</si>
  <si>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</si>
  <si>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</si>
  <si>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</si>
  <si>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</si>
  <si>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</si>
  <si>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</si>
  <si>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</si>
  <si>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</si>
  <si>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</si>
  <si>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</si>
  <si>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</si>
  <si>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</si>
  <si>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</si>
  <si>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</si>
  <si>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</si>
  <si>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</si>
  <si>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</si>
  <si>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</si>
  <si>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</si>
  <si>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</si>
  <si>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</si>
  <si>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</si>
  <si>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</si>
  <si>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</si>
  <si>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</si>
  <si>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</si>
  <si>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</si>
  <si>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</si>
  <si>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</si>
  <si>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</si>
  <si>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</si>
  <si>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</si>
  <si>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</si>
  <si>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</si>
  <si>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</si>
  <si>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</si>
  <si>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</si>
  <si>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</si>
  <si>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</si>
  <si>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</si>
  <si>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</si>
  <si>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</si>
  <si>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</si>
  <si>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</si>
  <si>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</si>
  <si>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</si>
  <si>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</si>
  <si>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</si>
  <si>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</si>
  <si>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</si>
  <si>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</si>
  <si>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</si>
  <si>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</si>
  <si>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</si>
  <si>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</si>
  <si>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</si>
  <si>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</si>
  <si>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</si>
  <si>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</si>
  <si>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</si>
  <si>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</si>
  <si>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</si>
  <si>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</si>
  <si>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</si>
  <si>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</si>
  <si>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</si>
  <si>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</si>
  <si>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</si>
  <si>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</si>
  <si>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</si>
  <si>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</si>
  <si>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</si>
  <si>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</si>
  <si>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</si>
  <si>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</si>
  <si>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</si>
  <si>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</si>
  <si>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</si>
  <si>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</si>
  <si>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</si>
  <si>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</si>
  <si>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</si>
  <si>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</si>
  <si>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</si>
  <si>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</si>
  <si>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</si>
  <si>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</si>
  <si>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</si>
  <si>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</si>
  <si>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</si>
  <si>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</si>
  <si>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</si>
  <si>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</si>
  <si>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</si>
  <si>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</si>
  <si>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</si>
  <si>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</si>
  <si>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</si>
  <si>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</si>
  <si>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</si>
  <si>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</si>
  <si>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</si>
  <si>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</si>
  <si>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</si>
  <si>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</si>
  <si>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</si>
  <si>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</si>
  <si>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</si>
  <si>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</si>
  <si>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</si>
  <si>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</si>
  <si>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</si>
  <si>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</si>
  <si>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</si>
  <si>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</si>
  <si>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</si>
  <si>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</si>
  <si>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</si>
  <si>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</si>
  <si>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</si>
  <si>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</si>
  <si>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</si>
  <si>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</si>
  <si>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</si>
  <si>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</si>
  <si>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</si>
  <si>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</si>
  <si>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</si>
  <si>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</si>
  <si>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</si>
  <si>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</si>
  <si>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</si>
  <si>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</si>
  <si>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</si>
  <si>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</si>
  <si>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</si>
  <si>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</si>
  <si>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</si>
  <si>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</si>
  <si>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</si>
  <si>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</si>
  <si>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</si>
  <si>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</si>
  <si>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</si>
  <si>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</si>
  <si>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</si>
  <si>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</si>
  <si>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</si>
  <si>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</si>
  <si>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</si>
  <si>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</si>
  <si>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</si>
  <si>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</si>
  <si>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</si>
  <si>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</si>
  <si>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</si>
  <si>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</si>
  <si>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</si>
  <si>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</si>
  <si>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</si>
  <si>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</si>
  <si>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</si>
  <si>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</si>
  <si>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</si>
  <si>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</si>
  <si>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</si>
  <si>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</si>
  <si>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</si>
  <si>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</si>
  <si>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</si>
  <si>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</si>
  <si>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</si>
  <si>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</si>
  <si>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</si>
  <si>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</si>
  <si>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</si>
  <si>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</si>
  <si>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</si>
  <si>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</si>
  <si>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</si>
  <si>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</si>
  <si>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</si>
  <si>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</si>
  <si>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</si>
  <si>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</si>
  <si>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</si>
  <si>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</si>
  <si>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</si>
  <si>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</si>
  <si>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</si>
  <si>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</si>
  <si>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</si>
  <si>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</si>
  <si>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</si>
  <si>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</si>
  <si>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</si>
  <si>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</si>
  <si>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</si>
  <si>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</si>
  <si>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</si>
  <si>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</si>
  <si>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</si>
  <si>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</si>
  <si>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</si>
  <si>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</si>
  <si>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</si>
  <si>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</si>
  <si>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</si>
  <si>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</si>
  <si>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</si>
  <si>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</si>
  <si>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</si>
  <si>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</si>
  <si>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</si>
  <si>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</si>
  <si>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</si>
  <si>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</si>
  <si>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</si>
  <si>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</si>
  <si>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</si>
  <si>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</si>
  <si>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</si>
  <si>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</si>
  <si>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</si>
  <si>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</si>
  <si>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</si>
  <si>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</si>
  <si>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</si>
  <si>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</si>
  <si>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</si>
  <si>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</si>
  <si>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</si>
  <si>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</si>
  <si>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</si>
  <si>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</si>
  <si>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</si>
  <si>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</si>
  <si>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</si>
  <si>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</si>
  <si>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</si>
  <si>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</si>
  <si>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</si>
  <si>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</si>
  <si>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</si>
  <si>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</si>
  <si>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</si>
  <si>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</si>
  <si>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</si>
  <si>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</si>
  <si>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</si>
  <si>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</si>
  <si>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</si>
  <si>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</si>
  <si>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</si>
  <si>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</si>
  <si>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</si>
  <si>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</si>
  <si>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</si>
  <si>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</si>
  <si>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</si>
  <si>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</si>
  <si>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</si>
  <si>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</si>
  <si>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</si>
  <si>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</si>
  <si>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</si>
  <si>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</si>
  <si>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</si>
  <si>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</si>
  <si>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</si>
  <si>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</si>
  <si>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</si>
  <si>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</si>
  <si>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</si>
  <si>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</si>
  <si>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</si>
  <si>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</si>
  <si>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</si>
  <si>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</si>
  <si>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</si>
  <si>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</si>
  <si>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</si>
  <si>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</si>
  <si>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</si>
  <si>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</si>
  <si>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</si>
  <si>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</si>
  <si>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</si>
  <si>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</si>
  <si>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</si>
  <si>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</si>
  <si>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</si>
  <si>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</si>
  <si>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</si>
  <si>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</si>
  <si>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</si>
  <si>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</si>
  <si>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</si>
  <si>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</si>
  <si>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</si>
  <si>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</si>
  <si>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</si>
  <si>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</si>
  <si>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</si>
  <si>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</si>
  <si>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</si>
  <si>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</si>
  <si>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</si>
  <si>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</si>
  <si>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</si>
  <si>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</si>
  <si>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</si>
  <si>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</si>
  <si>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</si>
  <si>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</si>
  <si>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</si>
  <si>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</si>
  <si>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</si>
  <si>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</si>
  <si>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</si>
  <si>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</si>
  <si>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</si>
  <si>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</si>
  <si>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</si>
  <si>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</si>
  <si>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</si>
  <si>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</si>
  <si>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</si>
  <si>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</si>
  <si>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</si>
  <si>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</si>
  <si>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</si>
  <si>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</si>
  <si>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</si>
  <si>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</si>
  <si>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</si>
  <si>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</si>
  <si>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</si>
  <si>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</si>
  <si>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</si>
  <si>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</si>
  <si>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</si>
  <si>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</si>
  <si>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</si>
  <si>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</si>
  <si>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</si>
  <si>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</si>
  <si>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</si>
  <si>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</si>
  <si>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</si>
  <si>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</si>
  <si>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</si>
  <si>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</si>
  <si>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</si>
  <si>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</si>
  <si>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</si>
  <si>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</si>
  <si>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</si>
  <si>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</si>
  <si>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</si>
  <si>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</si>
  <si>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</si>
  <si>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</si>
  <si>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</si>
  <si>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</si>
  <si>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</si>
  <si>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</si>
  <si>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</si>
  <si>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</si>
  <si>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</si>
  <si>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</si>
  <si>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</si>
  <si>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</si>
  <si>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</si>
  <si>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</si>
  <si>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</si>
  <si>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</si>
  <si>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</si>
  <si>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</si>
  <si>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</si>
  <si>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</si>
  <si>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</si>
  <si>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</si>
  <si>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</si>
  <si>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</si>
  <si>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</si>
  <si>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</si>
  <si>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</si>
  <si>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</si>
  <si>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</si>
  <si>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</si>
  <si>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</si>
  <si>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</si>
  <si>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</si>
  <si>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</si>
  <si>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</si>
  <si>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</si>
  <si>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</si>
  <si>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</si>
  <si>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</si>
  <si>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</si>
  <si>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</si>
  <si>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</si>
  <si>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</si>
  <si>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</si>
  <si>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</si>
  <si>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</si>
  <si>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</si>
  <si>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</si>
  <si>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</si>
  <si>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</si>
  <si>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</si>
  <si>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</si>
  <si>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</si>
  <si>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</si>
  <si>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</si>
  <si>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</si>
  <si>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</si>
  <si>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</si>
  <si>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</si>
  <si>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</si>
  <si>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</si>
  <si>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</si>
  <si>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</si>
  <si>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</si>
  <si>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</si>
  <si>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</si>
  <si>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</si>
  <si>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</si>
  <si>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</si>
  <si>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</si>
  <si>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</si>
  <si>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</si>
  <si>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</si>
  <si>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</si>
  <si>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</si>
  <si>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</si>
  <si>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</si>
  <si>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</si>
  <si>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</si>
  <si>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</si>
  <si>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</si>
  <si>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</si>
  <si>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</si>
  <si>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</si>
  <si>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</si>
  <si>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</si>
  <si>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</si>
  <si>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</si>
  <si>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</si>
  <si>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</si>
  <si>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</si>
  <si>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</si>
  <si>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</si>
  <si>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</si>
  <si>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</si>
  <si>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</si>
  <si>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</si>
  <si>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</si>
  <si>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</si>
  <si>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</si>
  <si>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</si>
  <si>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</si>
  <si>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</si>
  <si>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</si>
  <si>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</si>
  <si>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</si>
  <si>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</si>
  <si>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</si>
  <si>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</si>
  <si>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</si>
  <si>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</si>
  <si>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</si>
  <si>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</si>
  <si>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</si>
  <si>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</si>
  <si>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</si>
  <si>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</si>
  <si>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</si>
  <si>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</si>
  <si>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</si>
  <si>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</si>
  <si>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</si>
  <si>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</si>
  <si>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</si>
  <si>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</si>
  <si>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</si>
  <si>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</si>
  <si>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</si>
  <si>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</si>
  <si>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</si>
  <si>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</si>
  <si>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</si>
  <si>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</si>
  <si>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</si>
  <si>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</si>
  <si>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</si>
  <si>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</si>
  <si>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</si>
  <si>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</si>
  <si>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</si>
  <si>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</si>
  <si>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</si>
  <si>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</si>
  <si>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</si>
  <si>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</si>
  <si>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</si>
  <si>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</si>
  <si>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</si>
  <si>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</si>
  <si>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</si>
  <si>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</si>
  <si>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</si>
  <si>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</si>
  <si>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</si>
  <si>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</si>
  <si>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</si>
  <si>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</si>
  <si>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</si>
  <si>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</si>
  <si>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</si>
  <si>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</si>
  <si>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</si>
  <si>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</si>
  <si>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</si>
  <si>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</si>
  <si>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</si>
  <si>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</si>
  <si>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</si>
  <si>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</si>
  <si>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</si>
  <si>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</si>
  <si>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</si>
  <si>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</si>
  <si>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</si>
  <si>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</si>
  <si>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</si>
  <si>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</si>
  <si>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</si>
  <si>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</si>
  <si>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</si>
  <si>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</si>
  <si>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</si>
  <si>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</si>
  <si>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</si>
  <si>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</si>
  <si>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</si>
  <si>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</si>
  <si>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</si>
  <si>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</si>
  <si>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</si>
  <si>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</si>
  <si>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</si>
  <si>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</si>
  <si>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</si>
  <si>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</si>
  <si>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</si>
  <si>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</si>
  <si>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</si>
  <si>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</si>
  <si>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</si>
  <si>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</si>
  <si>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</si>
  <si>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</si>
  <si>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</si>
  <si>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</si>
  <si>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</si>
  <si>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</si>
  <si>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</si>
  <si>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</si>
  <si>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</si>
  <si>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</si>
  <si>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</si>
  <si>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</si>
  <si>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</si>
  <si>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</si>
  <si>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</si>
  <si>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</si>
  <si>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</si>
  <si>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</si>
  <si>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</si>
  <si>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</si>
  <si>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</si>
  <si>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</si>
  <si>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</si>
  <si>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</si>
  <si>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</si>
  <si>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</si>
  <si>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</si>
  <si>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</si>
  <si>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</si>
  <si>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</si>
  <si>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</si>
  <si>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</si>
  <si>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</si>
  <si>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</si>
  <si>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</si>
  <si>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</si>
  <si>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</si>
  <si>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</si>
  <si>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</si>
  <si>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</si>
  <si>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</si>
  <si>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</si>
  <si>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</si>
  <si>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</si>
  <si>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</si>
  <si>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</si>
  <si>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</si>
  <si>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</si>
  <si>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</si>
  <si>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</si>
  <si>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</si>
  <si>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</si>
  <si>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</si>
  <si>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</si>
  <si>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</si>
  <si>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</si>
  <si>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</si>
  <si>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</si>
  <si>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</si>
  <si>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</si>
  <si>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</si>
  <si>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</si>
  <si>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</si>
  <si>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</si>
  <si>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</si>
  <si>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</si>
  <si>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</si>
  <si>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</si>
  <si>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</si>
  <si>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</si>
  <si>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</si>
  <si>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</si>
  <si>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</si>
  <si>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</si>
  <si>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</si>
  <si>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</si>
  <si>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</si>
  <si>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</si>
  <si>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</si>
  <si>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</si>
  <si>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</si>
  <si>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</si>
  <si>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</si>
  <si>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</si>
  <si>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</si>
  <si>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</si>
  <si>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</si>
  <si>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</si>
  <si>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</si>
  <si>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</si>
  <si>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</si>
  <si>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</si>
  <si>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65% полиэстер - 35% хлопок</t>
  </si>
  <si>
    <t>FlexFit</t>
  </si>
  <si>
    <t>94-018-18-00</t>
  </si>
  <si>
    <t>Шапка FLEXFIT арт. 1501P (красный) {red}</t>
  </si>
  <si>
    <t>1501P</t>
  </si>
  <si>
    <t>100% гипоаллергенный акрил</t>
  </si>
  <si>
    <t>Flexfit</t>
  </si>
  <si>
    <t>Yupoong Inc; 174, Gurodong-ro, Guro-gu, 08285 Seoul, South Korea</t>
  </si>
  <si>
    <t>red</t>
  </si>
  <si>
    <t>94-018-16-00</t>
  </si>
  <si>
    <t>Шапка FLEXFIT арт. 1501P (темно-синий) {navy}</t>
  </si>
  <si>
    <t>navy</t>
  </si>
  <si>
    <t>94-018-09-00</t>
  </si>
  <si>
    <t>Шапка FLEXFIT арт. 1501P (черный) {black}</t>
  </si>
  <si>
    <t>black</t>
  </si>
  <si>
    <t>94-018-06-00</t>
  </si>
  <si>
    <t>Шапка FLEXFIT арт. 1501P (синий) {royal}</t>
  </si>
  <si>
    <t>royal</t>
  </si>
  <si>
    <t>94-018-05-00</t>
  </si>
  <si>
    <t>Шапка FLEXFIT арт. 1501P (темно-серый) {dark grey}</t>
  </si>
  <si>
    <t>dark grey</t>
  </si>
  <si>
    <t>94-018-01-00</t>
  </si>
  <si>
    <t>Шапка FLEXFIT арт. 1501P (светло-серый) {heather grey}</t>
  </si>
  <si>
    <t>heather grey</t>
  </si>
  <si>
    <t>94-017-19-00</t>
  </si>
  <si>
    <t>Шапка FLEXFIT арт. 1501KC (голубой) {carolina blue}</t>
  </si>
  <si>
    <t>1501KC</t>
  </si>
  <si>
    <t>carolina blue</t>
  </si>
  <si>
    <t>94-017-18-00</t>
  </si>
  <si>
    <t>Шапка FLEXFIT арт. 1501KC (красный) {red}</t>
  </si>
  <si>
    <t>94-017-16-00</t>
  </si>
  <si>
    <t>Шапка FLEXFIT арт. 1501KC (темно-синий) {navy}</t>
  </si>
  <si>
    <t>94-017-15-00</t>
  </si>
  <si>
    <t>Шапка FLEXFIT арт. 1501KC (светло-коричневый) {caramel}</t>
  </si>
  <si>
    <t>caramel</t>
  </si>
  <si>
    <t>94-017-14-00</t>
  </si>
  <si>
    <t>Шапка FLEXFIT арт. 1501KC (коричневый) {brown}</t>
  </si>
  <si>
    <t>brown</t>
  </si>
  <si>
    <t>94-017-13-00</t>
  </si>
  <si>
    <t>Шапка FLEXFIT арт. 1501KC (оранжевый) {blaze orange}</t>
  </si>
  <si>
    <t>blaze orange</t>
  </si>
  <si>
    <t>94-017-12-00</t>
  </si>
  <si>
    <t>Шапка FLEXFIT арт. 1501KC (бордовый) {maroon}</t>
  </si>
  <si>
    <t>maroon</t>
  </si>
  <si>
    <t>94-017-11-00</t>
  </si>
  <si>
    <t>Шапка FLEXFIT арт. 1501KC (зеленый) {spruce}</t>
  </si>
  <si>
    <t>spruce</t>
  </si>
  <si>
    <t>94-017-06-00</t>
  </si>
  <si>
    <t>Шапка FLEXFIT арт. 1501KC (синий) {royal}</t>
  </si>
  <si>
    <t>94-017-05-00</t>
  </si>
  <si>
    <t>Шапка FLEXFIT арт. 1501KC (темно-серый) {dark grey}</t>
  </si>
  <si>
    <t>94-017-03-00</t>
  </si>
  <si>
    <t>Шапка FLEXFIT арт. 1501KC (оливковый) {olive}</t>
  </si>
  <si>
    <t>olive</t>
  </si>
  <si>
    <t>94-017-02-00</t>
  </si>
  <si>
    <t>Шапка FLEXFIT арт. 1501KC (песочный) {sand}</t>
  </si>
  <si>
    <t>sand</t>
  </si>
  <si>
    <t>94-017-01-00</t>
  </si>
  <si>
    <t>Шапка FLEXFIT арт. 1501KC (светло-серый) {heather grey}</t>
  </si>
  <si>
    <t>94-017-00-00</t>
  </si>
  <si>
    <t>Шапка FLEXFIT арт. 1501KC (золотой) {gold}</t>
  </si>
  <si>
    <t>gold</t>
  </si>
  <si>
    <t>94-016-34-00</t>
  </si>
  <si>
    <t>Шапка FLEXFIT арт. 1500KC (розовый) {baby pink}</t>
  </si>
  <si>
    <t>1500KC</t>
  </si>
  <si>
    <t>baby pink</t>
  </si>
  <si>
    <t>94-016-18-00</t>
  </si>
  <si>
    <t>Шапка FLEXFIT арт. 1500KC (красный) {red}</t>
  </si>
  <si>
    <t>94-016-17-00</t>
  </si>
  <si>
    <t>Шапка FLEXFIT арт. 1500KC (белый) {white}</t>
  </si>
  <si>
    <t>white</t>
  </si>
  <si>
    <t>94-016-16-00</t>
  </si>
  <si>
    <t>Шапка FLEXFIT арт. 1500KC (темно-синий) {navy}</t>
  </si>
  <si>
    <t>94-016-14-00</t>
  </si>
  <si>
    <t>Шапка FLEXFIT арт. 1500KC (коричневый) {brown}</t>
  </si>
  <si>
    <t>94-016-12-00</t>
  </si>
  <si>
    <t>Шапка FLEXFIT арт. 1500KC (бордовый) {maroon}</t>
  </si>
  <si>
    <t>94-016-09-00</t>
  </si>
  <si>
    <t>Шапка FLEXFIT арт. 1500KC (черный) {black}</t>
  </si>
  <si>
    <t>94-016-06-00</t>
  </si>
  <si>
    <t>Шапка FLEXFIT арт. 1500KC (синий) {royal}</t>
  </si>
  <si>
    <t>94-016-05-00</t>
  </si>
  <si>
    <t>Шапка FLEXFIT арт. 1500KC (темно-серый) {dark grey}</t>
  </si>
  <si>
    <t>94-016-03-00</t>
  </si>
  <si>
    <t>Шапка FLEXFIT арт. 1500KC (оливковый) {olive}</t>
  </si>
  <si>
    <t>94-016-01-00</t>
  </si>
  <si>
    <t>Шапка FLEXFIT арт. 1500KC (светло-серый) {heather grey}</t>
  </si>
  <si>
    <t>94-016-00-00</t>
  </si>
  <si>
    <t>Шапка FLEXFIT арт. 1500KC (золотой) {gold}</t>
  </si>
  <si>
    <t>94-015-11-00</t>
  </si>
  <si>
    <t>Бейсболка FLEXFIT арт. 6606 (зеленый) {evergreen}</t>
  </si>
  <si>
    <t>60% хлопок - 40% полиэстер</t>
  </si>
  <si>
    <t>evergreen</t>
  </si>
  <si>
    <t>94-015-09-00</t>
  </si>
  <si>
    <t>Бейсболка FLEXFIT арт. 6606 (черный) {black}</t>
  </si>
  <si>
    <t>94-014-41-56</t>
  </si>
  <si>
    <t>Бейсболка FLEXFIT арт. 6533 (фиолетовый) {purple}</t>
  </si>
  <si>
    <t>56 S/M</t>
  </si>
  <si>
    <t>44% полиэстер - 42% нейлон - 7% хлопок - 7% полиуретан</t>
  </si>
  <si>
    <t>purple</t>
  </si>
  <si>
    <t>94-014-12-60</t>
  </si>
  <si>
    <t>Бейсболка FLEXFIT арт. 6533 (бордовый) {maroon}</t>
  </si>
  <si>
    <t>60 L/XL</t>
  </si>
  <si>
    <t>94-014-12-56</t>
  </si>
  <si>
    <t>94-014-05-60</t>
  </si>
  <si>
    <t>Бейсболка FLEXFIT арт. 6533 (темно-серый) {dark grey}</t>
  </si>
  <si>
    <t>94-014-05-56</t>
  </si>
  <si>
    <t>94-013-14-56</t>
  </si>
  <si>
    <t>Бейсболка FLEXFIT арт. 6511 (коричневый) {brown}</t>
  </si>
  <si>
    <t>55% полиэстер - 43% хлопок - 2% полиуретан</t>
  </si>
  <si>
    <t>94-012-18-00</t>
  </si>
  <si>
    <t>Бейсболка FLEXFIT арт. 6320 (красный) {red}</t>
  </si>
  <si>
    <t>94-012-06-00</t>
  </si>
  <si>
    <t>Бейсболка FLEXFIT арт. 6320 (синий) {royal}</t>
  </si>
  <si>
    <t>94-011-14-60</t>
  </si>
  <si>
    <t>Бейсболка FLEXFIT арт. 6277 (коричневый) {brown}</t>
  </si>
  <si>
    <t>63% полиэстер - 34% хлопок - 3% полиуретан</t>
  </si>
  <si>
    <t>94-011-14-56</t>
  </si>
  <si>
    <t>94-011-00-60</t>
  </si>
  <si>
    <t>Бейсболка FLEXFIT арт. 6277 (золотой) {gold}</t>
  </si>
  <si>
    <t>94-011-00-56</t>
  </si>
  <si>
    <t>94-010-00-00</t>
  </si>
  <si>
    <t>Бейсболка FLEXFIT арт. 6089TC (камуфляж / черный) {camo/black}</t>
  </si>
  <si>
    <t>6089TC</t>
  </si>
  <si>
    <t>camo/black</t>
  </si>
  <si>
    <t>94-009-72-00</t>
  </si>
  <si>
    <t>Бейсболка FLEXFIT арт. 6089MT (черный / красный) {black/red}</t>
  </si>
  <si>
    <t>6089MT</t>
  </si>
  <si>
    <t>80% акрил - 20% шерсть</t>
  </si>
  <si>
    <t>black/red</t>
  </si>
  <si>
    <t>94-009-71-00</t>
  </si>
  <si>
    <t>Бейсболка FLEXFIT арт. 6089MT (темно-синий / красный) {navy/red}</t>
  </si>
  <si>
    <t>navy/red</t>
  </si>
  <si>
    <t>94-009-45-00</t>
  </si>
  <si>
    <t>Бейсболка FLEXFIT арт. 6089MT (синий / оранжевый) {royal/orange}</t>
  </si>
  <si>
    <t>royal/orange</t>
  </si>
  <si>
    <t>94-009-11-00</t>
  </si>
  <si>
    <t>Бейсболка FLEXFIT арт. 6089MT (светло-серый / черный) {heather/black}</t>
  </si>
  <si>
    <t>heather/black</t>
  </si>
  <si>
    <t>94-009-10-00</t>
  </si>
  <si>
    <t>Бейсболка FLEXFIT арт. 6089MT (черный / серый) {black/silver}</t>
  </si>
  <si>
    <t>black/silver</t>
  </si>
  <si>
    <t>94-009-09-00</t>
  </si>
  <si>
    <t>Бейсболка FLEXFIT арт. 6089MT (серый / черный) {dark heather/black}</t>
  </si>
  <si>
    <t>dark heather/black</t>
  </si>
  <si>
    <t>94-009-08-00</t>
  </si>
  <si>
    <t>Бейсболка FLEXFIT арт. 6089MT (серый / красный) {dark heather/red}</t>
  </si>
  <si>
    <t>dark heather/red</t>
  </si>
  <si>
    <t>94-008-00-00</t>
  </si>
  <si>
    <t>Бейсболка FLEXFIT арт. 6089MC (камуфляж) {multicam}</t>
  </si>
  <si>
    <t>6089MC</t>
  </si>
  <si>
    <t>98% хлопок - 2% спандекс</t>
  </si>
  <si>
    <t>multicam</t>
  </si>
  <si>
    <t>94-007-19-00</t>
  </si>
  <si>
    <t>Бейсболка FLEXFIT арт. 6089M (иссиня-черный) {dark navy}</t>
  </si>
  <si>
    <t>6089M</t>
  </si>
  <si>
    <t>dark navy</t>
  </si>
  <si>
    <t>94-007-18-00</t>
  </si>
  <si>
    <t>Бейсболка FLEXFIT арт. 6089M (красный) {red}</t>
  </si>
  <si>
    <t>94-007-17-00</t>
  </si>
  <si>
    <t>Бейсболка FLEXFIT арт. 6089M (белый) {white}</t>
  </si>
  <si>
    <t>94-007-16-00</t>
  </si>
  <si>
    <t>Бейсболка FLEXFIT арт. 6089M (темно-синий) {navy}</t>
  </si>
  <si>
    <t>94-007-13-00</t>
  </si>
  <si>
    <t>Бейсболка FLEXFIT арт. 6089M (оранжевый) {orange}</t>
  </si>
  <si>
    <t>orange</t>
  </si>
  <si>
    <t>94-007-12-00</t>
  </si>
  <si>
    <t>Бейсболка FLEXFIT арт. 6089M (бордовый) {maroon}</t>
  </si>
  <si>
    <t>94-007-11-00</t>
  </si>
  <si>
    <t>Бейсболка FLEXFIT арт. 6089M (зеленый) {spruce}</t>
  </si>
  <si>
    <t>94-007-09-00</t>
  </si>
  <si>
    <t>Бейсболка FLEXFIT арт. 6089M (черный) {black}</t>
  </si>
  <si>
    <t>94-007-08-00</t>
  </si>
  <si>
    <t>Бейсболка FLEXFIT арт. 6089M (серый) {silver}</t>
  </si>
  <si>
    <t>silver</t>
  </si>
  <si>
    <t>94-007-06-00</t>
  </si>
  <si>
    <t>Бейсболка FLEXFIT арт. 6089M (синий) {royal}</t>
  </si>
  <si>
    <t>94-007-05-00</t>
  </si>
  <si>
    <t>Бейсболка FLEXFIT арт. 6089M (темно-серый) {dark grey}</t>
  </si>
  <si>
    <t>94-007-01-00</t>
  </si>
  <si>
    <t>Бейсболка FLEXFIT арт. 6089M (светло-серый) {dark heather}</t>
  </si>
  <si>
    <t>dark heather</t>
  </si>
  <si>
    <t>94-006-00-00</t>
  </si>
  <si>
    <t>Бейсболка FLEXFIT арт. 6089CM (камуфляж) {green camo}</t>
  </si>
  <si>
    <t>6089CM</t>
  </si>
  <si>
    <t>green camo</t>
  </si>
  <si>
    <t>94-005-72-00</t>
  </si>
  <si>
    <t>Бейсболка FLEXFIT арт. 6007T (черный / красный) {black/red}</t>
  </si>
  <si>
    <t>6007T</t>
  </si>
  <si>
    <t>94-005-71-00</t>
  </si>
  <si>
    <t>Бейсболка FLEXFIT арт. 6007T (темно-синий / красный) {navy/red}</t>
  </si>
  <si>
    <t>94-005-33-00</t>
  </si>
  <si>
    <t>Бейсболка FLEXFIT арт. 6007T (черный / синий) {black/teal}</t>
  </si>
  <si>
    <t>black/teal</t>
  </si>
  <si>
    <t>94-005-10-00</t>
  </si>
  <si>
    <t>Бейсболка FLEXFIT арт. 6007T (черный / серый) {black/silver}</t>
  </si>
  <si>
    <t>94-005-09-00</t>
  </si>
  <si>
    <t>Бейсболка FLEXFIT арт. 6007T (черный / фиолетовый) {black/purple}</t>
  </si>
  <si>
    <t>black/purple</t>
  </si>
  <si>
    <t>94-004-18-00</t>
  </si>
  <si>
    <t>Бейсболка FLEXFIT арт. 6007 (красный) {red}</t>
  </si>
  <si>
    <t>94-004-17-00</t>
  </si>
  <si>
    <t>Бейсболка FLEXFIT арт. 6007 (белый) {white}</t>
  </si>
  <si>
    <t>94-004-16-00</t>
  </si>
  <si>
    <t>Бейсболка FLEXFIT арт. 6007 (темно-синий) {navy}</t>
  </si>
  <si>
    <t>94-004-09-00</t>
  </si>
  <si>
    <t>Бейсболка FLEXFIT арт. 6007 (черный) {black}</t>
  </si>
  <si>
    <t>94-004-08-00</t>
  </si>
  <si>
    <t>Бейсболка FLEXFIT арт. 6007 (серый) {grey}</t>
  </si>
  <si>
    <t>grey</t>
  </si>
  <si>
    <t>94-004-05-00</t>
  </si>
  <si>
    <t>Бейсболка FLEXFIT арт. 6007 (темно-серый) {dark grey}</t>
  </si>
  <si>
    <t>94-003-18-00</t>
  </si>
  <si>
    <t>Бейсболка FLEXFIT арт. 6005FF (красный) {red}</t>
  </si>
  <si>
    <t>6005FF</t>
  </si>
  <si>
    <t>94-003-16-00</t>
  </si>
  <si>
    <t>Бейсболка FLEXFIT арт. 6005FF (темно-синий) {navy}</t>
  </si>
  <si>
    <t>94-003-09-00</t>
  </si>
  <si>
    <t>Бейсболка FLEXFIT арт. 6005FF (черный) {black}</t>
  </si>
  <si>
    <t>94-003-06-00</t>
  </si>
  <si>
    <t>Бейсболка FLEXFIT арт. 6005FF (синий) {royal}</t>
  </si>
  <si>
    <t>94-002-18-00</t>
  </si>
  <si>
    <t>Бейсболка FLEXFIT арт. 5089M (красный) {red}</t>
  </si>
  <si>
    <t>5089M</t>
  </si>
  <si>
    <t>94-002-17-00</t>
  </si>
  <si>
    <t>Бейсболка FLEXFIT арт. 5089M (белый) {white}</t>
  </si>
  <si>
    <t>94-002-16-00</t>
  </si>
  <si>
    <t>Бейсболка FLEXFIT арт. 5089M (темно-синий) {navy}</t>
  </si>
  <si>
    <t>94-002-06-00</t>
  </si>
  <si>
    <t>Бейсболка FLEXFIT арт. 5089M (синий) {royal}</t>
  </si>
  <si>
    <t>94-002-05-00</t>
  </si>
  <si>
    <t>Бейсболка FLEXFIT арт. 5089M (темно-серый) {dark grey}</t>
  </si>
  <si>
    <t>94-001-05-00</t>
  </si>
  <si>
    <t>Бейсболка FLEXFIT арт. 110F (темно-серый) {dark grey}</t>
  </si>
  <si>
    <t>110F</t>
  </si>
  <si>
    <t>87% акрил - 11% шерсть - 2% спандекс</t>
  </si>
  <si>
    <t>94-001-01-00</t>
  </si>
  <si>
    <t>Бейсболка FLEXFIT арт. 110F (светло-серый) {heather grey}</t>
  </si>
  <si>
    <t>94-023-18-00</t>
  </si>
  <si>
    <t>Бейсболка FLEXFIT арт. 6789M (красный) {red}</t>
  </si>
  <si>
    <t>6789M</t>
  </si>
  <si>
    <t>94-023-09-00</t>
  </si>
  <si>
    <t>Бейсболка FLEXFIT арт. 6789M (черный) {black}</t>
  </si>
  <si>
    <t>94-023-06-00</t>
  </si>
  <si>
    <t>Бейсболка FLEXFIT арт. 6789M (синий) {royal}</t>
  </si>
  <si>
    <t>94-023-01-00</t>
  </si>
  <si>
    <t>Бейсболка FLEXFIT арт. 6789M (светло-серый) {heather grey}</t>
  </si>
  <si>
    <t>94-022-06-00</t>
  </si>
  <si>
    <t>Бейсболка FLEXFIT арт. 110C (синий) {royal}</t>
  </si>
  <si>
    <t>110C</t>
  </si>
  <si>
    <t>98% полиэстер - 2% спандекс</t>
  </si>
  <si>
    <t>94-020-80-00</t>
  </si>
  <si>
    <t>Бейсболка FLEXFIT арт. 6089CC (серый) {lt. steel grey}</t>
  </si>
  <si>
    <t>6089CC</t>
  </si>
  <si>
    <t>lt. steel grey</t>
  </si>
  <si>
    <t>94-020-12-00</t>
  </si>
  <si>
    <t>Бейсболка FLEXFIT арт. 6089CC (бордовый) {maroon}</t>
  </si>
  <si>
    <t>94-020-05-00</t>
  </si>
  <si>
    <t>Бейсболка FLEXFIT арт. 6089CC (темно-серый) {dark grey}</t>
  </si>
  <si>
    <t>94-019-09-00</t>
  </si>
  <si>
    <t>Бейсболка FLEXFIT арт. 6245CM (черный) {black}</t>
  </si>
  <si>
    <t>6245CM</t>
  </si>
  <si>
    <t>94-015-34-00</t>
  </si>
  <si>
    <t>Бейсболка FLEXFIT арт. 6606 (розовый) {pink}</t>
  </si>
  <si>
    <t>pink</t>
  </si>
  <si>
    <t>94-009-70-00</t>
  </si>
  <si>
    <t>Бейсболка FLEXFIT арт. 6089MT (темно-серый / красный) {heather/red}</t>
  </si>
  <si>
    <t>heather/red</t>
  </si>
  <si>
    <t>94-009-56-00</t>
  </si>
  <si>
    <t>Бейсболка FLEXFIT арт. 6089MT (серый / фиолетовый) {heather/purple}</t>
  </si>
  <si>
    <t>heather/purple</t>
  </si>
  <si>
    <t>94-009-26-00</t>
  </si>
  <si>
    <t>Бейсболка FLEXFIT арт. 6089MT (серый / синий) {heather/royal}</t>
  </si>
  <si>
    <t>heather/royal</t>
  </si>
  <si>
    <t>94-007-80-00</t>
  </si>
  <si>
    <t>Бейсболка FLEXFIT арт. 6089M (серый) {heather grey}</t>
  </si>
  <si>
    <t>94-020-09-00</t>
  </si>
  <si>
    <t>Бейсболка FLEXFIT арт. 6089CC (черный) {black}</t>
  </si>
  <si>
    <t>94-015-51-00</t>
  </si>
  <si>
    <t>Бейсболка FLEXFIT арт. 6606 (угольный) {charcoal}</t>
  </si>
  <si>
    <t>charcoal</t>
  </si>
  <si>
    <t>94-015-16-00</t>
  </si>
  <si>
    <t>Бейсболка FLEXFIT арт. 6606 (темно-синий) {navy}</t>
  </si>
  <si>
    <t>94-011-99-60</t>
  </si>
  <si>
    <t>Бейсболка FLEXFIT арт. 6277 (иссиня-черный) {dark navy}</t>
  </si>
  <si>
    <t>94-011-99-56</t>
  </si>
  <si>
    <t>94-011-80-60</t>
  </si>
  <si>
    <t>Бейсболка FLEXFIT арт. 6277 (серый) {grey}</t>
  </si>
  <si>
    <t>94-011-80-56</t>
  </si>
  <si>
    <t>94-011-41-60</t>
  </si>
  <si>
    <t>Бейсболка FLEXFIT арт. 6277 (фиолетовый) {purple}</t>
  </si>
  <si>
    <t>94-011-41-56</t>
  </si>
  <si>
    <t>94-011-18-60</t>
  </si>
  <si>
    <t>Бейсболка FLEXFIT арт. 6277 (красный) {red}</t>
  </si>
  <si>
    <t>94-011-18-56</t>
  </si>
  <si>
    <t>94-011-16-60</t>
  </si>
  <si>
    <t>Бейсболка FLEXFIT арт. 6277 (темно-синий) {navy}</t>
  </si>
  <si>
    <t>94-011-16-56</t>
  </si>
  <si>
    <t>94-011-12-60</t>
  </si>
  <si>
    <t>Бейсболка FLEXFIT арт. 6277 (бордовый) {maroon}</t>
  </si>
  <si>
    <t>94-011-12-56</t>
  </si>
  <si>
    <t>94-011-09-62</t>
  </si>
  <si>
    <t>Бейсболка FLEXFIT арт. 6277 (черный) {black}</t>
  </si>
  <si>
    <t>62 XL/XXL</t>
  </si>
  <si>
    <t>94-011-09-60</t>
  </si>
  <si>
    <t>94-011-09-56</t>
  </si>
  <si>
    <t>94-011-05-60</t>
  </si>
  <si>
    <t>Бейсболка FLEXFIT арт. 6277 (темно-серый) {dark grey}</t>
  </si>
  <si>
    <t>94-011-05-56</t>
  </si>
  <si>
    <t>94-010-75-00</t>
  </si>
  <si>
    <t>Бейсболка FLEXFIT арт. 6089TC (черный / камуфляж) {black/camo}</t>
  </si>
  <si>
    <t>black/camo</t>
  </si>
  <si>
    <t>94-026-48-00</t>
  </si>
  <si>
    <t>Бейсболка FLEXFIT арт. 6606W (белый / черный) {black/white/black}</t>
  </si>
  <si>
    <t>6606W</t>
  </si>
  <si>
    <t>black/white/black</t>
  </si>
  <si>
    <t>94-026-46-00</t>
  </si>
  <si>
    <t>Бейсболка FLEXFIT арт. 6606W (белый / голубой) {navy/white/navy}</t>
  </si>
  <si>
    <t>navy/white/navy</t>
  </si>
  <si>
    <t>94-025-00-00</t>
  </si>
  <si>
    <t>Бейсболка FLEXFIT арт. 6606CA (камуфляж) {green camo}</t>
  </si>
  <si>
    <t>6606CA</t>
  </si>
  <si>
    <t>85% полиэстер - 15% хлопок</t>
  </si>
  <si>
    <t>94-024-99-60</t>
  </si>
  <si>
    <t>Бейсболка FLEXFIT арт. 6277MC (камуфляж / черный) {multicam black}</t>
  </si>
  <si>
    <t>6277MC</t>
  </si>
  <si>
    <t>multicam black</t>
  </si>
  <si>
    <t>94-024-99-56</t>
  </si>
  <si>
    <t>94-024-00-60</t>
  </si>
  <si>
    <t>Бейсболка FLEXFIT арт. 6277MC (камуфляж) {multicam}</t>
  </si>
  <si>
    <t>94-024-00-56</t>
  </si>
  <si>
    <t>94-023-16-00</t>
  </si>
  <si>
    <t>Бейсболка FLEXFIT арт. 6789M (темно-синий) {navy}</t>
  </si>
  <si>
    <t>94-023-12-00</t>
  </si>
  <si>
    <t>Бейсболка FLEXFIT арт. 6789M (бордовый) {maroon}</t>
  </si>
  <si>
    <t>94-023-05-00</t>
  </si>
  <si>
    <t>Бейсболка FLEXFIT арт. 6789M (темно-серый) {dark grey}</t>
  </si>
  <si>
    <t>94-015-77-00</t>
  </si>
  <si>
    <t>Бейсболка FLEXFIT арт. 6606 (карамельный) {caramel}</t>
  </si>
  <si>
    <t>94-015-17-00</t>
  </si>
  <si>
    <t>Бейсболка FLEXFIT арт. 6606 (белый) {white}</t>
  </si>
  <si>
    <t>94-015-12-00</t>
  </si>
  <si>
    <t>Бейсболка FLEXFIT арт. 6606 (бордовый) {cranberry}</t>
  </si>
  <si>
    <t>cranberry</t>
  </si>
  <si>
    <t>94-011-19-60</t>
  </si>
  <si>
    <t>Бейсболка FLEXFIT арт. 6277 (голубой) {carolina blue}</t>
  </si>
  <si>
    <t>94-011-19-56</t>
  </si>
  <si>
    <t>94-011-17-60</t>
  </si>
  <si>
    <t>Бейсболка FLEXFIT арт. 6277 (белый) {white}</t>
  </si>
  <si>
    <t>94-011-17-56</t>
  </si>
  <si>
    <t>94-011-15-60</t>
  </si>
  <si>
    <t>Бейсболка FLEXFIT арт. 6277 (светло-коричневый) {coyote brown}</t>
  </si>
  <si>
    <t>coyote brown</t>
  </si>
  <si>
    <t>94-011-15-56</t>
  </si>
  <si>
    <t>94-011-08-60</t>
  </si>
  <si>
    <t>Бейсболка FLEXFIT арт. 6277 (серебристый) {silver}</t>
  </si>
  <si>
    <t>94-011-08-56</t>
  </si>
  <si>
    <t>94-011-03-60</t>
  </si>
  <si>
    <t>Бейсболка FLEXFIT арт. 6277 (оливковый) {olive}</t>
  </si>
  <si>
    <t>94-011-03-56</t>
  </si>
  <si>
    <t>94-008-99-00</t>
  </si>
  <si>
    <t>Бейсболка FLEXFIT арт. 6089MC (камуфляж / черный) {multicam black}</t>
  </si>
  <si>
    <t>94-007-48-00</t>
  </si>
  <si>
    <t>Бейсболка FLEXFIT арт. 6089M (черный / черный) {all black}</t>
  </si>
  <si>
    <t>all black</t>
  </si>
  <si>
    <t>94-007-41-00</t>
  </si>
  <si>
    <t>Бейсболка FLEXFIT арт. 6089M (фиолетовый) {purple}</t>
  </si>
  <si>
    <t>110X</t>
  </si>
  <si>
    <t>6277</t>
  </si>
  <si>
    <t>6606</t>
  </si>
  <si>
    <t>6005FW</t>
  </si>
  <si>
    <t>BLACK/CAMO</t>
  </si>
  <si>
    <t>NAVY</t>
  </si>
  <si>
    <t>BLACK</t>
  </si>
  <si>
    <t>COYOTE BROWN</t>
  </si>
  <si>
    <t>GREY</t>
  </si>
  <si>
    <t>PURPLE</t>
  </si>
  <si>
    <t>DARK GREY</t>
  </si>
  <si>
    <t>LT.STEEL GREY</t>
  </si>
  <si>
    <t>MAROON</t>
  </si>
  <si>
    <t>RED</t>
  </si>
  <si>
    <t>WHITE</t>
  </si>
  <si>
    <t>CRANBERRY</t>
  </si>
  <si>
    <t>EVERGREEN</t>
  </si>
  <si>
    <t>PINK</t>
  </si>
  <si>
    <t>KHAKI</t>
  </si>
  <si>
    <t>STONE</t>
  </si>
  <si>
    <t>BLACK/PURPLE</t>
  </si>
  <si>
    <t>HEATHER/NAVY</t>
  </si>
  <si>
    <t>NATURAL/BLACK</t>
  </si>
  <si>
    <t>ROYAL</t>
  </si>
  <si>
    <t>BLACK/WHITE/BLACK</t>
  </si>
  <si>
    <t>NAVY/WHITE/NAVY</t>
  </si>
  <si>
    <t>ROYAL/WHITE/ROYAL</t>
  </si>
  <si>
    <t>94-027-</t>
  </si>
  <si>
    <t>94-028-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</si>
</sst>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49" fontId="33" fillId="17" borderId="26" xfId="39" applyNumberFormat="1" applyFont="1" applyFill="1" applyBorder="1" applyAlignment="1">
      <alignment horizontal="left" vertical="top"/>
    </xf>
    <xf numFmtId="49" fontId="11" fillId="17" borderId="26" xfId="39" applyNumberFormat="1" applyFont="1" applyFill="1" applyBorder="1" applyAlignment="1">
      <alignment horizontal="left" vertical="top"/>
    </xf>
    <xf numFmtId="49" fontId="11" fillId="17" borderId="26" xfId="39" applyNumberFormat="1" applyFont="1" applyFill="1" applyBorder="1" applyAlignment="1">
      <alignment horizontal="right" vertical="top"/>
    </xf>
    <xf numFmtId="49" fontId="0" fillId="0" borderId="0" xfId="0" applyNumberFormat="1"/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F1" zoomScale="65" zoomScaleNormal="65" workbookViewId="0">
      <pane ySplit="1" topLeftCell="A3" activePane="bottomLeft" state="frozen"/>
      <selection pane="bottomLeft" activeCell="AI35" sqref="V3:AI35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3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35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35" si="2">0.05+0.05</f>
        <v>0.1</v>
      </c>
      <c r="AY2" s="114">
        <f t="shared" ref="AY2:AY35" si="3">IF(AX2&lt;&gt;"",AX2*1.5,"Требуется нетто")</f>
        <v>0.15000000000000002</v>
      </c>
      <c r="AZ2" s="114" t="str">
        <f t="shared" ref="AZ2:AZ35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35" si="5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35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35" si="7">IFERROR(IF(BE2,"-",IFERROR(IF(BD2&gt;0,0,1),"")),"")</f>
        <v/>
      </c>
      <c r="BG2" s="110"/>
    </row>
    <row r="3" spans="1:59" ht="98.1" customHeight="1">
      <c r="A3" s="112" t="str">
        <f>IF(C3&amp;K3&lt;&gt;"",C3&amp;K3,"")</f>
        <v>110XNAVY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94-027-16</v>
      </c>
      <c r="C3" s="113" t="s">
        <v>1279</v>
      </c>
      <c r="E3" s="112" t="str">
        <f>IF(F3&lt;&gt;"",IFERROR(VLOOKUP(F3,Категории!A:B,2,0),""),"Требуется категория")</f>
        <v>Бейсболки</v>
      </c>
      <c r="F3" s="106" t="s">
        <v>327</v>
      </c>
      <c r="G3" s="136" t="s">
        <v>918</v>
      </c>
      <c r="H3" s="106" t="s">
        <v>388</v>
      </c>
      <c r="J3" s="136" t="s">
        <v>854</v>
      </c>
      <c r="K3" s="119" t="s">
        <v>1284</v>
      </c>
      <c r="L3" s="147" t="str">
        <f>IF(K3&lt;&gt;"",IFERROR(VLOOKUP(A3,'1C'!A:X,8,0),IFERROR(VLOOKUP(K3,Colors!D:E,2,0),"")),"")</f>
        <v>темно-синий</v>
      </c>
      <c r="M3" s="136" t="s">
        <v>71</v>
      </c>
      <c r="N3" s="136"/>
      <c r="O3" s="136"/>
      <c r="P3" s="136"/>
      <c r="Q3" s="137" t="s">
        <v>1162</v>
      </c>
      <c r="R3" s="136"/>
      <c r="S3" s="136"/>
      <c r="T3" s="107"/>
      <c r="U3" s="107" t="s">
        <v>382</v>
      </c>
      <c r="V3" s="107">
        <v>10</v>
      </c>
      <c r="Y3" s="107"/>
      <c r="AA3" s="107"/>
      <c r="AC3" s="107"/>
      <c r="AE3" s="107"/>
      <c r="AG3" s="107"/>
      <c r="AT3" s="114">
        <f>IF(COUNTBLANK(V3:AS3)&lt;24,SUM(V3:AS3),"")</f>
        <v>10</v>
      </c>
      <c r="AU3" s="131" t="s">
        <v>571</v>
      </c>
      <c r="AV3" s="114" t="str">
        <f ca="1">IF(AU3&lt;&gt;"",VLOOKUP(AU3,INDIRECT(SUBSTITUTE(IF(ISNUMBER(IFERROR(VALUE(LEFT(J3,1)),FALSE)),"_"&amp;J3,J3)," ","")&amp;"Manufactures"),3,0),"Требуется код страны")</f>
        <v>YupoongInc; 174, Gurodong-ro, Guro-gu, 08285 Seoul, South Korea</v>
      </c>
      <c r="AW3" s="112" t="str">
        <f ca="1">IF(AU3&lt;&gt;"",VLOOKUP(AU3,INDIRECT(SUBSTITUTE(IF(ISNUMBER(IFERROR(VALUE(LEFT(J3,1)),FALSE)),"_"&amp;J3,J3)," ","")&amp;"Manufactures"),2,0),"Требуется код страны")</f>
        <v>Бангладеш</v>
      </c>
      <c r="AX3" s="117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1</v>
      </c>
      <c r="BA3" s="112">
        <f>IF(AY3&lt;&gt;"",IFERROR(AT3*AY3,"Требуются кол-во и брутто"),"Требуются кол-во и брутто")</f>
        <v>1.5000000000000002</v>
      </c>
      <c r="BB3" s="118">
        <v>711</v>
      </c>
      <c r="BC3" s="143">
        <f>+IF(BB3&lt;&gt;0,IFERROR(AT3*BB3,"Требуются кол-во и цена"),"Требуются кол-во и цена")</f>
        <v>7110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>IFERROR(IF(BE3,"-",IFERROR(IF(BD3&gt;0,0,1),"")),"")</f>
        <v>-</v>
      </c>
    </row>
    <row r="4" spans="1:59" ht="98.1" customHeight="1">
      <c r="A4" s="112" t="str">
        <f>IF(C4&amp;K4&lt;&gt;"",C4&amp;K4,"")</f>
        <v>6005FWBLACK/WHITE/BLACK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94-028-72</v>
      </c>
      <c r="C4" s="121" t="s">
        <v>1282</v>
      </c>
      <c r="E4" s="112" t="str">
        <f>IF(F4&lt;&gt;"",IFERROR(VLOOKUP(F4,Категории!A:B,2,0),""),"Требуется категория")</f>
        <v>Бейсболки</v>
      </c>
      <c r="F4" s="106" t="s">
        <v>783</v>
      </c>
      <c r="G4" s="136" t="s">
        <v>918</v>
      </c>
      <c r="H4" s="106" t="s">
        <v>388</v>
      </c>
      <c r="J4" s="107" t="s">
        <v>854</v>
      </c>
      <c r="K4" s="120" t="s">
        <v>1303</v>
      </c>
      <c r="L4" s="120" t="s">
        <v>293</v>
      </c>
      <c r="M4" s="136" t="s">
        <v>53</v>
      </c>
      <c r="N4" s="136"/>
      <c r="O4" s="136"/>
      <c r="P4" s="136"/>
      <c r="Q4" s="137" t="s">
        <v>1003</v>
      </c>
      <c r="R4" s="136"/>
      <c r="S4" s="136" t="s">
        <v>43</v>
      </c>
      <c r="T4" s="107"/>
      <c r="U4" s="107" t="s">
        <v>382</v>
      </c>
      <c r="V4" s="107">
        <v>20</v>
      </c>
      <c r="Y4" s="107"/>
      <c r="AA4" s="107"/>
      <c r="AC4" s="107"/>
      <c r="AE4" s="107"/>
      <c r="AG4" s="107"/>
      <c r="AT4" s="114">
        <f>IF(COUNTBLANK(V4:AS4)&lt;24,SUM(V4:AS4),"")</f>
        <v>20</v>
      </c>
      <c r="AU4" s="131" t="s">
        <v>571</v>
      </c>
      <c r="AV4" s="114" t="str">
        <f ca="1">IF(AU4&lt;&gt;"",VLOOKUP(AU4,INDIRECT(SUBSTITUTE(IF(ISNUMBER(IFERROR(VALUE(LEFT(J4,1)),FALSE)),"_"&amp;J4,J4)," ","")&amp;"Manufactures"),3,0),"Требуется код страны")</f>
        <v>YupoongInc; 174, Gurodong-ro, Guro-gu, 08285 Seoul, South Korea</v>
      </c>
      <c r="AW4" s="112" t="str">
        <f ca="1">IF(AU4&lt;&gt;"",VLOOKUP(AU4,INDIRECT(SUBSTITUTE(IF(ISNUMBER(IFERROR(VALUE(LEFT(J4,1)),FALSE)),"_"&amp;J4,J4)," ","")&amp;"Manufactures"),2,0),"Требуется код страны")</f>
        <v>Бангладеш</v>
      </c>
      <c r="AX4" s="117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2</v>
      </c>
      <c r="BA4" s="112">
        <f>IF(AY4&lt;&gt;"",IFERROR(AT4*AY4,"Требуются кол-во и брутто"),"Требуются кол-во и брутто")</f>
        <v>3.0000000000000004</v>
      </c>
      <c r="BB4" s="118">
        <v>541</v>
      </c>
      <c r="BC4" s="143">
        <f>+IF(BB4&lt;&gt;0,IFERROR(AT4*BB4,"Требуются кол-во и цена"),"Требуются кол-во и цена")</f>
        <v>10820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>IFERROR(IF(BE4,"-",IFERROR(IF(BD4&gt;0,0,1),"")),"")</f>
        <v>-</v>
      </c>
    </row>
    <row r="5" spans="1:59" ht="98.1" customHeight="1">
      <c r="A5" s="112" t="str">
        <f>IF(C5&amp;K5&lt;&gt;"",C5&amp;K5,"")</f>
        <v>6005FWNAVY/WHITE/NAVY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94-028-65</v>
      </c>
      <c r="C5" s="121" t="s">
        <v>1282</v>
      </c>
      <c r="E5" s="112" t="str">
        <f>IF(F5&lt;&gt;"",IFERROR(VLOOKUP(F5,Категории!A:B,2,0),""),"Требуется категория")</f>
        <v>Бейсболки</v>
      </c>
      <c r="F5" s="106" t="s">
        <v>783</v>
      </c>
      <c r="G5" s="136" t="s">
        <v>918</v>
      </c>
      <c r="H5" s="106" t="s">
        <v>388</v>
      </c>
      <c r="J5" s="107" t="s">
        <v>854</v>
      </c>
      <c r="K5" s="120" t="s">
        <v>1304</v>
      </c>
      <c r="L5" s="120" t="s">
        <v>678</v>
      </c>
      <c r="M5" s="136" t="s">
        <v>71</v>
      </c>
      <c r="N5" s="136"/>
      <c r="O5" s="136"/>
      <c r="P5" s="136"/>
      <c r="Q5" s="137" t="s">
        <v>1003</v>
      </c>
      <c r="R5" s="136"/>
      <c r="S5" s="136" t="s">
        <v>43</v>
      </c>
      <c r="T5" s="107"/>
      <c r="U5" s="107" t="s">
        <v>382</v>
      </c>
      <c r="V5" s="107">
        <v>10</v>
      </c>
      <c r="Y5" s="107"/>
      <c r="AA5" s="107"/>
      <c r="AC5" s="107"/>
      <c r="AE5" s="107"/>
      <c r="AG5" s="107"/>
      <c r="AT5" s="114">
        <f>IF(COUNTBLANK(V5:AS5)&lt;24,SUM(V5:AS5),"")</f>
        <v>10</v>
      </c>
      <c r="AU5" s="131" t="s">
        <v>571</v>
      </c>
      <c r="AV5" s="114" t="str">
        <f ca="1">IF(AU5&lt;&gt;"",VLOOKUP(AU5,INDIRECT(SUBSTITUTE(IF(ISNUMBER(IFERROR(VALUE(LEFT(J5,1)),FALSE)),"_"&amp;J5,J5)," ","")&amp;"Manufactures"),3,0),"Требуется код страны")</f>
        <v>YupoongInc; 174, Gurodong-ro, Guro-gu, 08285 Seoul, South Korea</v>
      </c>
      <c r="AW5" s="112" t="str">
        <f ca="1">IF(AU5&lt;&gt;"",VLOOKUP(AU5,INDIRECT(SUBSTITUTE(IF(ISNUMBER(IFERROR(VALUE(LEFT(J5,1)),FALSE)),"_"&amp;J5,J5)," ","")&amp;"Manufactures"),2,0),"Требуется код страны")</f>
        <v>Бангладеш</v>
      </c>
      <c r="AX5" s="117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1</v>
      </c>
      <c r="BA5" s="112">
        <f>IF(AY5&lt;&gt;"",IFERROR(AT5*AY5,"Требуются кол-во и брутто"),"Требуются кол-во и брутто")</f>
        <v>1.5000000000000002</v>
      </c>
      <c r="BB5" s="118">
        <v>541</v>
      </c>
      <c r="BC5" s="143">
        <f>+IF(BB5&lt;&gt;0,IFERROR(AT5*BB5,"Требуются кол-во и цена"),"Требуются кол-во и цена")</f>
        <v>5410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>IFERROR(IF(BE5,"-",IFERROR(IF(BD5&gt;0,0,1),"")),"")</f>
        <v>-</v>
      </c>
    </row>
    <row r="6" spans="1:59" ht="98.1" customHeight="1">
      <c r="A6" s="112" t="str">
        <f>IF(C6&amp;K6&lt;&gt;"",C6&amp;K6,"")</f>
        <v>6005FWROYAL/WHITE/ROYAL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94-028-95</v>
      </c>
      <c r="C6" s="121" t="s">
        <v>1282</v>
      </c>
      <c r="E6" s="112" t="str">
        <f>IF(F6&lt;&gt;"",IFERROR(VLOOKUP(F6,Категории!A:B,2,0),""),"Требуется категория")</f>
        <v>Бейсболки</v>
      </c>
      <c r="F6" s="106" t="s">
        <v>783</v>
      </c>
      <c r="G6" s="136" t="s">
        <v>918</v>
      </c>
      <c r="H6" s="106" t="s">
        <v>388</v>
      </c>
      <c r="J6" s="107" t="s">
        <v>854</v>
      </c>
      <c r="K6" s="120" t="s">
        <v>1305</v>
      </c>
      <c r="L6" s="120" t="s">
        <v>248</v>
      </c>
      <c r="M6" s="136" t="s">
        <v>71</v>
      </c>
      <c r="N6" s="136"/>
      <c r="O6" s="136"/>
      <c r="P6" s="136"/>
      <c r="Q6" s="137" t="s">
        <v>1003</v>
      </c>
      <c r="R6" s="136"/>
      <c r="S6" s="136" t="s">
        <v>43</v>
      </c>
      <c r="T6" s="107"/>
      <c r="U6" s="107" t="s">
        <v>382</v>
      </c>
      <c r="V6" s="107">
        <v>6</v>
      </c>
      <c r="Y6" s="107"/>
      <c r="AA6" s="107"/>
      <c r="AC6" s="107"/>
      <c r="AE6" s="107"/>
      <c r="AG6" s="107"/>
      <c r="AT6" s="114">
        <f>IF(COUNTBLANK(V6:AS6)&lt;24,SUM(V6:AS6),"")</f>
        <v>6</v>
      </c>
      <c r="AU6" s="131" t="s">
        <v>571</v>
      </c>
      <c r="AV6" s="114" t="str">
        <f ca="1">IF(AU6&lt;&gt;"",VLOOKUP(AU6,INDIRECT(SUBSTITUTE(IF(ISNUMBER(IFERROR(VALUE(LEFT(J6,1)),FALSE)),"_"&amp;J6,J6)," ","")&amp;"Manufactures"),3,0),"Требуется код страны")</f>
        <v>YupoongInc; 174, Gurodong-ro, Guro-gu, 08285 Seoul, South Korea</v>
      </c>
      <c r="AW6" s="112" t="str">
        <f ca="1">IF(AU6&lt;&gt;"",VLOOKUP(AU6,INDIRECT(SUBSTITUTE(IF(ISNUMBER(IFERROR(VALUE(LEFT(J6,1)),FALSE)),"_"&amp;J6,J6)," ","")&amp;"Manufactures"),2,0),"Требуется код страны")</f>
        <v>Бангладеш</v>
      </c>
      <c r="AX6" s="117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0.60000000000000009</v>
      </c>
      <c r="BA6" s="112">
        <f>IF(AY6&lt;&gt;"",IFERROR(AT6*AY6,"Требуются кол-во и брутто"),"Требуются кол-во и брутто")</f>
        <v>0.90000000000000013</v>
      </c>
      <c r="BB6" s="118">
        <v>541</v>
      </c>
      <c r="BC6" s="143">
        <f>+IF(BB6&lt;&gt;0,IFERROR(AT6*BB6,"Требуются кол-во и цена"),"Требуются кол-во и цена")</f>
        <v>3246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>IFERROR(IF(BE6,"-",IFERROR(IF(BD6&gt;0,0,1),"")),"")</f>
        <v>-</v>
      </c>
    </row>
    <row r="7" spans="1:59" ht="98.1" customHeight="1">
      <c r="A7" s="112" t="str">
        <f>IF(C7&amp;K7&lt;&gt;"",C7&amp;K7,"")</f>
        <v>6089CCLT.STEEL GREY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94-020-01</v>
      </c>
      <c r="C7" s="121" t="s">
        <v>1165</v>
      </c>
      <c r="E7" s="112" t="str">
        <f>IF(F7&lt;&gt;"",IFERROR(VLOOKUP(F7,Категории!A:B,2,0),""),"Требуется категория")</f>
        <v>Бейсболки</v>
      </c>
      <c r="F7" s="112" t="str">
        <f>IF(A7&lt;&gt;"",IF(BD7&gt;0,_xlfn.XLOOKUP(A7,'1C'!A:A,'1C'!J:J,"",0),_xlfn.XLOOKUP(C7,'1C'!W:W,'1C'!J:J,"",0)),"")</f>
        <v>Бейсболка</v>
      </c>
      <c r="G7" s="114" t="str">
        <f>IF(C7&lt;&gt;"",IF(BD7&gt;0,_xlfn.XLOOKUP(A7,'1C'!A:A,'1C'!L:L,"",0),_xlfn.XLOOKUP(C7,'1C'!W:W,'1C'!L:L,"",0)),"")</f>
        <v>Flexfit</v>
      </c>
      <c r="H7" s="112" t="str">
        <f>IF(A7&lt;&gt;"",_xlfn.XLOOKUP(A7,'1C'!A:A,'1C'!M:M,_xlfn.XLOOKUP(C7,'1C'!W:W,'1C'!M:M,"",0),0),"")</f>
        <v>всесезон</v>
      </c>
      <c r="J7" s="136" t="s">
        <v>854</v>
      </c>
      <c r="K7" s="120" t="s">
        <v>1290</v>
      </c>
      <c r="L7" s="120" t="s">
        <v>231</v>
      </c>
      <c r="M7" s="136" t="s">
        <v>83</v>
      </c>
      <c r="N7" s="136"/>
      <c r="O7" s="136"/>
      <c r="P7" s="136"/>
      <c r="Q7" s="144" t="str">
        <f>IF(A7&lt;&gt;"",_xlfn.XLOOKUP(A7,'1C'!A:A,'1C'!I:I,_xlfn.XLOOKUP(C7,'1C'!W:W,'1C'!I:I,"",0),0),"")</f>
        <v>100% хлопок</v>
      </c>
      <c r="R7" s="136"/>
      <c r="S7" s="114" t="str">
        <f>_xlfn.LET(_xlpm.RES,IF(A7&lt;&gt;"",_xlfn.XLOOKUP(A7,'1C'!A:A,'1C'!N:N,_xlfn.XLOOKUP(C7,'1C'!W:W,'1C'!N:N,"",0),0),""),IF(_xlpm.RES=0,"",_xlpm.RES))</f>
        <v>хлопковые</v>
      </c>
      <c r="T7" s="116" t="str">
        <f>IF(S7&lt;&gt;"",IFERROR(VLOOKUP(S7,MaterialsTypes!F:G,2,0),IFERROR(VLOOKUP(Q7,MaterialsTypes100,2,0),"")),IFERROR(VLOOKUP(Q7,MaterialsTypes100,2,0),""))</f>
        <v>Текстиль, ткань</v>
      </c>
      <c r="U7" s="116" t="str">
        <f>IF(A7&lt;&gt;"",_xlfn.XLOOKUP(A7,'1C'!A:A,'1C'!K:K,_xlfn.XLOOKUP(C7,'1C'!W:W,'1C'!K:K,"",0),0),"")</f>
        <v>Унисекс</v>
      </c>
      <c r="V7" s="107">
        <v>20</v>
      </c>
      <c r="Y7" s="107"/>
      <c r="AA7" s="107"/>
      <c r="AC7" s="107"/>
      <c r="AE7" s="107"/>
      <c r="AG7" s="107"/>
      <c r="AT7" s="114">
        <f>IF(COUNTBLANK(V7:AS7)&lt;24,SUM(V7:AS7),"")</f>
        <v>20</v>
      </c>
      <c r="AU7" s="145" t="str">
        <f>IF(A7&lt;&gt;"",_xlfn.XLOOKUP(_xlfn.XLOOKUP(A7,'1C'!A:A,'1C'!O:O,_xlfn.XLOOKUP(C7,'1C'!W:W,'1C'!O:O,"",0),0),Settings!N:N,Settings!O:O,"",0),"")</f>
        <v>BD</v>
      </c>
      <c r="AV7" s="114" t="str">
        <f t="shared" ref="AV7:AV18" ca="1" si="8">IF(AU7&lt;&gt;"",VLOOKUP(AU7,INDIRECT(SUBSTITUTE(IF(ISNUMBER(IFERROR(VALUE(LEFT(J7,1)),FALSE)),"_"&amp;J7,J7)," ","")&amp;"Manufactures"),3,0),"Требуется код страны")</f>
        <v>YupoongInc; 174, Gurodong-ro, Guro-gu, 08285 Seoul, South Korea</v>
      </c>
      <c r="AW7" s="114" t="str">
        <f t="shared" ref="AW7:AW18" ca="1" si="9">IF(AU7&lt;&gt;"",VLOOKUP(AU7,INDIRECT(SUBSTITUTE(IF(ISNUMBER(IFERROR(VALUE(LEFT(J7,1)),FALSE)),"_"&amp;J7,J7)," ","")&amp;"Manufactures"),2,0),"Требуется код страны")</f>
        <v>Бангладеш</v>
      </c>
      <c r="AX7" s="117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2</v>
      </c>
      <c r="BA7" s="112">
        <f>IF(AY7&lt;&gt;"",IFERROR(AT7*AY7,"Требуются кол-во и брутто"),"Требуются кол-во и брутто")</f>
        <v>3.0000000000000004</v>
      </c>
      <c r="BB7" s="118">
        <v>609</v>
      </c>
      <c r="BC7" s="143">
        <f>+IF(BB7&lt;&gt;0,IFERROR(AT7*BB7,"Требуются кол-во и цена"),"Требуются кол-во и цена")</f>
        <v>12180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0</v>
      </c>
      <c r="BF7" s="109">
        <f>IFERROR(IF(BE7,"-",IFERROR(IF(BD7&gt;0,0,1),"")),"")</f>
        <v>1</v>
      </c>
    </row>
    <row r="8" spans="1:59" ht="98.1" customHeight="1">
      <c r="A8" s="112" t="str">
        <f>IF(C8&amp;K8&lt;&gt;"",C8&amp;K8,"")</f>
        <v>6089CCNAVY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94-020-16</v>
      </c>
      <c r="C8" s="121" t="s">
        <v>1165</v>
      </c>
      <c r="E8" s="112" t="str">
        <f>IF(F8&lt;&gt;"",IFERROR(VLOOKUP(F8,Категории!A:B,2,0),""),"Требуется категория")</f>
        <v>Бейсболки</v>
      </c>
      <c r="F8" s="112" t="str">
        <f>IF(A8&lt;&gt;"",IF(BD8&gt;0,_xlfn.XLOOKUP(A8,'1C'!A:A,'1C'!J:J,"",0),_xlfn.XLOOKUP(C8,'1C'!W:W,'1C'!J:J,"",0)),"")</f>
        <v>Бейсболка</v>
      </c>
      <c r="G8" s="114" t="str">
        <f>IF(C8&lt;&gt;"",IF(BD8&gt;0,_xlfn.XLOOKUP(A8,'1C'!A:A,'1C'!L:L,"",0),_xlfn.XLOOKUP(C8,'1C'!W:W,'1C'!L:L,"",0)),"")</f>
        <v>Flexfit</v>
      </c>
      <c r="H8" s="112" t="str">
        <f>IF(A8&lt;&gt;"",_xlfn.XLOOKUP(A8,'1C'!A:A,'1C'!M:M,_xlfn.XLOOKUP(C8,'1C'!W:W,'1C'!M:M,"",0),0),"")</f>
        <v>всесезон</v>
      </c>
      <c r="J8" s="136" t="s">
        <v>854</v>
      </c>
      <c r="K8" s="120" t="s">
        <v>1284</v>
      </c>
      <c r="L8" s="147" t="str">
        <f>IF(K8&lt;&gt;"",IFERROR(VLOOKUP(A8,'1C'!A:X,8,0),IFERROR(VLOOKUP(K8,Colors!D:E,2,0),"")),"")</f>
        <v>темно-синий</v>
      </c>
      <c r="M8" s="136" t="s">
        <v>71</v>
      </c>
      <c r="N8" s="136"/>
      <c r="O8" s="136"/>
      <c r="P8" s="136"/>
      <c r="Q8" s="144" t="str">
        <f>IF(A8&lt;&gt;"",_xlfn.XLOOKUP(A8,'1C'!A:A,'1C'!I:I,_xlfn.XLOOKUP(C8,'1C'!W:W,'1C'!I:I,"",0),0),"")</f>
        <v>100% хлопок</v>
      </c>
      <c r="R8" s="136"/>
      <c r="S8" s="114" t="str">
        <f>_xlfn.LET(_xlpm.RES,IF(A8&lt;&gt;"",_xlfn.XLOOKUP(A8,'1C'!A:A,'1C'!N:N,_xlfn.XLOOKUP(C8,'1C'!W:W,'1C'!N:N,"",0),0),""),IF(_xlpm.RES=0,"",_xlpm.RES))</f>
        <v>хлопковые</v>
      </c>
      <c r="T8" s="116" t="str">
        <f>IF(S8&lt;&gt;"",IFERROR(VLOOKUP(S8,MaterialsTypes!F:G,2,0),IFERROR(VLOOKUP(Q8,MaterialsTypes100,2,0),"")),IFERROR(VLOOKUP(Q8,MaterialsTypes100,2,0),""))</f>
        <v>Текстиль, ткань</v>
      </c>
      <c r="U8" s="116" t="str">
        <f>IF(A8&lt;&gt;"",_xlfn.XLOOKUP(A8,'1C'!A:A,'1C'!K:K,_xlfn.XLOOKUP(C8,'1C'!W:W,'1C'!K:K,"",0),0),"")</f>
        <v>Унисекс</v>
      </c>
      <c r="V8" s="107">
        <v>40</v>
      </c>
      <c r="Y8" s="107"/>
      <c r="AA8" s="107"/>
      <c r="AC8" s="107"/>
      <c r="AE8" s="107"/>
      <c r="AG8" s="107"/>
      <c r="AT8" s="114">
        <f>IF(COUNTBLANK(V8:AS8)&lt;24,SUM(V8:AS8),"")</f>
        <v>40</v>
      </c>
      <c r="AU8" s="145" t="str">
        <f>IF(A8&lt;&gt;"",_xlfn.XLOOKUP(_xlfn.XLOOKUP(A8,'1C'!A:A,'1C'!O:O,_xlfn.XLOOKUP(C8,'1C'!W:W,'1C'!O:O,"",0),0),Settings!N:N,Settings!O:O,"",0),"")</f>
        <v>BD</v>
      </c>
      <c r="AV8" s="114" t="str">
        <f t="shared" ca="1" si="8"/>
        <v>YupoongInc; 174, Gurodong-ro, Guro-gu, 08285 Seoul, South Korea</v>
      </c>
      <c r="AW8" s="114" t="str">
        <f t="shared" ca="1" si="9"/>
        <v>Бангладеш</v>
      </c>
      <c r="AX8" s="117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4</v>
      </c>
      <c r="BA8" s="112">
        <f>IF(AY8&lt;&gt;"",IFERROR(AT8*AY8,"Требуются кол-во и брутто"),"Требуются кол-во и брутто")</f>
        <v>6.0000000000000009</v>
      </c>
      <c r="BB8" s="118">
        <v>609</v>
      </c>
      <c r="BC8" s="143">
        <f>+IF(BB8&lt;&gt;0,IFERROR(AT8*BB8,"Требуются кол-во и цена"),"Требуются кол-во и цена")</f>
        <v>24360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0</v>
      </c>
      <c r="BF8" s="109">
        <f>IFERROR(IF(BE8,"-",IFERROR(IF(BD8&gt;0,0,1),"")),"")</f>
        <v>1</v>
      </c>
    </row>
    <row r="9" spans="1:59" ht="98.1" customHeight="1">
      <c r="A9" s="112" t="str">
        <f>IF(C9&amp;K9&lt;&gt;"",C9&amp;K9,"")</f>
        <v>6089CCRED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94-020-18</v>
      </c>
      <c r="C9" s="121" t="s">
        <v>1165</v>
      </c>
      <c r="E9" s="112" t="str">
        <f>IF(F9&lt;&gt;"",IFERROR(VLOOKUP(F9,Категории!A:B,2,0),""),"Требуется категория")</f>
        <v>Бейсболки</v>
      </c>
      <c r="F9" s="112" t="str">
        <f>IF(A9&lt;&gt;"",IF(BD9&gt;0,_xlfn.XLOOKUP(A9,'1C'!A:A,'1C'!J:J,"",0),_xlfn.XLOOKUP(C9,'1C'!W:W,'1C'!J:J,"",0)),"")</f>
        <v>Бейсболка</v>
      </c>
      <c r="G9" s="114" t="str">
        <f>IF(C9&lt;&gt;"",IF(BD9&gt;0,_xlfn.XLOOKUP(A9,'1C'!A:A,'1C'!L:L,"",0),_xlfn.XLOOKUP(C9,'1C'!W:W,'1C'!L:L,"",0)),"")</f>
        <v>Flexfit</v>
      </c>
      <c r="H9" s="112" t="str">
        <f>IF(A9&lt;&gt;"",_xlfn.XLOOKUP(A9,'1C'!A:A,'1C'!M:M,_xlfn.XLOOKUP(C9,'1C'!W:W,'1C'!M:M,"",0),0),"")</f>
        <v>всесезон</v>
      </c>
      <c r="J9" s="136" t="s">
        <v>854</v>
      </c>
      <c r="K9" s="120" t="s">
        <v>1292</v>
      </c>
      <c r="L9" s="147" t="str">
        <f>IF(K9&lt;&gt;"",IFERROR(VLOOKUP(A9,'1C'!A:X,8,0),IFERROR(VLOOKUP(K9,Colors!D:E,2,0),"")),"")</f>
        <v>красный</v>
      </c>
      <c r="M9" s="136" t="s">
        <v>78</v>
      </c>
      <c r="N9" s="136"/>
      <c r="O9" s="136"/>
      <c r="P9" s="136"/>
      <c r="Q9" s="144" t="str">
        <f>IF(A9&lt;&gt;"",_xlfn.XLOOKUP(A9,'1C'!A:A,'1C'!I:I,_xlfn.XLOOKUP(C9,'1C'!W:W,'1C'!I:I,"",0),0),"")</f>
        <v>100% хлопок</v>
      </c>
      <c r="R9" s="136"/>
      <c r="S9" s="114" t="str">
        <f>_xlfn.LET(_xlpm.RES,IF(A9&lt;&gt;"",_xlfn.XLOOKUP(A9,'1C'!A:A,'1C'!N:N,_xlfn.XLOOKUP(C9,'1C'!W:W,'1C'!N:N,"",0),0),""),IF(_xlpm.RES=0,"",_xlpm.RES))</f>
        <v>хлопковые</v>
      </c>
      <c r="T9" s="116" t="str">
        <f>IF(S9&lt;&gt;"",IFERROR(VLOOKUP(S9,MaterialsTypes!F:G,2,0),IFERROR(VLOOKUP(Q9,MaterialsTypes100,2,0),"")),IFERROR(VLOOKUP(Q9,MaterialsTypes100,2,0),""))</f>
        <v>Текстиль, ткань</v>
      </c>
      <c r="U9" s="116" t="str">
        <f>IF(A9&lt;&gt;"",_xlfn.XLOOKUP(A9,'1C'!A:A,'1C'!K:K,_xlfn.XLOOKUP(C9,'1C'!W:W,'1C'!K:K,"",0),0),"")</f>
        <v>Унисекс</v>
      </c>
      <c r="V9" s="107">
        <v>6</v>
      </c>
      <c r="Y9" s="107"/>
      <c r="AA9" s="107"/>
      <c r="AC9" s="107"/>
      <c r="AE9" s="107"/>
      <c r="AG9" s="107"/>
      <c r="AT9" s="114">
        <f>IF(COUNTBLANK(V9:AS9)&lt;24,SUM(V9:AS9),"")</f>
        <v>6</v>
      </c>
      <c r="AU9" s="145" t="str">
        <f>IF(A9&lt;&gt;"",_xlfn.XLOOKUP(_xlfn.XLOOKUP(A9,'1C'!A:A,'1C'!O:O,_xlfn.XLOOKUP(C9,'1C'!W:W,'1C'!O:O,"",0),0),Settings!N:N,Settings!O:O,"",0),"")</f>
        <v>BD</v>
      </c>
      <c r="AV9" s="114" t="str">
        <f t="shared" ca="1" si="8"/>
        <v>YupoongInc; 174, Gurodong-ro, Guro-gu, 08285 Seoul, South Korea</v>
      </c>
      <c r="AW9" s="114" t="str">
        <f t="shared" ca="1" si="9"/>
        <v>Бангладеш</v>
      </c>
      <c r="AX9" s="117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0.60000000000000009</v>
      </c>
      <c r="BA9" s="112">
        <f>IF(AY9&lt;&gt;"",IFERROR(AT9*AY9,"Требуются кол-во и брутто"),"Требуются кол-во и брутто")</f>
        <v>0.90000000000000013</v>
      </c>
      <c r="BB9" s="118">
        <v>609</v>
      </c>
      <c r="BC9" s="143">
        <f>+IF(BB9&lt;&gt;0,IFERROR(AT9*BB9,"Требуются кол-во и цена"),"Требуются кол-во и цена")</f>
        <v>3654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0</v>
      </c>
      <c r="BF9" s="109">
        <f>IFERROR(IF(BE9,"-",IFERROR(IF(BD9&gt;0,0,1),"")),"")</f>
        <v>1</v>
      </c>
    </row>
    <row r="10" spans="1:59" ht="98.1" customHeight="1">
      <c r="A10" s="112" t="str">
        <f>IF(C10&amp;K10&lt;&gt;"",C10&amp;K10,"")</f>
        <v>6089CCWHITE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94-020-17</v>
      </c>
      <c r="C10" s="121" t="s">
        <v>1165</v>
      </c>
      <c r="E10" s="112" t="str">
        <f>IF(F10&lt;&gt;"",IFERROR(VLOOKUP(F10,Категории!A:B,2,0),""),"Требуется категория")</f>
        <v>Бейсболки</v>
      </c>
      <c r="F10" s="112" t="str">
        <f>IF(A10&lt;&gt;"",IF(BD10&gt;0,_xlfn.XLOOKUP(A10,'1C'!A:A,'1C'!J:J,"",0),_xlfn.XLOOKUP(C10,'1C'!W:W,'1C'!J:J,"",0)),"")</f>
        <v>Бейсболка</v>
      </c>
      <c r="G10" s="114" t="str">
        <f>IF(C10&lt;&gt;"",IF(BD10&gt;0,_xlfn.XLOOKUP(A10,'1C'!A:A,'1C'!L:L,"",0),_xlfn.XLOOKUP(C10,'1C'!W:W,'1C'!L:L,"",0)),"")</f>
        <v>Flexfit</v>
      </c>
      <c r="H10" s="112" t="str">
        <f>IF(A10&lt;&gt;"",_xlfn.XLOOKUP(A10,'1C'!A:A,'1C'!M:M,_xlfn.XLOOKUP(C10,'1C'!W:W,'1C'!M:M,"",0),0),"")</f>
        <v>всесезон</v>
      </c>
      <c r="J10" s="136" t="s">
        <v>854</v>
      </c>
      <c r="K10" s="120" t="s">
        <v>1293</v>
      </c>
      <c r="L10" s="147" t="str">
        <f>IF(K10&lt;&gt;"",IFERROR(VLOOKUP(A10,'1C'!A:X,8,0),IFERROR(VLOOKUP(K10,Colors!D:E,2,0),"")),"")</f>
        <v>белый</v>
      </c>
      <c r="M10" s="136" t="s">
        <v>57</v>
      </c>
      <c r="N10" s="136"/>
      <c r="O10" s="136"/>
      <c r="P10" s="136"/>
      <c r="Q10" s="144" t="str">
        <f>IF(A10&lt;&gt;"",_xlfn.XLOOKUP(A10,'1C'!A:A,'1C'!I:I,_xlfn.XLOOKUP(C10,'1C'!W:W,'1C'!I:I,"",0),0),"")</f>
        <v>100% хлопок</v>
      </c>
      <c r="R10" s="136"/>
      <c r="S10" s="114" t="str">
        <f>_xlfn.LET(_xlpm.RES,IF(A10&lt;&gt;"",_xlfn.XLOOKUP(A10,'1C'!A:A,'1C'!N:N,_xlfn.XLOOKUP(C10,'1C'!W:W,'1C'!N:N,"",0),0),""),IF(_xlpm.RES=0,"",_xlpm.RES))</f>
        <v>хлопковые</v>
      </c>
      <c r="T10" s="116" t="str">
        <f>IF(S10&lt;&gt;"",IFERROR(VLOOKUP(S10,MaterialsTypes!F:G,2,0),IFERROR(VLOOKUP(Q10,MaterialsTypes100,2,0),"")),IFERROR(VLOOKUP(Q10,MaterialsTypes100,2,0),""))</f>
        <v>Текстиль, ткань</v>
      </c>
      <c r="U10" s="116" t="str">
        <f>IF(A10&lt;&gt;"",_xlfn.XLOOKUP(A10,'1C'!A:A,'1C'!K:K,_xlfn.XLOOKUP(C10,'1C'!W:W,'1C'!K:K,"",0),0),"")</f>
        <v>Унисекс</v>
      </c>
      <c r="V10" s="107">
        <v>10</v>
      </c>
      <c r="Y10" s="107"/>
      <c r="AA10" s="107"/>
      <c r="AC10" s="107"/>
      <c r="AE10" s="107"/>
      <c r="AG10" s="107"/>
      <c r="AT10" s="114">
        <f>IF(COUNTBLANK(V10:AS10)&lt;24,SUM(V10:AS10),"")</f>
        <v>10</v>
      </c>
      <c r="AU10" s="145" t="str">
        <f>IF(A10&lt;&gt;"",_xlfn.XLOOKUP(_xlfn.XLOOKUP(A10,'1C'!A:A,'1C'!O:O,_xlfn.XLOOKUP(C10,'1C'!W:W,'1C'!O:O,"",0),0),Settings!N:N,Settings!O:O,"",0),"")</f>
        <v>BD</v>
      </c>
      <c r="AV10" s="114" t="str">
        <f t="shared" ca="1" si="8"/>
        <v>YupoongInc; 174, Gurodong-ro, Guro-gu, 08285 Seoul, South Korea</v>
      </c>
      <c r="AW10" s="114" t="str">
        <f t="shared" ca="1" si="9"/>
        <v>Бангладеш</v>
      </c>
      <c r="AX10" s="117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1</v>
      </c>
      <c r="BA10" s="112">
        <f>IF(AY10&lt;&gt;"",IFERROR(AT10*AY10,"Требуются кол-во и брутто"),"Требуются кол-во и брутто")</f>
        <v>1.5000000000000002</v>
      </c>
      <c r="BB10" s="118">
        <v>609</v>
      </c>
      <c r="BC10" s="143">
        <f>+IF(BB10&lt;&gt;0,IFERROR(AT10*BB10,"Требуются кол-во и цена"),"Требуются кол-во и цена")</f>
        <v>6090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0</v>
      </c>
      <c r="BF10" s="109">
        <f>IFERROR(IF(BE10,"-",IFERROR(IF(BD10&gt;0,0,1),"")),"")</f>
        <v>1</v>
      </c>
    </row>
    <row r="11" spans="1:59" ht="98.1" customHeight="1">
      <c r="A11" s="112" t="str">
        <f>IF(C11&amp;K11&lt;&gt;"",C11&amp;K11,"")</f>
        <v>6245CMDARK GREY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94-019-05</v>
      </c>
      <c r="C11" s="121" t="s">
        <v>1173</v>
      </c>
      <c r="E11" s="112" t="str">
        <f>IF(F11&lt;&gt;"",IFERROR(VLOOKUP(F11,Категории!A:B,2,0),""),"Требуется категория")</f>
        <v>Бейсболки</v>
      </c>
      <c r="F11" s="112" t="str">
        <f>IF(A11&lt;&gt;"",IF(BD11&gt;0,_xlfn.XLOOKUP(A11,'1C'!A:A,'1C'!J:J,"",0),_xlfn.XLOOKUP(C11,'1C'!W:W,'1C'!J:J,"",0)),"")</f>
        <v>Бейсболка</v>
      </c>
      <c r="G11" s="114" t="str">
        <f>IF(C11&lt;&gt;"",IF(BD11&gt;0,_xlfn.XLOOKUP(A11,'1C'!A:A,'1C'!L:L,"",0),_xlfn.XLOOKUP(C11,'1C'!W:W,'1C'!L:L,"",0)),"")</f>
        <v>Flexfit</v>
      </c>
      <c r="H11" s="112" t="str">
        <f>IF(A11&lt;&gt;"",_xlfn.XLOOKUP(A11,'1C'!A:A,'1C'!M:M,_xlfn.XLOOKUP(C11,'1C'!W:W,'1C'!M:M,"",0),0),"")</f>
        <v>всесезон</v>
      </c>
      <c r="J11" s="136" t="s">
        <v>854</v>
      </c>
      <c r="K11" s="120" t="s">
        <v>1289</v>
      </c>
      <c r="L11" s="120" t="s">
        <v>277</v>
      </c>
      <c r="M11" s="136" t="s">
        <v>83</v>
      </c>
      <c r="N11" s="136"/>
      <c r="O11" s="136"/>
      <c r="P11" s="136"/>
      <c r="Q11" s="144" t="str">
        <f>IF(A11&lt;&gt;"",_xlfn.XLOOKUP(A11,'1C'!A:A,'1C'!I:I,_xlfn.XLOOKUP(C11,'1C'!W:W,'1C'!I:I,"",0),0),"")</f>
        <v>100% хлопок</v>
      </c>
      <c r="R11" s="136"/>
      <c r="S11" s="114" t="str">
        <f>_xlfn.LET(_xlpm.RES,IF(A11&lt;&gt;"",_xlfn.XLOOKUP(A11,'1C'!A:A,'1C'!N:N,_xlfn.XLOOKUP(C11,'1C'!W:W,'1C'!N:N,"",0),0),""),IF(_xlpm.RES=0,"",_xlpm.RES))</f>
        <v>хлопковые</v>
      </c>
      <c r="T11" s="116" t="str">
        <f>IF(S11&lt;&gt;"",IFERROR(VLOOKUP(S11,MaterialsTypes!F:G,2,0),IFERROR(VLOOKUP(Q11,MaterialsTypes100,2,0),"")),IFERROR(VLOOKUP(Q11,MaterialsTypes100,2,0),""))</f>
        <v>Текстиль, ткань</v>
      </c>
      <c r="U11" s="116" t="str">
        <f>IF(A11&lt;&gt;"",_xlfn.XLOOKUP(A11,'1C'!A:A,'1C'!K:K,_xlfn.XLOOKUP(C11,'1C'!W:W,'1C'!K:K,"",0),0),"")</f>
        <v>Унисекс</v>
      </c>
      <c r="V11" s="107">
        <v>15</v>
      </c>
      <c r="Y11" s="107"/>
      <c r="AA11" s="107"/>
      <c r="AC11" s="107"/>
      <c r="AE11" s="107"/>
      <c r="AG11" s="107"/>
      <c r="AT11" s="114">
        <f>IF(COUNTBLANK(V11:AS11)&lt;24,SUM(V11:AS11),"")</f>
        <v>15</v>
      </c>
      <c r="AU11" s="145" t="str">
        <f>IF(A11&lt;&gt;"",_xlfn.XLOOKUP(_xlfn.XLOOKUP(A11,'1C'!A:A,'1C'!O:O,_xlfn.XLOOKUP(C11,'1C'!W:W,'1C'!O:O,"",0),0),Settings!N:N,Settings!O:O,"",0),"")</f>
        <v>BD</v>
      </c>
      <c r="AV11" s="114" t="str">
        <f t="shared" ca="1" si="8"/>
        <v>YupoongInc; 174, Gurodong-ro, Guro-gu, 08285 Seoul, South Korea</v>
      </c>
      <c r="AW11" s="114" t="str">
        <f t="shared" ca="1" si="9"/>
        <v>Бангладеш</v>
      </c>
      <c r="AX11" s="117">
        <f>0.05+0.05</f>
        <v>0.1</v>
      </c>
      <c r="AY11" s="112">
        <f>IF(AX11&lt;&gt;"",AX11*1.5,"Требуется нетто")</f>
        <v>0.15000000000000002</v>
      </c>
      <c r="AZ11" s="112">
        <f>+IF(AX11&lt;&gt;"",IFERROR(AT11*AX11,"Требуются кол-во и нетто"),"Требуются кол-во и нетто")</f>
        <v>1.5</v>
      </c>
      <c r="BA11" s="112">
        <f>IF(AY11&lt;&gt;"",IFERROR(AT11*AY11,"Требуются кол-во и брутто"),"Требуются кол-во и брутто")</f>
        <v>2.2500000000000004</v>
      </c>
      <c r="BB11" s="118">
        <v>650</v>
      </c>
      <c r="BC11" s="143">
        <f>+IF(BB11&lt;&gt;0,IFERROR(AT11*BB11,"Требуются кол-во и цена"),"Требуются кол-во и цена")</f>
        <v>9750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0</v>
      </c>
      <c r="BF11" s="109">
        <f>IFERROR(IF(BE11,"-",IFERROR(IF(BD11&gt;0,0,1),"")),"")</f>
        <v>1</v>
      </c>
    </row>
    <row r="12" spans="1:59" ht="98.1" customHeight="1">
      <c r="A12" s="112" t="str">
        <f>IF(C12&amp;K12&lt;&gt;"",C12&amp;K12,"")</f>
        <v>6245CMKHAKI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94-019-56</v>
      </c>
      <c r="C12" s="121" t="s">
        <v>1173</v>
      </c>
      <c r="E12" s="112" t="str">
        <f>IF(F12&lt;&gt;"",IFERROR(VLOOKUP(F12,Категории!A:B,2,0),""),"Требуется категория")</f>
        <v>Бейсболки</v>
      </c>
      <c r="F12" s="112" t="str">
        <f>IF(A12&lt;&gt;"",IF(BD12&gt;0,_xlfn.XLOOKUP(A12,'1C'!A:A,'1C'!J:J,"",0),_xlfn.XLOOKUP(C12,'1C'!W:W,'1C'!J:J,"",0)),"")</f>
        <v>Бейсболка</v>
      </c>
      <c r="G12" s="114" t="str">
        <f>IF(C12&lt;&gt;"",IF(BD12&gt;0,_xlfn.XLOOKUP(A12,'1C'!A:A,'1C'!L:L,"",0),_xlfn.XLOOKUP(C12,'1C'!W:W,'1C'!L:L,"",0)),"")</f>
        <v>Flexfit</v>
      </c>
      <c r="H12" s="112" t="str">
        <f>IF(A12&lt;&gt;"",_xlfn.XLOOKUP(A12,'1C'!A:A,'1C'!M:M,_xlfn.XLOOKUP(C12,'1C'!W:W,'1C'!M:M,"",0),0),"")</f>
        <v>всесезон</v>
      </c>
      <c r="J12" s="136" t="s">
        <v>854</v>
      </c>
      <c r="K12" s="120" t="s">
        <v>1297</v>
      </c>
      <c r="L12" s="120" t="s">
        <v>290</v>
      </c>
      <c r="M12" s="136" t="s">
        <v>60</v>
      </c>
      <c r="N12" s="136"/>
      <c r="O12" s="136"/>
      <c r="P12" s="136"/>
      <c r="Q12" s="144" t="str">
        <f>IF(A12&lt;&gt;"",_xlfn.XLOOKUP(A12,'1C'!A:A,'1C'!I:I,_xlfn.XLOOKUP(C12,'1C'!W:W,'1C'!I:I,"",0),0),"")</f>
        <v>100% хлопок</v>
      </c>
      <c r="R12" s="136"/>
      <c r="S12" s="114" t="str">
        <f>_xlfn.LET(_xlpm.RES,IF(A12&lt;&gt;"",_xlfn.XLOOKUP(A12,'1C'!A:A,'1C'!N:N,_xlfn.XLOOKUP(C12,'1C'!W:W,'1C'!N:N,"",0),0),""),IF(_xlpm.RES=0,"",_xlpm.RES))</f>
        <v>хлопковые</v>
      </c>
      <c r="T12" s="116" t="str">
        <f>IF(S12&lt;&gt;"",IFERROR(VLOOKUP(S12,MaterialsTypes!F:G,2,0),IFERROR(VLOOKUP(Q12,MaterialsTypes100,2,0),"")),IFERROR(VLOOKUP(Q12,MaterialsTypes100,2,0),""))</f>
        <v>Текстиль, ткань</v>
      </c>
      <c r="U12" s="116" t="str">
        <f>IF(A12&lt;&gt;"",_xlfn.XLOOKUP(A12,'1C'!A:A,'1C'!K:K,_xlfn.XLOOKUP(C12,'1C'!W:W,'1C'!K:K,"",0),0),"")</f>
        <v>Унисекс</v>
      </c>
      <c r="V12" s="107">
        <v>15</v>
      </c>
      <c r="Y12" s="107"/>
      <c r="AA12" s="107"/>
      <c r="AC12" s="107"/>
      <c r="AE12" s="107"/>
      <c r="AG12" s="107"/>
      <c r="AT12" s="114">
        <f>IF(COUNTBLANK(V12:AS12)&lt;24,SUM(V12:AS12),"")</f>
        <v>15</v>
      </c>
      <c r="AU12" s="145" t="str">
        <f>IF(A12&lt;&gt;"",_xlfn.XLOOKUP(_xlfn.XLOOKUP(A12,'1C'!A:A,'1C'!O:O,_xlfn.XLOOKUP(C12,'1C'!W:W,'1C'!O:O,"",0),0),Settings!N:N,Settings!O:O,"",0),"")</f>
        <v>BD</v>
      </c>
      <c r="AV12" s="114" t="str">
        <f t="shared" ca="1" si="8"/>
        <v>YupoongInc; 174, Gurodong-ro, Guro-gu, 08285 Seoul, South Korea</v>
      </c>
      <c r="AW12" s="114" t="str">
        <f t="shared" ca="1" si="9"/>
        <v>Бангладеш</v>
      </c>
      <c r="AX12" s="117">
        <f>0.05+0.05</f>
        <v>0.1</v>
      </c>
      <c r="AY12" s="112">
        <f>IF(AX12&lt;&gt;"",AX12*1.5,"Требуется нетто")</f>
        <v>0.15000000000000002</v>
      </c>
      <c r="AZ12" s="112">
        <f>+IF(AX12&lt;&gt;"",IFERROR(AT12*AX12,"Требуются кол-во и нетто"),"Требуются кол-во и нетто")</f>
        <v>1.5</v>
      </c>
      <c r="BA12" s="112">
        <f>IF(AY12&lt;&gt;"",IFERROR(AT12*AY12,"Требуются кол-во и брутто"),"Требуются кол-во и брутто")</f>
        <v>2.2500000000000004</v>
      </c>
      <c r="BB12" s="118">
        <v>650</v>
      </c>
      <c r="BC12" s="143">
        <f>+IF(BB12&lt;&gt;0,IFERROR(AT12*BB12,"Требуются кол-во и цена"),"Требуются кол-во и цена")</f>
        <v>9750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0</v>
      </c>
      <c r="BF12" s="109">
        <f>IFERROR(IF(BE12,"-",IFERROR(IF(BD12&gt;0,0,1),"")),"")</f>
        <v>1</v>
      </c>
    </row>
    <row r="13" spans="1:59" ht="98.1" customHeight="1">
      <c r="A13" s="112" t="str">
        <f>IF(C13&amp;K13&lt;&gt;"",C13&amp;K13,"")</f>
        <v>6245CMNAVY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94-019-16</v>
      </c>
      <c r="C13" s="121" t="s">
        <v>1173</v>
      </c>
      <c r="E13" s="112" t="str">
        <f>IF(F13&lt;&gt;"",IFERROR(VLOOKUP(F13,Категории!A:B,2,0),""),"Требуется категория")</f>
        <v>Бейсболки</v>
      </c>
      <c r="F13" s="112" t="str">
        <f>IF(A13&lt;&gt;"",IF(BD13&gt;0,_xlfn.XLOOKUP(A13,'1C'!A:A,'1C'!J:J,"",0),_xlfn.XLOOKUP(C13,'1C'!W:W,'1C'!J:J,"",0)),"")</f>
        <v>Бейсболка</v>
      </c>
      <c r="G13" s="114" t="str">
        <f>IF(C13&lt;&gt;"",IF(BD13&gt;0,_xlfn.XLOOKUP(A13,'1C'!A:A,'1C'!L:L,"",0),_xlfn.XLOOKUP(C13,'1C'!W:W,'1C'!L:L,"",0)),"")</f>
        <v>Flexfit</v>
      </c>
      <c r="H13" s="112" t="str">
        <f>IF(A13&lt;&gt;"",_xlfn.XLOOKUP(A13,'1C'!A:A,'1C'!M:M,_xlfn.XLOOKUP(C13,'1C'!W:W,'1C'!M:M,"",0),0),"")</f>
        <v>всесезон</v>
      </c>
      <c r="J13" s="136" t="s">
        <v>854</v>
      </c>
      <c r="K13" s="120" t="s">
        <v>1284</v>
      </c>
      <c r="L13" s="147" t="str">
        <f>IF(K13&lt;&gt;"",IFERROR(VLOOKUP(A13,'1C'!A:X,8,0),IFERROR(VLOOKUP(K13,Colors!D:E,2,0),"")),"")</f>
        <v>темно-синий</v>
      </c>
      <c r="M13" s="136" t="s">
        <v>71</v>
      </c>
      <c r="N13" s="136"/>
      <c r="O13" s="136"/>
      <c r="P13" s="136"/>
      <c r="Q13" s="144" t="str">
        <f>IF(A13&lt;&gt;"",_xlfn.XLOOKUP(A13,'1C'!A:A,'1C'!I:I,_xlfn.XLOOKUP(C13,'1C'!W:W,'1C'!I:I,"",0),0),"")</f>
        <v>100% хлопок</v>
      </c>
      <c r="R13" s="136"/>
      <c r="S13" s="114" t="str">
        <f>_xlfn.LET(_xlpm.RES,IF(A13&lt;&gt;"",_xlfn.XLOOKUP(A13,'1C'!A:A,'1C'!N:N,_xlfn.XLOOKUP(C13,'1C'!W:W,'1C'!N:N,"",0),0),""),IF(_xlpm.RES=0,"",_xlpm.RES))</f>
        <v>хлопковые</v>
      </c>
      <c r="T13" s="116" t="str">
        <f>IF(S13&lt;&gt;"",IFERROR(VLOOKUP(S13,MaterialsTypes!F:G,2,0),IFERROR(VLOOKUP(Q13,MaterialsTypes100,2,0),"")),IFERROR(VLOOKUP(Q13,MaterialsTypes100,2,0),""))</f>
        <v>Текстиль, ткань</v>
      </c>
      <c r="U13" s="116" t="str">
        <f>IF(A13&lt;&gt;"",_xlfn.XLOOKUP(A13,'1C'!A:A,'1C'!K:K,_xlfn.XLOOKUP(C13,'1C'!W:W,'1C'!K:K,"",0),0),"")</f>
        <v>Унисекс</v>
      </c>
      <c r="V13" s="107">
        <v>15</v>
      </c>
      <c r="Y13" s="107"/>
      <c r="AA13" s="107"/>
      <c r="AC13" s="107"/>
      <c r="AE13" s="107"/>
      <c r="AG13" s="107"/>
      <c r="AT13" s="114">
        <f>IF(COUNTBLANK(V13:AS13)&lt;24,SUM(V13:AS13),"")</f>
        <v>15</v>
      </c>
      <c r="AU13" s="145" t="str">
        <f>IF(A13&lt;&gt;"",_xlfn.XLOOKUP(_xlfn.XLOOKUP(A13,'1C'!A:A,'1C'!O:O,_xlfn.XLOOKUP(C13,'1C'!W:W,'1C'!O:O,"",0),0),Settings!N:N,Settings!O:O,"",0),"")</f>
        <v>BD</v>
      </c>
      <c r="AV13" s="114" t="str">
        <f t="shared" ca="1" si="8"/>
        <v>YupoongInc; 174, Gurodong-ro, Guro-gu, 08285 Seoul, South Korea</v>
      </c>
      <c r="AW13" s="114" t="str">
        <f t="shared" ca="1" si="9"/>
        <v>Бангладеш</v>
      </c>
      <c r="AX13" s="117">
        <f>0.05+0.05</f>
        <v>0.1</v>
      </c>
      <c r="AY13" s="112">
        <f>IF(AX13&lt;&gt;"",AX13*1.5,"Требуется нетто")</f>
        <v>0.15000000000000002</v>
      </c>
      <c r="AZ13" s="112">
        <f>+IF(AX13&lt;&gt;"",IFERROR(AT13*AX13,"Требуются кол-во и нетто"),"Требуются кол-во и нетто")</f>
        <v>1.5</v>
      </c>
      <c r="BA13" s="112">
        <f>IF(AY13&lt;&gt;"",IFERROR(AT13*AY13,"Требуются кол-во и брутто"),"Требуются кол-во и брутто")</f>
        <v>2.2500000000000004</v>
      </c>
      <c r="BB13" s="118">
        <v>650</v>
      </c>
      <c r="BC13" s="143">
        <f>+IF(BB13&lt;&gt;0,IFERROR(AT13*BB13,"Требуются кол-во и цена"),"Требуются кол-во и цена")</f>
        <v>9750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0</v>
      </c>
      <c r="BF13" s="109">
        <f>IFERROR(IF(BE13,"-",IFERROR(IF(BD13&gt;0,0,1),"")),"")</f>
        <v>1</v>
      </c>
    </row>
    <row r="14" spans="1:59" ht="98.1" customHeight="1">
      <c r="A14" s="112" t="str">
        <f>IF(C14&amp;K14&lt;&gt;"",C14&amp;K14,"")</f>
        <v>6245CMSTONE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94-019-36</v>
      </c>
      <c r="C14" s="121" t="s">
        <v>1173</v>
      </c>
      <c r="E14" s="112" t="str">
        <f>IF(F14&lt;&gt;"",IFERROR(VLOOKUP(F14,Категории!A:B,2,0),""),"Требуется категория")</f>
        <v>Бейсболки</v>
      </c>
      <c r="F14" s="112" t="str">
        <f>IF(A14&lt;&gt;"",IF(BD14&gt;0,_xlfn.XLOOKUP(A14,'1C'!A:A,'1C'!J:J,"",0),_xlfn.XLOOKUP(C14,'1C'!W:W,'1C'!J:J,"",0)),"")</f>
        <v>Бейсболка</v>
      </c>
      <c r="G14" s="114" t="str">
        <f>IF(C14&lt;&gt;"",IF(BD14&gt;0,_xlfn.XLOOKUP(A14,'1C'!A:A,'1C'!L:L,"",0),_xlfn.XLOOKUP(C14,'1C'!W:W,'1C'!L:L,"",0)),"")</f>
        <v>Flexfit</v>
      </c>
      <c r="H14" s="112" t="str">
        <f>IF(A14&lt;&gt;"",_xlfn.XLOOKUP(A14,'1C'!A:A,'1C'!M:M,_xlfn.XLOOKUP(C14,'1C'!W:W,'1C'!M:M,"",0),0),"")</f>
        <v>всесезон</v>
      </c>
      <c r="J14" s="136" t="s">
        <v>854</v>
      </c>
      <c r="K14" s="120" t="s">
        <v>1298</v>
      </c>
      <c r="L14" s="120" t="s">
        <v>187</v>
      </c>
      <c r="M14" s="136" t="s">
        <v>63</v>
      </c>
      <c r="N14" s="136"/>
      <c r="O14" s="136"/>
      <c r="P14" s="136"/>
      <c r="Q14" s="144" t="str">
        <f>IF(A14&lt;&gt;"",_xlfn.XLOOKUP(A14,'1C'!A:A,'1C'!I:I,_xlfn.XLOOKUP(C14,'1C'!W:W,'1C'!I:I,"",0),0),"")</f>
        <v>100% хлопок</v>
      </c>
      <c r="R14" s="136"/>
      <c r="S14" s="114" t="str">
        <f>_xlfn.LET(_xlpm.RES,IF(A14&lt;&gt;"",_xlfn.XLOOKUP(A14,'1C'!A:A,'1C'!N:N,_xlfn.XLOOKUP(C14,'1C'!W:W,'1C'!N:N,"",0),0),""),IF(_xlpm.RES=0,"",_xlpm.RES))</f>
        <v>хлопковые</v>
      </c>
      <c r="T14" s="116" t="str">
        <f>IF(S14&lt;&gt;"",IFERROR(VLOOKUP(S14,MaterialsTypes!F:G,2,0),IFERROR(VLOOKUP(Q14,MaterialsTypes100,2,0),"")),IFERROR(VLOOKUP(Q14,MaterialsTypes100,2,0),""))</f>
        <v>Текстиль, ткань</v>
      </c>
      <c r="U14" s="116" t="str">
        <f>IF(A14&lt;&gt;"",_xlfn.XLOOKUP(A14,'1C'!A:A,'1C'!K:K,_xlfn.XLOOKUP(C14,'1C'!W:W,'1C'!K:K,"",0),0),"")</f>
        <v>Унисекс</v>
      </c>
      <c r="V14" s="107">
        <v>8</v>
      </c>
      <c r="Y14" s="107"/>
      <c r="AA14" s="107"/>
      <c r="AC14" s="107"/>
      <c r="AE14" s="107"/>
      <c r="AG14" s="107"/>
      <c r="AT14" s="114">
        <f>IF(COUNTBLANK(V14:AS14)&lt;24,SUM(V14:AS14),"")</f>
        <v>8</v>
      </c>
      <c r="AU14" s="145" t="str">
        <f>IF(A14&lt;&gt;"",_xlfn.XLOOKUP(_xlfn.XLOOKUP(A14,'1C'!A:A,'1C'!O:O,_xlfn.XLOOKUP(C14,'1C'!W:W,'1C'!O:O,"",0),0),Settings!N:N,Settings!O:O,"",0),"")</f>
        <v>BD</v>
      </c>
      <c r="AV14" s="114" t="str">
        <f t="shared" ca="1" si="8"/>
        <v>YupoongInc; 174, Gurodong-ro, Guro-gu, 08285 Seoul, South Korea</v>
      </c>
      <c r="AW14" s="114" t="str">
        <f t="shared" ca="1" si="9"/>
        <v>Бангладеш</v>
      </c>
      <c r="AX14" s="117">
        <f>0.05+0.05</f>
        <v>0.1</v>
      </c>
      <c r="AY14" s="112">
        <f>IF(AX14&lt;&gt;"",AX14*1.5,"Требуется нетто")</f>
        <v>0.15000000000000002</v>
      </c>
      <c r="AZ14" s="112">
        <f>+IF(AX14&lt;&gt;"",IFERROR(AT14*AX14,"Требуются кол-во и нетто"),"Требуются кол-во и нетто")</f>
        <v>0.8</v>
      </c>
      <c r="BA14" s="112">
        <f>IF(AY14&lt;&gt;"",IFERROR(AT14*AY14,"Требуются кол-во и брутто"),"Требуются кол-во и брутто")</f>
        <v>1.2000000000000002</v>
      </c>
      <c r="BB14" s="118">
        <v>650</v>
      </c>
      <c r="BC14" s="143">
        <f>+IF(BB14&lt;&gt;0,IFERROR(AT14*BB14,"Требуются кол-во и цена"),"Требуются кол-во и цена")</f>
        <v>5200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0</v>
      </c>
      <c r="BF14" s="109">
        <f>IFERROR(IF(BE14,"-",IFERROR(IF(BD14&gt;0,0,1),"")),"")</f>
        <v>1</v>
      </c>
    </row>
    <row r="15" spans="1:59" ht="98.1" customHeight="1">
      <c r="A15" s="112" t="str">
        <f>IF(C15&amp;K15&lt;&gt;"",C15&amp;K15,"")</f>
        <v>6245CMWHITE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94-019-17</v>
      </c>
      <c r="C15" s="121" t="s">
        <v>1173</v>
      </c>
      <c r="E15" s="112" t="str">
        <f>IF(F15&lt;&gt;"",IFERROR(VLOOKUP(F15,Категории!A:B,2,0),""),"Требуется категория")</f>
        <v>Бейсболки</v>
      </c>
      <c r="F15" s="112" t="str">
        <f>IF(A15&lt;&gt;"",IF(BD15&gt;0,_xlfn.XLOOKUP(A15,'1C'!A:A,'1C'!J:J,"",0),_xlfn.XLOOKUP(C15,'1C'!W:W,'1C'!J:J,"",0)),"")</f>
        <v>Бейсболка</v>
      </c>
      <c r="G15" s="114" t="str">
        <f>IF(C15&lt;&gt;"",IF(BD15&gt;0,_xlfn.XLOOKUP(A15,'1C'!A:A,'1C'!L:L,"",0),_xlfn.XLOOKUP(C15,'1C'!W:W,'1C'!L:L,"",0)),"")</f>
        <v>Flexfit</v>
      </c>
      <c r="H15" s="112" t="str">
        <f>IF(A15&lt;&gt;"",_xlfn.XLOOKUP(A15,'1C'!A:A,'1C'!M:M,_xlfn.XLOOKUP(C15,'1C'!W:W,'1C'!M:M,"",0),0),"")</f>
        <v>всесезон</v>
      </c>
      <c r="J15" s="136" t="s">
        <v>854</v>
      </c>
      <c r="K15" s="120" t="s">
        <v>1293</v>
      </c>
      <c r="L15" s="147" t="str">
        <f>IF(K15&lt;&gt;"",IFERROR(VLOOKUP(A15,'1C'!A:X,8,0),IFERROR(VLOOKUP(K15,Colors!D:E,2,0),"")),"")</f>
        <v>белый</v>
      </c>
      <c r="M15" s="136" t="s">
        <v>57</v>
      </c>
      <c r="N15" s="136"/>
      <c r="O15" s="136"/>
      <c r="P15" s="136"/>
      <c r="Q15" s="144" t="str">
        <f>IF(A15&lt;&gt;"",_xlfn.XLOOKUP(A15,'1C'!A:A,'1C'!I:I,_xlfn.XLOOKUP(C15,'1C'!W:W,'1C'!I:I,"",0),0),"")</f>
        <v>100% хлопок</v>
      </c>
      <c r="R15" s="136"/>
      <c r="S15" s="114" t="str">
        <f>_xlfn.LET(_xlpm.RES,IF(A15&lt;&gt;"",_xlfn.XLOOKUP(A15,'1C'!A:A,'1C'!N:N,_xlfn.XLOOKUP(C15,'1C'!W:W,'1C'!N:N,"",0),0),""),IF(_xlpm.RES=0,"",_xlpm.RES))</f>
        <v>хлопковые</v>
      </c>
      <c r="T15" s="116" t="str">
        <f>IF(S15&lt;&gt;"",IFERROR(VLOOKUP(S15,MaterialsTypes!F:G,2,0),IFERROR(VLOOKUP(Q15,MaterialsTypes100,2,0),"")),IFERROR(VLOOKUP(Q15,MaterialsTypes100,2,0),""))</f>
        <v>Текстиль, ткань</v>
      </c>
      <c r="U15" s="116" t="str">
        <f>IF(A15&lt;&gt;"",_xlfn.XLOOKUP(A15,'1C'!A:A,'1C'!K:K,_xlfn.XLOOKUP(C15,'1C'!W:W,'1C'!K:K,"",0),0),"")</f>
        <v>Унисекс</v>
      </c>
      <c r="V15" s="107">
        <v>6</v>
      </c>
      <c r="Y15" s="107"/>
      <c r="AA15" s="107"/>
      <c r="AC15" s="107"/>
      <c r="AE15" s="107"/>
      <c r="AG15" s="107"/>
      <c r="AT15" s="114">
        <f>IF(COUNTBLANK(V15:AS15)&lt;24,SUM(V15:AS15),"")</f>
        <v>6</v>
      </c>
      <c r="AU15" s="145" t="str">
        <f>IF(A15&lt;&gt;"",_xlfn.XLOOKUP(_xlfn.XLOOKUP(A15,'1C'!A:A,'1C'!O:O,_xlfn.XLOOKUP(C15,'1C'!W:W,'1C'!O:O,"",0),0),Settings!N:N,Settings!O:O,"",0),"")</f>
        <v>BD</v>
      </c>
      <c r="AV15" s="114" t="str">
        <f t="shared" ca="1" si="8"/>
        <v>YupoongInc; 174, Gurodong-ro, Guro-gu, 08285 Seoul, South Korea</v>
      </c>
      <c r="AW15" s="114" t="str">
        <f t="shared" ca="1" si="9"/>
        <v>Бангладеш</v>
      </c>
      <c r="AX15" s="117">
        <f>0.05+0.05</f>
        <v>0.1</v>
      </c>
      <c r="AY15" s="112">
        <f>IF(AX15&lt;&gt;"",AX15*1.5,"Требуется нетто")</f>
        <v>0.15000000000000002</v>
      </c>
      <c r="AZ15" s="112">
        <f>+IF(AX15&lt;&gt;"",IFERROR(AT15*AX15,"Требуются кол-во и нетто"),"Требуются кол-во и нетто")</f>
        <v>0.60000000000000009</v>
      </c>
      <c r="BA15" s="112">
        <f>IF(AY15&lt;&gt;"",IFERROR(AT15*AY15,"Требуются кол-во и брутто"),"Требуются кол-во и брутто")</f>
        <v>0.90000000000000013</v>
      </c>
      <c r="BB15" s="118">
        <v>650</v>
      </c>
      <c r="BC15" s="143">
        <f>+IF(BB15&lt;&gt;0,IFERROR(AT15*BB15,"Требуются кол-во и цена"),"Требуются кол-во и цена")</f>
        <v>3900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0</v>
      </c>
      <c r="BF15" s="109">
        <f>IFERROR(IF(BE15,"-",IFERROR(IF(BD15&gt;0,0,1),"")),"")</f>
        <v>1</v>
      </c>
    </row>
    <row r="16" spans="1:59" ht="98.1" customHeight="1">
      <c r="A16" s="112" t="str">
        <f>IF(C16&amp;K16&lt;&gt;"",C16&amp;K16,"")</f>
        <v>6089MTBLACK/PURPLE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94-009-14</v>
      </c>
      <c r="C16" s="121" t="s">
        <v>1039</v>
      </c>
      <c r="E16" s="112" t="str">
        <f>IF(F16&lt;&gt;"",IFERROR(VLOOKUP(F16,Категории!A:B,2,0),""),"Требуется категория")</f>
        <v>Бейсболки</v>
      </c>
      <c r="F16" s="112" t="str">
        <f>IF(A16&lt;&gt;"",IF(BD16&gt;0,_xlfn.XLOOKUP(A16,'1C'!A:A,'1C'!J:J,"",0),_xlfn.XLOOKUP(C16,'1C'!W:W,'1C'!J:J,"",0)),"")</f>
        <v>Бейсболка с прямым козырьком</v>
      </c>
      <c r="G16" s="114" t="str">
        <f>IF(C16&lt;&gt;"",IF(BD16&gt;0,_xlfn.XLOOKUP(A16,'1C'!A:A,'1C'!L:L,"",0),_xlfn.XLOOKUP(C16,'1C'!W:W,'1C'!L:L,"",0)),"")</f>
        <v>Flexfit</v>
      </c>
      <c r="H16" s="112" t="str">
        <f>IF(A16&lt;&gt;"",_xlfn.XLOOKUP(A16,'1C'!A:A,'1C'!M:M,_xlfn.XLOOKUP(C16,'1C'!W:W,'1C'!M:M,"",0),0),"")</f>
        <v>всесезон</v>
      </c>
      <c r="J16" s="136" t="s">
        <v>854</v>
      </c>
      <c r="K16" s="120" t="s">
        <v>1299</v>
      </c>
      <c r="L16" s="120" t="s">
        <v>595</v>
      </c>
      <c r="M16" s="136" t="s">
        <v>53</v>
      </c>
      <c r="N16" s="136"/>
      <c r="O16" s="136"/>
      <c r="P16" s="136"/>
      <c r="Q16" s="144" t="str">
        <f>IF(A16&lt;&gt;"",_xlfn.XLOOKUP(A16,'1C'!A:A,'1C'!I:I,_xlfn.XLOOKUP(C16,'1C'!W:W,'1C'!I:I,"",0),0),"")</f>
        <v>80% акрил - 20% шерсть</v>
      </c>
      <c r="R16" s="136"/>
      <c r="S16" s="114" t="str">
        <f>_xlfn.LET(_xlpm.RES,IF(A16&lt;&gt;"",_xlfn.XLOOKUP(A16,'1C'!A:A,'1C'!N:N,_xlfn.XLOOKUP(C16,'1C'!W:W,'1C'!N:N,"",0),0),""),IF(_xlpm.RES=0,"",_xlpm.RES))</f>
        <v>акриловые</v>
      </c>
      <c r="T16" s="107"/>
      <c r="U16" s="116" t="str">
        <f>IF(A16&lt;&gt;"",_xlfn.XLOOKUP(A16,'1C'!A:A,'1C'!K:K,_xlfn.XLOOKUP(C16,'1C'!W:W,'1C'!K:K,"",0),0),"")</f>
        <v>Унисекс</v>
      </c>
      <c r="V16" s="107">
        <v>12</v>
      </c>
      <c r="Y16" s="107"/>
      <c r="AA16" s="107"/>
      <c r="AC16" s="107"/>
      <c r="AE16" s="107"/>
      <c r="AG16" s="107"/>
      <c r="AT16" s="114">
        <f>IF(COUNTBLANK(V16:AS16)&lt;24,SUM(V16:AS16),"")</f>
        <v>12</v>
      </c>
      <c r="AU16" s="145" t="str">
        <f>IF(A16&lt;&gt;"",_xlfn.XLOOKUP(_xlfn.XLOOKUP(A16,'1C'!A:A,'1C'!O:O,_xlfn.XLOOKUP(C16,'1C'!W:W,'1C'!O:O,"",0),0),Settings!N:N,Settings!O:O,"",0),"")</f>
        <v>BD</v>
      </c>
      <c r="AV16" s="114" t="str">
        <f t="shared" ca="1" si="8"/>
        <v>YupoongInc; 174, Gurodong-ro, Guro-gu, 08285 Seoul, South Korea</v>
      </c>
      <c r="AW16" s="114" t="str">
        <f t="shared" ca="1" si="9"/>
        <v>Бангладеш</v>
      </c>
      <c r="AX16" s="117">
        <f>0.05+0.05</f>
        <v>0.1</v>
      </c>
      <c r="AY16" s="112">
        <f>IF(AX16&lt;&gt;"",AX16*1.5,"Требуется нетто")</f>
        <v>0.15000000000000002</v>
      </c>
      <c r="AZ16" s="112">
        <f>+IF(AX16&lt;&gt;"",IFERROR(AT16*AX16,"Требуются кол-во и нетто"),"Требуются кол-во и нетто")</f>
        <v>1.2000000000000002</v>
      </c>
      <c r="BA16" s="112">
        <f>IF(AY16&lt;&gt;"",IFERROR(AT16*AY16,"Требуются кол-во и брутто"),"Требуются кол-во и брутто")</f>
        <v>1.8000000000000003</v>
      </c>
      <c r="BB16" s="118">
        <v>609</v>
      </c>
      <c r="BC16" s="143">
        <f>+IF(BB16&lt;&gt;0,IFERROR(AT16*BB16,"Требуются кол-во и цена"),"Требуются кол-во и цена")</f>
        <v>7308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0</v>
      </c>
      <c r="BF16" s="109">
        <f>IFERROR(IF(BE16,"-",IFERROR(IF(BD16&gt;0,0,1),"")),"")</f>
        <v>1</v>
      </c>
    </row>
    <row r="17" spans="1:58" ht="98.1" customHeight="1">
      <c r="A17" s="112" t="str">
        <f>IF(C17&amp;K17&lt;&gt;"",C17&amp;K17,"")</f>
        <v>6089MTHEATHER/NAVY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94-009-55</v>
      </c>
      <c r="C17" s="121" t="s">
        <v>1039</v>
      </c>
      <c r="E17" s="112" t="str">
        <f>IF(F17&lt;&gt;"",IFERROR(VLOOKUP(F17,Категории!A:B,2,0),""),"Требуется категория")</f>
        <v>Бейсболки</v>
      </c>
      <c r="F17" s="112" t="str">
        <f>IF(A17&lt;&gt;"",IF(BD17&gt;0,_xlfn.XLOOKUP(A17,'1C'!A:A,'1C'!J:J,"",0),_xlfn.XLOOKUP(C17,'1C'!W:W,'1C'!J:J,"",0)),"")</f>
        <v>Бейсболка с прямым козырьком</v>
      </c>
      <c r="G17" s="114" t="str">
        <f>IF(C17&lt;&gt;"",IF(BD17&gt;0,_xlfn.XLOOKUP(A17,'1C'!A:A,'1C'!L:L,"",0),_xlfn.XLOOKUP(C17,'1C'!W:W,'1C'!L:L,"",0)),"")</f>
        <v>Flexfit</v>
      </c>
      <c r="H17" s="112" t="str">
        <f>IF(A17&lt;&gt;"",_xlfn.XLOOKUP(A17,'1C'!A:A,'1C'!M:M,_xlfn.XLOOKUP(C17,'1C'!W:W,'1C'!M:M,"",0),0),"")</f>
        <v>всесезон</v>
      </c>
      <c r="J17" s="136" t="s">
        <v>854</v>
      </c>
      <c r="K17" s="120" t="s">
        <v>1300</v>
      </c>
      <c r="L17" s="120" t="s">
        <v>695</v>
      </c>
      <c r="M17" s="136" t="s">
        <v>83</v>
      </c>
      <c r="N17" s="136"/>
      <c r="O17" s="136"/>
      <c r="P17" s="136"/>
      <c r="Q17" s="144" t="str">
        <f>IF(A17&lt;&gt;"",_xlfn.XLOOKUP(A17,'1C'!A:A,'1C'!I:I,_xlfn.XLOOKUP(C17,'1C'!W:W,'1C'!I:I,"",0),0),"")</f>
        <v>80% акрил - 20% шерсть</v>
      </c>
      <c r="R17" s="136"/>
      <c r="S17" s="114" t="str">
        <f>_xlfn.LET(_xlpm.RES,IF(A17&lt;&gt;"",_xlfn.XLOOKUP(A17,'1C'!A:A,'1C'!N:N,_xlfn.XLOOKUP(C17,'1C'!W:W,'1C'!N:N,"",0),0),""),IF(_xlpm.RES=0,"",_xlpm.RES))</f>
        <v>акриловые</v>
      </c>
      <c r="T17" s="107"/>
      <c r="U17" s="116" t="str">
        <f>IF(A17&lt;&gt;"",_xlfn.XLOOKUP(A17,'1C'!A:A,'1C'!K:K,_xlfn.XLOOKUP(C17,'1C'!W:W,'1C'!K:K,"",0),0),"")</f>
        <v>Унисекс</v>
      </c>
      <c r="V17" s="107">
        <v>12</v>
      </c>
      <c r="Y17" s="107"/>
      <c r="AA17" s="107"/>
      <c r="AC17" s="107"/>
      <c r="AE17" s="107"/>
      <c r="AG17" s="107"/>
      <c r="AT17" s="114">
        <f>IF(COUNTBLANK(V17:AS17)&lt;24,SUM(V17:AS17),"")</f>
        <v>12</v>
      </c>
      <c r="AU17" s="145" t="str">
        <f>IF(A17&lt;&gt;"",_xlfn.XLOOKUP(_xlfn.XLOOKUP(A17,'1C'!A:A,'1C'!O:O,_xlfn.XLOOKUP(C17,'1C'!W:W,'1C'!O:O,"",0),0),Settings!N:N,Settings!O:O,"",0),"")</f>
        <v>BD</v>
      </c>
      <c r="AV17" s="114" t="str">
        <f t="shared" ca="1" si="8"/>
        <v>YupoongInc; 174, Gurodong-ro, Guro-gu, 08285 Seoul, South Korea</v>
      </c>
      <c r="AW17" s="114" t="str">
        <f t="shared" ca="1" si="9"/>
        <v>Бангладеш</v>
      </c>
      <c r="AX17" s="117">
        <f>0.05+0.05</f>
        <v>0.1</v>
      </c>
      <c r="AY17" s="112">
        <f>IF(AX17&lt;&gt;"",AX17*1.5,"Требуется нетто")</f>
        <v>0.15000000000000002</v>
      </c>
      <c r="AZ17" s="112">
        <f>+IF(AX17&lt;&gt;"",IFERROR(AT17*AX17,"Требуются кол-во и нетто"),"Требуются кол-во и нетто")</f>
        <v>1.2000000000000002</v>
      </c>
      <c r="BA17" s="112">
        <f>IF(AY17&lt;&gt;"",IFERROR(AT17*AY17,"Требуются кол-во и брутто"),"Требуются кол-во и брутто")</f>
        <v>1.8000000000000003</v>
      </c>
      <c r="BB17" s="118">
        <v>609</v>
      </c>
      <c r="BC17" s="143">
        <f>+IF(BB17&lt;&gt;0,IFERROR(AT17*BB17,"Требуются кол-во и цена"),"Требуются кол-во и цена")</f>
        <v>7308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0</v>
      </c>
      <c r="BF17" s="109">
        <f>IFERROR(IF(BE17,"-",IFERROR(IF(BD17&gt;0,0,1),"")),"")</f>
        <v>1</v>
      </c>
    </row>
    <row r="18" spans="1:58" ht="98.1" customHeight="1">
      <c r="A18" s="112" t="str">
        <f>IF(C18&amp;K18&lt;&gt;"",C18&amp;K18,"")</f>
        <v>6089MTNATURAL/BLACK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94-009-80</v>
      </c>
      <c r="C18" s="121" t="s">
        <v>1039</v>
      </c>
      <c r="E18" s="112" t="str">
        <f>IF(F18&lt;&gt;"",IFERROR(VLOOKUP(F18,Категории!A:B,2,0),""),"Требуется категория")</f>
        <v>Бейсболки</v>
      </c>
      <c r="F18" s="112" t="str">
        <f>IF(A18&lt;&gt;"",IF(BD18&gt;0,_xlfn.XLOOKUP(A18,'1C'!A:A,'1C'!J:J,"",0),_xlfn.XLOOKUP(C18,'1C'!W:W,'1C'!J:J,"",0)),"")</f>
        <v>Бейсболка с прямым козырьком</v>
      </c>
      <c r="G18" s="114" t="str">
        <f>IF(C18&lt;&gt;"",IF(BD18&gt;0,_xlfn.XLOOKUP(A18,'1C'!A:A,'1C'!L:L,"",0),_xlfn.XLOOKUP(C18,'1C'!W:W,'1C'!L:L,"",0)),"")</f>
        <v>Flexfit</v>
      </c>
      <c r="H18" s="112" t="str">
        <f>IF(A18&lt;&gt;"",_xlfn.XLOOKUP(A18,'1C'!A:A,'1C'!M:M,_xlfn.XLOOKUP(C18,'1C'!W:W,'1C'!M:M,"",0),0),"")</f>
        <v>всесезон</v>
      </c>
      <c r="J18" s="136" t="s">
        <v>854</v>
      </c>
      <c r="K18" s="120" t="s">
        <v>1301</v>
      </c>
      <c r="L18" s="120" t="s">
        <v>51</v>
      </c>
      <c r="M18" s="136" t="s">
        <v>63</v>
      </c>
      <c r="N18" s="136"/>
      <c r="O18" s="136"/>
      <c r="P18" s="136"/>
      <c r="Q18" s="144" t="str">
        <f>IF(A18&lt;&gt;"",_xlfn.XLOOKUP(A18,'1C'!A:A,'1C'!I:I,_xlfn.XLOOKUP(C18,'1C'!W:W,'1C'!I:I,"",0),0),"")</f>
        <v>80% акрил - 20% шерсть</v>
      </c>
      <c r="R18" s="136"/>
      <c r="S18" s="114" t="str">
        <f>_xlfn.LET(_xlpm.RES,IF(A18&lt;&gt;"",_xlfn.XLOOKUP(A18,'1C'!A:A,'1C'!N:N,_xlfn.XLOOKUP(C18,'1C'!W:W,'1C'!N:N,"",0),0),""),IF(_xlpm.RES=0,"",_xlpm.RES))</f>
        <v>акриловые</v>
      </c>
      <c r="T18" s="107"/>
      <c r="U18" s="116" t="str">
        <f>IF(A18&lt;&gt;"",_xlfn.XLOOKUP(A18,'1C'!A:A,'1C'!K:K,_xlfn.XLOOKUP(C18,'1C'!W:W,'1C'!K:K,"",0),0),"")</f>
        <v>Унисекс</v>
      </c>
      <c r="V18" s="107">
        <v>5</v>
      </c>
      <c r="Y18" s="107"/>
      <c r="AA18" s="107"/>
      <c r="AC18" s="107"/>
      <c r="AE18" s="107"/>
      <c r="AG18" s="107"/>
      <c r="AT18" s="114">
        <f>IF(COUNTBLANK(V18:AS18)&lt;24,SUM(V18:AS18),"")</f>
        <v>5</v>
      </c>
      <c r="AU18" s="145" t="str">
        <f>IF(A18&lt;&gt;"",_xlfn.XLOOKUP(_xlfn.XLOOKUP(A18,'1C'!A:A,'1C'!O:O,_xlfn.XLOOKUP(C18,'1C'!W:W,'1C'!O:O,"",0),0),Settings!N:N,Settings!O:O,"",0),"")</f>
        <v>BD</v>
      </c>
      <c r="AV18" s="114" t="str">
        <f t="shared" ca="1" si="8"/>
        <v>YupoongInc; 174, Gurodong-ro, Guro-gu, 08285 Seoul, South Korea</v>
      </c>
      <c r="AW18" s="114" t="str">
        <f t="shared" ca="1" si="9"/>
        <v>Бангладеш</v>
      </c>
      <c r="AX18" s="117">
        <f>0.05+0.05</f>
        <v>0.1</v>
      </c>
      <c r="AY18" s="112">
        <f>IF(AX18&lt;&gt;"",AX18*1.5,"Требуется нетто")</f>
        <v>0.15000000000000002</v>
      </c>
      <c r="AZ18" s="112">
        <f>+IF(AX18&lt;&gt;"",IFERROR(AT18*AX18,"Требуются кол-во и нетто"),"Требуются кол-во и нетто")</f>
        <v>0.5</v>
      </c>
      <c r="BA18" s="112">
        <f>IF(AY18&lt;&gt;"",IFERROR(AT18*AY18,"Требуются кол-во и брутто"),"Требуются кол-во и брутто")</f>
        <v>0.75000000000000011</v>
      </c>
      <c r="BB18" s="118">
        <v>609</v>
      </c>
      <c r="BC18" s="143">
        <f>+IF(BB18&lt;&gt;0,IFERROR(AT18*BB18,"Требуются кол-во и цена"),"Требуются кол-во и цена")</f>
        <v>3045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0</v>
      </c>
      <c r="BF18" s="109">
        <f>IFERROR(IF(BE18,"-",IFERROR(IF(BD18&gt;0,0,1),"")),"")</f>
        <v>1</v>
      </c>
    </row>
    <row r="19" spans="1:58" ht="98.1" customHeight="1">
      <c r="A19" s="112" t="str">
        <f>IF(C19&amp;K19&lt;&gt;"",C19&amp;K19,"")</f>
        <v>6089TCBLACK/CAMO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94-010-75</v>
      </c>
      <c r="C19" s="113" t="s">
        <v>1035</v>
      </c>
      <c r="E19" s="112" t="str">
        <f>IF(F19&lt;&gt;"",IFERROR(VLOOKUP(F19,Категории!A:B,2,0),""),"Требуется категория")</f>
        <v>Бейсболки</v>
      </c>
      <c r="F19" s="112" t="str">
        <f>IF(A19&lt;&gt;"",IF(BD19&gt;0,_xlfn.XLOOKUP(A19,'1C'!A:A,'1C'!J:J,"",0),_xlfn.XLOOKUP(C19,'1C'!W:W,'1C'!J:J,"",0)),"")</f>
        <v>Бейсболка с прямым козырьком</v>
      </c>
      <c r="G19" s="114" t="str">
        <f>IF(C19&lt;&gt;"",IF(BD19&gt;0,_xlfn.XLOOKUP(A19,'1C'!A:A,'1C'!L:L,"",0),_xlfn.XLOOKUP(C19,'1C'!W:W,'1C'!L:L,"",0)),"")</f>
        <v>Flexfit</v>
      </c>
      <c r="H19" s="112" t="str">
        <f>IF(A19&lt;&gt;"",_xlfn.XLOOKUP(A19,'1C'!A:A,'1C'!M:M,_xlfn.XLOOKUP(C19,'1C'!W:W,'1C'!M:M,"",0),0),"")</f>
        <v>всесезон</v>
      </c>
      <c r="I19" s="115"/>
      <c r="J19" s="112" t="str">
        <f>_xlfn.LET(_xlpm.itemName,_xlfn.XLOOKUP(A19,'1C'!A:A,'1C'!D:D,"",0),IFERROR(MID(_xlpm.itemName,FIND(" ",_xlpm.itemName)+1,FIND("арт.",_xlpm.itemName)-(FIND(" ",_xlpm.itemName)+2)),""))</f>
        <v>FLEXFIT</v>
      </c>
      <c r="K19" s="135" t="s">
        <v>1283</v>
      </c>
      <c r="L19" s="144" t="str">
        <f>IF(K19&lt;&gt;"",IFERROR(VLOOKUP(A19,'1C'!A:X,8,0),IFERROR(VLOOKUP(K19,Colors!D:E,2,0),"")),"")</f>
        <v>черный / камуфляж</v>
      </c>
      <c r="M19" s="114" t="str">
        <f>IF(K19&lt;&gt;"",_xlfn.XLOOKUP(A19,'1C'!A:A,'1C'!R:R,"",0),"")</f>
        <v>черный</v>
      </c>
      <c r="N19" s="136"/>
      <c r="O19" s="136"/>
      <c r="P19" s="136"/>
      <c r="Q19" s="144" t="str">
        <f>IF(A19&lt;&gt;"",_xlfn.XLOOKUP(A19,'1C'!A:A,'1C'!I:I,_xlfn.XLOOKUP(C19,'1C'!W:W,'1C'!I:I,"",0),0),"")</f>
        <v>65% полиэстер - 35% хлопок</v>
      </c>
      <c r="R19" s="136"/>
      <c r="S19" s="136"/>
      <c r="T19" s="107"/>
      <c r="U19" s="116" t="str">
        <f>IF(A19&lt;&gt;"",_xlfn.XLOOKUP(A19,'1C'!A:A,'1C'!K:K,_xlfn.XLOOKUP(C19,'1C'!W:W,'1C'!K:K,"",0),0),"")</f>
        <v>Унисекс</v>
      </c>
      <c r="V19" s="107">
        <v>6</v>
      </c>
      <c r="Y19" s="107"/>
      <c r="AA19" s="107"/>
      <c r="AC19" s="107"/>
      <c r="AE19" s="107"/>
      <c r="AG19" s="107"/>
      <c r="AT19" s="114">
        <f>IF(COUNTBLANK(V19:AS19)&lt;24,SUM(V19:AS19),"")</f>
        <v>6</v>
      </c>
      <c r="AU19" s="145" t="str">
        <f>IF(A19&lt;&gt;"",_xlfn.XLOOKUP(_xlfn.XLOOKUP(A19,'1C'!A:A,'1C'!O:O,_xlfn.XLOOKUP(C19,'1C'!W:W,'1C'!O:O,"",0),0),Settings!N:N,Settings!O:O,"",0),"")</f>
        <v>BD</v>
      </c>
      <c r="AV19" s="114" t="str">
        <f ca="1">IF(AU19&lt;&gt;"",VLOOKUP(AU19,INDIRECT(SUBSTITUTE(IF(ISNUMBER(IFERROR(VALUE(LEFT(J19,1)),FALSE)),"_"&amp;J19,J19)," ","")&amp;"Manufactures"),3,0),"Требуется код страны")</f>
        <v>YupoongInc; 174, Gurodong-ro, Guro-gu, 08285 Seoul, South Korea</v>
      </c>
      <c r="AW19" s="114" t="str">
        <f ca="1">IF(AU19&lt;&gt;"",VLOOKUP(AU19,INDIRECT(SUBSTITUTE(IF(ISNUMBER(IFERROR(VALUE(LEFT(J19,1)),FALSE)),"_"&amp;J19,J19)," ","")&amp;"Manufactures"),2,0),"Требуется код страны")</f>
        <v>Бангладеш</v>
      </c>
      <c r="AX19" s="117">
        <f>0.05+0.05</f>
        <v>0.1</v>
      </c>
      <c r="AY19" s="112">
        <f>IF(AX19&lt;&gt;"",AX19*1.5,"Требуется нетто")</f>
        <v>0.15000000000000002</v>
      </c>
      <c r="AZ19" s="112">
        <f>+IF(AX19&lt;&gt;"",IFERROR(AT19*AX19,"Требуются кол-во и нетто"),"Требуются кол-во и нетто")</f>
        <v>0.60000000000000009</v>
      </c>
      <c r="BA19" s="112">
        <f>IF(AY19&lt;&gt;"",IFERROR(AT19*AY19,"Требуются кол-во и брутто"),"Требуются кол-во и брутто")</f>
        <v>0.90000000000000013</v>
      </c>
      <c r="BB19" s="118">
        <v>609</v>
      </c>
      <c r="BC19" s="143">
        <f>+IF(BB19&lt;&gt;0,IFERROR(AT19*BB19,"Требуются кол-во и цена"),"Требуются кол-во и цена")</f>
        <v>3654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>IFERROR(IF(BE19,"-",IFERROR(IF(BD19&gt;0,0,1),"")),"")</f>
        <v>0</v>
      </c>
    </row>
    <row r="20" spans="1:58" ht="98.1" customHeight="1">
      <c r="A20" s="112" t="str">
        <f>IF(C20&amp;K20&lt;&gt;"",C20&amp;K20,"")</f>
        <v>6277BLACK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94-011-09</v>
      </c>
      <c r="C20" s="113" t="s">
        <v>1280</v>
      </c>
      <c r="E20" s="112" t="str">
        <f>IF(F20&lt;&gt;"",IFERROR(VLOOKUP(F20,Категории!A:B,2,0),""),"Требуется категория")</f>
        <v>Бейсболки</v>
      </c>
      <c r="F20" s="112" t="str">
        <f>IF(A20&lt;&gt;"",IF(BD20&gt;0,_xlfn.XLOOKUP(A20,'1C'!A:A,'1C'!J:J,"",0),_xlfn.XLOOKUP(C20,'1C'!W:W,'1C'!J:J,"",0)),"")</f>
        <v>Бейсболка</v>
      </c>
      <c r="G20" s="114" t="str">
        <f>IF(C20&lt;&gt;"",IF(BD20&gt;0,_xlfn.XLOOKUP(A20,'1C'!A:A,'1C'!L:L,"",0),_xlfn.XLOOKUP(C20,'1C'!W:W,'1C'!L:L,"",0)),"")</f>
        <v>Flexfit</v>
      </c>
      <c r="H20" s="112" t="str">
        <f>IF(A20&lt;&gt;"",_xlfn.XLOOKUP(A20,'1C'!A:A,'1C'!M:M,_xlfn.XLOOKUP(C20,'1C'!W:W,'1C'!M:M,"",0),0),"")</f>
        <v>всесезон</v>
      </c>
      <c r="J20" s="114" t="str">
        <f>_xlfn.LET(_xlpm.itemName,_xlfn.XLOOKUP(A20,'1C'!A:A,'1C'!D:D,"",0),IFERROR(MID(_xlpm.itemName,FIND(" ",_xlpm.itemName)+1,FIND("арт.",_xlpm.itemName)-(FIND(" ",_xlpm.itemName)+2)),""))</f>
        <v>FLEXFIT</v>
      </c>
      <c r="K20" s="119" t="s">
        <v>1285</v>
      </c>
      <c r="L20" s="147" t="str">
        <f>IF(K20&lt;&gt;"",IFERROR(VLOOKUP(A20,'1C'!A:X,8,0),IFERROR(VLOOKUP(K20,Colors!D:E,2,0),"")),"")</f>
        <v>черный</v>
      </c>
      <c r="M20" s="114" t="str">
        <f>IF(K20&lt;&gt;"",_xlfn.XLOOKUP(A20,'1C'!A:A,'1C'!R:R,"",0),"")</f>
        <v>черный</v>
      </c>
      <c r="N20" s="136"/>
      <c r="O20" s="136"/>
      <c r="P20" s="136"/>
      <c r="Q20" s="144" t="str">
        <f>IF(A20&lt;&gt;"",_xlfn.XLOOKUP(A20,'1C'!A:A,'1C'!I:I,_xlfn.XLOOKUP(C20,'1C'!W:W,'1C'!I:I,"",0),0),"")</f>
        <v>63% полиэстер - 34% хлопок - 3% полиуретан</v>
      </c>
      <c r="R20" s="136"/>
      <c r="S20" s="136"/>
      <c r="T20" s="107"/>
      <c r="U20" s="116" t="str">
        <f>IF(A20&lt;&gt;"",_xlfn.XLOOKUP(A20,'1C'!A:A,'1C'!K:K,_xlfn.XLOOKUP(C20,'1C'!W:W,'1C'!K:K,"",0),0),"")</f>
        <v>Унисекс</v>
      </c>
      <c r="V20" s="107"/>
      <c r="Y20" s="107"/>
      <c r="Z20" s="106">
        <v>40</v>
      </c>
      <c r="AA20" s="107"/>
      <c r="AC20" s="107"/>
      <c r="AD20" s="106">
        <v>40</v>
      </c>
      <c r="AE20" s="107"/>
      <c r="AG20" s="107"/>
      <c r="AT20" s="114">
        <f>IF(COUNTBLANK(V20:AS20)&lt;24,SUM(V20:AS20),"")</f>
        <v>80</v>
      </c>
      <c r="AU20" s="145" t="str">
        <f>IF(A20&lt;&gt;"",_xlfn.XLOOKUP(_xlfn.XLOOKUP(A20,'1C'!A:A,'1C'!O:O,_xlfn.XLOOKUP(C20,'1C'!W:W,'1C'!O:O,"",0),0),Settings!N:N,Settings!O:O,"",0),"")</f>
        <v>BD</v>
      </c>
      <c r="AV20" s="114" t="str">
        <f ca="1">IF(AU20&lt;&gt;"",VLOOKUP(AU20,INDIRECT(SUBSTITUTE(IF(ISNUMBER(IFERROR(VALUE(LEFT(J20,1)),FALSE)),"_"&amp;J20,J20)," ","")&amp;"Manufactures"),3,0),"Требуется код страны")</f>
        <v>YupoongInc; 174, Gurodong-ro, Guro-gu, 08285 Seoul, South Korea</v>
      </c>
      <c r="AW20" s="112" t="str">
        <f ca="1">IF(AU20&lt;&gt;"",VLOOKUP(AU20,INDIRECT(SUBSTITUTE(IF(ISNUMBER(IFERROR(VALUE(LEFT(J20,1)),FALSE)),"_"&amp;J20,J20)," ","")&amp;"Manufactures"),2,0),"Требуется код страны")</f>
        <v>Бангладеш</v>
      </c>
      <c r="AX20" s="117">
        <f>0.05+0.05</f>
        <v>0.1</v>
      </c>
      <c r="AY20" s="112">
        <f>IF(AX20&lt;&gt;"",AX20*1.5,"Требуется нетто")</f>
        <v>0.15000000000000002</v>
      </c>
      <c r="AZ20" s="112">
        <f>+IF(AX20&lt;&gt;"",IFERROR(AT20*AX20,"Требуются кол-во и нетто"),"Требуются кол-во и нетто")</f>
        <v>8</v>
      </c>
      <c r="BA20" s="112">
        <f>IF(AY20&lt;&gt;"",IFERROR(AT20*AY20,"Требуются кол-во и брутто"),"Требуются кол-во и брутто")</f>
        <v>12.000000000000002</v>
      </c>
      <c r="BB20" s="118">
        <v>650</v>
      </c>
      <c r="BC20" s="143">
        <f>+IF(BB20&lt;&gt;0,IFERROR(AT20*BB20,"Требуются кол-во и цена"),"Требуются кол-во и цена")</f>
        <v>52000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>IFERROR(IF(BE20,"-",IFERROR(IF(BD20&gt;0,0,1),"")),"")</f>
        <v>0</v>
      </c>
    </row>
    <row r="21" spans="1:58" ht="98.1" customHeight="1">
      <c r="A21" s="112" t="str">
        <f>IF(C21&amp;K21&lt;&gt;"",C21&amp;K21,"")</f>
        <v>6277COYOTE BROWN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94-011-15</v>
      </c>
      <c r="C21" s="121" t="s">
        <v>1280</v>
      </c>
      <c r="E21" s="112" t="str">
        <f>IF(F21&lt;&gt;"",IFERROR(VLOOKUP(F21,Категории!A:B,2,0),""),"Требуется категория")</f>
        <v>Бейсболки</v>
      </c>
      <c r="F21" s="112" t="str">
        <f>IF(A21&lt;&gt;"",IF(BD21&gt;0,_xlfn.XLOOKUP(A21,'1C'!A:A,'1C'!J:J,"",0),_xlfn.XLOOKUP(C21,'1C'!W:W,'1C'!J:J,"",0)),"")</f>
        <v>Бейсболка</v>
      </c>
      <c r="G21" s="114" t="str">
        <f>IF(C21&lt;&gt;"",IF(BD21&gt;0,_xlfn.XLOOKUP(A21,'1C'!A:A,'1C'!L:L,"",0),_xlfn.XLOOKUP(C21,'1C'!W:W,'1C'!L:L,"",0)),"")</f>
        <v>Flexfit</v>
      </c>
      <c r="H21" s="112" t="str">
        <f>IF(A21&lt;&gt;"",_xlfn.XLOOKUP(A21,'1C'!A:A,'1C'!M:M,_xlfn.XLOOKUP(C21,'1C'!W:W,'1C'!M:M,"",0),0),"")</f>
        <v>всесезон</v>
      </c>
      <c r="J21" s="114" t="str">
        <f>_xlfn.LET(_xlpm.itemName,_xlfn.XLOOKUP(A21,'1C'!A:A,'1C'!D:D,"",0),IFERROR(MID(_xlpm.itemName,FIND(" ",_xlpm.itemName)+1,FIND("арт.",_xlpm.itemName)-(FIND(" ",_xlpm.itemName)+2)),""))</f>
        <v>FLEXFIT</v>
      </c>
      <c r="K21" s="120" t="s">
        <v>1286</v>
      </c>
      <c r="L21" s="147" t="str">
        <f>IF(K21&lt;&gt;"",IFERROR(VLOOKUP(A21,'1C'!A:X,8,0),IFERROR(VLOOKUP(K21,Colors!D:E,2,0),"")),"")</f>
        <v>светло-коричневый</v>
      </c>
      <c r="M21" s="114" t="str">
        <f>IF(K21&lt;&gt;"",_xlfn.XLOOKUP(A21,'1C'!A:A,'1C'!R:R,"",0),"")</f>
        <v>коричневый</v>
      </c>
      <c r="N21" s="136"/>
      <c r="O21" s="136"/>
      <c r="P21" s="136"/>
      <c r="Q21" s="144" t="str">
        <f>IF(A21&lt;&gt;"",_xlfn.XLOOKUP(A21,'1C'!A:A,'1C'!I:I,_xlfn.XLOOKUP(C21,'1C'!W:W,'1C'!I:I,"",0),0),"")</f>
        <v>63% полиэстер - 34% хлопок - 3% полиуретан</v>
      </c>
      <c r="R21" s="136"/>
      <c r="S21" s="136"/>
      <c r="T21" s="107"/>
      <c r="U21" s="116" t="str">
        <f>IF(A21&lt;&gt;"",_xlfn.XLOOKUP(A21,'1C'!A:A,'1C'!K:K,_xlfn.XLOOKUP(C21,'1C'!W:W,'1C'!K:K,"",0),0),"")</f>
        <v>Унисекс</v>
      </c>
      <c r="V21" s="107"/>
      <c r="Y21" s="107"/>
      <c r="AA21" s="107"/>
      <c r="AC21" s="107"/>
      <c r="AD21" s="106">
        <v>2</v>
      </c>
      <c r="AE21" s="107"/>
      <c r="AG21" s="107"/>
      <c r="AT21" s="114">
        <f>IF(COUNTBLANK(V21:AS21)&lt;24,SUM(V21:AS21),"")</f>
        <v>2</v>
      </c>
      <c r="AU21" s="145" t="str">
        <f>IF(A21&lt;&gt;"",_xlfn.XLOOKUP(_xlfn.XLOOKUP(A21,'1C'!A:A,'1C'!O:O,_xlfn.XLOOKUP(C21,'1C'!W:W,'1C'!O:O,"",0),0),Settings!N:N,Settings!O:O,"",0),"")</f>
        <v>BD</v>
      </c>
      <c r="AV21" s="114" t="str">
        <f ca="1">IF(AU21&lt;&gt;"",VLOOKUP(AU21,INDIRECT(SUBSTITUTE(IF(ISNUMBER(IFERROR(VALUE(LEFT(J21,1)),FALSE)),"_"&amp;J21,J21)," ","")&amp;"Manufactures"),3,0),"Требуется код страны")</f>
        <v>YupoongInc; 174, Gurodong-ro, Guro-gu, 08285 Seoul, South Korea</v>
      </c>
      <c r="AW21" s="112" t="str">
        <f ca="1">IF(AU21&lt;&gt;"",VLOOKUP(AU21,INDIRECT(SUBSTITUTE(IF(ISNUMBER(IFERROR(VALUE(LEFT(J21,1)),FALSE)),"_"&amp;J21,J21)," ","")&amp;"Manufactures"),2,0),"Требуется код страны")</f>
        <v>Бангладеш</v>
      </c>
      <c r="AX21" s="117">
        <f>0.05+0.05</f>
        <v>0.1</v>
      </c>
      <c r="AY21" s="112">
        <f>IF(AX21&lt;&gt;"",AX21*1.5,"Требуется нетто")</f>
        <v>0.15000000000000002</v>
      </c>
      <c r="AZ21" s="112">
        <f>+IF(AX21&lt;&gt;"",IFERROR(AT21*AX21,"Требуются кол-во и нетто"),"Требуются кол-во и нетто")</f>
        <v>0.2</v>
      </c>
      <c r="BA21" s="112">
        <f>IF(AY21&lt;&gt;"",IFERROR(AT21*AY21,"Требуются кол-во и брутто"),"Требуются кол-во и брутто")</f>
        <v>0.30000000000000004</v>
      </c>
      <c r="BB21" s="118">
        <v>650</v>
      </c>
      <c r="BC21" s="143">
        <f>+IF(BB21&lt;&gt;0,IFERROR(AT21*BB21,"Требуются кол-во и цена"),"Требуются кол-во и цена")</f>
        <v>1300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>IFERROR(IF(BE21,"-",IFERROR(IF(BD21&gt;0,0,1),"")),"")</f>
        <v>0</v>
      </c>
    </row>
    <row r="22" spans="1:58" ht="98.1" customHeight="1">
      <c r="A22" s="112" t="str">
        <f>IF(C22&amp;K22&lt;&gt;"",C22&amp;K22,"")</f>
        <v>6277GREY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94-011-80</v>
      </c>
      <c r="C22" s="121" t="s">
        <v>1280</v>
      </c>
      <c r="E22" s="112" t="str">
        <f>IF(F22&lt;&gt;"",IFERROR(VLOOKUP(F22,Категории!A:B,2,0),""),"Требуется категория")</f>
        <v>Бейсболки</v>
      </c>
      <c r="F22" s="112" t="str">
        <f>IF(A22&lt;&gt;"",IF(BD22&gt;0,_xlfn.XLOOKUP(A22,'1C'!A:A,'1C'!J:J,"",0),_xlfn.XLOOKUP(C22,'1C'!W:W,'1C'!J:J,"",0)),"")</f>
        <v>Бейсболка</v>
      </c>
      <c r="G22" s="114" t="str">
        <f>IF(C22&lt;&gt;"",IF(BD22&gt;0,_xlfn.XLOOKUP(A22,'1C'!A:A,'1C'!L:L,"",0),_xlfn.XLOOKUP(C22,'1C'!W:W,'1C'!L:L,"",0)),"")</f>
        <v>Flexfit</v>
      </c>
      <c r="H22" s="112" t="str">
        <f>IF(A22&lt;&gt;"",_xlfn.XLOOKUP(A22,'1C'!A:A,'1C'!M:M,_xlfn.XLOOKUP(C22,'1C'!W:W,'1C'!M:M,"",0),0),"")</f>
        <v>всесезон</v>
      </c>
      <c r="J22" s="114" t="str">
        <f>_xlfn.LET(_xlpm.itemName,_xlfn.XLOOKUP(A22,'1C'!A:A,'1C'!D:D,"",0),IFERROR(MID(_xlpm.itemName,FIND(" ",_xlpm.itemName)+1,FIND("арт.",_xlpm.itemName)-(FIND(" ",_xlpm.itemName)+2)),""))</f>
        <v>FLEXFIT</v>
      </c>
      <c r="K22" s="120" t="s">
        <v>1287</v>
      </c>
      <c r="L22" s="147" t="str">
        <f>IF(K22&lt;&gt;"",IFERROR(VLOOKUP(A22,'1C'!A:X,8,0),IFERROR(VLOOKUP(K22,Colors!D:E,2,0),"")),"")</f>
        <v>серый</v>
      </c>
      <c r="M22" s="114" t="str">
        <f>IF(K22&lt;&gt;"",_xlfn.XLOOKUP(A22,'1C'!A:A,'1C'!R:R,"",0),"")</f>
        <v>серый</v>
      </c>
      <c r="N22" s="136"/>
      <c r="O22" s="136"/>
      <c r="P22" s="136"/>
      <c r="Q22" s="144" t="str">
        <f>IF(A22&lt;&gt;"",_xlfn.XLOOKUP(A22,'1C'!A:A,'1C'!I:I,_xlfn.XLOOKUP(C22,'1C'!W:W,'1C'!I:I,"",0),0),"")</f>
        <v>63% полиэстер - 34% хлопок - 3% полиуретан</v>
      </c>
      <c r="R22" s="136"/>
      <c r="S22" s="136"/>
      <c r="T22" s="107"/>
      <c r="U22" s="116" t="str">
        <f>IF(A22&lt;&gt;"",_xlfn.XLOOKUP(A22,'1C'!A:A,'1C'!K:K,_xlfn.XLOOKUP(C22,'1C'!W:W,'1C'!K:K,"",0),0),"")</f>
        <v>Унисекс</v>
      </c>
      <c r="V22" s="107"/>
      <c r="Y22" s="107"/>
      <c r="Z22" s="106">
        <v>6</v>
      </c>
      <c r="AA22" s="107"/>
      <c r="AC22" s="107"/>
      <c r="AD22" s="106">
        <v>11</v>
      </c>
      <c r="AE22" s="107"/>
      <c r="AG22" s="107"/>
      <c r="AT22" s="114">
        <f>IF(COUNTBLANK(V22:AS22)&lt;24,SUM(V22:AS22),"")</f>
        <v>17</v>
      </c>
      <c r="AU22" s="145" t="str">
        <f>IF(A22&lt;&gt;"",_xlfn.XLOOKUP(_xlfn.XLOOKUP(A22,'1C'!A:A,'1C'!O:O,_xlfn.XLOOKUP(C22,'1C'!W:W,'1C'!O:O,"",0),0),Settings!N:N,Settings!O:O,"",0),"")</f>
        <v>BD</v>
      </c>
      <c r="AV22" s="114" t="str">
        <f ca="1">IF(AU22&lt;&gt;"",VLOOKUP(AU22,INDIRECT(SUBSTITUTE(IF(ISNUMBER(IFERROR(VALUE(LEFT(J22,1)),FALSE)),"_"&amp;J22,J22)," ","")&amp;"Manufactures"),3,0),"Требуется код страны")</f>
        <v>YupoongInc; 174, Gurodong-ro, Guro-gu, 08285 Seoul, South Korea</v>
      </c>
      <c r="AW22" s="112" t="str">
        <f ca="1">IF(AU22&lt;&gt;"",VLOOKUP(AU22,INDIRECT(SUBSTITUTE(IF(ISNUMBER(IFERROR(VALUE(LEFT(J22,1)),FALSE)),"_"&amp;J22,J22)," ","")&amp;"Manufactures"),2,0),"Требуется код страны")</f>
        <v>Бангладеш</v>
      </c>
      <c r="AX22" s="117">
        <f>0.05+0.05</f>
        <v>0.1</v>
      </c>
      <c r="AY22" s="112">
        <f>IF(AX22&lt;&gt;"",AX22*1.5,"Требуется нетто")</f>
        <v>0.15000000000000002</v>
      </c>
      <c r="AZ22" s="112">
        <f>+IF(AX22&lt;&gt;"",IFERROR(AT22*AX22,"Требуются кол-во и нетто"),"Требуются кол-во и нетто")</f>
        <v>1.7000000000000002</v>
      </c>
      <c r="BA22" s="112">
        <f>IF(AY22&lt;&gt;"",IFERROR(AT22*AY22,"Требуются кол-во и брутто"),"Требуются кол-во и брутто")</f>
        <v>2.5500000000000003</v>
      </c>
      <c r="BB22" s="118">
        <v>650</v>
      </c>
      <c r="BC22" s="143">
        <f>+IF(BB22&lt;&gt;0,IFERROR(AT22*BB22,"Требуются кол-во и цена"),"Требуются кол-во и цена")</f>
        <v>11050</v>
      </c>
      <c r="BD22" s="105">
        <f>IF(A22&lt;&gt;"",IF(_xlfn.XLOOKUP(A22,'1C'!A:A,'1C'!A:A,0,0)&gt;0,1,0),"")</f>
        <v>1</v>
      </c>
      <c r="BE22" s="105">
        <f>IF(C22&lt;&gt;"",IF(_xlfn.XLOOKUP(TEXT(C22,"###"),'1C'!W:W,'1C'!D:D,0,0)&gt;0,0,1),"")</f>
        <v>0</v>
      </c>
      <c r="BF22" s="109">
        <f>IFERROR(IF(BE22,"-",IFERROR(IF(BD22&gt;0,0,1),"")),"")</f>
        <v>0</v>
      </c>
    </row>
    <row r="23" spans="1:58" ht="98.1" customHeight="1">
      <c r="A23" s="112" t="str">
        <f>IF(C23&amp;K23&lt;&gt;"",C23&amp;K23,"")</f>
        <v>6277PURPLE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94-011-41</v>
      </c>
      <c r="C23" s="121" t="s">
        <v>1280</v>
      </c>
      <c r="E23" s="112" t="str">
        <f>IF(F23&lt;&gt;"",IFERROR(VLOOKUP(F23,Категории!A:B,2,0),""),"Требуется категория")</f>
        <v>Бейсболки</v>
      </c>
      <c r="F23" s="112" t="str">
        <f>IF(A23&lt;&gt;"",IF(BD23&gt;0,_xlfn.XLOOKUP(A23,'1C'!A:A,'1C'!J:J,"",0),_xlfn.XLOOKUP(C23,'1C'!W:W,'1C'!J:J,"",0)),"")</f>
        <v>Бейсболка</v>
      </c>
      <c r="G23" s="114" t="str">
        <f>IF(C23&lt;&gt;"",IF(BD23&gt;0,_xlfn.XLOOKUP(A23,'1C'!A:A,'1C'!L:L,"",0),_xlfn.XLOOKUP(C23,'1C'!W:W,'1C'!L:L,"",0)),"")</f>
        <v>Flexfit</v>
      </c>
      <c r="H23" s="112" t="str">
        <f>IF(A23&lt;&gt;"",_xlfn.XLOOKUP(A23,'1C'!A:A,'1C'!M:M,_xlfn.XLOOKUP(C23,'1C'!W:W,'1C'!M:M,"",0),0),"")</f>
        <v>всесезон</v>
      </c>
      <c r="J23" s="114" t="str">
        <f>_xlfn.LET(_xlpm.itemName,_xlfn.XLOOKUP(A23,'1C'!A:A,'1C'!D:D,"",0),IFERROR(MID(_xlpm.itemName,FIND(" ",_xlpm.itemName)+1,FIND("арт.",_xlpm.itemName)-(FIND(" ",_xlpm.itemName)+2)),""))</f>
        <v>FLEXFIT</v>
      </c>
      <c r="K23" s="120" t="s">
        <v>1288</v>
      </c>
      <c r="L23" s="147" t="str">
        <f>IF(K23&lt;&gt;"",IFERROR(VLOOKUP(A23,'1C'!A:X,8,0),IFERROR(VLOOKUP(K23,Colors!D:E,2,0),"")),"")</f>
        <v>фиолетовый</v>
      </c>
      <c r="M23" s="114" t="str">
        <f>IF(K23&lt;&gt;"",_xlfn.XLOOKUP(A23,'1C'!A:A,'1C'!R:R,"",0),"")</f>
        <v>фиолетовый</v>
      </c>
      <c r="N23" s="136"/>
      <c r="O23" s="136"/>
      <c r="P23" s="136"/>
      <c r="Q23" s="144" t="str">
        <f>IF(A23&lt;&gt;"",_xlfn.XLOOKUP(A23,'1C'!A:A,'1C'!I:I,_xlfn.XLOOKUP(C23,'1C'!W:W,'1C'!I:I,"",0),0),"")</f>
        <v>63% полиэстер - 34% хлопок - 3% полиуретан</v>
      </c>
      <c r="R23" s="136"/>
      <c r="S23" s="136"/>
      <c r="T23" s="107"/>
      <c r="U23" s="116" t="str">
        <f>IF(A23&lt;&gt;"",_xlfn.XLOOKUP(A23,'1C'!A:A,'1C'!K:K,_xlfn.XLOOKUP(C23,'1C'!W:W,'1C'!K:K,"",0),0),"")</f>
        <v>Унисекс</v>
      </c>
      <c r="V23" s="107"/>
      <c r="Y23" s="107"/>
      <c r="AA23" s="107"/>
      <c r="AC23" s="107"/>
      <c r="AD23" s="106">
        <v>8</v>
      </c>
      <c r="AE23" s="107"/>
      <c r="AG23" s="107"/>
      <c r="AT23" s="114">
        <f>IF(COUNTBLANK(V23:AS23)&lt;24,SUM(V23:AS23),"")</f>
        <v>8</v>
      </c>
      <c r="AU23" s="145" t="str">
        <f>IF(A23&lt;&gt;"",_xlfn.XLOOKUP(_xlfn.XLOOKUP(A23,'1C'!A:A,'1C'!O:O,_xlfn.XLOOKUP(C23,'1C'!W:W,'1C'!O:O,"",0),0),Settings!N:N,Settings!O:O,"",0),"")</f>
        <v>BD</v>
      </c>
      <c r="AV23" s="114" t="str">
        <f ca="1">IF(AU23&lt;&gt;"",VLOOKUP(AU23,INDIRECT(SUBSTITUTE(IF(ISNUMBER(IFERROR(VALUE(LEFT(J23,1)),FALSE)),"_"&amp;J23,J23)," ","")&amp;"Manufactures"),3,0),"Требуется код страны")</f>
        <v>YupoongInc; 174, Gurodong-ro, Guro-gu, 08285 Seoul, South Korea</v>
      </c>
      <c r="AW23" s="112" t="str">
        <f ca="1">IF(AU23&lt;&gt;"",VLOOKUP(AU23,INDIRECT(SUBSTITUTE(IF(ISNUMBER(IFERROR(VALUE(LEFT(J23,1)),FALSE)),"_"&amp;J23,J23)," ","")&amp;"Manufactures"),2,0),"Требуется код страны")</f>
        <v>Бангладеш</v>
      </c>
      <c r="AX23" s="117">
        <f>0.05+0.05</f>
        <v>0.1</v>
      </c>
      <c r="AY23" s="112">
        <f>IF(AX23&lt;&gt;"",AX23*1.5,"Требуется нетто")</f>
        <v>0.15000000000000002</v>
      </c>
      <c r="AZ23" s="112">
        <f>+IF(AX23&lt;&gt;"",IFERROR(AT23*AX23,"Требуются кол-во и нетто"),"Требуются кол-во и нетто")</f>
        <v>0.8</v>
      </c>
      <c r="BA23" s="112">
        <f>IF(AY23&lt;&gt;"",IFERROR(AT23*AY23,"Требуются кол-во и брутто"),"Требуются кол-во и брутто")</f>
        <v>1.2000000000000002</v>
      </c>
      <c r="BB23" s="118">
        <v>650</v>
      </c>
      <c r="BC23" s="143">
        <f>+IF(BB23&lt;&gt;0,IFERROR(AT23*BB23,"Требуются кол-во и цена"),"Требуются кол-во и цена")</f>
        <v>5200</v>
      </c>
      <c r="BD23" s="105">
        <f>IF(A23&lt;&gt;"",IF(_xlfn.XLOOKUP(A23,'1C'!A:A,'1C'!A:A,0,0)&gt;0,1,0),"")</f>
        <v>1</v>
      </c>
      <c r="BE23" s="105">
        <f>IF(C23&lt;&gt;"",IF(_xlfn.XLOOKUP(TEXT(C23,"###"),'1C'!W:W,'1C'!D:D,0,0)&gt;0,0,1),"")</f>
        <v>0</v>
      </c>
      <c r="BF23" s="109">
        <f>IFERROR(IF(BE23,"-",IFERROR(IF(BD23&gt;0,0,1),"")),"")</f>
        <v>0</v>
      </c>
    </row>
    <row r="24" spans="1:58" ht="98.1" customHeight="1">
      <c r="A24" s="112" t="str">
        <f>IF(C24&amp;K24&lt;&gt;"",C24&amp;K24,"")</f>
        <v>6089CCDARK GREY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94-020-05</v>
      </c>
      <c r="C24" s="121" t="s">
        <v>1165</v>
      </c>
      <c r="E24" s="112" t="str">
        <f>IF(F24&lt;&gt;"",IFERROR(VLOOKUP(F24,Категории!A:B,2,0),""),"Требуется категория")</f>
        <v>Бейсболки</v>
      </c>
      <c r="F24" s="112" t="str">
        <f>IF(A24&lt;&gt;"",IF(BD24&gt;0,_xlfn.XLOOKUP(A24,'1C'!A:A,'1C'!J:J,"",0),_xlfn.XLOOKUP(C24,'1C'!W:W,'1C'!J:J,"",0)),"")</f>
        <v>Бейсболка</v>
      </c>
      <c r="G24" s="114" t="str">
        <f>IF(C24&lt;&gt;"",IF(BD24&gt;0,_xlfn.XLOOKUP(A24,'1C'!A:A,'1C'!L:L,"",0),_xlfn.XLOOKUP(C24,'1C'!W:W,'1C'!L:L,"",0)),"")</f>
        <v>Flexfit</v>
      </c>
      <c r="H24" s="112" t="str">
        <f>IF(A24&lt;&gt;"",_xlfn.XLOOKUP(A24,'1C'!A:A,'1C'!M:M,_xlfn.XLOOKUP(C24,'1C'!W:W,'1C'!M:M,"",0),0),"")</f>
        <v>всесезон</v>
      </c>
      <c r="J24" s="114" t="str">
        <f>_xlfn.LET(_xlpm.itemName,_xlfn.XLOOKUP(A24,'1C'!A:A,'1C'!D:D,"",0),IFERROR(MID(_xlpm.itemName,FIND(" ",_xlpm.itemName)+1,FIND("арт.",_xlpm.itemName)-(FIND(" ",_xlpm.itemName)+2)),""))</f>
        <v>FLEXFIT</v>
      </c>
      <c r="K24" s="120" t="s">
        <v>1289</v>
      </c>
      <c r="L24" s="147" t="str">
        <f>IF(K24&lt;&gt;"",IFERROR(VLOOKUP(A24,'1C'!A:X,8,0),IFERROR(VLOOKUP(K24,Colors!D:E,2,0),"")),"")</f>
        <v>темно-серый</v>
      </c>
      <c r="M24" s="114" t="str">
        <f>IF(K24&lt;&gt;"",_xlfn.XLOOKUP(A24,'1C'!A:A,'1C'!R:R,"",0),"")</f>
        <v>серый</v>
      </c>
      <c r="N24" s="136"/>
      <c r="O24" s="136"/>
      <c r="P24" s="136"/>
      <c r="Q24" s="144" t="str">
        <f>IF(A24&lt;&gt;"",_xlfn.XLOOKUP(A24,'1C'!A:A,'1C'!I:I,_xlfn.XLOOKUP(C24,'1C'!W:W,'1C'!I:I,"",0),0),"")</f>
        <v>100% хлопок</v>
      </c>
      <c r="R24" s="136"/>
      <c r="S24" s="114" t="str">
        <f>_xlfn.LET(_xlpm.RES,IF(A24&lt;&gt;"",_xlfn.XLOOKUP(A24,'1C'!A:A,'1C'!N:N,_xlfn.XLOOKUP(C24,'1C'!W:W,'1C'!N:N,"",0),0),""),IF(_xlpm.RES=0,"",_xlpm.RES))</f>
        <v>хлопковые</v>
      </c>
      <c r="T24" s="116" t="str">
        <f>IF(S24&lt;&gt;"",IFERROR(VLOOKUP(S24,MaterialsTypes!F:G,2,0),IFERROR(VLOOKUP(Q24,MaterialsTypes100,2,0),"")),IFERROR(VLOOKUP(Q24,MaterialsTypes100,2,0),""))</f>
        <v>Текстиль, ткань</v>
      </c>
      <c r="U24" s="116" t="str">
        <f>IF(A24&lt;&gt;"",_xlfn.XLOOKUP(A24,'1C'!A:A,'1C'!K:K,_xlfn.XLOOKUP(C24,'1C'!W:W,'1C'!K:K,"",0),0),"")</f>
        <v>Унисекс</v>
      </c>
      <c r="V24" s="107">
        <v>20</v>
      </c>
      <c r="Y24" s="107"/>
      <c r="AA24" s="107"/>
      <c r="AC24" s="107"/>
      <c r="AE24" s="107"/>
      <c r="AG24" s="107"/>
      <c r="AT24" s="114">
        <f>IF(COUNTBLANK(V24:AS24)&lt;24,SUM(V24:AS24),"")</f>
        <v>20</v>
      </c>
      <c r="AU24" s="145" t="str">
        <f>IF(A24&lt;&gt;"",_xlfn.XLOOKUP(_xlfn.XLOOKUP(A24,'1C'!A:A,'1C'!O:O,_xlfn.XLOOKUP(C24,'1C'!W:W,'1C'!O:O,"",0),0),Settings!N:N,Settings!O:O,"",0),"")</f>
        <v>BD</v>
      </c>
      <c r="AV24" s="114" t="str">
        <f ca="1">IF(AU24&lt;&gt;"",VLOOKUP(AU24,INDIRECT(SUBSTITUTE(IF(ISNUMBER(IFERROR(VALUE(LEFT(J24,1)),FALSE)),"_"&amp;J24,J24)," ","")&amp;"Manufactures"),3,0),"Требуется код страны")</f>
        <v>YupoongInc; 174, Gurodong-ro, Guro-gu, 08285 Seoul, South Korea</v>
      </c>
      <c r="AW24" s="112" t="str">
        <f ca="1">IF(AU24&lt;&gt;"",VLOOKUP(AU24,INDIRECT(SUBSTITUTE(IF(ISNUMBER(IFERROR(VALUE(LEFT(J24,1)),FALSE)),"_"&amp;J24,J24)," ","")&amp;"Manufactures"),2,0),"Требуется код страны")</f>
        <v>Бангладеш</v>
      </c>
      <c r="AX24" s="117">
        <f>0.05+0.05</f>
        <v>0.1</v>
      </c>
      <c r="AY24" s="112">
        <f>IF(AX24&lt;&gt;"",AX24*1.5,"Требуется нетто")</f>
        <v>0.15000000000000002</v>
      </c>
      <c r="AZ24" s="112">
        <f>+IF(AX24&lt;&gt;"",IFERROR(AT24*AX24,"Требуются кол-во и нетто"),"Требуются кол-во и нетто")</f>
        <v>2</v>
      </c>
      <c r="BA24" s="112">
        <f>IF(AY24&lt;&gt;"",IFERROR(AT24*AY24,"Требуются кол-во и брутто"),"Требуются кол-во и брутто")</f>
        <v>3.0000000000000004</v>
      </c>
      <c r="BB24" s="118">
        <v>609</v>
      </c>
      <c r="BC24" s="143">
        <f>+IF(BB24&lt;&gt;0,IFERROR(AT24*BB24,"Требуются кол-во и цена"),"Требуются кол-во и цена")</f>
        <v>12180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>IFERROR(IF(BE24,"-",IFERROR(IF(BD24&gt;0,0,1),"")),"")</f>
        <v>0</v>
      </c>
    </row>
    <row r="25" spans="1:58" ht="98.1" customHeight="1">
      <c r="A25" s="112" t="str">
        <f>IF(C25&amp;K25&lt;&gt;"",C25&amp;K25,"")</f>
        <v>6089CCMAROON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94-020-12</v>
      </c>
      <c r="C25" s="121" t="s">
        <v>1165</v>
      </c>
      <c r="E25" s="112" t="str">
        <f>IF(F25&lt;&gt;"",IFERROR(VLOOKUP(F25,Категории!A:B,2,0),""),"Требуется категория")</f>
        <v>Бейсболки</v>
      </c>
      <c r="F25" s="112" t="str">
        <f>IF(A25&lt;&gt;"",IF(BD25&gt;0,_xlfn.XLOOKUP(A25,'1C'!A:A,'1C'!J:J,"",0),_xlfn.XLOOKUP(C25,'1C'!W:W,'1C'!J:J,"",0)),"")</f>
        <v>Бейсболка</v>
      </c>
      <c r="G25" s="114" t="str">
        <f>IF(C25&lt;&gt;"",IF(BD25&gt;0,_xlfn.XLOOKUP(A25,'1C'!A:A,'1C'!L:L,"",0),_xlfn.XLOOKUP(C25,'1C'!W:W,'1C'!L:L,"",0)),"")</f>
        <v>Flexfit</v>
      </c>
      <c r="H25" s="112" t="str">
        <f>IF(A25&lt;&gt;"",_xlfn.XLOOKUP(A25,'1C'!A:A,'1C'!M:M,_xlfn.XLOOKUP(C25,'1C'!W:W,'1C'!M:M,"",0),0),"")</f>
        <v>всесезон</v>
      </c>
      <c r="J25" s="114" t="str">
        <f>_xlfn.LET(_xlpm.itemName,_xlfn.XLOOKUP(A25,'1C'!A:A,'1C'!D:D,"",0),IFERROR(MID(_xlpm.itemName,FIND(" ",_xlpm.itemName)+1,FIND("арт.",_xlpm.itemName)-(FIND(" ",_xlpm.itemName)+2)),""))</f>
        <v>FLEXFIT</v>
      </c>
      <c r="K25" s="120" t="s">
        <v>1291</v>
      </c>
      <c r="L25" s="147" t="str">
        <f>IF(K25&lt;&gt;"",IFERROR(VLOOKUP(A25,'1C'!A:X,8,0),IFERROR(VLOOKUP(K25,Colors!D:E,2,0),"")),"")</f>
        <v>бордовый</v>
      </c>
      <c r="M25" s="114" t="str">
        <f>IF(K25&lt;&gt;"",_xlfn.XLOOKUP(A25,'1C'!A:A,'1C'!R:R,"",0),"")</f>
        <v>бордовый</v>
      </c>
      <c r="N25" s="136"/>
      <c r="O25" s="136"/>
      <c r="P25" s="136"/>
      <c r="Q25" s="144" t="str">
        <f>IF(A25&lt;&gt;"",_xlfn.XLOOKUP(A25,'1C'!A:A,'1C'!I:I,_xlfn.XLOOKUP(C25,'1C'!W:W,'1C'!I:I,"",0),0),"")</f>
        <v>100% хлопок</v>
      </c>
      <c r="R25" s="136"/>
      <c r="S25" s="114" t="str">
        <f>_xlfn.LET(_xlpm.RES,IF(A25&lt;&gt;"",_xlfn.XLOOKUP(A25,'1C'!A:A,'1C'!N:N,_xlfn.XLOOKUP(C25,'1C'!W:W,'1C'!N:N,"",0),0),""),IF(_xlpm.RES=0,"",_xlpm.RES))</f>
        <v>хлопковые</v>
      </c>
      <c r="T25" s="116" t="str">
        <f>IF(S25&lt;&gt;"",IFERROR(VLOOKUP(S25,MaterialsTypes!F:G,2,0),IFERROR(VLOOKUP(Q25,MaterialsTypes100,2,0),"")),IFERROR(VLOOKUP(Q25,MaterialsTypes100,2,0),""))</f>
        <v>Текстиль, ткань</v>
      </c>
      <c r="U25" s="116" t="str">
        <f>IF(A25&lt;&gt;"",_xlfn.XLOOKUP(A25,'1C'!A:A,'1C'!K:K,_xlfn.XLOOKUP(C25,'1C'!W:W,'1C'!K:K,"",0),0),"")</f>
        <v>Унисекс</v>
      </c>
      <c r="V25" s="107">
        <v>16</v>
      </c>
      <c r="Y25" s="107"/>
      <c r="AA25" s="107"/>
      <c r="AC25" s="107"/>
      <c r="AE25" s="107"/>
      <c r="AG25" s="107"/>
      <c r="AT25" s="114">
        <f>IF(COUNTBLANK(V25:AS25)&lt;24,SUM(V25:AS25),"")</f>
        <v>16</v>
      </c>
      <c r="AU25" s="145" t="str">
        <f>IF(A25&lt;&gt;"",_xlfn.XLOOKUP(_xlfn.XLOOKUP(A25,'1C'!A:A,'1C'!O:O,_xlfn.XLOOKUP(C25,'1C'!W:W,'1C'!O:O,"",0),0),Settings!N:N,Settings!O:O,"",0),"")</f>
        <v>BD</v>
      </c>
      <c r="AV25" s="114" t="str">
        <f ca="1">IF(AU25&lt;&gt;"",VLOOKUP(AU25,INDIRECT(SUBSTITUTE(IF(ISNUMBER(IFERROR(VALUE(LEFT(J25,1)),FALSE)),"_"&amp;J25,J25)," ","")&amp;"Manufactures"),3,0),"Требуется код страны")</f>
        <v>YupoongInc; 174, Gurodong-ro, Guro-gu, 08285 Seoul, South Korea</v>
      </c>
      <c r="AW25" s="112" t="str">
        <f ca="1">IF(AU25&lt;&gt;"",VLOOKUP(AU25,INDIRECT(SUBSTITUTE(IF(ISNUMBER(IFERROR(VALUE(LEFT(J25,1)),FALSE)),"_"&amp;J25,J25)," ","")&amp;"Manufactures"),2,0),"Требуется код страны")</f>
        <v>Бангладеш</v>
      </c>
      <c r="AX25" s="117">
        <f>0.05+0.05</f>
        <v>0.1</v>
      </c>
      <c r="AY25" s="112">
        <f>IF(AX25&lt;&gt;"",AX25*1.5,"Требуется нетто")</f>
        <v>0.15000000000000002</v>
      </c>
      <c r="AZ25" s="112">
        <f>+IF(AX25&lt;&gt;"",IFERROR(AT25*AX25,"Требуются кол-во и нетто"),"Требуются кол-во и нетто")</f>
        <v>1.6</v>
      </c>
      <c r="BA25" s="112">
        <f>IF(AY25&lt;&gt;"",IFERROR(AT25*AY25,"Требуются кол-во и брутто"),"Требуются кол-во и брутто")</f>
        <v>2.4000000000000004</v>
      </c>
      <c r="BB25" s="118">
        <v>609</v>
      </c>
      <c r="BC25" s="143">
        <f>+IF(BB25&lt;&gt;0,IFERROR(AT25*BB25,"Требуются кол-во и цена"),"Требуются кол-во и цена")</f>
        <v>9744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>IFERROR(IF(BE25,"-",IFERROR(IF(BD25&gt;0,0,1),"")),"")</f>
        <v>0</v>
      </c>
    </row>
    <row r="26" spans="1:58" ht="98.1" customHeight="1">
      <c r="A26" s="112" t="str">
        <f>IF(C26&amp;K26&lt;&gt;"",C26&amp;K26,"")</f>
        <v>6606CRANBERRY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94-015-12</v>
      </c>
      <c r="C26" s="121" t="s">
        <v>1281</v>
      </c>
      <c r="E26" s="112" t="str">
        <f>IF(F26&lt;&gt;"",IFERROR(VLOOKUP(F26,Категории!A:B,2,0),""),"Требуется категория")</f>
        <v>Бейсболки</v>
      </c>
      <c r="F26" s="112" t="str">
        <f>IF(A26&lt;&gt;"",IF(BD26&gt;0,_xlfn.XLOOKUP(A26,'1C'!A:A,'1C'!J:J,"",0),_xlfn.XLOOKUP(C26,'1C'!W:W,'1C'!J:J,"",0)),"")</f>
        <v>Бейсболка с сеточкой</v>
      </c>
      <c r="G26" s="114" t="str">
        <f>IF(C26&lt;&gt;"",IF(BD26&gt;0,_xlfn.XLOOKUP(A26,'1C'!A:A,'1C'!L:L,"",0),_xlfn.XLOOKUP(C26,'1C'!W:W,'1C'!L:L,"",0)),"")</f>
        <v>Flexfit</v>
      </c>
      <c r="H26" s="112" t="str">
        <f>IF(A26&lt;&gt;"",_xlfn.XLOOKUP(A26,'1C'!A:A,'1C'!M:M,_xlfn.XLOOKUP(C26,'1C'!W:W,'1C'!M:M,"",0),0),"")</f>
        <v>всесезон</v>
      </c>
      <c r="J26" s="114" t="str">
        <f>_xlfn.LET(_xlpm.itemName,_xlfn.XLOOKUP(A26,'1C'!A:A,'1C'!D:D,"",0),IFERROR(MID(_xlpm.itemName,FIND(" ",_xlpm.itemName)+1,FIND("арт.",_xlpm.itemName)-(FIND(" ",_xlpm.itemName)+2)),""))</f>
        <v>FLEXFIT</v>
      </c>
      <c r="K26" s="120" t="s">
        <v>1294</v>
      </c>
      <c r="L26" s="147" t="str">
        <f>IF(K26&lt;&gt;"",IFERROR(VLOOKUP(A26,'1C'!A:X,8,0),IFERROR(VLOOKUP(K26,Colors!D:E,2,0),"")),"")</f>
        <v>бордовый</v>
      </c>
      <c r="M26" s="114" t="str">
        <f>IF(K26&lt;&gt;"",_xlfn.XLOOKUP(A26,'1C'!A:A,'1C'!R:R,"",0),"")</f>
        <v>бордовый</v>
      </c>
      <c r="N26" s="136"/>
      <c r="O26" s="136"/>
      <c r="P26" s="136"/>
      <c r="Q26" s="144" t="str">
        <f>IF(A26&lt;&gt;"",_xlfn.XLOOKUP(A26,'1C'!A:A,'1C'!I:I,_xlfn.XLOOKUP(C26,'1C'!W:W,'1C'!I:I,"",0),0),"")</f>
        <v>60% хлопок - 40% полиэстер</v>
      </c>
      <c r="R26" s="136"/>
      <c r="S26" s="114" t="str">
        <f>_xlfn.LET(_xlpm.RES,IF(A26&lt;&gt;"",_xlfn.XLOOKUP(A26,'1C'!A:A,'1C'!N:N,_xlfn.XLOOKUP(C26,'1C'!W:W,'1C'!N:N,"",0),0),""),IF(_xlpm.RES=0,"",_xlpm.RES))</f>
        <v>хлопковые</v>
      </c>
      <c r="T26" s="107"/>
      <c r="U26" s="116" t="str">
        <f>IF(A26&lt;&gt;"",_xlfn.XLOOKUP(A26,'1C'!A:A,'1C'!K:K,_xlfn.XLOOKUP(C26,'1C'!W:W,'1C'!K:K,"",0),0),"")</f>
        <v>Унисекс</v>
      </c>
      <c r="V26" s="107">
        <v>5</v>
      </c>
      <c r="Y26" s="107"/>
      <c r="AA26" s="107"/>
      <c r="AC26" s="107"/>
      <c r="AE26" s="107"/>
      <c r="AG26" s="107"/>
      <c r="AT26" s="114">
        <f>IF(COUNTBLANK(V26:AS26)&lt;24,SUM(V26:AS26),"")</f>
        <v>5</v>
      </c>
      <c r="AU26" s="145" t="str">
        <f>IF(A26&lt;&gt;"",_xlfn.XLOOKUP(_xlfn.XLOOKUP(A26,'1C'!A:A,'1C'!O:O,_xlfn.XLOOKUP(C26,'1C'!W:W,'1C'!O:O,"",0),0),Settings!N:N,Settings!O:O,"",0),"")</f>
        <v>BD</v>
      </c>
      <c r="AV26" s="114" t="str">
        <f ca="1">IF(AU26&lt;&gt;"",VLOOKUP(AU26,INDIRECT(SUBSTITUTE(IF(ISNUMBER(IFERROR(VALUE(LEFT(J26,1)),FALSE)),"_"&amp;J26,J26)," ","")&amp;"Manufactures"),3,0),"Требуется код страны")</f>
        <v>YupoongInc; 174, Gurodong-ro, Guro-gu, 08285 Seoul, South Korea</v>
      </c>
      <c r="AW26" s="112" t="str">
        <f ca="1">IF(AU26&lt;&gt;"",VLOOKUP(AU26,INDIRECT(SUBSTITUTE(IF(ISNUMBER(IFERROR(VALUE(LEFT(J26,1)),FALSE)),"_"&amp;J26,J26)," ","")&amp;"Manufactures"),2,0),"Требуется код страны")</f>
        <v>Бангладеш</v>
      </c>
      <c r="AX26" s="117">
        <f>0.05+0.05</f>
        <v>0.1</v>
      </c>
      <c r="AY26" s="112">
        <f>IF(AX26&lt;&gt;"",AX26*1.5,"Требуется нетто")</f>
        <v>0.15000000000000002</v>
      </c>
      <c r="AZ26" s="112">
        <f>+IF(AX26&lt;&gt;"",IFERROR(AT26*AX26,"Требуются кол-во и нетто"),"Требуются кол-во и нетто")</f>
        <v>0.5</v>
      </c>
      <c r="BA26" s="112">
        <f>IF(AY26&lt;&gt;"",IFERROR(AT26*AY26,"Требуются кол-во и брутто"),"Требуются кол-во и брутто")</f>
        <v>0.75000000000000011</v>
      </c>
      <c r="BB26" s="118">
        <v>541</v>
      </c>
      <c r="BC26" s="143">
        <f>+IF(BB26&lt;&gt;0,IFERROR(AT26*BB26,"Требуются кол-во и цена"),"Требуются кол-во и цена")</f>
        <v>2705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>IFERROR(IF(BE26,"-",IFERROR(IF(BD26&gt;0,0,1),"")),"")</f>
        <v>0</v>
      </c>
    </row>
    <row r="27" spans="1:58" ht="98.1" customHeight="1">
      <c r="A27" s="112" t="str">
        <f>IF(C27&amp;K27&lt;&gt;"",C27&amp;K27,"")</f>
        <v>6606EVERGREEN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94-015-11</v>
      </c>
      <c r="C27" s="121" t="s">
        <v>1281</v>
      </c>
      <c r="E27" s="112" t="str">
        <f>IF(F27&lt;&gt;"",IFERROR(VLOOKUP(F27,Категории!A:B,2,0),""),"Требуется категория")</f>
        <v>Бейсболки</v>
      </c>
      <c r="F27" s="112" t="str">
        <f>IF(A27&lt;&gt;"",IF(BD27&gt;0,_xlfn.XLOOKUP(A27,'1C'!A:A,'1C'!J:J,"",0),_xlfn.XLOOKUP(C27,'1C'!W:W,'1C'!J:J,"",0)),"")</f>
        <v>Бейсболка с сеточкой</v>
      </c>
      <c r="G27" s="114" t="str">
        <f>IF(C27&lt;&gt;"",IF(BD27&gt;0,_xlfn.XLOOKUP(A27,'1C'!A:A,'1C'!L:L,"",0),_xlfn.XLOOKUP(C27,'1C'!W:W,'1C'!L:L,"",0)),"")</f>
        <v>Flexfit</v>
      </c>
      <c r="H27" s="112" t="str">
        <f>IF(A27&lt;&gt;"",_xlfn.XLOOKUP(A27,'1C'!A:A,'1C'!M:M,_xlfn.XLOOKUP(C27,'1C'!W:W,'1C'!M:M,"",0),0),"")</f>
        <v>всесезон</v>
      </c>
      <c r="J27" s="114" t="str">
        <f>_xlfn.LET(_xlpm.itemName,_xlfn.XLOOKUP(A27,'1C'!A:A,'1C'!D:D,"",0),IFERROR(MID(_xlpm.itemName,FIND(" ",_xlpm.itemName)+1,FIND("арт.",_xlpm.itemName)-(FIND(" ",_xlpm.itemName)+2)),""))</f>
        <v>FLEXFIT</v>
      </c>
      <c r="K27" s="120" t="s">
        <v>1295</v>
      </c>
      <c r="L27" s="147" t="str">
        <f>IF(K27&lt;&gt;"",IFERROR(VLOOKUP(A27,'1C'!A:X,8,0),IFERROR(VLOOKUP(K27,Colors!D:E,2,0),"")),"")</f>
        <v>зеленый</v>
      </c>
      <c r="M27" s="114" t="str">
        <f>IF(K27&lt;&gt;"",_xlfn.XLOOKUP(A27,'1C'!A:A,'1C'!R:R,"",0),"")</f>
        <v>зеленый</v>
      </c>
      <c r="N27" s="136"/>
      <c r="O27" s="136"/>
      <c r="P27" s="136"/>
      <c r="Q27" s="144" t="str">
        <f>IF(A27&lt;&gt;"",_xlfn.XLOOKUP(A27,'1C'!A:A,'1C'!I:I,_xlfn.XLOOKUP(C27,'1C'!W:W,'1C'!I:I,"",0),0),"")</f>
        <v>60% хлопок - 40% полиэстер</v>
      </c>
      <c r="R27" s="136"/>
      <c r="S27" s="114" t="str">
        <f>_xlfn.LET(_xlpm.RES,IF(A27&lt;&gt;"",_xlfn.XLOOKUP(A27,'1C'!A:A,'1C'!N:N,_xlfn.XLOOKUP(C27,'1C'!W:W,'1C'!N:N,"",0),0),""),IF(_xlpm.RES=0,"",_xlpm.RES))</f>
        <v>хлопковые</v>
      </c>
      <c r="T27" s="107"/>
      <c r="U27" s="116" t="str">
        <f>IF(A27&lt;&gt;"",_xlfn.XLOOKUP(A27,'1C'!A:A,'1C'!K:K,_xlfn.XLOOKUP(C27,'1C'!W:W,'1C'!K:K,"",0),0),"")</f>
        <v>Унисекс</v>
      </c>
      <c r="V27" s="107">
        <v>11</v>
      </c>
      <c r="Y27" s="107"/>
      <c r="AA27" s="107"/>
      <c r="AC27" s="107"/>
      <c r="AE27" s="107"/>
      <c r="AG27" s="107"/>
      <c r="AT27" s="114">
        <f>IF(COUNTBLANK(V27:AS27)&lt;24,SUM(V27:AS27),"")</f>
        <v>11</v>
      </c>
      <c r="AU27" s="145" t="str">
        <f>IF(A27&lt;&gt;"",_xlfn.XLOOKUP(_xlfn.XLOOKUP(A27,'1C'!A:A,'1C'!O:O,_xlfn.XLOOKUP(C27,'1C'!W:W,'1C'!O:O,"",0),0),Settings!N:N,Settings!O:O,"",0),"")</f>
        <v>BD</v>
      </c>
      <c r="AV27" s="114" t="str">
        <f ca="1">IF(AU27&lt;&gt;"",VLOOKUP(AU27,INDIRECT(SUBSTITUTE(IF(ISNUMBER(IFERROR(VALUE(LEFT(J27,1)),FALSE)),"_"&amp;J27,J27)," ","")&amp;"Manufactures"),3,0),"Требуется код страны")</f>
        <v>YupoongInc; 174, Gurodong-ro, Guro-gu, 08285 Seoul, South Korea</v>
      </c>
      <c r="AW27" s="112" t="str">
        <f ca="1">IF(AU27&lt;&gt;"",VLOOKUP(AU27,INDIRECT(SUBSTITUTE(IF(ISNUMBER(IFERROR(VALUE(LEFT(J27,1)),FALSE)),"_"&amp;J27,J27)," ","")&amp;"Manufactures"),2,0),"Требуется код страны")</f>
        <v>Бангладеш</v>
      </c>
      <c r="AX27" s="117">
        <f>0.05+0.05</f>
        <v>0.1</v>
      </c>
      <c r="AY27" s="112">
        <f>IF(AX27&lt;&gt;"",AX27*1.5,"Требуется нетто")</f>
        <v>0.15000000000000002</v>
      </c>
      <c r="AZ27" s="112">
        <f>+IF(AX27&lt;&gt;"",IFERROR(AT27*AX27,"Требуются кол-во и нетто"),"Требуются кол-во и нетто")</f>
        <v>1.1000000000000001</v>
      </c>
      <c r="BA27" s="112">
        <f>IF(AY27&lt;&gt;"",IFERROR(AT27*AY27,"Требуются кол-во и брутто"),"Требуются кол-во и брутто")</f>
        <v>1.6500000000000004</v>
      </c>
      <c r="BB27" s="118">
        <v>541</v>
      </c>
      <c r="BC27" s="143">
        <f>+IF(BB27&lt;&gt;0,IFERROR(AT27*BB27,"Требуются кол-во и цена"),"Требуются кол-во и цена")</f>
        <v>5951</v>
      </c>
      <c r="BD27" s="105">
        <f>IF(A27&lt;&gt;"",IF(_xlfn.XLOOKUP(A27,'1C'!A:A,'1C'!A:A,0,0)&gt;0,1,0),"")</f>
        <v>1</v>
      </c>
      <c r="BE27" s="105">
        <f>IF(C27&lt;&gt;"",IF(_xlfn.XLOOKUP(TEXT(C27,"###"),'1C'!W:W,'1C'!D:D,0,0)&gt;0,0,1),"")</f>
        <v>0</v>
      </c>
      <c r="BF27" s="109">
        <f>IFERROR(IF(BE27,"-",IFERROR(IF(BD27&gt;0,0,1),"")),"")</f>
        <v>0</v>
      </c>
    </row>
    <row r="28" spans="1:58" ht="98.1" customHeight="1">
      <c r="A28" s="112" t="str">
        <f>IF(C28&amp;K28&lt;&gt;"",C28&amp;K28,"")</f>
        <v>6606PINK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94-015-34</v>
      </c>
      <c r="C28" s="121" t="s">
        <v>1281</v>
      </c>
      <c r="E28" s="112" t="str">
        <f>IF(F28&lt;&gt;"",IFERROR(VLOOKUP(F28,Категории!A:B,2,0),""),"Требуется категория")</f>
        <v>Бейсболки</v>
      </c>
      <c r="F28" s="112" t="str">
        <f>IF(A28&lt;&gt;"",IF(BD28&gt;0,_xlfn.XLOOKUP(A28,'1C'!A:A,'1C'!J:J,"",0),_xlfn.XLOOKUP(C28,'1C'!W:W,'1C'!J:J,"",0)),"")</f>
        <v>Бейсболка с сеточкой</v>
      </c>
      <c r="G28" s="114" t="str">
        <f>IF(C28&lt;&gt;"",IF(BD28&gt;0,_xlfn.XLOOKUP(A28,'1C'!A:A,'1C'!L:L,"",0),_xlfn.XLOOKUP(C28,'1C'!W:W,'1C'!L:L,"",0)),"")</f>
        <v>Flexfit</v>
      </c>
      <c r="H28" s="112" t="str">
        <f>IF(A28&lt;&gt;"",_xlfn.XLOOKUP(A28,'1C'!A:A,'1C'!M:M,_xlfn.XLOOKUP(C28,'1C'!W:W,'1C'!M:M,"",0),0),"")</f>
        <v>всесезон</v>
      </c>
      <c r="J28" s="114" t="str">
        <f>_xlfn.LET(_xlpm.itemName,_xlfn.XLOOKUP(A28,'1C'!A:A,'1C'!D:D,"",0),IFERROR(MID(_xlpm.itemName,FIND(" ",_xlpm.itemName)+1,FIND("арт.",_xlpm.itemName)-(FIND(" ",_xlpm.itemName)+2)),""))</f>
        <v>FLEXFIT</v>
      </c>
      <c r="K28" s="120" t="s">
        <v>1296</v>
      </c>
      <c r="L28" s="147" t="str">
        <f>IF(K28&lt;&gt;"",IFERROR(VLOOKUP(A28,'1C'!A:X,8,0),IFERROR(VLOOKUP(K28,Colors!D:E,2,0),"")),"")</f>
        <v>розовый</v>
      </c>
      <c r="M28" s="114" t="str">
        <f>IF(K28&lt;&gt;"",_xlfn.XLOOKUP(A28,'1C'!A:A,'1C'!R:R,"",0),"")</f>
        <v>розовый</v>
      </c>
      <c r="N28" s="136"/>
      <c r="O28" s="136"/>
      <c r="P28" s="136"/>
      <c r="Q28" s="144" t="str">
        <f>IF(A28&lt;&gt;"",_xlfn.XLOOKUP(A28,'1C'!A:A,'1C'!I:I,_xlfn.XLOOKUP(C28,'1C'!W:W,'1C'!I:I,"",0),0),"")</f>
        <v>60% хлопок - 40% полиэстер</v>
      </c>
      <c r="R28" s="136"/>
      <c r="S28" s="136" t="s">
        <v>43</v>
      </c>
      <c r="T28" s="107"/>
      <c r="U28" s="116" t="str">
        <f>IF(A28&lt;&gt;"",_xlfn.XLOOKUP(A28,'1C'!A:A,'1C'!K:K,_xlfn.XLOOKUP(C28,'1C'!W:W,'1C'!K:K,"",0),0),"")</f>
        <v>Унисекс</v>
      </c>
      <c r="V28" s="107">
        <v>20</v>
      </c>
      <c r="Y28" s="107"/>
      <c r="AA28" s="107"/>
      <c r="AC28" s="107"/>
      <c r="AE28" s="107"/>
      <c r="AG28" s="107"/>
      <c r="AT28" s="114">
        <f>IF(COUNTBLANK(V28:AS28)&lt;24,SUM(V28:AS28),"")</f>
        <v>20</v>
      </c>
      <c r="AU28" s="145" t="str">
        <f>IF(A28&lt;&gt;"",_xlfn.XLOOKUP(_xlfn.XLOOKUP(A28,'1C'!A:A,'1C'!O:O,_xlfn.XLOOKUP(C28,'1C'!W:W,'1C'!O:O,"",0),0),Settings!N:N,Settings!O:O,"",0),"")</f>
        <v>BD</v>
      </c>
      <c r="AV28" s="114" t="str">
        <f ca="1">IF(AU28&lt;&gt;"",VLOOKUP(AU28,INDIRECT(SUBSTITUTE(IF(ISNUMBER(IFERROR(VALUE(LEFT(J28,1)),FALSE)),"_"&amp;J28,J28)," ","")&amp;"Manufactures"),3,0),"Требуется код страны")</f>
        <v>YupoongInc; 174, Gurodong-ro, Guro-gu, 08285 Seoul, South Korea</v>
      </c>
      <c r="AW28" s="112" t="str">
        <f ca="1">IF(AU28&lt;&gt;"",VLOOKUP(AU28,INDIRECT(SUBSTITUTE(IF(ISNUMBER(IFERROR(VALUE(LEFT(J28,1)),FALSE)),"_"&amp;J28,J28)," ","")&amp;"Manufactures"),2,0),"Требуется код страны")</f>
        <v>Бангладеш</v>
      </c>
      <c r="AX28" s="117">
        <f>0.05+0.05</f>
        <v>0.1</v>
      </c>
      <c r="AY28" s="112">
        <f>IF(AX28&lt;&gt;"",AX28*1.5,"Требуется нетто")</f>
        <v>0.15000000000000002</v>
      </c>
      <c r="AZ28" s="112">
        <f>+IF(AX28&lt;&gt;"",IFERROR(AT28*AX28,"Требуются кол-во и нетто"),"Требуются кол-во и нетто")</f>
        <v>2</v>
      </c>
      <c r="BA28" s="112">
        <f>IF(AY28&lt;&gt;"",IFERROR(AT28*AY28,"Требуются кол-во и брутто"),"Требуются кол-во и брутто")</f>
        <v>3.0000000000000004</v>
      </c>
      <c r="BB28" s="118">
        <v>541</v>
      </c>
      <c r="BC28" s="143">
        <f>+IF(BB28&lt;&gt;0,IFERROR(AT28*BB28,"Требуются кол-во и цена"),"Требуются кол-во и цена")</f>
        <v>10820</v>
      </c>
      <c r="BD28" s="105">
        <f>IF(A28&lt;&gt;"",IF(_xlfn.XLOOKUP(A28,'1C'!A:A,'1C'!A:A,0,0)&gt;0,1,0),"")</f>
        <v>1</v>
      </c>
      <c r="BE28" s="105">
        <f>IF(C28&lt;&gt;"",IF(_xlfn.XLOOKUP(TEXT(C28,"###"),'1C'!W:W,'1C'!D:D,0,0)&gt;0,0,1),"")</f>
        <v>0</v>
      </c>
      <c r="BF28" s="109">
        <f>IFERROR(IF(BE28,"-",IFERROR(IF(BD28&gt;0,0,1),"")),"")</f>
        <v>0</v>
      </c>
    </row>
    <row r="29" spans="1:58" ht="98.1" customHeight="1">
      <c r="A29" s="112" t="str">
        <f>IF(C29&amp;K29&lt;&gt;"",C29&amp;K29,"")</f>
        <v>6606WHITE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94-015-17</v>
      </c>
      <c r="C29" s="121" t="s">
        <v>1281</v>
      </c>
      <c r="E29" s="112" t="str">
        <f>IF(F29&lt;&gt;"",IFERROR(VLOOKUP(F29,Категории!A:B,2,0),""),"Требуется категория")</f>
        <v>Бейсболки</v>
      </c>
      <c r="F29" s="112" t="str">
        <f>IF(A29&lt;&gt;"",IF(BD29&gt;0,_xlfn.XLOOKUP(A29,'1C'!A:A,'1C'!J:J,"",0),_xlfn.XLOOKUP(C29,'1C'!W:W,'1C'!J:J,"",0)),"")</f>
        <v>Бейсболка с сеточкой</v>
      </c>
      <c r="G29" s="114" t="str">
        <f>IF(C29&lt;&gt;"",IF(BD29&gt;0,_xlfn.XLOOKUP(A29,'1C'!A:A,'1C'!L:L,"",0),_xlfn.XLOOKUP(C29,'1C'!W:W,'1C'!L:L,"",0)),"")</f>
        <v>Flexfit</v>
      </c>
      <c r="H29" s="112" t="str">
        <f>IF(A29&lt;&gt;"",_xlfn.XLOOKUP(A29,'1C'!A:A,'1C'!M:M,_xlfn.XLOOKUP(C29,'1C'!W:W,'1C'!M:M,"",0),0),"")</f>
        <v>всесезон</v>
      </c>
      <c r="J29" s="114" t="str">
        <f>_xlfn.LET(_xlpm.itemName,_xlfn.XLOOKUP(A29,'1C'!A:A,'1C'!D:D,"",0),IFERROR(MID(_xlpm.itemName,FIND(" ",_xlpm.itemName)+1,FIND("арт.",_xlpm.itemName)-(FIND(" ",_xlpm.itemName)+2)),""))</f>
        <v>FLEXFIT</v>
      </c>
      <c r="K29" s="120" t="s">
        <v>1293</v>
      </c>
      <c r="L29" s="147" t="str">
        <f>IF(K29&lt;&gt;"",IFERROR(VLOOKUP(A29,'1C'!A:X,8,0),IFERROR(VLOOKUP(K29,Colors!D:E,2,0),"")),"")</f>
        <v>белый</v>
      </c>
      <c r="M29" s="114" t="str">
        <f>IF(K29&lt;&gt;"",_xlfn.XLOOKUP(A29,'1C'!A:A,'1C'!R:R,"",0),"")</f>
        <v>белый</v>
      </c>
      <c r="N29" s="136"/>
      <c r="O29" s="136"/>
      <c r="P29" s="136"/>
      <c r="Q29" s="144" t="str">
        <f>IF(A29&lt;&gt;"",_xlfn.XLOOKUP(A29,'1C'!A:A,'1C'!I:I,_xlfn.XLOOKUP(C29,'1C'!W:W,'1C'!I:I,"",0),0),"")</f>
        <v>60% хлопок - 40% полиэстер</v>
      </c>
      <c r="R29" s="136"/>
      <c r="S29" s="114" t="str">
        <f>_xlfn.LET(_xlpm.RES,IF(A29&lt;&gt;"",_xlfn.XLOOKUP(A29,'1C'!A:A,'1C'!N:N,_xlfn.XLOOKUP(C29,'1C'!W:W,'1C'!N:N,"",0),0),""),IF(_xlpm.RES=0,"",_xlpm.RES))</f>
        <v>хлопковые</v>
      </c>
      <c r="T29" s="107"/>
      <c r="U29" s="116" t="str">
        <f>IF(A29&lt;&gt;"",_xlfn.XLOOKUP(A29,'1C'!A:A,'1C'!K:K,_xlfn.XLOOKUP(C29,'1C'!W:W,'1C'!K:K,"",0),0),"")</f>
        <v>Унисекс</v>
      </c>
      <c r="V29" s="107">
        <v>10</v>
      </c>
      <c r="Y29" s="107"/>
      <c r="AA29" s="107"/>
      <c r="AC29" s="107"/>
      <c r="AE29" s="107"/>
      <c r="AG29" s="107"/>
      <c r="AT29" s="114">
        <f>IF(COUNTBLANK(V29:AS29)&lt;24,SUM(V29:AS29),"")</f>
        <v>10</v>
      </c>
      <c r="AU29" s="145" t="str">
        <f>IF(A29&lt;&gt;"",_xlfn.XLOOKUP(_xlfn.XLOOKUP(A29,'1C'!A:A,'1C'!O:O,_xlfn.XLOOKUP(C29,'1C'!W:W,'1C'!O:O,"",0),0),Settings!N:N,Settings!O:O,"",0),"")</f>
        <v>BD</v>
      </c>
      <c r="AV29" s="114" t="str">
        <f ca="1">IF(AU29&lt;&gt;"",VLOOKUP(AU29,INDIRECT(SUBSTITUTE(IF(ISNUMBER(IFERROR(VALUE(LEFT(J29,1)),FALSE)),"_"&amp;J29,J29)," ","")&amp;"Manufactures"),3,0),"Требуется код страны")</f>
        <v>YupoongInc; 174, Gurodong-ro, Guro-gu, 08285 Seoul, South Korea</v>
      </c>
      <c r="AW29" s="112" t="str">
        <f ca="1">IF(AU29&lt;&gt;"",VLOOKUP(AU29,INDIRECT(SUBSTITUTE(IF(ISNUMBER(IFERROR(VALUE(LEFT(J29,1)),FALSE)),"_"&amp;J29,J29)," ","")&amp;"Manufactures"),2,0),"Требуется код страны")</f>
        <v>Бангладеш</v>
      </c>
      <c r="AX29" s="117">
        <f>0.05+0.05</f>
        <v>0.1</v>
      </c>
      <c r="AY29" s="112">
        <f>IF(AX29&lt;&gt;"",AX29*1.5,"Требуется нетто")</f>
        <v>0.15000000000000002</v>
      </c>
      <c r="AZ29" s="112">
        <f>+IF(AX29&lt;&gt;"",IFERROR(AT29*AX29,"Требуются кол-во и нетто"),"Требуются кол-во и нетто")</f>
        <v>1</v>
      </c>
      <c r="BA29" s="112">
        <f>IF(AY29&lt;&gt;"",IFERROR(AT29*AY29,"Требуются кол-во и брутто"),"Требуются кол-во и брутто")</f>
        <v>1.5000000000000002</v>
      </c>
      <c r="BB29" s="118">
        <v>541</v>
      </c>
      <c r="BC29" s="143">
        <f>+IF(BB29&lt;&gt;0,IFERROR(AT29*BB29,"Требуются кол-во и цена"),"Требуются кол-во и цена")</f>
        <v>5410</v>
      </c>
      <c r="BD29" s="105">
        <f>IF(A29&lt;&gt;"",IF(_xlfn.XLOOKUP(A29,'1C'!A:A,'1C'!A:A,0,0)&gt;0,1,0),"")</f>
        <v>1</v>
      </c>
      <c r="BE29" s="105">
        <f>IF(C29&lt;&gt;"",IF(_xlfn.XLOOKUP(TEXT(C29,"###"),'1C'!W:W,'1C'!D:D,0,0)&gt;0,0,1),"")</f>
        <v>0</v>
      </c>
      <c r="BF29" s="109">
        <f>IFERROR(IF(BE29,"-",IFERROR(IF(BD29&gt;0,0,1),"")),"")</f>
        <v>0</v>
      </c>
    </row>
    <row r="30" spans="1:58" ht="98.1" customHeight="1">
      <c r="A30" s="112" t="str">
        <f>IF(C30&amp;K30&lt;&gt;"",C30&amp;K30,"")</f>
        <v>6245CMBLACK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94-019-09</v>
      </c>
      <c r="C30" s="121" t="s">
        <v>1173</v>
      </c>
      <c r="E30" s="112" t="str">
        <f>IF(F30&lt;&gt;"",IFERROR(VLOOKUP(F30,Категории!A:B,2,0),""),"Требуется категория")</f>
        <v>Бейсболки</v>
      </c>
      <c r="F30" s="112" t="str">
        <f>IF(A30&lt;&gt;"",IF(BD30&gt;0,_xlfn.XLOOKUP(A30,'1C'!A:A,'1C'!J:J,"",0),_xlfn.XLOOKUP(C30,'1C'!W:W,'1C'!J:J,"",0)),"")</f>
        <v>Бейсболка</v>
      </c>
      <c r="G30" s="114" t="str">
        <f>IF(C30&lt;&gt;"",IF(BD30&gt;0,_xlfn.XLOOKUP(A30,'1C'!A:A,'1C'!L:L,"",0),_xlfn.XLOOKUP(C30,'1C'!W:W,'1C'!L:L,"",0)),"")</f>
        <v>Flexfit</v>
      </c>
      <c r="H30" s="112" t="str">
        <f>IF(A30&lt;&gt;"",_xlfn.XLOOKUP(A30,'1C'!A:A,'1C'!M:M,_xlfn.XLOOKUP(C30,'1C'!W:W,'1C'!M:M,"",0),0),"")</f>
        <v>всесезон</v>
      </c>
      <c r="J30" s="114" t="str">
        <f>_xlfn.LET(_xlpm.itemName,_xlfn.XLOOKUP(A30,'1C'!A:A,'1C'!D:D,"",0),IFERROR(MID(_xlpm.itemName,FIND(" ",_xlpm.itemName)+1,FIND("арт.",_xlpm.itemName)-(FIND(" ",_xlpm.itemName)+2)),""))</f>
        <v>FLEXFIT</v>
      </c>
      <c r="K30" s="120" t="s">
        <v>1285</v>
      </c>
      <c r="L30" s="147" t="str">
        <f>IF(K30&lt;&gt;"",IFERROR(VLOOKUP(A30,'1C'!A:X,8,0),IFERROR(VLOOKUP(K30,Colors!D:E,2,0),"")),"")</f>
        <v>черный</v>
      </c>
      <c r="M30" s="114" t="str">
        <f>IF(K30&lt;&gt;"",_xlfn.XLOOKUP(A30,'1C'!A:A,'1C'!R:R,"",0),"")</f>
        <v>черный</v>
      </c>
      <c r="N30" s="136"/>
      <c r="O30" s="136"/>
      <c r="P30" s="136"/>
      <c r="Q30" s="144" t="str">
        <f>IF(A30&lt;&gt;"",_xlfn.XLOOKUP(A30,'1C'!A:A,'1C'!I:I,_xlfn.XLOOKUP(C30,'1C'!W:W,'1C'!I:I,"",0),0),"")</f>
        <v>100% хлопок</v>
      </c>
      <c r="R30" s="136"/>
      <c r="S30" s="114" t="str">
        <f>_xlfn.LET(_xlpm.RES,IF(A30&lt;&gt;"",_xlfn.XLOOKUP(A30,'1C'!A:A,'1C'!N:N,_xlfn.XLOOKUP(C30,'1C'!W:W,'1C'!N:N,"",0),0),""),IF(_xlpm.RES=0,"",_xlpm.RES))</f>
        <v>хлопковые</v>
      </c>
      <c r="T30" s="116" t="str">
        <f>IF(S30&lt;&gt;"",IFERROR(VLOOKUP(S30,MaterialsTypes!F:G,2,0),IFERROR(VLOOKUP(Q30,MaterialsTypes100,2,0),"")),IFERROR(VLOOKUP(Q30,MaterialsTypes100,2,0),""))</f>
        <v>Текстиль, ткань</v>
      </c>
      <c r="U30" s="116" t="str">
        <f>IF(A30&lt;&gt;"",_xlfn.XLOOKUP(A30,'1C'!A:A,'1C'!K:K,_xlfn.XLOOKUP(C30,'1C'!W:W,'1C'!K:K,"",0),0),"")</f>
        <v>Унисекс</v>
      </c>
      <c r="V30" s="107">
        <v>15</v>
      </c>
      <c r="Y30" s="107"/>
      <c r="AA30" s="107"/>
      <c r="AC30" s="107"/>
      <c r="AE30" s="107"/>
      <c r="AG30" s="107"/>
      <c r="AT30" s="114">
        <f>IF(COUNTBLANK(V30:AS30)&lt;24,SUM(V30:AS30),"")</f>
        <v>15</v>
      </c>
      <c r="AU30" s="145" t="str">
        <f>IF(A30&lt;&gt;"",_xlfn.XLOOKUP(_xlfn.XLOOKUP(A30,'1C'!A:A,'1C'!O:O,_xlfn.XLOOKUP(C30,'1C'!W:W,'1C'!O:O,"",0),0),Settings!N:N,Settings!O:O,"",0),"")</f>
        <v>BD</v>
      </c>
      <c r="AV30" s="114" t="str">
        <f ca="1">IF(AU30&lt;&gt;"",VLOOKUP(AU30,INDIRECT(SUBSTITUTE(IF(ISNUMBER(IFERROR(VALUE(LEFT(J30,1)),FALSE)),"_"&amp;J30,J30)," ","")&amp;"Manufactures"),3,0),"Требуется код страны")</f>
        <v>YupoongInc; 174, Gurodong-ro, Guro-gu, 08285 Seoul, South Korea</v>
      </c>
      <c r="AW30" s="112" t="str">
        <f ca="1">IF(AU30&lt;&gt;"",VLOOKUP(AU30,INDIRECT(SUBSTITUTE(IF(ISNUMBER(IFERROR(VALUE(LEFT(J30,1)),FALSE)),"_"&amp;J30,J30)," ","")&amp;"Manufactures"),2,0),"Требуется код страны")</f>
        <v>Бангладеш</v>
      </c>
      <c r="AX30" s="117">
        <f>0.05+0.05</f>
        <v>0.1</v>
      </c>
      <c r="AY30" s="112">
        <f>IF(AX30&lt;&gt;"",AX30*1.5,"Требуется нетто")</f>
        <v>0.15000000000000002</v>
      </c>
      <c r="AZ30" s="112">
        <f>+IF(AX30&lt;&gt;"",IFERROR(AT30*AX30,"Требуются кол-во и нетто"),"Требуются кол-во и нетто")</f>
        <v>1.5</v>
      </c>
      <c r="BA30" s="112">
        <f>IF(AY30&lt;&gt;"",IFERROR(AT30*AY30,"Требуются кол-во и брутто"),"Требуются кол-во и брутто")</f>
        <v>2.2500000000000004</v>
      </c>
      <c r="BB30" s="118">
        <v>650</v>
      </c>
      <c r="BC30" s="143">
        <f>+IF(BB30&lt;&gt;0,IFERROR(AT30*BB30,"Требуются кол-во и цена"),"Требуются кол-во и цена")</f>
        <v>9750</v>
      </c>
      <c r="BD30" s="105">
        <f>IF(A30&lt;&gt;"",IF(_xlfn.XLOOKUP(A30,'1C'!A:A,'1C'!A:A,0,0)&gt;0,1,0),"")</f>
        <v>1</v>
      </c>
      <c r="BE30" s="105">
        <f>IF(C30&lt;&gt;"",IF(_xlfn.XLOOKUP(TEXT(C30,"###"),'1C'!W:W,'1C'!D:D,0,0)&gt;0,0,1),"")</f>
        <v>0</v>
      </c>
      <c r="BF30" s="109">
        <f>IFERROR(IF(BE30,"-",IFERROR(IF(BD30&gt;0,0,1),"")),"")</f>
        <v>0</v>
      </c>
    </row>
    <row r="31" spans="1:58" ht="98.1" customHeight="1">
      <c r="A31" s="112" t="str">
        <f>IF(C31&amp;K31&lt;&gt;"",C31&amp;K31,"")</f>
        <v>6089MWHITE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94-007-17</v>
      </c>
      <c r="C31" s="121" t="s">
        <v>1067</v>
      </c>
      <c r="E31" s="112" t="str">
        <f>IF(F31&lt;&gt;"",IFERROR(VLOOKUP(F31,Категории!A:B,2,0),""),"Требуется категория")</f>
        <v>Бейсболки</v>
      </c>
      <c r="F31" s="112" t="str">
        <f>IF(A31&lt;&gt;"",IF(BD31&gt;0,_xlfn.XLOOKUP(A31,'1C'!A:A,'1C'!J:J,"",0),_xlfn.XLOOKUP(C31,'1C'!W:W,'1C'!J:J,"",0)),"")</f>
        <v>Бейсболка с прямым козырьком</v>
      </c>
      <c r="G31" s="114" t="str">
        <f>IF(C31&lt;&gt;"",IF(BD31&gt;0,_xlfn.XLOOKUP(A31,'1C'!A:A,'1C'!L:L,"",0),_xlfn.XLOOKUP(C31,'1C'!W:W,'1C'!L:L,"",0)),"")</f>
        <v>Flexfit</v>
      </c>
      <c r="H31" s="112" t="str">
        <f>IF(A31&lt;&gt;"",_xlfn.XLOOKUP(A31,'1C'!A:A,'1C'!M:M,_xlfn.XLOOKUP(C31,'1C'!W:W,'1C'!M:M,"",0),0),"")</f>
        <v>всесезон</v>
      </c>
      <c r="J31" s="114" t="str">
        <f>_xlfn.LET(_xlpm.itemName,_xlfn.XLOOKUP(A31,'1C'!A:A,'1C'!D:D,"",0),IFERROR(MID(_xlpm.itemName,FIND(" ",_xlpm.itemName)+1,FIND("арт.",_xlpm.itemName)-(FIND(" ",_xlpm.itemName)+2)),""))</f>
        <v>FLEXFIT</v>
      </c>
      <c r="K31" s="120" t="s">
        <v>1293</v>
      </c>
      <c r="L31" s="147" t="str">
        <f>IF(K31&lt;&gt;"",IFERROR(VLOOKUP(A31,'1C'!A:X,8,0),IFERROR(VLOOKUP(K31,Colors!D:E,2,0),"")),"")</f>
        <v>белый</v>
      </c>
      <c r="M31" s="114" t="str">
        <f>IF(K31&lt;&gt;"",_xlfn.XLOOKUP(A31,'1C'!A:A,'1C'!R:R,"",0),"")</f>
        <v>белый</v>
      </c>
      <c r="N31" s="136"/>
      <c r="O31" s="136"/>
      <c r="P31" s="136"/>
      <c r="Q31" s="144" t="str">
        <f>IF(A31&lt;&gt;"",_xlfn.XLOOKUP(A31,'1C'!A:A,'1C'!I:I,_xlfn.XLOOKUP(C31,'1C'!W:W,'1C'!I:I,"",0),0),"")</f>
        <v>80% акрил - 20% шерсть</v>
      </c>
      <c r="R31" s="136"/>
      <c r="S31" s="114" t="str">
        <f>_xlfn.LET(_xlpm.RES,IF(A31&lt;&gt;"",_xlfn.XLOOKUP(A31,'1C'!A:A,'1C'!N:N,_xlfn.XLOOKUP(C31,'1C'!W:W,'1C'!N:N,"",0),0),""),IF(_xlpm.RES=0,"",_xlpm.RES))</f>
        <v>акриловые</v>
      </c>
      <c r="T31" s="107"/>
      <c r="U31" s="116" t="str">
        <f>IF(A31&lt;&gt;"",_xlfn.XLOOKUP(A31,'1C'!A:A,'1C'!K:K,_xlfn.XLOOKUP(C31,'1C'!W:W,'1C'!K:K,"",0),0),"")</f>
        <v>Унисекс</v>
      </c>
      <c r="V31" s="107">
        <v>12</v>
      </c>
      <c r="Y31" s="107"/>
      <c r="AA31" s="107"/>
      <c r="AC31" s="107"/>
      <c r="AE31" s="107"/>
      <c r="AG31" s="107"/>
      <c r="AT31" s="114">
        <f>IF(COUNTBLANK(V31:AS31)&lt;24,SUM(V31:AS31),"")</f>
        <v>12</v>
      </c>
      <c r="AU31" s="145" t="str">
        <f>IF(A31&lt;&gt;"",_xlfn.XLOOKUP(_xlfn.XLOOKUP(A31,'1C'!A:A,'1C'!O:O,_xlfn.XLOOKUP(C31,'1C'!W:W,'1C'!O:O,"",0),0),Settings!N:N,Settings!O:O,"",0),"")</f>
        <v>BD</v>
      </c>
      <c r="AV31" s="114" t="str">
        <f ca="1">IF(AU31&lt;&gt;"",VLOOKUP(AU31,INDIRECT(SUBSTITUTE(IF(ISNUMBER(IFERROR(VALUE(LEFT(J31,1)),FALSE)),"_"&amp;J31,J31)," ","")&amp;"Manufactures"),3,0),"Требуется код страны")</f>
        <v>YupoongInc; 174, Gurodong-ro, Guro-gu, 08285 Seoul, South Korea</v>
      </c>
      <c r="AW31" s="112" t="str">
        <f ca="1">IF(AU31&lt;&gt;"",VLOOKUP(AU31,INDIRECT(SUBSTITUTE(IF(ISNUMBER(IFERROR(VALUE(LEFT(J31,1)),FALSE)),"_"&amp;J31,J31)," ","")&amp;"Manufactures"),2,0),"Требуется код страны")</f>
        <v>Бангладеш</v>
      </c>
      <c r="AX31" s="117">
        <f>0.05+0.05</f>
        <v>0.1</v>
      </c>
      <c r="AY31" s="112">
        <f>IF(AX31&lt;&gt;"",AX31*1.5,"Требуется нетто")</f>
        <v>0.15000000000000002</v>
      </c>
      <c r="AZ31" s="112">
        <f>+IF(AX31&lt;&gt;"",IFERROR(AT31*AX31,"Требуются кол-во и нетто"),"Требуются кол-во и нетто")</f>
        <v>1.2000000000000002</v>
      </c>
      <c r="BA31" s="112">
        <f>IF(AY31&lt;&gt;"",IFERROR(AT31*AY31,"Требуются кол-во и брутто"),"Требуются кол-во и брутто")</f>
        <v>1.8000000000000003</v>
      </c>
      <c r="BB31" s="118">
        <v>609</v>
      </c>
      <c r="BC31" s="143">
        <f>+IF(BB31&lt;&gt;0,IFERROR(AT31*BB31,"Требуются кол-во и цена"),"Требуются кол-во и цена")</f>
        <v>7308</v>
      </c>
      <c r="BD31" s="105">
        <f>IF(A31&lt;&gt;"",IF(_xlfn.XLOOKUP(A31,'1C'!A:A,'1C'!A:A,0,0)&gt;0,1,0),"")</f>
        <v>1</v>
      </c>
      <c r="BE31" s="105">
        <f>IF(C31&lt;&gt;"",IF(_xlfn.XLOOKUP(TEXT(C31,"###"),'1C'!W:W,'1C'!D:D,0,0)&gt;0,0,1),"")</f>
        <v>0</v>
      </c>
      <c r="BF31" s="109">
        <f>IFERROR(IF(BE31,"-",IFERROR(IF(BD31&gt;0,0,1),"")),"")</f>
        <v>0</v>
      </c>
    </row>
    <row r="32" spans="1:58" ht="98.1" customHeight="1">
      <c r="A32" s="112" t="str">
        <f>IF(C32&amp;K32&lt;&gt;"",C32&amp;K32,"")</f>
        <v>6005FFBLACK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94-003-09</v>
      </c>
      <c r="C32" s="121" t="s">
        <v>1126</v>
      </c>
      <c r="E32" s="112" t="str">
        <f>IF(F32&lt;&gt;"",IFERROR(VLOOKUP(F32,Категории!A:B,2,0),""),"Требуется категория")</f>
        <v>Бейсболки</v>
      </c>
      <c r="F32" s="112" t="str">
        <f>IF(A32&lt;&gt;"",IF(BD32&gt;0,_xlfn.XLOOKUP(A32,'1C'!A:A,'1C'!J:J,"",0),_xlfn.XLOOKUP(C32,'1C'!W:W,'1C'!J:J,"",0)),"")</f>
        <v>Бейсболка с прямым козырьком</v>
      </c>
      <c r="G32" s="114" t="str">
        <f>IF(C32&lt;&gt;"",IF(BD32&gt;0,_xlfn.XLOOKUP(A32,'1C'!A:A,'1C'!L:L,"",0),_xlfn.XLOOKUP(C32,'1C'!W:W,'1C'!L:L,"",0)),"")</f>
        <v>Flexfit</v>
      </c>
      <c r="H32" s="112" t="str">
        <f>IF(A32&lt;&gt;"",_xlfn.XLOOKUP(A32,'1C'!A:A,'1C'!M:M,_xlfn.XLOOKUP(C32,'1C'!W:W,'1C'!M:M,"",0),0),"")</f>
        <v>всесезон</v>
      </c>
      <c r="J32" s="114" t="str">
        <f>_xlfn.LET(_xlpm.itemName,_xlfn.XLOOKUP(A32,'1C'!A:A,'1C'!D:D,"",0),IFERROR(MID(_xlpm.itemName,FIND(" ",_xlpm.itemName)+1,FIND("арт.",_xlpm.itemName)-(FIND(" ",_xlpm.itemName)+2)),""))</f>
        <v>FLEXFIT</v>
      </c>
      <c r="K32" s="120" t="s">
        <v>1285</v>
      </c>
      <c r="L32" s="147" t="str">
        <f>IF(K32&lt;&gt;"",IFERROR(VLOOKUP(A32,'1C'!A:X,8,0),IFERROR(VLOOKUP(K32,Colors!D:E,2,0),"")),"")</f>
        <v>черный</v>
      </c>
      <c r="M32" s="114" t="str">
        <f>IF(K32&lt;&gt;"",_xlfn.XLOOKUP(A32,'1C'!A:A,'1C'!R:R,"",0),"")</f>
        <v>черный</v>
      </c>
      <c r="N32" s="136"/>
      <c r="O32" s="136"/>
      <c r="P32" s="136"/>
      <c r="Q32" s="144" t="str">
        <f>IF(A32&lt;&gt;"",_xlfn.XLOOKUP(A32,'1C'!A:A,'1C'!I:I,_xlfn.XLOOKUP(C32,'1C'!W:W,'1C'!I:I,"",0),0),"")</f>
        <v>60% хлопок - 40% полиэстер</v>
      </c>
      <c r="R32" s="136"/>
      <c r="S32" s="114" t="str">
        <f>_xlfn.LET(_xlpm.RES,IF(A32&lt;&gt;"",_xlfn.XLOOKUP(A32,'1C'!A:A,'1C'!N:N,_xlfn.XLOOKUP(C32,'1C'!W:W,'1C'!N:N,"",0),0),""),IF(_xlpm.RES=0,"",_xlpm.RES))</f>
        <v>хлопковые</v>
      </c>
      <c r="T32" s="107"/>
      <c r="U32" s="116" t="str">
        <f>IF(A32&lt;&gt;"",_xlfn.XLOOKUP(A32,'1C'!A:A,'1C'!K:K,_xlfn.XLOOKUP(C32,'1C'!W:W,'1C'!K:K,"",0),0),"")</f>
        <v>Унисекс</v>
      </c>
      <c r="V32" s="107">
        <v>52</v>
      </c>
      <c r="Y32" s="107"/>
      <c r="AA32" s="107"/>
      <c r="AC32" s="107"/>
      <c r="AE32" s="107"/>
      <c r="AG32" s="107"/>
      <c r="AT32" s="114">
        <f>IF(COUNTBLANK(V32:AS32)&lt;24,SUM(V32:AS32),"")</f>
        <v>52</v>
      </c>
      <c r="AU32" s="145" t="str">
        <f>IF(A32&lt;&gt;"",_xlfn.XLOOKUP(_xlfn.XLOOKUP(A32,'1C'!A:A,'1C'!O:O,_xlfn.XLOOKUP(C32,'1C'!W:W,'1C'!O:O,"",0),0),Settings!N:N,Settings!O:O,"",0),"")</f>
        <v>BD</v>
      </c>
      <c r="AV32" s="114" t="str">
        <f ca="1">IF(AU32&lt;&gt;"",VLOOKUP(AU32,INDIRECT(SUBSTITUTE(IF(ISNUMBER(IFERROR(VALUE(LEFT(J32,1)),FALSE)),"_"&amp;J32,J32)," ","")&amp;"Manufactures"),3,0),"Требуется код страны")</f>
        <v>YupoongInc; 174, Gurodong-ro, Guro-gu, 08285 Seoul, South Korea</v>
      </c>
      <c r="AW32" s="112" t="str">
        <f ca="1">IF(AU32&lt;&gt;"",VLOOKUP(AU32,INDIRECT(SUBSTITUTE(IF(ISNUMBER(IFERROR(VALUE(LEFT(J32,1)),FALSE)),"_"&amp;J32,J32)," ","")&amp;"Manufactures"),2,0),"Требуется код страны")</f>
        <v>Бангладеш</v>
      </c>
      <c r="AX32" s="117">
        <f>0.05+0.05</f>
        <v>0.1</v>
      </c>
      <c r="AY32" s="112">
        <f>IF(AX32&lt;&gt;"",AX32*1.5,"Требуется нетто")</f>
        <v>0.15000000000000002</v>
      </c>
      <c r="AZ32" s="112">
        <f>+IF(AX32&lt;&gt;"",IFERROR(AT32*AX32,"Требуются кол-во и нетто"),"Требуются кол-во и нетто")</f>
        <v>5.2</v>
      </c>
      <c r="BA32" s="112">
        <f>IF(AY32&lt;&gt;"",IFERROR(AT32*AY32,"Требуются кол-во и брутто"),"Требуются кол-во и брутто")</f>
        <v>7.8000000000000007</v>
      </c>
      <c r="BB32" s="118">
        <v>541</v>
      </c>
      <c r="BC32" s="143">
        <f>+IF(BB32&lt;&gt;0,IFERROR(AT32*BB32,"Требуются кол-во и цена"),"Требуются кол-во и цена")</f>
        <v>28132</v>
      </c>
      <c r="BD32" s="105">
        <f>IF(A32&lt;&gt;"",IF(_xlfn.XLOOKUP(A32,'1C'!A:A,'1C'!A:A,0,0)&gt;0,1,0),"")</f>
        <v>1</v>
      </c>
      <c r="BE32" s="105">
        <f>IF(C32&lt;&gt;"",IF(_xlfn.XLOOKUP(TEXT(C32,"###"),'1C'!W:W,'1C'!D:D,0,0)&gt;0,0,1),"")</f>
        <v>0</v>
      </c>
      <c r="BF32" s="109">
        <f>IFERROR(IF(BE32,"-",IFERROR(IF(BD32&gt;0,0,1),"")),"")</f>
        <v>0</v>
      </c>
    </row>
    <row r="33" spans="1:58" ht="98.1" customHeight="1">
      <c r="A33" s="112" t="str">
        <f>IF(C33&amp;K33&lt;&gt;"",C33&amp;K33,"")</f>
        <v>6005FFNAVY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94-003-16</v>
      </c>
      <c r="C33" s="121" t="s">
        <v>1126</v>
      </c>
      <c r="E33" s="112" t="str">
        <f>IF(F33&lt;&gt;"",IFERROR(VLOOKUP(F33,Категории!A:B,2,0),""),"Требуется категория")</f>
        <v>Бейсболки</v>
      </c>
      <c r="F33" s="112" t="str">
        <f>IF(A33&lt;&gt;"",IF(BD33&gt;0,_xlfn.XLOOKUP(A33,'1C'!A:A,'1C'!J:J,"",0),_xlfn.XLOOKUP(C33,'1C'!W:W,'1C'!J:J,"",0)),"")</f>
        <v>Бейсболка с прямым козырьком</v>
      </c>
      <c r="G33" s="114" t="str">
        <f>IF(C33&lt;&gt;"",IF(BD33&gt;0,_xlfn.XLOOKUP(A33,'1C'!A:A,'1C'!L:L,"",0),_xlfn.XLOOKUP(C33,'1C'!W:W,'1C'!L:L,"",0)),"")</f>
        <v>Flexfit</v>
      </c>
      <c r="H33" s="112" t="str">
        <f>IF(A33&lt;&gt;"",_xlfn.XLOOKUP(A33,'1C'!A:A,'1C'!M:M,_xlfn.XLOOKUP(C33,'1C'!W:W,'1C'!M:M,"",0),0),"")</f>
        <v>всесезон</v>
      </c>
      <c r="J33" s="116" t="str">
        <f>_xlfn.LET(_xlpm.itemName,_xlfn.XLOOKUP(A33,'1C'!A:A,'1C'!D:D,"",0),IFERROR(MID(_xlpm.itemName,FIND(" ",_xlpm.itemName)+1,FIND("арт.",_xlpm.itemName)-(FIND(" ",_xlpm.itemName)+2)),""))</f>
        <v>FLEXFIT</v>
      </c>
      <c r="K33" s="120" t="s">
        <v>1284</v>
      </c>
      <c r="L33" s="147" t="str">
        <f>IF(K33&lt;&gt;"",IFERROR(VLOOKUP(A33,'1C'!A:X,8,0),IFERROR(VLOOKUP(K33,Colors!D:E,2,0),"")),"")</f>
        <v>темно-синий</v>
      </c>
      <c r="M33" s="114" t="str">
        <f>IF(K33&lt;&gt;"",_xlfn.XLOOKUP(A33,'1C'!A:A,'1C'!R:R,"",0),"")</f>
        <v>синий</v>
      </c>
      <c r="N33" s="136"/>
      <c r="O33" s="136"/>
      <c r="P33" s="136"/>
      <c r="Q33" s="144" t="str">
        <f>IF(A33&lt;&gt;"",_xlfn.XLOOKUP(A33,'1C'!A:A,'1C'!I:I,_xlfn.XLOOKUP(C33,'1C'!W:W,'1C'!I:I,"",0),0),"")</f>
        <v>60% хлопок - 40% полиэстер</v>
      </c>
      <c r="R33" s="136"/>
      <c r="S33" s="114" t="str">
        <f>_xlfn.LET(_xlpm.RES,IF(A33&lt;&gt;"",_xlfn.XLOOKUP(A33,'1C'!A:A,'1C'!N:N,_xlfn.XLOOKUP(C33,'1C'!W:W,'1C'!N:N,"",0),0),""),IF(_xlpm.RES=0,"",_xlpm.RES))</f>
        <v>хлопковые</v>
      </c>
      <c r="T33" s="107"/>
      <c r="U33" s="116" t="str">
        <f>IF(A33&lt;&gt;"",_xlfn.XLOOKUP(A33,'1C'!A:A,'1C'!K:K,_xlfn.XLOOKUP(C33,'1C'!W:W,'1C'!K:K,"",0),0),"")</f>
        <v>Унисекс</v>
      </c>
      <c r="V33" s="107">
        <v>11</v>
      </c>
      <c r="Y33" s="107"/>
      <c r="AA33" s="107"/>
      <c r="AC33" s="107"/>
      <c r="AE33" s="107"/>
      <c r="AG33" s="107"/>
      <c r="AT33" s="114">
        <f>IF(COUNTBLANK(V33:AS33)&lt;24,SUM(V33:AS33),"")</f>
        <v>11</v>
      </c>
      <c r="AU33" s="145" t="str">
        <f>IF(A33&lt;&gt;"",_xlfn.XLOOKUP(_xlfn.XLOOKUP(A33,'1C'!A:A,'1C'!O:O,_xlfn.XLOOKUP(C33,'1C'!W:W,'1C'!O:O,"",0),0),Settings!N:N,Settings!O:O,"",0),"")</f>
        <v>BD</v>
      </c>
      <c r="AV33" s="114" t="str">
        <f ca="1">IF(AU33&lt;&gt;"",VLOOKUP(AU33,INDIRECT(SUBSTITUTE(IF(ISNUMBER(IFERROR(VALUE(LEFT(J33,1)),FALSE)),"_"&amp;J33,J33)," ","")&amp;"Manufactures"),3,0),"Требуется код страны")</f>
        <v>YupoongInc; 174, Gurodong-ro, Guro-gu, 08285 Seoul, South Korea</v>
      </c>
      <c r="AW33" s="112" t="str">
        <f ca="1">IF(AU33&lt;&gt;"",VLOOKUP(AU33,INDIRECT(SUBSTITUTE(IF(ISNUMBER(IFERROR(VALUE(LEFT(J33,1)),FALSE)),"_"&amp;J33,J33)," ","")&amp;"Manufactures"),2,0),"Требуется код страны")</f>
        <v>Бангладеш</v>
      </c>
      <c r="AX33" s="117">
        <f>0.05+0.05</f>
        <v>0.1</v>
      </c>
      <c r="AY33" s="112">
        <f>IF(AX33&lt;&gt;"",AX33*1.5,"Требуется нетто")</f>
        <v>0.15000000000000002</v>
      </c>
      <c r="AZ33" s="112">
        <f>+IF(AX33&lt;&gt;"",IFERROR(AT33*AX33,"Требуются кол-во и нетто"),"Требуются кол-во и нетто")</f>
        <v>1.1000000000000001</v>
      </c>
      <c r="BA33" s="112">
        <f>IF(AY33&lt;&gt;"",IFERROR(AT33*AY33,"Требуются кол-во и брутто"),"Требуются кол-во и брутто")</f>
        <v>1.6500000000000004</v>
      </c>
      <c r="BB33" s="118">
        <v>541</v>
      </c>
      <c r="BC33" s="143">
        <f>+IF(BB33&lt;&gt;0,IFERROR(AT33*BB33,"Требуются кол-во и цена"),"Требуются кол-во и цена")</f>
        <v>5951</v>
      </c>
      <c r="BD33" s="105">
        <f>IF(A33&lt;&gt;"",IF(_xlfn.XLOOKUP(A33,'1C'!A:A,'1C'!A:A,0,0)&gt;0,1,0),"")</f>
        <v>1</v>
      </c>
      <c r="BE33" s="105">
        <f>IF(C33&lt;&gt;"",IF(_xlfn.XLOOKUP(TEXT(C33,"###"),'1C'!W:W,'1C'!D:D,0,0)&gt;0,0,1),"")</f>
        <v>0</v>
      </c>
      <c r="BF33" s="109">
        <f>IFERROR(IF(BE33,"-",IFERROR(IF(BD33&gt;0,0,1),"")),"")</f>
        <v>0</v>
      </c>
    </row>
    <row r="34" spans="1:58" ht="98.1" customHeight="1">
      <c r="A34" s="112" t="str">
        <f>IF(C34&amp;K34&lt;&gt;"",C34&amp;K34,"")</f>
        <v>6005FFRED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94-003-18</v>
      </c>
      <c r="C34" s="121" t="s">
        <v>1126</v>
      </c>
      <c r="E34" s="112" t="str">
        <f>IF(F34&lt;&gt;"",IFERROR(VLOOKUP(F34,Категории!A:B,2,0),""),"Требуется категория")</f>
        <v>Бейсболки</v>
      </c>
      <c r="F34" s="112" t="str">
        <f>IF(A34&lt;&gt;"",IF(BD34&gt;0,_xlfn.XLOOKUP(A34,'1C'!A:A,'1C'!J:J,"",0),_xlfn.XLOOKUP(C34,'1C'!W:W,'1C'!J:J,"",0)),"")</f>
        <v>Бейсболка с прямым козырьком</v>
      </c>
      <c r="G34" s="114" t="str">
        <f>IF(C34&lt;&gt;"",IF(BD34&gt;0,_xlfn.XLOOKUP(A34,'1C'!A:A,'1C'!L:L,"",0),_xlfn.XLOOKUP(C34,'1C'!W:W,'1C'!L:L,"",0)),"")</f>
        <v>Flexfit</v>
      </c>
      <c r="H34" s="112" t="str">
        <f>IF(A34&lt;&gt;"",_xlfn.XLOOKUP(A34,'1C'!A:A,'1C'!M:M,_xlfn.XLOOKUP(C34,'1C'!W:W,'1C'!M:M,"",0),0),"")</f>
        <v>всесезон</v>
      </c>
      <c r="J34" s="116" t="str">
        <f>_xlfn.LET(_xlpm.itemName,_xlfn.XLOOKUP(A34,'1C'!A:A,'1C'!D:D,"",0),IFERROR(MID(_xlpm.itemName,FIND(" ",_xlpm.itemName)+1,FIND("арт.",_xlpm.itemName)-(FIND(" ",_xlpm.itemName)+2)),""))</f>
        <v>FLEXFIT</v>
      </c>
      <c r="K34" s="120" t="s">
        <v>1292</v>
      </c>
      <c r="L34" s="147" t="str">
        <f>IF(K34&lt;&gt;"",IFERROR(VLOOKUP(A34,'1C'!A:X,8,0),IFERROR(VLOOKUP(K34,Colors!D:E,2,0),"")),"")</f>
        <v>красный</v>
      </c>
      <c r="M34" s="114" t="str">
        <f>IF(K34&lt;&gt;"",_xlfn.XLOOKUP(A34,'1C'!A:A,'1C'!R:R,"",0),"")</f>
        <v>красный</v>
      </c>
      <c r="N34" s="136"/>
      <c r="O34" s="136"/>
      <c r="P34" s="136"/>
      <c r="Q34" s="144" t="str">
        <f>IF(A34&lt;&gt;"",_xlfn.XLOOKUP(A34,'1C'!A:A,'1C'!I:I,_xlfn.XLOOKUP(C34,'1C'!W:W,'1C'!I:I,"",0),0),"")</f>
        <v>60% хлопок - 40% полиэстер</v>
      </c>
      <c r="R34" s="136"/>
      <c r="S34" s="114" t="str">
        <f>_xlfn.LET(_xlpm.RES,IF(A34&lt;&gt;"",_xlfn.XLOOKUP(A34,'1C'!A:A,'1C'!N:N,_xlfn.XLOOKUP(C34,'1C'!W:W,'1C'!N:N,"",0),0),""),IF(_xlpm.RES=0,"",_xlpm.RES))</f>
        <v>хлопковые</v>
      </c>
      <c r="T34" s="107"/>
      <c r="U34" s="116" t="str">
        <f>IF(A34&lt;&gt;"",_xlfn.XLOOKUP(A34,'1C'!A:A,'1C'!K:K,_xlfn.XLOOKUP(C34,'1C'!W:W,'1C'!K:K,"",0),0),"")</f>
        <v>Унисекс</v>
      </c>
      <c r="V34" s="107">
        <v>4</v>
      </c>
      <c r="Y34" s="107"/>
      <c r="AA34" s="107"/>
      <c r="AC34" s="107"/>
      <c r="AE34" s="107"/>
      <c r="AG34" s="107"/>
      <c r="AT34" s="114">
        <f>IF(COUNTBLANK(V34:AS34)&lt;24,SUM(V34:AS34),"")</f>
        <v>4</v>
      </c>
      <c r="AU34" s="145" t="str">
        <f>IF(A34&lt;&gt;"",_xlfn.XLOOKUP(_xlfn.XLOOKUP(A34,'1C'!A:A,'1C'!O:O,_xlfn.XLOOKUP(C34,'1C'!W:W,'1C'!O:O,"",0),0),Settings!N:N,Settings!O:O,"",0),"")</f>
        <v>BD</v>
      </c>
      <c r="AV34" s="114" t="str">
        <f ca="1">IF(AU34&lt;&gt;"",VLOOKUP(AU34,INDIRECT(SUBSTITUTE(IF(ISNUMBER(IFERROR(VALUE(LEFT(J34,1)),FALSE)),"_"&amp;J34,J34)," ","")&amp;"Manufactures"),3,0),"Требуется код страны")</f>
        <v>YupoongInc; 174, Gurodong-ro, Guro-gu, 08285 Seoul, South Korea</v>
      </c>
      <c r="AW34" s="112" t="str">
        <f ca="1">IF(AU34&lt;&gt;"",VLOOKUP(AU34,INDIRECT(SUBSTITUTE(IF(ISNUMBER(IFERROR(VALUE(LEFT(J34,1)),FALSE)),"_"&amp;J34,J34)," ","")&amp;"Manufactures"),2,0),"Требуется код страны")</f>
        <v>Бангладеш</v>
      </c>
      <c r="AX34" s="117">
        <f>0.05+0.05</f>
        <v>0.1</v>
      </c>
      <c r="AY34" s="112">
        <f>IF(AX34&lt;&gt;"",AX34*1.5,"Требуется нетто")</f>
        <v>0.15000000000000002</v>
      </c>
      <c r="AZ34" s="112">
        <f>+IF(AX34&lt;&gt;"",IFERROR(AT34*AX34,"Требуются кол-во и нетто"),"Требуются кол-во и нетто")</f>
        <v>0.4</v>
      </c>
      <c r="BA34" s="112">
        <f>IF(AY34&lt;&gt;"",IFERROR(AT34*AY34,"Требуются кол-во и брутто"),"Требуются кол-во и брутто")</f>
        <v>0.60000000000000009</v>
      </c>
      <c r="BB34" s="118">
        <v>541</v>
      </c>
      <c r="BC34" s="143">
        <f>+IF(BB34&lt;&gt;0,IFERROR(AT34*BB34,"Требуются кол-во и цена"),"Требуются кол-во и цена")</f>
        <v>2164</v>
      </c>
      <c r="BD34" s="105">
        <f>IF(A34&lt;&gt;"",IF(_xlfn.XLOOKUP(A34,'1C'!A:A,'1C'!A:A,0,0)&gt;0,1,0),"")</f>
        <v>1</v>
      </c>
      <c r="BE34" s="105">
        <f>IF(C34&lt;&gt;"",IF(_xlfn.XLOOKUP(TEXT(C34,"###"),'1C'!W:W,'1C'!D:D,0,0)&gt;0,0,1),"")</f>
        <v>0</v>
      </c>
      <c r="BF34" s="109">
        <f>IFERROR(IF(BE34,"-",IFERROR(IF(BD34&gt;0,0,1),"")),"")</f>
        <v>0</v>
      </c>
    </row>
    <row r="35" spans="1:58" ht="98.1" customHeight="1">
      <c r="A35" s="112" t="str">
        <f>IF(C35&amp;K35&lt;&gt;"",C35&amp;K35,"")</f>
        <v>6005FFROYAL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94-003-06</v>
      </c>
      <c r="C35" s="121" t="s">
        <v>1126</v>
      </c>
      <c r="E35" s="112" t="str">
        <f>IF(F35&lt;&gt;"",IFERROR(VLOOKUP(F35,Категории!A:B,2,0),""),"Требуется категория")</f>
        <v>Бейсболки</v>
      </c>
      <c r="F35" s="112" t="str">
        <f>IF(A35&lt;&gt;"",IF(BD35&gt;0,_xlfn.XLOOKUP(A35,'1C'!A:A,'1C'!J:J,"",0),_xlfn.XLOOKUP(C35,'1C'!W:W,'1C'!J:J,"",0)),"")</f>
        <v>Бейсболка с прямым козырьком</v>
      </c>
      <c r="G35" s="114" t="str">
        <f>IF(C35&lt;&gt;"",IF(BD35&gt;0,_xlfn.XLOOKUP(A35,'1C'!A:A,'1C'!L:L,"",0),_xlfn.XLOOKUP(C35,'1C'!W:W,'1C'!L:L,"",0)),"")</f>
        <v>Flexfit</v>
      </c>
      <c r="H35" s="112" t="str">
        <f>IF(A35&lt;&gt;"",_xlfn.XLOOKUP(A35,'1C'!A:A,'1C'!M:M,_xlfn.XLOOKUP(C35,'1C'!W:W,'1C'!M:M,"",0),0),"")</f>
        <v>всесезон</v>
      </c>
      <c r="J35" s="116" t="str">
        <f>_xlfn.LET(_xlpm.itemName,_xlfn.XLOOKUP(A35,'1C'!A:A,'1C'!D:D,"",0),IFERROR(MID(_xlpm.itemName,FIND(" ",_xlpm.itemName)+1,FIND("арт.",_xlpm.itemName)-(FIND(" ",_xlpm.itemName)+2)),""))</f>
        <v>FLEXFIT</v>
      </c>
      <c r="K35" s="120" t="s">
        <v>1302</v>
      </c>
      <c r="L35" s="147" t="str">
        <f>IF(K35&lt;&gt;"",IFERROR(VLOOKUP(A35,'1C'!A:X,8,0),IFERROR(VLOOKUP(K35,Colors!D:E,2,0),"")),"")</f>
        <v>синий</v>
      </c>
      <c r="M35" s="114" t="str">
        <f>IF(K35&lt;&gt;"",_xlfn.XLOOKUP(A35,'1C'!A:A,'1C'!R:R,"",0),"")</f>
        <v>синий</v>
      </c>
      <c r="N35" s="136"/>
      <c r="O35" s="136"/>
      <c r="P35" s="136"/>
      <c r="Q35" s="144" t="str">
        <f>IF(A35&lt;&gt;"",_xlfn.XLOOKUP(A35,'1C'!A:A,'1C'!I:I,_xlfn.XLOOKUP(C35,'1C'!W:W,'1C'!I:I,"",0),0),"")</f>
        <v>60% хлопок - 40% полиэстер</v>
      </c>
      <c r="R35" s="136"/>
      <c r="S35" s="114" t="str">
        <f>_xlfn.LET(_xlpm.RES,IF(A35&lt;&gt;"",_xlfn.XLOOKUP(A35,'1C'!A:A,'1C'!N:N,_xlfn.XLOOKUP(C35,'1C'!W:W,'1C'!N:N,"",0),0),""),IF(_xlpm.RES=0,"",_xlpm.RES))</f>
        <v>хлопковые</v>
      </c>
      <c r="T35" s="107"/>
      <c r="U35" s="116" t="str">
        <f>IF(A35&lt;&gt;"",_xlfn.XLOOKUP(A35,'1C'!A:A,'1C'!K:K,_xlfn.XLOOKUP(C35,'1C'!W:W,'1C'!K:K,"",0),0),"")</f>
        <v>Унисекс</v>
      </c>
      <c r="V35" s="107">
        <v>6</v>
      </c>
      <c r="Y35" s="107"/>
      <c r="AA35" s="107"/>
      <c r="AC35" s="107"/>
      <c r="AE35" s="107"/>
      <c r="AG35" s="107"/>
      <c r="AT35" s="114">
        <f>IF(COUNTBLANK(V35:AS35)&lt;24,SUM(V35:AS35),"")</f>
        <v>6</v>
      </c>
      <c r="AU35" s="145" t="str">
        <f>IF(A35&lt;&gt;"",_xlfn.XLOOKUP(_xlfn.XLOOKUP(A35,'1C'!A:A,'1C'!O:O,_xlfn.XLOOKUP(C35,'1C'!W:W,'1C'!O:O,"",0),0),Settings!N:N,Settings!O:O,"",0),"")</f>
        <v>BD</v>
      </c>
      <c r="AV35" s="114" t="str">
        <f ca="1">IF(AU35&lt;&gt;"",VLOOKUP(AU35,INDIRECT(SUBSTITUTE(IF(ISNUMBER(IFERROR(VALUE(LEFT(J35,1)),FALSE)),"_"&amp;J35,J35)," ","")&amp;"Manufactures"),3,0),"Требуется код страны")</f>
        <v>YupoongInc; 174, Gurodong-ro, Guro-gu, 08285 Seoul, South Korea</v>
      </c>
      <c r="AW35" s="112" t="str">
        <f ca="1">IF(AU35&lt;&gt;"",VLOOKUP(AU35,INDIRECT(SUBSTITUTE(IF(ISNUMBER(IFERROR(VALUE(LEFT(J35,1)),FALSE)),"_"&amp;J35,J35)," ","")&amp;"Manufactures"),2,0),"Требуется код страны")</f>
        <v>Бангладеш</v>
      </c>
      <c r="AX35" s="117">
        <f>0.05+0.05</f>
        <v>0.1</v>
      </c>
      <c r="AY35" s="112">
        <f>IF(AX35&lt;&gt;"",AX35*1.5,"Требуется нетто")</f>
        <v>0.15000000000000002</v>
      </c>
      <c r="AZ35" s="112">
        <f>+IF(AX35&lt;&gt;"",IFERROR(AT35*AX35,"Требуются кол-во и нетто"),"Требуются кол-во и нетто")</f>
        <v>0.60000000000000009</v>
      </c>
      <c r="BA35" s="112">
        <f>IF(AY35&lt;&gt;"",IFERROR(AT35*AY35,"Требуются кол-во и брутто"),"Требуются кол-во и брутто")</f>
        <v>0.90000000000000013</v>
      </c>
      <c r="BB35" s="118">
        <v>541</v>
      </c>
      <c r="BC35" s="143">
        <f>+IF(BB35&lt;&gt;0,IFERROR(AT35*BB35,"Требуются кол-во и цена"),"Требуются кол-во и цена")</f>
        <v>3246</v>
      </c>
      <c r="BD35" s="105">
        <f>IF(A35&lt;&gt;"",IF(_xlfn.XLOOKUP(A35,'1C'!A:A,'1C'!A:A,0,0)&gt;0,1,0),"")</f>
        <v>1</v>
      </c>
      <c r="BE35" s="105">
        <f>IF(C35&lt;&gt;"",IF(_xlfn.XLOOKUP(TEXT(C35,"###"),'1C'!W:W,'1C'!D:D,0,0)&gt;0,0,1),"")</f>
        <v>0</v>
      </c>
      <c r="BF35" s="109">
        <f>IFERROR(IF(BE35,"-",IFERROR(IF(BD35&gt;0,0,1),"")),"")</f>
        <v>0</v>
      </c>
    </row>
    <row r="36" spans="1:58" ht="98.1" customHeight="1">
      <c r="C36" s="121" t="s">
        <v>47</v>
      </c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1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1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1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1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1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1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1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1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1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1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1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1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4" t="s">
        <v>466</v>
      </c>
      <c r="C5" s="154"/>
      <c r="D5" s="15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5"/>
      <c r="C6" s="156"/>
      <c r="D6" s="156"/>
      <c r="E6" s="15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1" t="s">
        <v>543</v>
      </c>
      <c r="C8" s="152"/>
      <c r="D8" s="152"/>
      <c r="E8" s="15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8" t="s">
        <v>572</v>
      </c>
      <c r="C9" s="159"/>
      <c r="D9" s="16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8"/>
      <c r="C17" s="149"/>
      <c r="D17" s="149"/>
      <c r="E17" s="15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B33" sqref="B33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621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36" activePane="bottomLeft" state="frozen"/>
      <selection pane="bottomLeft" activeCell="A53" sqref="A53:XFD53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23" style="72" bestFit="1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1" t="s">
        <v>368</v>
      </c>
      <c r="F1" s="142" t="s">
        <v>369</v>
      </c>
      <c r="G1" s="146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94</v>
      </c>
      <c r="AD1" s="54"/>
      <c r="AE1" s="54" t="str">
        <f>RIGHT(TEXT(MAX(AE2:AE10000),"###"),3)</f>
        <v>028</v>
      </c>
      <c r="AF1" s="55" t="str">
        <f>RIGHT("000"&amp;AC1,2)&amp;"-"&amp;RIGHT("000"&amp;AE1,3)</f>
        <v>94-028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94-029-</v>
      </c>
      <c r="AI1" s="57" t="s">
        <v>582</v>
      </c>
      <c r="AJ1" s="97" t="s">
        <v>913</v>
      </c>
      <c r="AK1" s="57" t="s">
        <v>852</v>
      </c>
      <c r="AL1" s="98">
        <v>0</v>
      </c>
    </row>
    <row r="2" spans="1:38">
      <c r="A2" s="60" t="str">
        <f>IF(G2&amp;Q2&lt;&gt;"",W2&amp;Q2,"")</f>
        <v>1501Pred</v>
      </c>
      <c r="B2" s="60" t="str">
        <f>IF(C2&lt;&gt;"",LEFT(C2,9),"")</f>
        <v>94-018-18</v>
      </c>
      <c r="C2" s="72" t="s">
        <v>914</v>
      </c>
      <c r="D2" s="72" t="s">
        <v>915</v>
      </c>
      <c r="E2" s="72" t="s">
        <v>909</v>
      </c>
      <c r="F2" s="73">
        <v>0</v>
      </c>
      <c r="G2" s="73" t="s">
        <v>916</v>
      </c>
      <c r="H2" s="72" t="s">
        <v>78</v>
      </c>
      <c r="I2" s="72" t="s">
        <v>917</v>
      </c>
      <c r="J2" s="72" t="s">
        <v>342</v>
      </c>
      <c r="K2" s="72" t="s">
        <v>382</v>
      </c>
      <c r="L2" s="72" t="s">
        <v>918</v>
      </c>
      <c r="M2" s="72" t="s">
        <v>388</v>
      </c>
      <c r="N2" s="72" t="s">
        <v>46</v>
      </c>
      <c r="O2" s="72" t="s">
        <v>541</v>
      </c>
      <c r="P2" s="72" t="s">
        <v>919</v>
      </c>
      <c r="Q2" s="72" t="s">
        <v>920</v>
      </c>
      <c r="R2" s="72" t="s">
        <v>78</v>
      </c>
      <c r="V2" s="60" t="str">
        <f>W2&amp;H2</f>
        <v>1501Pкрасный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60" t="str">
        <f>IF(A2&lt;&gt;"",IFERROR(IF(FIND(" ",G2)&gt;=1,MID(G2,FIND(" ",G2)+1,LEN(G2)),""),""),"")</f>
        <v/>
      </c>
      <c r="AC2" s="51">
        <f>IFERROR(VALUE(MID($C2,1,2)),0)</f>
        <v>94</v>
      </c>
      <c r="AD2" s="44">
        <f t="shared" ref="AD2:AD66" si="1">IFERROR(VALUE(MID($C2,4,3)),0)</f>
        <v>18</v>
      </c>
      <c r="AE2" s="51">
        <f>VALUE(RIGHT("00"&amp;AC2,2)&amp;RIGHT("000"&amp;AD2,3))</f>
        <v>94018</v>
      </c>
    </row>
    <row r="3" spans="1:38">
      <c r="A3" s="60" t="str">
        <f t="shared" ref="A3:A66" si="2">IF(G3&amp;Q3&lt;&gt;"",W3&amp;Q3,"")</f>
        <v>1501Pnavy</v>
      </c>
      <c r="B3" s="60" t="str">
        <f t="shared" ref="B3:B66" si="3">IF(C3&lt;&gt;"",LEFT(C3,9),"")</f>
        <v>94-018-16</v>
      </c>
      <c r="C3" s="72" t="s">
        <v>921</v>
      </c>
      <c r="D3" s="72" t="s">
        <v>922</v>
      </c>
      <c r="E3" s="72" t="s">
        <v>909</v>
      </c>
      <c r="F3" s="73">
        <v>0</v>
      </c>
      <c r="G3" s="73" t="s">
        <v>916</v>
      </c>
      <c r="H3" s="72" t="s">
        <v>55</v>
      </c>
      <c r="I3" s="72" t="s">
        <v>917</v>
      </c>
      <c r="J3" s="72" t="s">
        <v>342</v>
      </c>
      <c r="K3" s="72" t="s">
        <v>382</v>
      </c>
      <c r="L3" s="72" t="s">
        <v>918</v>
      </c>
      <c r="M3" s="72" t="s">
        <v>388</v>
      </c>
      <c r="N3" s="72" t="s">
        <v>46</v>
      </c>
      <c r="O3" s="72" t="s">
        <v>541</v>
      </c>
      <c r="P3" s="72" t="s">
        <v>919</v>
      </c>
      <c r="Q3" s="72" t="s">
        <v>923</v>
      </c>
      <c r="R3" s="72" t="s">
        <v>71</v>
      </c>
      <c r="V3" s="60" t="str">
        <f t="shared" ref="V3:V66" si="4">W3&amp;H3</f>
        <v>1501Pтемно-синий</v>
      </c>
      <c r="W3" s="60" t="str">
        <f t="shared" si="0"/>
        <v>1501P</v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94</v>
      </c>
      <c r="AD3" s="44">
        <f t="shared" si="1"/>
        <v>18</v>
      </c>
      <c r="AE3" s="51">
        <f t="shared" ref="AE3:AE66" si="7">VALUE(RIGHT("00"&amp;AC3,2)&amp;RIGHT("000"&amp;AD3,3))</f>
        <v>94018</v>
      </c>
    </row>
    <row r="4" spans="1:38">
      <c r="A4" s="60" t="str">
        <f t="shared" si="2"/>
        <v>1501Pblack</v>
      </c>
      <c r="B4" s="60" t="str">
        <f t="shared" si="3"/>
        <v>94-018-09</v>
      </c>
      <c r="C4" s="72" t="s">
        <v>924</v>
      </c>
      <c r="D4" s="72" t="s">
        <v>925</v>
      </c>
      <c r="E4" s="72" t="s">
        <v>909</v>
      </c>
      <c r="F4" s="73">
        <v>0</v>
      </c>
      <c r="G4" s="73" t="s">
        <v>916</v>
      </c>
      <c r="H4" s="72" t="s">
        <v>53</v>
      </c>
      <c r="I4" s="72" t="s">
        <v>917</v>
      </c>
      <c r="J4" s="72" t="s">
        <v>342</v>
      </c>
      <c r="K4" s="72" t="s">
        <v>382</v>
      </c>
      <c r="L4" s="72" t="s">
        <v>918</v>
      </c>
      <c r="M4" s="72" t="s">
        <v>388</v>
      </c>
      <c r="N4" s="72" t="s">
        <v>46</v>
      </c>
      <c r="O4" s="72" t="s">
        <v>541</v>
      </c>
      <c r="P4" s="72" t="s">
        <v>919</v>
      </c>
      <c r="Q4" s="72" t="s">
        <v>926</v>
      </c>
      <c r="R4" s="72" t="s">
        <v>53</v>
      </c>
      <c r="V4" s="60" t="str">
        <f t="shared" si="4"/>
        <v>1501Pчерный</v>
      </c>
      <c r="W4" s="60" t="str">
        <f t="shared" si="0"/>
        <v>1501P</v>
      </c>
      <c r="X4" s="60" t="str">
        <f t="shared" si="5"/>
        <v/>
      </c>
      <c r="AC4" s="51">
        <f t="shared" si="6"/>
        <v>94</v>
      </c>
      <c r="AD4" s="44">
        <f t="shared" si="1"/>
        <v>18</v>
      </c>
      <c r="AE4" s="51">
        <f t="shared" si="7"/>
        <v>94018</v>
      </c>
    </row>
    <row r="5" spans="1:38">
      <c r="A5" s="60" t="str">
        <f t="shared" si="2"/>
        <v>1501Proyal</v>
      </c>
      <c r="B5" s="60" t="str">
        <f t="shared" si="3"/>
        <v>94-018-06</v>
      </c>
      <c r="C5" s="72" t="s">
        <v>927</v>
      </c>
      <c r="D5" s="72" t="s">
        <v>928</v>
      </c>
      <c r="E5" s="72" t="s">
        <v>909</v>
      </c>
      <c r="F5" s="73">
        <v>0</v>
      </c>
      <c r="G5" s="73" t="s">
        <v>916</v>
      </c>
      <c r="H5" s="72" t="s">
        <v>71</v>
      </c>
      <c r="I5" s="72" t="s">
        <v>917</v>
      </c>
      <c r="J5" s="72" t="s">
        <v>342</v>
      </c>
      <c r="K5" s="72" t="s">
        <v>382</v>
      </c>
      <c r="L5" s="72" t="s">
        <v>918</v>
      </c>
      <c r="M5" s="72" t="s">
        <v>388</v>
      </c>
      <c r="N5" s="72" t="s">
        <v>46</v>
      </c>
      <c r="O5" s="72" t="s">
        <v>541</v>
      </c>
      <c r="P5" s="72" t="s">
        <v>919</v>
      </c>
      <c r="Q5" s="72" t="s">
        <v>929</v>
      </c>
      <c r="R5" s="72" t="s">
        <v>71</v>
      </c>
      <c r="V5" s="60" t="str">
        <f t="shared" si="4"/>
        <v>1501Pсиний</v>
      </c>
      <c r="W5" s="60" t="str">
        <f t="shared" si="0"/>
        <v>1501P</v>
      </c>
      <c r="X5" s="60" t="str">
        <f t="shared" si="5"/>
        <v/>
      </c>
      <c r="AC5" s="51">
        <f t="shared" si="6"/>
        <v>94</v>
      </c>
      <c r="AD5" s="44">
        <f t="shared" si="1"/>
        <v>18</v>
      </c>
      <c r="AE5" s="51">
        <f t="shared" si="7"/>
        <v>94018</v>
      </c>
    </row>
    <row r="6" spans="1:38">
      <c r="A6" s="60" t="str">
        <f t="shared" si="2"/>
        <v>1501Pdark grey</v>
      </c>
      <c r="B6" s="60" t="str">
        <f t="shared" si="3"/>
        <v>94-018-05</v>
      </c>
      <c r="C6" s="72" t="s">
        <v>930</v>
      </c>
      <c r="D6" s="72" t="s">
        <v>931</v>
      </c>
      <c r="E6" s="72" t="s">
        <v>909</v>
      </c>
      <c r="F6" s="73">
        <v>0</v>
      </c>
      <c r="G6" s="73" t="s">
        <v>916</v>
      </c>
      <c r="H6" s="72" t="s">
        <v>277</v>
      </c>
      <c r="I6" s="72" t="s">
        <v>917</v>
      </c>
      <c r="J6" s="72" t="s">
        <v>342</v>
      </c>
      <c r="K6" s="72" t="s">
        <v>382</v>
      </c>
      <c r="L6" s="72" t="s">
        <v>918</v>
      </c>
      <c r="M6" s="72" t="s">
        <v>388</v>
      </c>
      <c r="N6" s="72" t="s">
        <v>46</v>
      </c>
      <c r="O6" s="72" t="s">
        <v>541</v>
      </c>
      <c r="P6" s="72" t="s">
        <v>919</v>
      </c>
      <c r="Q6" s="72" t="s">
        <v>932</v>
      </c>
      <c r="R6" s="72" t="s">
        <v>83</v>
      </c>
      <c r="V6" s="60" t="str">
        <f t="shared" si="4"/>
        <v>1501Pтемно-серый</v>
      </c>
      <c r="W6" s="60" t="str">
        <f t="shared" si="0"/>
        <v>1501P</v>
      </c>
      <c r="X6" s="60" t="str">
        <f t="shared" si="5"/>
        <v/>
      </c>
      <c r="AC6" s="51">
        <f t="shared" si="6"/>
        <v>94</v>
      </c>
      <c r="AD6" s="44">
        <f t="shared" si="1"/>
        <v>18</v>
      </c>
      <c r="AE6" s="51">
        <f t="shared" si="7"/>
        <v>94018</v>
      </c>
    </row>
    <row r="7" spans="1:38">
      <c r="A7" s="60" t="str">
        <f t="shared" si="2"/>
        <v>1501Pheather grey</v>
      </c>
      <c r="B7" s="60" t="str">
        <f t="shared" si="3"/>
        <v>94-018-01</v>
      </c>
      <c r="C7" s="72" t="s">
        <v>933</v>
      </c>
      <c r="D7" s="72" t="s">
        <v>934</v>
      </c>
      <c r="E7" s="72" t="s">
        <v>909</v>
      </c>
      <c r="F7" s="73">
        <v>0</v>
      </c>
      <c r="G7" s="73" t="s">
        <v>916</v>
      </c>
      <c r="H7" s="72" t="s">
        <v>231</v>
      </c>
      <c r="I7" s="72" t="s">
        <v>917</v>
      </c>
      <c r="J7" s="72" t="s">
        <v>342</v>
      </c>
      <c r="K7" s="72" t="s">
        <v>382</v>
      </c>
      <c r="L7" s="72" t="s">
        <v>918</v>
      </c>
      <c r="M7" s="72" t="s">
        <v>388</v>
      </c>
      <c r="N7" s="72" t="s">
        <v>46</v>
      </c>
      <c r="O7" s="72" t="s">
        <v>541</v>
      </c>
      <c r="P7" s="72" t="s">
        <v>919</v>
      </c>
      <c r="Q7" s="72" t="s">
        <v>935</v>
      </c>
      <c r="R7" s="72" t="s">
        <v>83</v>
      </c>
      <c r="V7" s="60" t="str">
        <f t="shared" si="4"/>
        <v>1501Pсветло-серый</v>
      </c>
      <c r="W7" s="60" t="str">
        <f t="shared" si="0"/>
        <v>1501P</v>
      </c>
      <c r="X7" s="60" t="str">
        <f t="shared" si="5"/>
        <v/>
      </c>
      <c r="AC7" s="51">
        <f t="shared" si="6"/>
        <v>94</v>
      </c>
      <c r="AD7" s="44">
        <f t="shared" si="1"/>
        <v>18</v>
      </c>
      <c r="AE7" s="51">
        <f t="shared" si="7"/>
        <v>94018</v>
      </c>
    </row>
    <row r="8" spans="1:38">
      <c r="A8" s="60" t="str">
        <f t="shared" si="2"/>
        <v>1501KCcarolina blue</v>
      </c>
      <c r="B8" s="60" t="str">
        <f t="shared" si="3"/>
        <v>94-017-19</v>
      </c>
      <c r="C8" s="72" t="s">
        <v>936</v>
      </c>
      <c r="D8" s="72" t="s">
        <v>937</v>
      </c>
      <c r="E8" s="72" t="s">
        <v>909</v>
      </c>
      <c r="F8" s="73">
        <v>0</v>
      </c>
      <c r="G8" s="73" t="s">
        <v>938</v>
      </c>
      <c r="H8" s="72" t="s">
        <v>91</v>
      </c>
      <c r="I8" s="72" t="s">
        <v>917</v>
      </c>
      <c r="J8" s="72" t="s">
        <v>340</v>
      </c>
      <c r="K8" s="72" t="s">
        <v>382</v>
      </c>
      <c r="L8" s="72" t="s">
        <v>918</v>
      </c>
      <c r="M8" s="72" t="s">
        <v>388</v>
      </c>
      <c r="N8" s="72" t="s">
        <v>46</v>
      </c>
      <c r="O8" s="72" t="s">
        <v>542</v>
      </c>
      <c r="P8" s="72" t="s">
        <v>919</v>
      </c>
      <c r="Q8" s="72" t="s">
        <v>939</v>
      </c>
      <c r="R8" s="72" t="s">
        <v>91</v>
      </c>
      <c r="V8" s="60" t="str">
        <f t="shared" si="4"/>
        <v>1501KCголубой</v>
      </c>
      <c r="W8" s="60" t="str">
        <f t="shared" si="0"/>
        <v>1501KC</v>
      </c>
      <c r="X8" s="60" t="str">
        <f t="shared" si="5"/>
        <v/>
      </c>
      <c r="AC8" s="51">
        <f t="shared" si="6"/>
        <v>94</v>
      </c>
      <c r="AD8" s="44">
        <f t="shared" si="1"/>
        <v>17</v>
      </c>
      <c r="AE8" s="51">
        <f t="shared" si="7"/>
        <v>94017</v>
      </c>
    </row>
    <row r="9" spans="1:38">
      <c r="A9" s="60" t="str">
        <f t="shared" si="2"/>
        <v>1501KCred</v>
      </c>
      <c r="B9" s="60" t="str">
        <f t="shared" si="3"/>
        <v>94-017-18</v>
      </c>
      <c r="C9" s="72" t="s">
        <v>940</v>
      </c>
      <c r="D9" s="72" t="s">
        <v>941</v>
      </c>
      <c r="E9" s="72" t="s">
        <v>909</v>
      </c>
      <c r="F9" s="73">
        <v>0</v>
      </c>
      <c r="G9" s="73" t="s">
        <v>938</v>
      </c>
      <c r="H9" s="72" t="s">
        <v>78</v>
      </c>
      <c r="I9" s="72" t="s">
        <v>917</v>
      </c>
      <c r="J9" s="72" t="s">
        <v>340</v>
      </c>
      <c r="K9" s="72" t="s">
        <v>382</v>
      </c>
      <c r="L9" s="72" t="s">
        <v>918</v>
      </c>
      <c r="M9" s="72" t="s">
        <v>388</v>
      </c>
      <c r="N9" s="72" t="s">
        <v>46</v>
      </c>
      <c r="O9" s="72" t="s">
        <v>541</v>
      </c>
      <c r="P9" s="72" t="s">
        <v>919</v>
      </c>
      <c r="Q9" s="72" t="s">
        <v>920</v>
      </c>
      <c r="R9" s="72" t="s">
        <v>78</v>
      </c>
      <c r="V9" s="60" t="str">
        <f t="shared" si="4"/>
        <v>1501KCкрасный</v>
      </c>
      <c r="W9" s="60" t="str">
        <f t="shared" si="0"/>
        <v>1501KC</v>
      </c>
      <c r="X9" s="60" t="str">
        <f t="shared" si="5"/>
        <v/>
      </c>
      <c r="AC9" s="51">
        <f t="shared" si="6"/>
        <v>94</v>
      </c>
      <c r="AD9" s="44">
        <f t="shared" si="1"/>
        <v>17</v>
      </c>
      <c r="AE9" s="51">
        <f t="shared" si="7"/>
        <v>94017</v>
      </c>
    </row>
    <row r="10" spans="1:38">
      <c r="A10" s="60" t="str">
        <f t="shared" si="2"/>
        <v>1501KCnavy</v>
      </c>
      <c r="B10" s="60" t="str">
        <f t="shared" si="3"/>
        <v>94-017-16</v>
      </c>
      <c r="C10" s="72" t="s">
        <v>942</v>
      </c>
      <c r="D10" s="72" t="s">
        <v>943</v>
      </c>
      <c r="E10" s="72" t="s">
        <v>909</v>
      </c>
      <c r="F10" s="73">
        <v>0</v>
      </c>
      <c r="G10" s="73" t="s">
        <v>938</v>
      </c>
      <c r="H10" s="72" t="s">
        <v>55</v>
      </c>
      <c r="I10" s="72" t="s">
        <v>917</v>
      </c>
      <c r="J10" s="72" t="s">
        <v>340</v>
      </c>
      <c r="K10" s="72" t="s">
        <v>382</v>
      </c>
      <c r="L10" s="72" t="s">
        <v>918</v>
      </c>
      <c r="M10" s="72" t="s">
        <v>388</v>
      </c>
      <c r="N10" s="72" t="s">
        <v>46</v>
      </c>
      <c r="O10" s="72" t="s">
        <v>541</v>
      </c>
      <c r="P10" s="72" t="s">
        <v>919</v>
      </c>
      <c r="Q10" s="72" t="s">
        <v>923</v>
      </c>
      <c r="R10" s="72" t="s">
        <v>71</v>
      </c>
      <c r="V10" s="60" t="str">
        <f t="shared" si="4"/>
        <v>1501KCтемно-синий</v>
      </c>
      <c r="W10" s="60" t="str">
        <f t="shared" si="0"/>
        <v>1501KC</v>
      </c>
      <c r="X10" s="60" t="str">
        <f t="shared" si="5"/>
        <v/>
      </c>
      <c r="AC10" s="51">
        <f t="shared" si="6"/>
        <v>94</v>
      </c>
      <c r="AD10" s="44">
        <f t="shared" si="1"/>
        <v>17</v>
      </c>
      <c r="AE10" s="51">
        <f t="shared" si="7"/>
        <v>94017</v>
      </c>
    </row>
    <row r="11" spans="1:38">
      <c r="A11" s="60" t="str">
        <f t="shared" si="2"/>
        <v>1501KCcaramel</v>
      </c>
      <c r="B11" s="60" t="str">
        <f t="shared" si="3"/>
        <v>94-017-15</v>
      </c>
      <c r="C11" s="72" t="s">
        <v>944</v>
      </c>
      <c r="D11" s="72" t="s">
        <v>945</v>
      </c>
      <c r="E11" s="72" t="s">
        <v>909</v>
      </c>
      <c r="F11" s="73">
        <v>0</v>
      </c>
      <c r="G11" s="73" t="s">
        <v>938</v>
      </c>
      <c r="H11" s="72" t="s">
        <v>226</v>
      </c>
      <c r="I11" s="72" t="s">
        <v>917</v>
      </c>
      <c r="J11" s="72" t="s">
        <v>340</v>
      </c>
      <c r="K11" s="72" t="s">
        <v>382</v>
      </c>
      <c r="L11" s="72" t="s">
        <v>918</v>
      </c>
      <c r="M11" s="72" t="s">
        <v>388</v>
      </c>
      <c r="N11" s="72" t="s">
        <v>46</v>
      </c>
      <c r="O11" s="72" t="s">
        <v>541</v>
      </c>
      <c r="P11" s="72" t="s">
        <v>919</v>
      </c>
      <c r="Q11" s="72" t="s">
        <v>946</v>
      </c>
      <c r="R11" s="72" t="s">
        <v>86</v>
      </c>
      <c r="V11" s="60" t="str">
        <f t="shared" si="4"/>
        <v>1501KCсветло-коричневый</v>
      </c>
      <c r="W11" s="60" t="str">
        <f t="shared" si="0"/>
        <v>1501KC</v>
      </c>
      <c r="X11" s="60" t="str">
        <f t="shared" si="5"/>
        <v/>
      </c>
      <c r="AC11" s="51">
        <f t="shared" si="6"/>
        <v>94</v>
      </c>
      <c r="AD11" s="44">
        <f t="shared" si="1"/>
        <v>17</v>
      </c>
      <c r="AE11" s="51">
        <f t="shared" si="7"/>
        <v>94017</v>
      </c>
    </row>
    <row r="12" spans="1:38">
      <c r="A12" s="60" t="str">
        <f t="shared" si="2"/>
        <v>1501KCbrown</v>
      </c>
      <c r="B12" s="60" t="str">
        <f t="shared" si="3"/>
        <v>94-017-14</v>
      </c>
      <c r="C12" s="72" t="s">
        <v>947</v>
      </c>
      <c r="D12" s="72" t="s">
        <v>948</v>
      </c>
      <c r="E12" s="72" t="s">
        <v>909</v>
      </c>
      <c r="F12" s="73">
        <v>0</v>
      </c>
      <c r="G12" s="73" t="s">
        <v>938</v>
      </c>
      <c r="H12" s="72" t="s">
        <v>86</v>
      </c>
      <c r="I12" s="72" t="s">
        <v>917</v>
      </c>
      <c r="J12" s="72" t="s">
        <v>340</v>
      </c>
      <c r="K12" s="72" t="s">
        <v>382</v>
      </c>
      <c r="L12" s="72" t="s">
        <v>918</v>
      </c>
      <c r="M12" s="72" t="s">
        <v>388</v>
      </c>
      <c r="N12" s="72" t="s">
        <v>46</v>
      </c>
      <c r="O12" s="72" t="s">
        <v>541</v>
      </c>
      <c r="P12" s="72" t="s">
        <v>919</v>
      </c>
      <c r="Q12" s="72" t="s">
        <v>949</v>
      </c>
      <c r="R12" s="72" t="s">
        <v>86</v>
      </c>
      <c r="V12" s="60" t="str">
        <f t="shared" si="4"/>
        <v>1501KCкоричневый</v>
      </c>
      <c r="W12" s="60" t="str">
        <f t="shared" si="0"/>
        <v>1501KC</v>
      </c>
      <c r="X12" s="60" t="str">
        <f t="shared" si="5"/>
        <v/>
      </c>
      <c r="AC12" s="51">
        <f t="shared" si="6"/>
        <v>94</v>
      </c>
      <c r="AD12" s="44">
        <f t="shared" si="1"/>
        <v>17</v>
      </c>
      <c r="AE12" s="51">
        <f t="shared" si="7"/>
        <v>94017</v>
      </c>
    </row>
    <row r="13" spans="1:38">
      <c r="A13" s="60" t="str">
        <f t="shared" si="2"/>
        <v>1501KCblaze orange</v>
      </c>
      <c r="B13" s="60" t="str">
        <f t="shared" si="3"/>
        <v>94-017-13</v>
      </c>
      <c r="C13" s="72" t="s">
        <v>950</v>
      </c>
      <c r="D13" s="72" t="s">
        <v>951</v>
      </c>
      <c r="E13" s="72" t="s">
        <v>909</v>
      </c>
      <c r="F13" s="73">
        <v>0</v>
      </c>
      <c r="G13" s="73" t="s">
        <v>938</v>
      </c>
      <c r="H13" s="72" t="s">
        <v>199</v>
      </c>
      <c r="I13" s="72" t="s">
        <v>917</v>
      </c>
      <c r="J13" s="72" t="s">
        <v>340</v>
      </c>
      <c r="K13" s="72" t="s">
        <v>382</v>
      </c>
      <c r="L13" s="72" t="s">
        <v>918</v>
      </c>
      <c r="M13" s="72" t="s">
        <v>388</v>
      </c>
      <c r="N13" s="72" t="s">
        <v>46</v>
      </c>
      <c r="O13" s="72" t="s">
        <v>541</v>
      </c>
      <c r="P13" s="72" t="s">
        <v>919</v>
      </c>
      <c r="Q13" s="72" t="s">
        <v>952</v>
      </c>
      <c r="R13" s="72" t="s">
        <v>199</v>
      </c>
      <c r="V13" s="60" t="str">
        <f t="shared" si="4"/>
        <v>1501KCоранжевый</v>
      </c>
      <c r="W13" s="60" t="str">
        <f t="shared" si="0"/>
        <v>1501KC</v>
      </c>
      <c r="X13" s="60" t="str">
        <f t="shared" si="5"/>
        <v/>
      </c>
      <c r="AC13" s="51">
        <f t="shared" si="6"/>
        <v>94</v>
      </c>
      <c r="AD13" s="44">
        <f t="shared" si="1"/>
        <v>17</v>
      </c>
      <c r="AE13" s="51">
        <f t="shared" si="7"/>
        <v>94017</v>
      </c>
    </row>
    <row r="14" spans="1:38">
      <c r="A14" s="60" t="str">
        <f t="shared" si="2"/>
        <v>1501KCmaroon</v>
      </c>
      <c r="B14" s="60" t="str">
        <f t="shared" si="3"/>
        <v>94-017-12</v>
      </c>
      <c r="C14" s="72" t="s">
        <v>953</v>
      </c>
      <c r="D14" s="72" t="s">
        <v>954</v>
      </c>
      <c r="E14" s="72" t="s">
        <v>909</v>
      </c>
      <c r="F14" s="73">
        <v>0</v>
      </c>
      <c r="G14" s="73" t="s">
        <v>938</v>
      </c>
      <c r="H14" s="72" t="s">
        <v>121</v>
      </c>
      <c r="I14" s="72" t="s">
        <v>917</v>
      </c>
      <c r="J14" s="72" t="s">
        <v>340</v>
      </c>
      <c r="K14" s="72" t="s">
        <v>382</v>
      </c>
      <c r="L14" s="72" t="s">
        <v>918</v>
      </c>
      <c r="M14" s="72" t="s">
        <v>388</v>
      </c>
      <c r="N14" s="72" t="s">
        <v>46</v>
      </c>
      <c r="O14" s="72" t="s">
        <v>541</v>
      </c>
      <c r="P14" s="72" t="s">
        <v>919</v>
      </c>
      <c r="Q14" s="72" t="s">
        <v>955</v>
      </c>
      <c r="R14" s="72" t="s">
        <v>121</v>
      </c>
      <c r="V14" s="60" t="str">
        <f t="shared" si="4"/>
        <v>1501KCбордовый</v>
      </c>
      <c r="W14" s="60" t="str">
        <f t="shared" si="0"/>
        <v>1501KC</v>
      </c>
      <c r="X14" s="60" t="str">
        <f t="shared" si="5"/>
        <v/>
      </c>
      <c r="AC14" s="51">
        <f t="shared" si="6"/>
        <v>94</v>
      </c>
      <c r="AD14" s="44">
        <f t="shared" si="1"/>
        <v>17</v>
      </c>
      <c r="AE14" s="51">
        <f t="shared" si="7"/>
        <v>94017</v>
      </c>
    </row>
    <row r="15" spans="1:38">
      <c r="A15" s="60" t="str">
        <f t="shared" si="2"/>
        <v>1501KCspruce</v>
      </c>
      <c r="B15" s="60" t="str">
        <f t="shared" si="3"/>
        <v>94-017-11</v>
      </c>
      <c r="C15" s="72" t="s">
        <v>956</v>
      </c>
      <c r="D15" s="72" t="s">
        <v>957</v>
      </c>
      <c r="E15" s="72" t="s">
        <v>909</v>
      </c>
      <c r="F15" s="73">
        <v>0</v>
      </c>
      <c r="G15" s="73" t="s">
        <v>938</v>
      </c>
      <c r="H15" s="72" t="s">
        <v>60</v>
      </c>
      <c r="I15" s="72" t="s">
        <v>917</v>
      </c>
      <c r="J15" s="72" t="s">
        <v>340</v>
      </c>
      <c r="K15" s="72" t="s">
        <v>382</v>
      </c>
      <c r="L15" s="72" t="s">
        <v>918</v>
      </c>
      <c r="M15" s="72" t="s">
        <v>388</v>
      </c>
      <c r="N15" s="72" t="s">
        <v>46</v>
      </c>
      <c r="O15" s="72" t="s">
        <v>541</v>
      </c>
      <c r="P15" s="72" t="s">
        <v>919</v>
      </c>
      <c r="Q15" s="72" t="s">
        <v>958</v>
      </c>
      <c r="R15" s="72" t="s">
        <v>60</v>
      </c>
      <c r="V15" s="60" t="str">
        <f t="shared" si="4"/>
        <v>1501KCзеленый</v>
      </c>
      <c r="W15" s="60" t="str">
        <f t="shared" si="0"/>
        <v>1501KC</v>
      </c>
      <c r="X15" s="60" t="str">
        <f t="shared" si="5"/>
        <v/>
      </c>
      <c r="AC15" s="51">
        <f t="shared" si="6"/>
        <v>94</v>
      </c>
      <c r="AD15" s="44">
        <f t="shared" si="1"/>
        <v>17</v>
      </c>
      <c r="AE15" s="51">
        <f t="shared" si="7"/>
        <v>94017</v>
      </c>
    </row>
    <row r="16" spans="1:38">
      <c r="A16" s="60" t="str">
        <f t="shared" si="2"/>
        <v>1501KCroyal</v>
      </c>
      <c r="B16" s="60" t="str">
        <f t="shared" si="3"/>
        <v>94-017-06</v>
      </c>
      <c r="C16" s="72" t="s">
        <v>959</v>
      </c>
      <c r="D16" s="72" t="s">
        <v>960</v>
      </c>
      <c r="E16" s="72" t="s">
        <v>909</v>
      </c>
      <c r="F16" s="73">
        <v>0</v>
      </c>
      <c r="G16" s="73" t="s">
        <v>938</v>
      </c>
      <c r="H16" s="72" t="s">
        <v>71</v>
      </c>
      <c r="I16" s="72" t="s">
        <v>917</v>
      </c>
      <c r="J16" s="72" t="s">
        <v>340</v>
      </c>
      <c r="K16" s="72" t="s">
        <v>382</v>
      </c>
      <c r="L16" s="72" t="s">
        <v>918</v>
      </c>
      <c r="M16" s="72" t="s">
        <v>388</v>
      </c>
      <c r="N16" s="72" t="s">
        <v>46</v>
      </c>
      <c r="O16" s="72" t="s">
        <v>541</v>
      </c>
      <c r="P16" s="72" t="s">
        <v>919</v>
      </c>
      <c r="Q16" s="72" t="s">
        <v>929</v>
      </c>
      <c r="R16" s="72" t="s">
        <v>71</v>
      </c>
      <c r="V16" s="60" t="str">
        <f t="shared" si="4"/>
        <v>1501KCсиний</v>
      </c>
      <c r="W16" s="60" t="str">
        <f t="shared" si="0"/>
        <v>1501KC</v>
      </c>
      <c r="X16" s="60" t="str">
        <f t="shared" si="5"/>
        <v/>
      </c>
      <c r="AC16" s="51">
        <f t="shared" si="6"/>
        <v>94</v>
      </c>
      <c r="AD16" s="44">
        <f t="shared" si="1"/>
        <v>17</v>
      </c>
      <c r="AE16" s="51">
        <f t="shared" si="7"/>
        <v>94017</v>
      </c>
    </row>
    <row r="17" spans="1:31">
      <c r="A17" s="60" t="str">
        <f t="shared" si="2"/>
        <v>1501KCdark grey</v>
      </c>
      <c r="B17" s="60" t="str">
        <f t="shared" si="3"/>
        <v>94-017-05</v>
      </c>
      <c r="C17" s="72" t="s">
        <v>961</v>
      </c>
      <c r="D17" s="72" t="s">
        <v>962</v>
      </c>
      <c r="E17" s="72" t="s">
        <v>909</v>
      </c>
      <c r="F17" s="73">
        <v>0</v>
      </c>
      <c r="G17" s="73" t="s">
        <v>938</v>
      </c>
      <c r="H17" s="72" t="s">
        <v>277</v>
      </c>
      <c r="I17" s="72" t="s">
        <v>917</v>
      </c>
      <c r="J17" s="72" t="s">
        <v>340</v>
      </c>
      <c r="K17" s="72" t="s">
        <v>382</v>
      </c>
      <c r="L17" s="72" t="s">
        <v>918</v>
      </c>
      <c r="M17" s="72" t="s">
        <v>388</v>
      </c>
      <c r="N17" s="72" t="s">
        <v>46</v>
      </c>
      <c r="O17" s="72" t="s">
        <v>541</v>
      </c>
      <c r="P17" s="72" t="s">
        <v>919</v>
      </c>
      <c r="Q17" s="72" t="s">
        <v>932</v>
      </c>
      <c r="R17" s="72" t="s">
        <v>83</v>
      </c>
      <c r="V17" s="60" t="str">
        <f t="shared" si="4"/>
        <v>1501KCтемно-серый</v>
      </c>
      <c r="W17" s="60" t="str">
        <f t="shared" si="0"/>
        <v>1501KC</v>
      </c>
      <c r="X17" s="60" t="str">
        <f t="shared" si="5"/>
        <v/>
      </c>
      <c r="AC17" s="51">
        <f t="shared" si="6"/>
        <v>94</v>
      </c>
      <c r="AD17" s="44">
        <f t="shared" si="1"/>
        <v>17</v>
      </c>
      <c r="AE17" s="51">
        <f t="shared" si="7"/>
        <v>94017</v>
      </c>
    </row>
    <row r="18" spans="1:31">
      <c r="A18" s="60" t="str">
        <f t="shared" si="2"/>
        <v>1501KColive</v>
      </c>
      <c r="B18" s="60" t="str">
        <f t="shared" si="3"/>
        <v>94-017-03</v>
      </c>
      <c r="C18" s="72" t="s">
        <v>963</v>
      </c>
      <c r="D18" s="72" t="s">
        <v>964</v>
      </c>
      <c r="E18" s="72" t="s">
        <v>909</v>
      </c>
      <c r="F18" s="73">
        <v>0</v>
      </c>
      <c r="G18" s="73" t="s">
        <v>938</v>
      </c>
      <c r="H18" s="72" t="s">
        <v>195</v>
      </c>
      <c r="I18" s="72" t="s">
        <v>917</v>
      </c>
      <c r="J18" s="72" t="s">
        <v>340</v>
      </c>
      <c r="K18" s="72" t="s">
        <v>382</v>
      </c>
      <c r="L18" s="72" t="s">
        <v>918</v>
      </c>
      <c r="M18" s="72" t="s">
        <v>388</v>
      </c>
      <c r="N18" s="72" t="s">
        <v>46</v>
      </c>
      <c r="O18" s="72" t="s">
        <v>541</v>
      </c>
      <c r="P18" s="72" t="s">
        <v>919</v>
      </c>
      <c r="Q18" s="72" t="s">
        <v>965</v>
      </c>
      <c r="R18" s="72" t="s">
        <v>195</v>
      </c>
      <c r="V18" s="60" t="str">
        <f t="shared" si="4"/>
        <v>1501KCоливковый</v>
      </c>
      <c r="W18" s="60" t="str">
        <f t="shared" si="0"/>
        <v>1501KC</v>
      </c>
      <c r="X18" s="60" t="str">
        <f t="shared" si="5"/>
        <v/>
      </c>
      <c r="AC18" s="51">
        <f t="shared" si="6"/>
        <v>94</v>
      </c>
      <c r="AD18" s="44">
        <f t="shared" si="1"/>
        <v>17</v>
      </c>
      <c r="AE18" s="51">
        <f t="shared" si="7"/>
        <v>94017</v>
      </c>
    </row>
    <row r="19" spans="1:31">
      <c r="A19" s="60" t="str">
        <f t="shared" si="2"/>
        <v>1501KCsand</v>
      </c>
      <c r="B19" s="60" t="str">
        <f t="shared" si="3"/>
        <v>94-017-02</v>
      </c>
      <c r="C19" s="72" t="s">
        <v>966</v>
      </c>
      <c r="D19" s="72" t="s">
        <v>967</v>
      </c>
      <c r="E19" s="72" t="s">
        <v>909</v>
      </c>
      <c r="F19" s="73">
        <v>0</v>
      </c>
      <c r="G19" s="73" t="s">
        <v>938</v>
      </c>
      <c r="H19" s="72" t="s">
        <v>205</v>
      </c>
      <c r="I19" s="72" t="s">
        <v>917</v>
      </c>
      <c r="J19" s="72" t="s">
        <v>340</v>
      </c>
      <c r="K19" s="72" t="s">
        <v>382</v>
      </c>
      <c r="L19" s="72" t="s">
        <v>918</v>
      </c>
      <c r="M19" s="72" t="s">
        <v>388</v>
      </c>
      <c r="N19" s="72" t="s">
        <v>46</v>
      </c>
      <c r="O19" s="72" t="s">
        <v>541</v>
      </c>
      <c r="P19" s="72" t="s">
        <v>919</v>
      </c>
      <c r="Q19" s="72" t="s">
        <v>968</v>
      </c>
      <c r="R19" s="72" t="s">
        <v>63</v>
      </c>
      <c r="V19" s="60" t="str">
        <f t="shared" si="4"/>
        <v>1501KCпесочный</v>
      </c>
      <c r="W19" s="60" t="str">
        <f t="shared" si="0"/>
        <v>1501KC</v>
      </c>
      <c r="X19" s="60" t="str">
        <f t="shared" si="5"/>
        <v/>
      </c>
      <c r="AC19" s="51">
        <f t="shared" si="6"/>
        <v>94</v>
      </c>
      <c r="AD19" s="44">
        <f t="shared" si="1"/>
        <v>17</v>
      </c>
      <c r="AE19" s="51">
        <f t="shared" si="7"/>
        <v>94017</v>
      </c>
    </row>
    <row r="20" spans="1:31">
      <c r="A20" s="60" t="str">
        <f t="shared" si="2"/>
        <v>1501KCheather grey</v>
      </c>
      <c r="B20" s="60" t="str">
        <f t="shared" si="3"/>
        <v>94-017-01</v>
      </c>
      <c r="C20" s="72" t="s">
        <v>969</v>
      </c>
      <c r="D20" s="72" t="s">
        <v>970</v>
      </c>
      <c r="E20" s="72" t="s">
        <v>909</v>
      </c>
      <c r="F20" s="73">
        <v>0</v>
      </c>
      <c r="G20" s="73" t="s">
        <v>938</v>
      </c>
      <c r="H20" s="72" t="s">
        <v>231</v>
      </c>
      <c r="I20" s="72" t="s">
        <v>917</v>
      </c>
      <c r="J20" s="72" t="s">
        <v>340</v>
      </c>
      <c r="K20" s="72" t="s">
        <v>382</v>
      </c>
      <c r="L20" s="72" t="s">
        <v>918</v>
      </c>
      <c r="M20" s="72" t="s">
        <v>388</v>
      </c>
      <c r="N20" s="72" t="s">
        <v>46</v>
      </c>
      <c r="O20" s="72" t="s">
        <v>541</v>
      </c>
      <c r="P20" s="72" t="s">
        <v>919</v>
      </c>
      <c r="Q20" s="72" t="s">
        <v>935</v>
      </c>
      <c r="R20" s="72" t="s">
        <v>83</v>
      </c>
      <c r="V20" s="60" t="str">
        <f t="shared" si="4"/>
        <v>1501KCсветло-серый</v>
      </c>
      <c r="W20" s="60" t="str">
        <f t="shared" si="0"/>
        <v>1501KC</v>
      </c>
      <c r="X20" s="60" t="str">
        <f t="shared" si="5"/>
        <v/>
      </c>
      <c r="AC20" s="51">
        <f t="shared" si="6"/>
        <v>94</v>
      </c>
      <c r="AD20" s="44">
        <f t="shared" si="1"/>
        <v>17</v>
      </c>
      <c r="AE20" s="51">
        <f t="shared" si="7"/>
        <v>94017</v>
      </c>
    </row>
    <row r="21" spans="1:31">
      <c r="A21" s="60" t="str">
        <f t="shared" si="2"/>
        <v>1501KCgold</v>
      </c>
      <c r="B21" s="60" t="str">
        <f t="shared" si="3"/>
        <v>94-017-00</v>
      </c>
      <c r="C21" s="72" t="s">
        <v>971</v>
      </c>
      <c r="D21" s="72" t="s">
        <v>972</v>
      </c>
      <c r="E21" s="72" t="s">
        <v>909</v>
      </c>
      <c r="F21" s="73">
        <v>0</v>
      </c>
      <c r="G21" s="73" t="s">
        <v>938</v>
      </c>
      <c r="H21" s="72" t="s">
        <v>157</v>
      </c>
      <c r="I21" s="72" t="s">
        <v>917</v>
      </c>
      <c r="J21" s="72" t="s">
        <v>340</v>
      </c>
      <c r="K21" s="72" t="s">
        <v>382</v>
      </c>
      <c r="L21" s="72" t="s">
        <v>918</v>
      </c>
      <c r="M21" s="72" t="s">
        <v>388</v>
      </c>
      <c r="N21" s="72" t="s">
        <v>46</v>
      </c>
      <c r="O21" s="72" t="s">
        <v>541</v>
      </c>
      <c r="P21" s="72" t="s">
        <v>919</v>
      </c>
      <c r="Q21" s="72" t="s">
        <v>973</v>
      </c>
      <c r="R21" s="72" t="s">
        <v>65</v>
      </c>
      <c r="V21" s="60" t="str">
        <f t="shared" si="4"/>
        <v>1501KCзолотой</v>
      </c>
      <c r="W21" s="60" t="str">
        <f t="shared" si="0"/>
        <v>1501KC</v>
      </c>
      <c r="X21" s="60" t="str">
        <f t="shared" si="5"/>
        <v/>
      </c>
      <c r="AC21" s="51">
        <f t="shared" si="6"/>
        <v>94</v>
      </c>
      <c r="AD21" s="44">
        <f t="shared" si="1"/>
        <v>17</v>
      </c>
      <c r="AE21" s="51">
        <f t="shared" si="7"/>
        <v>94017</v>
      </c>
    </row>
    <row r="22" spans="1:31">
      <c r="A22" s="60" t="str">
        <f t="shared" si="2"/>
        <v>1500KCbaby pink</v>
      </c>
      <c r="B22" s="60" t="str">
        <f t="shared" si="3"/>
        <v>94-016-34</v>
      </c>
      <c r="C22" s="72" t="s">
        <v>974</v>
      </c>
      <c r="D22" s="72" t="s">
        <v>975</v>
      </c>
      <c r="E22" s="72" t="s">
        <v>909</v>
      </c>
      <c r="F22" s="73">
        <v>0</v>
      </c>
      <c r="G22" s="73" t="s">
        <v>976</v>
      </c>
      <c r="H22" s="72" t="s">
        <v>68</v>
      </c>
      <c r="I22" s="72" t="s">
        <v>917</v>
      </c>
      <c r="J22" s="72" t="s">
        <v>340</v>
      </c>
      <c r="K22" s="72" t="s">
        <v>387</v>
      </c>
      <c r="L22" s="72" t="s">
        <v>918</v>
      </c>
      <c r="M22" s="72" t="s">
        <v>388</v>
      </c>
      <c r="N22" s="72" t="s">
        <v>46</v>
      </c>
      <c r="O22" s="72" t="s">
        <v>542</v>
      </c>
      <c r="P22" s="72" t="s">
        <v>919</v>
      </c>
      <c r="Q22" s="72" t="s">
        <v>977</v>
      </c>
      <c r="R22" s="72" t="s">
        <v>68</v>
      </c>
      <c r="V22" s="60" t="str">
        <f t="shared" si="4"/>
        <v>1500KCрозовый</v>
      </c>
      <c r="W22" s="60" t="str">
        <f t="shared" si="0"/>
        <v>1500KC</v>
      </c>
      <c r="X22" s="60" t="str">
        <f t="shared" si="5"/>
        <v/>
      </c>
      <c r="AC22" s="51">
        <f t="shared" si="6"/>
        <v>94</v>
      </c>
      <c r="AD22" s="44">
        <f t="shared" si="1"/>
        <v>16</v>
      </c>
      <c r="AE22" s="51">
        <f t="shared" si="7"/>
        <v>94016</v>
      </c>
    </row>
    <row r="23" spans="1:31">
      <c r="A23" s="60" t="str">
        <f t="shared" si="2"/>
        <v>1500KCred</v>
      </c>
      <c r="B23" s="60" t="str">
        <f t="shared" si="3"/>
        <v>94-016-18</v>
      </c>
      <c r="C23" s="72" t="s">
        <v>978</v>
      </c>
      <c r="D23" s="72" t="s">
        <v>979</v>
      </c>
      <c r="E23" s="72" t="s">
        <v>909</v>
      </c>
      <c r="F23" s="73">
        <v>0</v>
      </c>
      <c r="G23" s="73" t="s">
        <v>976</v>
      </c>
      <c r="H23" s="72" t="s">
        <v>78</v>
      </c>
      <c r="I23" s="72" t="s">
        <v>917</v>
      </c>
      <c r="J23" s="72" t="s">
        <v>340</v>
      </c>
      <c r="K23" s="72" t="s">
        <v>382</v>
      </c>
      <c r="L23" s="72" t="s">
        <v>918</v>
      </c>
      <c r="M23" s="72" t="s">
        <v>388</v>
      </c>
      <c r="N23" s="72" t="s">
        <v>46</v>
      </c>
      <c r="O23" s="72" t="s">
        <v>541</v>
      </c>
      <c r="P23" s="72" t="s">
        <v>919</v>
      </c>
      <c r="Q23" s="72" t="s">
        <v>920</v>
      </c>
      <c r="R23" s="72" t="s">
        <v>78</v>
      </c>
      <c r="V23" s="60" t="str">
        <f t="shared" si="4"/>
        <v>1500KCкрасный</v>
      </c>
      <c r="W23" s="60" t="str">
        <f t="shared" si="0"/>
        <v>1500KC</v>
      </c>
      <c r="X23" s="60" t="str">
        <f t="shared" si="5"/>
        <v/>
      </c>
      <c r="AC23" s="51">
        <f t="shared" si="6"/>
        <v>94</v>
      </c>
      <c r="AD23" s="44">
        <f t="shared" si="1"/>
        <v>16</v>
      </c>
      <c r="AE23" s="51">
        <f t="shared" si="7"/>
        <v>94016</v>
      </c>
    </row>
    <row r="24" spans="1:31">
      <c r="A24" s="60" t="str">
        <f t="shared" si="2"/>
        <v>1500KCwhite</v>
      </c>
      <c r="B24" s="60" t="str">
        <f t="shared" si="3"/>
        <v>94-016-17</v>
      </c>
      <c r="C24" s="72" t="s">
        <v>980</v>
      </c>
      <c r="D24" s="72" t="s">
        <v>981</v>
      </c>
      <c r="E24" s="72" t="s">
        <v>909</v>
      </c>
      <c r="F24" s="73">
        <v>0</v>
      </c>
      <c r="G24" s="73" t="s">
        <v>976</v>
      </c>
      <c r="H24" s="72" t="s">
        <v>57</v>
      </c>
      <c r="I24" s="72" t="s">
        <v>917</v>
      </c>
      <c r="J24" s="72" t="s">
        <v>340</v>
      </c>
      <c r="K24" s="72" t="s">
        <v>382</v>
      </c>
      <c r="L24" s="72" t="s">
        <v>918</v>
      </c>
      <c r="M24" s="72" t="s">
        <v>388</v>
      </c>
      <c r="N24" s="72" t="s">
        <v>46</v>
      </c>
      <c r="O24" s="72" t="s">
        <v>541</v>
      </c>
      <c r="P24" s="72" t="s">
        <v>919</v>
      </c>
      <c r="Q24" s="72" t="s">
        <v>982</v>
      </c>
      <c r="R24" s="72" t="s">
        <v>57</v>
      </c>
      <c r="V24" s="60" t="str">
        <f t="shared" si="4"/>
        <v>1500KCбелый</v>
      </c>
      <c r="W24" s="60" t="str">
        <f t="shared" si="0"/>
        <v>1500KC</v>
      </c>
      <c r="X24" s="60" t="str">
        <f t="shared" si="5"/>
        <v/>
      </c>
      <c r="AC24" s="51">
        <f t="shared" si="6"/>
        <v>94</v>
      </c>
      <c r="AD24" s="44">
        <f t="shared" si="1"/>
        <v>16</v>
      </c>
      <c r="AE24" s="51">
        <f t="shared" si="7"/>
        <v>94016</v>
      </c>
    </row>
    <row r="25" spans="1:31">
      <c r="A25" s="60" t="str">
        <f t="shared" si="2"/>
        <v>1500KCnavy</v>
      </c>
      <c r="B25" s="60" t="str">
        <f t="shared" si="3"/>
        <v>94-016-16</v>
      </c>
      <c r="C25" s="72" t="s">
        <v>983</v>
      </c>
      <c r="D25" s="72" t="s">
        <v>984</v>
      </c>
      <c r="E25" s="72" t="s">
        <v>909</v>
      </c>
      <c r="F25" s="73">
        <v>0</v>
      </c>
      <c r="G25" s="73" t="s">
        <v>976</v>
      </c>
      <c r="H25" s="72" t="s">
        <v>55</v>
      </c>
      <c r="I25" s="72" t="s">
        <v>917</v>
      </c>
      <c r="J25" s="72" t="s">
        <v>340</v>
      </c>
      <c r="K25" s="72" t="s">
        <v>382</v>
      </c>
      <c r="L25" s="72" t="s">
        <v>918</v>
      </c>
      <c r="M25" s="72" t="s">
        <v>388</v>
      </c>
      <c r="N25" s="72" t="s">
        <v>46</v>
      </c>
      <c r="O25" s="72" t="s">
        <v>541</v>
      </c>
      <c r="P25" s="72" t="s">
        <v>919</v>
      </c>
      <c r="Q25" s="72" t="s">
        <v>923</v>
      </c>
      <c r="R25" s="72" t="s">
        <v>71</v>
      </c>
      <c r="V25" s="60" t="str">
        <f t="shared" si="4"/>
        <v>1500KCтемно-синий</v>
      </c>
      <c r="W25" s="60" t="str">
        <f t="shared" si="0"/>
        <v>1500KC</v>
      </c>
      <c r="X25" s="60" t="str">
        <f t="shared" si="5"/>
        <v/>
      </c>
      <c r="AC25" s="51">
        <f t="shared" si="6"/>
        <v>94</v>
      </c>
      <c r="AD25" s="44">
        <f t="shared" si="1"/>
        <v>16</v>
      </c>
      <c r="AE25" s="51">
        <f t="shared" si="7"/>
        <v>94016</v>
      </c>
    </row>
    <row r="26" spans="1:31">
      <c r="A26" s="60" t="str">
        <f t="shared" si="2"/>
        <v>1500KCbrown</v>
      </c>
      <c r="B26" s="60" t="str">
        <f t="shared" si="3"/>
        <v>94-016-14</v>
      </c>
      <c r="C26" s="72" t="s">
        <v>985</v>
      </c>
      <c r="D26" s="72" t="s">
        <v>986</v>
      </c>
      <c r="E26" s="72" t="s">
        <v>909</v>
      </c>
      <c r="F26" s="73">
        <v>0</v>
      </c>
      <c r="G26" s="73" t="s">
        <v>976</v>
      </c>
      <c r="H26" s="72" t="s">
        <v>86</v>
      </c>
      <c r="I26" s="72" t="s">
        <v>917</v>
      </c>
      <c r="J26" s="72" t="s">
        <v>340</v>
      </c>
      <c r="K26" s="72" t="s">
        <v>382</v>
      </c>
      <c r="L26" s="72" t="s">
        <v>918</v>
      </c>
      <c r="M26" s="72" t="s">
        <v>388</v>
      </c>
      <c r="N26" s="72" t="s">
        <v>46</v>
      </c>
      <c r="O26" s="72" t="s">
        <v>541</v>
      </c>
      <c r="P26" s="72" t="s">
        <v>919</v>
      </c>
      <c r="Q26" s="72" t="s">
        <v>949</v>
      </c>
      <c r="R26" s="72" t="s">
        <v>86</v>
      </c>
      <c r="V26" s="60" t="str">
        <f t="shared" si="4"/>
        <v>1500KCкоричневый</v>
      </c>
      <c r="W26" s="60" t="str">
        <f t="shared" si="0"/>
        <v>1500KC</v>
      </c>
      <c r="X26" s="60" t="str">
        <f t="shared" si="5"/>
        <v/>
      </c>
      <c r="AC26" s="51">
        <f t="shared" si="6"/>
        <v>94</v>
      </c>
      <c r="AD26" s="44">
        <f t="shared" si="1"/>
        <v>16</v>
      </c>
      <c r="AE26" s="51">
        <f t="shared" si="7"/>
        <v>94016</v>
      </c>
    </row>
    <row r="27" spans="1:31">
      <c r="A27" s="60" t="str">
        <f t="shared" si="2"/>
        <v>1500KCmaroon</v>
      </c>
      <c r="B27" s="60" t="str">
        <f t="shared" si="3"/>
        <v>94-016-12</v>
      </c>
      <c r="C27" s="72" t="s">
        <v>987</v>
      </c>
      <c r="D27" s="72" t="s">
        <v>988</v>
      </c>
      <c r="E27" s="72" t="s">
        <v>909</v>
      </c>
      <c r="F27" s="73">
        <v>0</v>
      </c>
      <c r="G27" s="73" t="s">
        <v>976</v>
      </c>
      <c r="H27" s="72" t="s">
        <v>121</v>
      </c>
      <c r="I27" s="72" t="s">
        <v>917</v>
      </c>
      <c r="J27" s="72" t="s">
        <v>340</v>
      </c>
      <c r="K27" s="72" t="s">
        <v>382</v>
      </c>
      <c r="L27" s="72" t="s">
        <v>918</v>
      </c>
      <c r="M27" s="72" t="s">
        <v>388</v>
      </c>
      <c r="N27" s="72" t="s">
        <v>46</v>
      </c>
      <c r="O27" s="72" t="s">
        <v>541</v>
      </c>
      <c r="P27" s="72" t="s">
        <v>919</v>
      </c>
      <c r="Q27" s="72" t="s">
        <v>955</v>
      </c>
      <c r="R27" s="72" t="s">
        <v>121</v>
      </c>
      <c r="V27" s="60" t="str">
        <f t="shared" si="4"/>
        <v>1500KCбордовый</v>
      </c>
      <c r="W27" s="60" t="str">
        <f t="shared" si="0"/>
        <v>1500KC</v>
      </c>
      <c r="X27" s="60" t="str">
        <f t="shared" si="5"/>
        <v/>
      </c>
      <c r="AC27" s="51">
        <f t="shared" si="6"/>
        <v>94</v>
      </c>
      <c r="AD27" s="44">
        <f t="shared" si="1"/>
        <v>16</v>
      </c>
      <c r="AE27" s="51">
        <f t="shared" si="7"/>
        <v>94016</v>
      </c>
    </row>
    <row r="28" spans="1:31">
      <c r="A28" s="60" t="str">
        <f t="shared" si="2"/>
        <v>1500KCblack</v>
      </c>
      <c r="B28" s="60" t="str">
        <f t="shared" si="3"/>
        <v>94-016-09</v>
      </c>
      <c r="C28" s="72" t="s">
        <v>989</v>
      </c>
      <c r="D28" s="72" t="s">
        <v>990</v>
      </c>
      <c r="E28" s="72" t="s">
        <v>909</v>
      </c>
      <c r="F28" s="73">
        <v>0</v>
      </c>
      <c r="G28" s="73" t="s">
        <v>976</v>
      </c>
      <c r="H28" s="72" t="s">
        <v>53</v>
      </c>
      <c r="I28" s="72" t="s">
        <v>917</v>
      </c>
      <c r="J28" s="72" t="s">
        <v>340</v>
      </c>
      <c r="K28" s="72" t="s">
        <v>382</v>
      </c>
      <c r="L28" s="72" t="s">
        <v>918</v>
      </c>
      <c r="M28" s="72" t="s">
        <v>388</v>
      </c>
      <c r="N28" s="72" t="s">
        <v>46</v>
      </c>
      <c r="O28" s="72" t="s">
        <v>541</v>
      </c>
      <c r="P28" s="72" t="s">
        <v>919</v>
      </c>
      <c r="Q28" s="72" t="s">
        <v>926</v>
      </c>
      <c r="R28" s="72" t="s">
        <v>53</v>
      </c>
      <c r="V28" s="60" t="str">
        <f t="shared" si="4"/>
        <v>1500KCчерный</v>
      </c>
      <c r="W28" s="60" t="str">
        <f t="shared" si="0"/>
        <v>1500KC</v>
      </c>
      <c r="X28" s="60" t="str">
        <f t="shared" si="5"/>
        <v/>
      </c>
      <c r="AC28" s="51">
        <f t="shared" si="6"/>
        <v>94</v>
      </c>
      <c r="AD28" s="44">
        <f t="shared" si="1"/>
        <v>16</v>
      </c>
      <c r="AE28" s="51">
        <f t="shared" si="7"/>
        <v>94016</v>
      </c>
    </row>
    <row r="29" spans="1:31">
      <c r="A29" s="60" t="str">
        <f t="shared" si="2"/>
        <v>1500KCroyal</v>
      </c>
      <c r="B29" s="60" t="str">
        <f t="shared" si="3"/>
        <v>94-016-06</v>
      </c>
      <c r="C29" s="72" t="s">
        <v>991</v>
      </c>
      <c r="D29" s="72" t="s">
        <v>992</v>
      </c>
      <c r="E29" s="72" t="s">
        <v>909</v>
      </c>
      <c r="F29" s="73">
        <v>0</v>
      </c>
      <c r="G29" s="73" t="s">
        <v>976</v>
      </c>
      <c r="H29" s="72" t="s">
        <v>71</v>
      </c>
      <c r="I29" s="72" t="s">
        <v>917</v>
      </c>
      <c r="J29" s="72" t="s">
        <v>340</v>
      </c>
      <c r="K29" s="72" t="s">
        <v>382</v>
      </c>
      <c r="L29" s="72" t="s">
        <v>918</v>
      </c>
      <c r="M29" s="72" t="s">
        <v>388</v>
      </c>
      <c r="N29" s="72" t="s">
        <v>46</v>
      </c>
      <c r="O29" s="72" t="s">
        <v>541</v>
      </c>
      <c r="P29" s="72" t="s">
        <v>919</v>
      </c>
      <c r="Q29" s="72" t="s">
        <v>929</v>
      </c>
      <c r="R29" s="72" t="s">
        <v>71</v>
      </c>
      <c r="V29" s="60" t="str">
        <f t="shared" si="4"/>
        <v>1500KCсиний</v>
      </c>
      <c r="W29" s="60" t="str">
        <f t="shared" si="0"/>
        <v>1500KC</v>
      </c>
      <c r="X29" s="60" t="str">
        <f t="shared" si="5"/>
        <v/>
      </c>
      <c r="AC29" s="51">
        <f t="shared" si="6"/>
        <v>94</v>
      </c>
      <c r="AD29" s="44">
        <f t="shared" si="1"/>
        <v>16</v>
      </c>
      <c r="AE29" s="51">
        <f t="shared" si="7"/>
        <v>94016</v>
      </c>
    </row>
    <row r="30" spans="1:31">
      <c r="A30" s="60" t="str">
        <f t="shared" si="2"/>
        <v>1500KCdark grey</v>
      </c>
      <c r="B30" s="60" t="str">
        <f t="shared" si="3"/>
        <v>94-016-05</v>
      </c>
      <c r="C30" s="72" t="s">
        <v>993</v>
      </c>
      <c r="D30" s="72" t="s">
        <v>994</v>
      </c>
      <c r="E30" s="72" t="s">
        <v>909</v>
      </c>
      <c r="F30" s="73">
        <v>0</v>
      </c>
      <c r="G30" s="73" t="s">
        <v>976</v>
      </c>
      <c r="H30" s="72" t="s">
        <v>277</v>
      </c>
      <c r="I30" s="72" t="s">
        <v>917</v>
      </c>
      <c r="J30" s="72" t="s">
        <v>340</v>
      </c>
      <c r="K30" s="72" t="s">
        <v>382</v>
      </c>
      <c r="L30" s="72" t="s">
        <v>918</v>
      </c>
      <c r="M30" s="72" t="s">
        <v>388</v>
      </c>
      <c r="N30" s="72" t="s">
        <v>46</v>
      </c>
      <c r="O30" s="72" t="s">
        <v>541</v>
      </c>
      <c r="P30" s="72" t="s">
        <v>919</v>
      </c>
      <c r="Q30" s="72" t="s">
        <v>932</v>
      </c>
      <c r="R30" s="72" t="s">
        <v>83</v>
      </c>
      <c r="V30" s="60" t="str">
        <f t="shared" si="4"/>
        <v>1500KCтемно-серый</v>
      </c>
      <c r="W30" s="60" t="str">
        <f t="shared" si="0"/>
        <v>1500KC</v>
      </c>
      <c r="X30" s="60" t="str">
        <f t="shared" si="5"/>
        <v/>
      </c>
      <c r="AC30" s="51">
        <f t="shared" si="6"/>
        <v>94</v>
      </c>
      <c r="AD30" s="44">
        <f t="shared" si="1"/>
        <v>16</v>
      </c>
      <c r="AE30" s="51">
        <f t="shared" si="7"/>
        <v>94016</v>
      </c>
    </row>
    <row r="31" spans="1:31">
      <c r="A31" s="60" t="str">
        <f t="shared" si="2"/>
        <v>1500KColive</v>
      </c>
      <c r="B31" s="60" t="str">
        <f t="shared" si="3"/>
        <v>94-016-03</v>
      </c>
      <c r="C31" s="72" t="s">
        <v>995</v>
      </c>
      <c r="D31" s="72" t="s">
        <v>996</v>
      </c>
      <c r="E31" s="72" t="s">
        <v>909</v>
      </c>
      <c r="F31" s="73">
        <v>0</v>
      </c>
      <c r="G31" s="73" t="s">
        <v>976</v>
      </c>
      <c r="H31" s="72" t="s">
        <v>195</v>
      </c>
      <c r="I31" s="72" t="s">
        <v>917</v>
      </c>
      <c r="J31" s="72" t="s">
        <v>340</v>
      </c>
      <c r="K31" s="72" t="s">
        <v>382</v>
      </c>
      <c r="L31" s="72" t="s">
        <v>918</v>
      </c>
      <c r="M31" s="72" t="s">
        <v>388</v>
      </c>
      <c r="N31" s="72" t="s">
        <v>46</v>
      </c>
      <c r="O31" s="72" t="s">
        <v>541</v>
      </c>
      <c r="P31" s="72" t="s">
        <v>919</v>
      </c>
      <c r="Q31" s="72" t="s">
        <v>965</v>
      </c>
      <c r="R31" s="72" t="s">
        <v>195</v>
      </c>
      <c r="V31" s="60" t="str">
        <f t="shared" si="4"/>
        <v>1500KCоливковый</v>
      </c>
      <c r="W31" s="60" t="str">
        <f t="shared" si="0"/>
        <v>1500KC</v>
      </c>
      <c r="X31" s="60" t="str">
        <f t="shared" si="5"/>
        <v/>
      </c>
      <c r="AC31" s="51">
        <f t="shared" si="6"/>
        <v>94</v>
      </c>
      <c r="AD31" s="44">
        <f t="shared" si="1"/>
        <v>16</v>
      </c>
      <c r="AE31" s="51">
        <f t="shared" si="7"/>
        <v>94016</v>
      </c>
    </row>
    <row r="32" spans="1:31">
      <c r="A32" s="60" t="str">
        <f t="shared" si="2"/>
        <v>1500KCheather grey</v>
      </c>
      <c r="B32" s="60" t="str">
        <f t="shared" si="3"/>
        <v>94-016-01</v>
      </c>
      <c r="C32" s="72" t="s">
        <v>997</v>
      </c>
      <c r="D32" s="72" t="s">
        <v>998</v>
      </c>
      <c r="E32" s="72" t="s">
        <v>909</v>
      </c>
      <c r="F32" s="73">
        <v>0</v>
      </c>
      <c r="G32" s="73" t="s">
        <v>976</v>
      </c>
      <c r="H32" s="72" t="s">
        <v>231</v>
      </c>
      <c r="I32" s="72" t="s">
        <v>917</v>
      </c>
      <c r="J32" s="72" t="s">
        <v>340</v>
      </c>
      <c r="K32" s="72" t="s">
        <v>382</v>
      </c>
      <c r="L32" s="72" t="s">
        <v>918</v>
      </c>
      <c r="M32" s="72" t="s">
        <v>388</v>
      </c>
      <c r="N32" s="72" t="s">
        <v>46</v>
      </c>
      <c r="O32" s="72" t="s">
        <v>541</v>
      </c>
      <c r="P32" s="72" t="s">
        <v>919</v>
      </c>
      <c r="Q32" s="72" t="s">
        <v>935</v>
      </c>
      <c r="R32" s="72" t="s">
        <v>83</v>
      </c>
      <c r="V32" s="60" t="str">
        <f t="shared" si="4"/>
        <v>1500KCсветло-серый</v>
      </c>
      <c r="W32" s="60" t="str">
        <f t="shared" si="0"/>
        <v>1500KC</v>
      </c>
      <c r="X32" s="60" t="str">
        <f t="shared" si="5"/>
        <v/>
      </c>
      <c r="AC32" s="51">
        <f t="shared" si="6"/>
        <v>94</v>
      </c>
      <c r="AD32" s="44">
        <f t="shared" si="1"/>
        <v>16</v>
      </c>
      <c r="AE32" s="51">
        <f t="shared" si="7"/>
        <v>94016</v>
      </c>
    </row>
    <row r="33" spans="1:31">
      <c r="A33" s="60" t="str">
        <f t="shared" si="2"/>
        <v>1500KCgold</v>
      </c>
      <c r="B33" s="60" t="str">
        <f t="shared" si="3"/>
        <v>94-016-00</v>
      </c>
      <c r="C33" s="72" t="s">
        <v>999</v>
      </c>
      <c r="D33" s="72" t="s">
        <v>1000</v>
      </c>
      <c r="E33" s="72" t="s">
        <v>909</v>
      </c>
      <c r="F33" s="73">
        <v>0</v>
      </c>
      <c r="G33" s="73" t="s">
        <v>976</v>
      </c>
      <c r="H33" s="72" t="s">
        <v>157</v>
      </c>
      <c r="I33" s="72" t="s">
        <v>917</v>
      </c>
      <c r="J33" s="72" t="s">
        <v>340</v>
      </c>
      <c r="K33" s="72" t="s">
        <v>382</v>
      </c>
      <c r="L33" s="72" t="s">
        <v>918</v>
      </c>
      <c r="M33" s="72" t="s">
        <v>388</v>
      </c>
      <c r="N33" s="72" t="s">
        <v>46</v>
      </c>
      <c r="O33" s="72" t="s">
        <v>542</v>
      </c>
      <c r="P33" s="72" t="s">
        <v>919</v>
      </c>
      <c r="Q33" s="72" t="s">
        <v>973</v>
      </c>
      <c r="R33" s="72" t="s">
        <v>65</v>
      </c>
      <c r="V33" s="60" t="str">
        <f t="shared" si="4"/>
        <v>1500KCзолотой</v>
      </c>
      <c r="W33" s="60" t="str">
        <f t="shared" si="0"/>
        <v>1500KC</v>
      </c>
      <c r="X33" s="60" t="str">
        <f t="shared" si="5"/>
        <v/>
      </c>
      <c r="AC33" s="51">
        <f t="shared" si="6"/>
        <v>94</v>
      </c>
      <c r="AD33" s="44">
        <f t="shared" si="1"/>
        <v>16</v>
      </c>
      <c r="AE33" s="51">
        <f t="shared" si="7"/>
        <v>94016</v>
      </c>
    </row>
    <row r="34" spans="1:31">
      <c r="A34" s="60" t="str">
        <f t="shared" si="2"/>
        <v>6606evergreen</v>
      </c>
      <c r="B34" s="60" t="str">
        <f t="shared" si="3"/>
        <v>94-015-11</v>
      </c>
      <c r="C34" s="72" t="s">
        <v>1001</v>
      </c>
      <c r="D34" s="72" t="s">
        <v>1002</v>
      </c>
      <c r="E34" s="72" t="s">
        <v>909</v>
      </c>
      <c r="F34" s="73">
        <v>0</v>
      </c>
      <c r="G34" s="73">
        <v>6606</v>
      </c>
      <c r="H34" s="72" t="s">
        <v>60</v>
      </c>
      <c r="I34" s="72" t="s">
        <v>1003</v>
      </c>
      <c r="J34" s="72" t="s">
        <v>356</v>
      </c>
      <c r="K34" s="72" t="s">
        <v>382</v>
      </c>
      <c r="L34" s="72" t="s">
        <v>918</v>
      </c>
      <c r="M34" s="72" t="s">
        <v>388</v>
      </c>
      <c r="N34" s="72" t="s">
        <v>43</v>
      </c>
      <c r="O34" s="72" t="s">
        <v>541</v>
      </c>
      <c r="P34" s="72" t="s">
        <v>919</v>
      </c>
      <c r="Q34" s="72" t="s">
        <v>1004</v>
      </c>
      <c r="R34" s="72" t="s">
        <v>60</v>
      </c>
      <c r="V34" s="60" t="str">
        <f t="shared" si="4"/>
        <v>6606зеленый</v>
      </c>
      <c r="W34" s="60" t="str">
        <f t="shared" si="0"/>
        <v>6606</v>
      </c>
      <c r="X34" s="60" t="str">
        <f t="shared" si="5"/>
        <v/>
      </c>
      <c r="AC34" s="51">
        <f t="shared" si="6"/>
        <v>94</v>
      </c>
      <c r="AD34" s="44">
        <f t="shared" si="1"/>
        <v>15</v>
      </c>
      <c r="AE34" s="51">
        <f t="shared" si="7"/>
        <v>94015</v>
      </c>
    </row>
    <row r="35" spans="1:31">
      <c r="A35" s="60" t="str">
        <f t="shared" si="2"/>
        <v>6606black</v>
      </c>
      <c r="B35" s="60" t="str">
        <f t="shared" si="3"/>
        <v>94-015-09</v>
      </c>
      <c r="C35" s="72" t="s">
        <v>1005</v>
      </c>
      <c r="D35" s="72" t="s">
        <v>1006</v>
      </c>
      <c r="E35" s="72" t="s">
        <v>909</v>
      </c>
      <c r="F35" s="73">
        <v>0</v>
      </c>
      <c r="G35" s="73">
        <v>6606</v>
      </c>
      <c r="H35" s="72" t="s">
        <v>53</v>
      </c>
      <c r="I35" s="72" t="s">
        <v>1003</v>
      </c>
      <c r="J35" s="72" t="s">
        <v>356</v>
      </c>
      <c r="K35" s="72" t="s">
        <v>382</v>
      </c>
      <c r="L35" s="72" t="s">
        <v>918</v>
      </c>
      <c r="M35" s="72" t="s">
        <v>388</v>
      </c>
      <c r="N35" s="72" t="s">
        <v>43</v>
      </c>
      <c r="O35" s="72" t="s">
        <v>541</v>
      </c>
      <c r="P35" s="72" t="s">
        <v>919</v>
      </c>
      <c r="Q35" s="72" t="s">
        <v>926</v>
      </c>
      <c r="R35" s="72" t="s">
        <v>53</v>
      </c>
      <c r="V35" s="60" t="str">
        <f t="shared" si="4"/>
        <v>6606черный</v>
      </c>
      <c r="W35" s="60" t="str">
        <f t="shared" si="0"/>
        <v>6606</v>
      </c>
      <c r="X35" s="60" t="str">
        <f t="shared" si="5"/>
        <v/>
      </c>
      <c r="AC35" s="51">
        <f t="shared" si="6"/>
        <v>94</v>
      </c>
      <c r="AD35" s="44">
        <f t="shared" si="1"/>
        <v>15</v>
      </c>
      <c r="AE35" s="51">
        <f t="shared" si="7"/>
        <v>94015</v>
      </c>
    </row>
    <row r="36" spans="1:31">
      <c r="A36" s="60" t="str">
        <f t="shared" si="2"/>
        <v>6533purple</v>
      </c>
      <c r="B36" s="60" t="str">
        <f t="shared" si="3"/>
        <v>94-014-41</v>
      </c>
      <c r="C36" s="72" t="s">
        <v>1007</v>
      </c>
      <c r="D36" s="72" t="s">
        <v>1008</v>
      </c>
      <c r="E36" s="72" t="s">
        <v>1009</v>
      </c>
      <c r="F36" s="73">
        <v>56</v>
      </c>
      <c r="G36" s="73">
        <v>6533</v>
      </c>
      <c r="H36" s="72" t="s">
        <v>286</v>
      </c>
      <c r="I36" s="72" t="s">
        <v>1010</v>
      </c>
      <c r="J36" s="72" t="s">
        <v>356</v>
      </c>
      <c r="K36" s="72" t="s">
        <v>382</v>
      </c>
      <c r="L36" s="72" t="s">
        <v>918</v>
      </c>
      <c r="M36" s="72" t="s">
        <v>388</v>
      </c>
      <c r="O36" s="72" t="s">
        <v>541</v>
      </c>
      <c r="P36" s="72" t="s">
        <v>919</v>
      </c>
      <c r="Q36" s="72" t="s">
        <v>1011</v>
      </c>
      <c r="R36" s="72" t="s">
        <v>286</v>
      </c>
      <c r="V36" s="60" t="str">
        <f t="shared" si="4"/>
        <v>6533фиолетовый</v>
      </c>
      <c r="W36" s="60" t="str">
        <f t="shared" si="0"/>
        <v>6533</v>
      </c>
      <c r="X36" s="60" t="str">
        <f t="shared" si="5"/>
        <v/>
      </c>
      <c r="AC36" s="51">
        <f t="shared" si="6"/>
        <v>94</v>
      </c>
      <c r="AD36" s="44">
        <f t="shared" si="1"/>
        <v>14</v>
      </c>
      <c r="AE36" s="51">
        <f t="shared" si="7"/>
        <v>94014</v>
      </c>
    </row>
    <row r="37" spans="1:31">
      <c r="A37" s="60" t="str">
        <f t="shared" si="2"/>
        <v>6533maroon</v>
      </c>
      <c r="B37" s="60" t="str">
        <f t="shared" si="3"/>
        <v>94-014-12</v>
      </c>
      <c r="C37" s="72" t="s">
        <v>1012</v>
      </c>
      <c r="D37" s="72" t="s">
        <v>1013</v>
      </c>
      <c r="E37" s="72" t="s">
        <v>1014</v>
      </c>
      <c r="F37" s="73">
        <v>60</v>
      </c>
      <c r="G37" s="73">
        <v>6533</v>
      </c>
      <c r="H37" s="72" t="s">
        <v>121</v>
      </c>
      <c r="I37" s="72" t="s">
        <v>1010</v>
      </c>
      <c r="J37" s="72" t="s">
        <v>356</v>
      </c>
      <c r="K37" s="72" t="s">
        <v>382</v>
      </c>
      <c r="L37" s="72" t="s">
        <v>918</v>
      </c>
      <c r="M37" s="72" t="s">
        <v>388</v>
      </c>
      <c r="O37" s="72" t="s">
        <v>541</v>
      </c>
      <c r="P37" s="72" t="s">
        <v>919</v>
      </c>
      <c r="Q37" s="72" t="s">
        <v>955</v>
      </c>
      <c r="R37" s="72" t="s">
        <v>121</v>
      </c>
      <c r="V37" s="60" t="str">
        <f t="shared" si="4"/>
        <v>6533бордовый</v>
      </c>
      <c r="W37" s="60" t="str">
        <f t="shared" si="0"/>
        <v>6533</v>
      </c>
      <c r="X37" s="60" t="str">
        <f t="shared" si="5"/>
        <v/>
      </c>
      <c r="AC37" s="51">
        <f t="shared" si="6"/>
        <v>94</v>
      </c>
      <c r="AD37" s="44">
        <f t="shared" si="1"/>
        <v>14</v>
      </c>
      <c r="AE37" s="51">
        <f t="shared" si="7"/>
        <v>94014</v>
      </c>
    </row>
    <row r="38" spans="1:31">
      <c r="A38" s="60" t="str">
        <f t="shared" si="2"/>
        <v>6533maroon</v>
      </c>
      <c r="B38" s="60" t="str">
        <f t="shared" si="3"/>
        <v>94-014-12</v>
      </c>
      <c r="C38" s="72" t="s">
        <v>1015</v>
      </c>
      <c r="D38" s="72" t="s">
        <v>1013</v>
      </c>
      <c r="E38" s="72" t="s">
        <v>1009</v>
      </c>
      <c r="F38" s="73">
        <v>56</v>
      </c>
      <c r="G38" s="73">
        <v>6533</v>
      </c>
      <c r="H38" s="72" t="s">
        <v>121</v>
      </c>
      <c r="I38" s="72" t="s">
        <v>1010</v>
      </c>
      <c r="J38" s="72" t="s">
        <v>356</v>
      </c>
      <c r="K38" s="72" t="s">
        <v>382</v>
      </c>
      <c r="L38" s="72" t="s">
        <v>918</v>
      </c>
      <c r="M38" s="72" t="s">
        <v>388</v>
      </c>
      <c r="O38" s="72" t="s">
        <v>541</v>
      </c>
      <c r="P38" s="72" t="s">
        <v>919</v>
      </c>
      <c r="Q38" s="72" t="s">
        <v>955</v>
      </c>
      <c r="R38" s="72" t="s">
        <v>121</v>
      </c>
      <c r="V38" s="60" t="str">
        <f t="shared" si="4"/>
        <v>6533бордовый</v>
      </c>
      <c r="W38" s="60" t="str">
        <f t="shared" si="0"/>
        <v>6533</v>
      </c>
      <c r="X38" s="60" t="str">
        <f t="shared" si="5"/>
        <v/>
      </c>
      <c r="AC38" s="51">
        <f t="shared" si="6"/>
        <v>94</v>
      </c>
      <c r="AD38" s="44">
        <f t="shared" si="1"/>
        <v>14</v>
      </c>
      <c r="AE38" s="51">
        <f t="shared" si="7"/>
        <v>94014</v>
      </c>
    </row>
    <row r="39" spans="1:31">
      <c r="A39" s="60" t="str">
        <f t="shared" si="2"/>
        <v>6533dark grey</v>
      </c>
      <c r="B39" s="60" t="str">
        <f t="shared" si="3"/>
        <v>94-014-05</v>
      </c>
      <c r="C39" s="72" t="s">
        <v>1016</v>
      </c>
      <c r="D39" s="72" t="s">
        <v>1017</v>
      </c>
      <c r="E39" s="72" t="s">
        <v>1014</v>
      </c>
      <c r="F39" s="73">
        <v>60</v>
      </c>
      <c r="G39" s="73">
        <v>6533</v>
      </c>
      <c r="H39" s="72" t="s">
        <v>277</v>
      </c>
      <c r="I39" s="72" t="s">
        <v>1010</v>
      </c>
      <c r="J39" s="72" t="s">
        <v>356</v>
      </c>
      <c r="K39" s="72" t="s">
        <v>382</v>
      </c>
      <c r="L39" s="72" t="s">
        <v>918</v>
      </c>
      <c r="M39" s="72" t="s">
        <v>388</v>
      </c>
      <c r="O39" s="72" t="s">
        <v>541</v>
      </c>
      <c r="P39" s="72" t="s">
        <v>919</v>
      </c>
      <c r="Q39" s="72" t="s">
        <v>932</v>
      </c>
      <c r="R39" s="72" t="s">
        <v>83</v>
      </c>
      <c r="V39" s="60" t="str">
        <f t="shared" si="4"/>
        <v>6533темно-серый</v>
      </c>
      <c r="W39" s="60" t="str">
        <f t="shared" si="0"/>
        <v>6533</v>
      </c>
      <c r="X39" s="60" t="str">
        <f t="shared" si="5"/>
        <v/>
      </c>
      <c r="AC39" s="51">
        <f t="shared" si="6"/>
        <v>94</v>
      </c>
      <c r="AD39" s="44">
        <f t="shared" si="1"/>
        <v>14</v>
      </c>
      <c r="AE39" s="51">
        <f t="shared" si="7"/>
        <v>94014</v>
      </c>
    </row>
    <row r="40" spans="1:31">
      <c r="A40" s="60" t="str">
        <f t="shared" si="2"/>
        <v>6533dark grey</v>
      </c>
      <c r="B40" s="60" t="str">
        <f t="shared" si="3"/>
        <v>94-014-05</v>
      </c>
      <c r="C40" s="72" t="s">
        <v>1018</v>
      </c>
      <c r="D40" s="72" t="s">
        <v>1017</v>
      </c>
      <c r="E40" s="72" t="s">
        <v>1009</v>
      </c>
      <c r="F40" s="73">
        <v>56</v>
      </c>
      <c r="G40" s="73">
        <v>6533</v>
      </c>
      <c r="H40" s="72" t="s">
        <v>277</v>
      </c>
      <c r="I40" s="72" t="s">
        <v>1010</v>
      </c>
      <c r="J40" s="72" t="s">
        <v>356</v>
      </c>
      <c r="K40" s="72" t="s">
        <v>382</v>
      </c>
      <c r="L40" s="72" t="s">
        <v>918</v>
      </c>
      <c r="M40" s="72" t="s">
        <v>388</v>
      </c>
      <c r="O40" s="72" t="s">
        <v>541</v>
      </c>
      <c r="P40" s="72" t="s">
        <v>919</v>
      </c>
      <c r="Q40" s="72" t="s">
        <v>932</v>
      </c>
      <c r="R40" s="72" t="s">
        <v>83</v>
      </c>
      <c r="V40" s="60" t="str">
        <f t="shared" si="4"/>
        <v>6533темно-серый</v>
      </c>
      <c r="W40" s="60" t="str">
        <f t="shared" si="0"/>
        <v>6533</v>
      </c>
      <c r="X40" s="60" t="str">
        <f t="shared" si="5"/>
        <v/>
      </c>
      <c r="AC40" s="51">
        <f t="shared" si="6"/>
        <v>94</v>
      </c>
      <c r="AD40" s="44">
        <f t="shared" si="1"/>
        <v>14</v>
      </c>
      <c r="AE40" s="51">
        <f t="shared" si="7"/>
        <v>94014</v>
      </c>
    </row>
    <row r="41" spans="1:31">
      <c r="A41" s="60" t="str">
        <f t="shared" si="2"/>
        <v>6511brown</v>
      </c>
      <c r="B41" s="60" t="str">
        <f t="shared" si="3"/>
        <v>94-013-14</v>
      </c>
      <c r="C41" s="72" t="s">
        <v>1019</v>
      </c>
      <c r="D41" s="72" t="s">
        <v>1020</v>
      </c>
      <c r="E41" s="72" t="s">
        <v>1009</v>
      </c>
      <c r="F41" s="73">
        <v>56</v>
      </c>
      <c r="G41" s="73">
        <v>6511</v>
      </c>
      <c r="H41" s="72" t="s">
        <v>86</v>
      </c>
      <c r="I41" s="72" t="s">
        <v>1021</v>
      </c>
      <c r="J41" s="72" t="s">
        <v>356</v>
      </c>
      <c r="K41" s="72" t="s">
        <v>382</v>
      </c>
      <c r="L41" s="72" t="s">
        <v>918</v>
      </c>
      <c r="M41" s="72" t="s">
        <v>388</v>
      </c>
      <c r="O41" s="72" t="s">
        <v>541</v>
      </c>
      <c r="P41" s="72" t="s">
        <v>919</v>
      </c>
      <c r="Q41" s="72" t="s">
        <v>949</v>
      </c>
      <c r="R41" s="72" t="s">
        <v>86</v>
      </c>
      <c r="V41" s="60" t="str">
        <f t="shared" si="4"/>
        <v>6511коричневый</v>
      </c>
      <c r="W41" s="60" t="str">
        <f t="shared" si="0"/>
        <v>6511</v>
      </c>
      <c r="X41" s="60" t="str">
        <f t="shared" si="5"/>
        <v/>
      </c>
      <c r="AC41" s="51">
        <f t="shared" si="6"/>
        <v>94</v>
      </c>
      <c r="AD41" s="44">
        <f t="shared" si="1"/>
        <v>13</v>
      </c>
      <c r="AE41" s="51">
        <f t="shared" si="7"/>
        <v>94013</v>
      </c>
    </row>
    <row r="42" spans="1:31">
      <c r="A42" s="60" t="str">
        <f t="shared" si="2"/>
        <v>6320red</v>
      </c>
      <c r="B42" s="60" t="str">
        <f t="shared" si="3"/>
        <v>94-012-18</v>
      </c>
      <c r="C42" s="72" t="s">
        <v>1022</v>
      </c>
      <c r="D42" s="72" t="s">
        <v>1023</v>
      </c>
      <c r="E42" s="72" t="s">
        <v>909</v>
      </c>
      <c r="F42" s="73">
        <v>0</v>
      </c>
      <c r="G42" s="73">
        <v>6320</v>
      </c>
      <c r="H42" s="72" t="s">
        <v>78</v>
      </c>
      <c r="I42" s="72" t="s">
        <v>911</v>
      </c>
      <c r="J42" s="72" t="s">
        <v>356</v>
      </c>
      <c r="K42" s="72" t="s">
        <v>382</v>
      </c>
      <c r="L42" s="72" t="s">
        <v>918</v>
      </c>
      <c r="M42" s="72" t="s">
        <v>388</v>
      </c>
      <c r="O42" s="72" t="s">
        <v>541</v>
      </c>
      <c r="P42" s="72" t="s">
        <v>919</v>
      </c>
      <c r="Q42" s="72" t="s">
        <v>920</v>
      </c>
      <c r="R42" s="72" t="s">
        <v>78</v>
      </c>
      <c r="V42" s="60" t="str">
        <f t="shared" si="4"/>
        <v>6320красный</v>
      </c>
      <c r="W42" s="60" t="str">
        <f t="shared" si="0"/>
        <v>6320</v>
      </c>
      <c r="X42" s="60" t="str">
        <f t="shared" si="5"/>
        <v/>
      </c>
      <c r="AC42" s="51">
        <f t="shared" si="6"/>
        <v>94</v>
      </c>
      <c r="AD42" s="44">
        <f t="shared" si="1"/>
        <v>12</v>
      </c>
      <c r="AE42" s="51">
        <f t="shared" si="7"/>
        <v>94012</v>
      </c>
    </row>
    <row r="43" spans="1:31">
      <c r="A43" s="60" t="str">
        <f t="shared" si="2"/>
        <v>6320royal</v>
      </c>
      <c r="B43" s="60" t="str">
        <f t="shared" si="3"/>
        <v>94-012-06</v>
      </c>
      <c r="C43" s="72" t="s">
        <v>1024</v>
      </c>
      <c r="D43" s="72" t="s">
        <v>1025</v>
      </c>
      <c r="E43" s="72" t="s">
        <v>909</v>
      </c>
      <c r="F43" s="73">
        <v>0</v>
      </c>
      <c r="G43" s="73">
        <v>6320</v>
      </c>
      <c r="H43" s="72" t="s">
        <v>71</v>
      </c>
      <c r="I43" s="72" t="s">
        <v>911</v>
      </c>
      <c r="J43" s="72" t="s">
        <v>356</v>
      </c>
      <c r="K43" s="72" t="s">
        <v>382</v>
      </c>
      <c r="L43" s="72" t="s">
        <v>918</v>
      </c>
      <c r="M43" s="72" t="s">
        <v>388</v>
      </c>
      <c r="O43" s="72" t="s">
        <v>541</v>
      </c>
      <c r="P43" s="72" t="s">
        <v>919</v>
      </c>
      <c r="Q43" s="72" t="s">
        <v>929</v>
      </c>
      <c r="R43" s="72" t="s">
        <v>71</v>
      </c>
      <c r="V43" s="60" t="str">
        <f t="shared" si="4"/>
        <v>6320синий</v>
      </c>
      <c r="W43" s="60" t="str">
        <f t="shared" si="0"/>
        <v>6320</v>
      </c>
      <c r="X43" s="60" t="str">
        <f t="shared" si="5"/>
        <v/>
      </c>
      <c r="AC43" s="51">
        <f t="shared" si="6"/>
        <v>94</v>
      </c>
      <c r="AD43" s="44">
        <f t="shared" si="1"/>
        <v>12</v>
      </c>
      <c r="AE43" s="51">
        <f t="shared" si="7"/>
        <v>94012</v>
      </c>
    </row>
    <row r="44" spans="1:31">
      <c r="A44" s="60" t="str">
        <f t="shared" si="2"/>
        <v>6277brown</v>
      </c>
      <c r="B44" s="60" t="str">
        <f t="shared" si="3"/>
        <v>94-011-14</v>
      </c>
      <c r="C44" s="72" t="s">
        <v>1026</v>
      </c>
      <c r="D44" s="72" t="s">
        <v>1027</v>
      </c>
      <c r="E44" s="72" t="s">
        <v>1014</v>
      </c>
      <c r="F44" s="73">
        <v>60</v>
      </c>
      <c r="G44" s="73">
        <v>6277</v>
      </c>
      <c r="H44" s="72" t="s">
        <v>86</v>
      </c>
      <c r="I44" s="72" t="s">
        <v>1028</v>
      </c>
      <c r="J44" s="72" t="s">
        <v>327</v>
      </c>
      <c r="K44" s="72" t="s">
        <v>382</v>
      </c>
      <c r="L44" s="72" t="s">
        <v>918</v>
      </c>
      <c r="M44" s="72" t="s">
        <v>388</v>
      </c>
      <c r="O44" s="72" t="s">
        <v>541</v>
      </c>
      <c r="P44" s="72" t="s">
        <v>919</v>
      </c>
      <c r="Q44" s="72" t="s">
        <v>949</v>
      </c>
      <c r="R44" s="72" t="s">
        <v>86</v>
      </c>
      <c r="V44" s="60" t="str">
        <f t="shared" si="4"/>
        <v>6277коричневый</v>
      </c>
      <c r="W44" s="60" t="str">
        <f t="shared" si="0"/>
        <v>6277</v>
      </c>
      <c r="X44" s="60" t="str">
        <f t="shared" si="5"/>
        <v/>
      </c>
      <c r="AC44" s="51">
        <f t="shared" si="6"/>
        <v>94</v>
      </c>
      <c r="AD44" s="44">
        <f t="shared" si="1"/>
        <v>11</v>
      </c>
      <c r="AE44" s="51">
        <f t="shared" si="7"/>
        <v>94011</v>
      </c>
    </row>
    <row r="45" spans="1:31">
      <c r="A45" s="60" t="str">
        <f t="shared" si="2"/>
        <v>6277brown</v>
      </c>
      <c r="B45" s="60" t="str">
        <f t="shared" si="3"/>
        <v>94-011-14</v>
      </c>
      <c r="C45" s="72" t="s">
        <v>1029</v>
      </c>
      <c r="D45" s="72" t="s">
        <v>1027</v>
      </c>
      <c r="E45" s="72" t="s">
        <v>1009</v>
      </c>
      <c r="F45" s="73">
        <v>56</v>
      </c>
      <c r="G45" s="73">
        <v>6277</v>
      </c>
      <c r="H45" s="72" t="s">
        <v>86</v>
      </c>
      <c r="I45" s="72" t="s">
        <v>1028</v>
      </c>
      <c r="J45" s="72" t="s">
        <v>327</v>
      </c>
      <c r="K45" s="72" t="s">
        <v>382</v>
      </c>
      <c r="L45" s="72" t="s">
        <v>918</v>
      </c>
      <c r="M45" s="72" t="s">
        <v>388</v>
      </c>
      <c r="O45" s="72" t="s">
        <v>541</v>
      </c>
      <c r="P45" s="72" t="s">
        <v>919</v>
      </c>
      <c r="Q45" s="72" t="s">
        <v>949</v>
      </c>
      <c r="R45" s="72" t="s">
        <v>86</v>
      </c>
      <c r="V45" s="60" t="str">
        <f t="shared" si="4"/>
        <v>6277коричневый</v>
      </c>
      <c r="W45" s="60" t="str">
        <f t="shared" si="0"/>
        <v>6277</v>
      </c>
      <c r="X45" s="60" t="str">
        <f t="shared" si="5"/>
        <v/>
      </c>
      <c r="AC45" s="51">
        <f t="shared" si="6"/>
        <v>94</v>
      </c>
      <c r="AD45" s="44">
        <f t="shared" si="1"/>
        <v>11</v>
      </c>
      <c r="AE45" s="51">
        <f t="shared" si="7"/>
        <v>94011</v>
      </c>
    </row>
    <row r="46" spans="1:31">
      <c r="A46" s="60" t="str">
        <f t="shared" si="2"/>
        <v>6277gold</v>
      </c>
      <c r="B46" s="60" t="str">
        <f t="shared" si="3"/>
        <v>94-011-00</v>
      </c>
      <c r="C46" s="72" t="s">
        <v>1030</v>
      </c>
      <c r="D46" s="72" t="s">
        <v>1031</v>
      </c>
      <c r="E46" s="72" t="s">
        <v>1014</v>
      </c>
      <c r="F46" s="73">
        <v>60</v>
      </c>
      <c r="G46" s="73">
        <v>6277</v>
      </c>
      <c r="H46" s="72" t="s">
        <v>157</v>
      </c>
      <c r="I46" s="72" t="s">
        <v>1028</v>
      </c>
      <c r="J46" s="72" t="s">
        <v>327</v>
      </c>
      <c r="K46" s="72" t="s">
        <v>382</v>
      </c>
      <c r="L46" s="72" t="s">
        <v>918</v>
      </c>
      <c r="M46" s="72" t="s">
        <v>388</v>
      </c>
      <c r="O46" s="72" t="s">
        <v>541</v>
      </c>
      <c r="P46" s="72" t="s">
        <v>919</v>
      </c>
      <c r="Q46" s="72" t="s">
        <v>973</v>
      </c>
      <c r="R46" s="72" t="s">
        <v>65</v>
      </c>
      <c r="V46" s="60" t="str">
        <f t="shared" si="4"/>
        <v>6277золотой</v>
      </c>
      <c r="W46" s="60" t="str">
        <f t="shared" si="0"/>
        <v>6277</v>
      </c>
      <c r="X46" s="60" t="str">
        <f t="shared" si="5"/>
        <v/>
      </c>
      <c r="AC46" s="51">
        <f t="shared" si="6"/>
        <v>94</v>
      </c>
      <c r="AD46" s="44">
        <f t="shared" si="1"/>
        <v>11</v>
      </c>
      <c r="AE46" s="51">
        <f t="shared" si="7"/>
        <v>94011</v>
      </c>
    </row>
    <row r="47" spans="1:31">
      <c r="A47" s="60" t="str">
        <f t="shared" si="2"/>
        <v>6277gold</v>
      </c>
      <c r="B47" s="60" t="str">
        <f t="shared" si="3"/>
        <v>94-011-00</v>
      </c>
      <c r="C47" s="72" t="s">
        <v>1032</v>
      </c>
      <c r="D47" s="72" t="s">
        <v>1031</v>
      </c>
      <c r="E47" s="72" t="s">
        <v>1009</v>
      </c>
      <c r="F47" s="73">
        <v>56</v>
      </c>
      <c r="G47" s="73">
        <v>6277</v>
      </c>
      <c r="H47" s="72" t="s">
        <v>157</v>
      </c>
      <c r="I47" s="72" t="s">
        <v>1028</v>
      </c>
      <c r="J47" s="72" t="s">
        <v>327</v>
      </c>
      <c r="K47" s="72" t="s">
        <v>382</v>
      </c>
      <c r="L47" s="72" t="s">
        <v>918</v>
      </c>
      <c r="M47" s="72" t="s">
        <v>388</v>
      </c>
      <c r="O47" s="72" t="s">
        <v>541</v>
      </c>
      <c r="P47" s="72" t="s">
        <v>919</v>
      </c>
      <c r="Q47" s="72" t="s">
        <v>973</v>
      </c>
      <c r="R47" s="72" t="s">
        <v>65</v>
      </c>
      <c r="V47" s="60" t="str">
        <f t="shared" si="4"/>
        <v>6277золотой</v>
      </c>
      <c r="W47" s="60" t="str">
        <f t="shared" si="0"/>
        <v>6277</v>
      </c>
      <c r="X47" s="60" t="str">
        <f t="shared" si="5"/>
        <v/>
      </c>
      <c r="AC47" s="51">
        <f t="shared" si="6"/>
        <v>94</v>
      </c>
      <c r="AD47" s="44">
        <f t="shared" si="1"/>
        <v>11</v>
      </c>
      <c r="AE47" s="51">
        <f t="shared" si="7"/>
        <v>94011</v>
      </c>
    </row>
    <row r="48" spans="1:31">
      <c r="A48" s="60" t="str">
        <f t="shared" si="2"/>
        <v>6089TCcamo/black</v>
      </c>
      <c r="B48" s="60" t="str">
        <f t="shared" si="3"/>
        <v>94-010-00</v>
      </c>
      <c r="C48" s="72" t="s">
        <v>1033</v>
      </c>
      <c r="D48" s="72" t="s">
        <v>1034</v>
      </c>
      <c r="E48" s="72" t="s">
        <v>909</v>
      </c>
      <c r="F48" s="73">
        <v>0</v>
      </c>
      <c r="G48" s="73" t="s">
        <v>1035</v>
      </c>
      <c r="H48" s="72" t="s">
        <v>845</v>
      </c>
      <c r="I48" s="72" t="s">
        <v>912</v>
      </c>
      <c r="J48" s="72" t="s">
        <v>783</v>
      </c>
      <c r="K48" s="72" t="s">
        <v>382</v>
      </c>
      <c r="L48" s="72" t="s">
        <v>918</v>
      </c>
      <c r="M48" s="72" t="s">
        <v>388</v>
      </c>
      <c r="O48" s="72" t="s">
        <v>541</v>
      </c>
      <c r="P48" s="72" t="s">
        <v>919</v>
      </c>
      <c r="Q48" s="72" t="s">
        <v>1036</v>
      </c>
      <c r="R48" s="72" t="s">
        <v>60</v>
      </c>
      <c r="V48" s="60" t="str">
        <f t="shared" si="4"/>
        <v>6089TCкамуфляж / черный</v>
      </c>
      <c r="W48" s="60" t="str">
        <f t="shared" si="0"/>
        <v>6089TC</v>
      </c>
      <c r="X48" s="60" t="str">
        <f t="shared" si="5"/>
        <v/>
      </c>
      <c r="AC48" s="51">
        <f t="shared" si="6"/>
        <v>94</v>
      </c>
      <c r="AD48" s="44">
        <f t="shared" si="1"/>
        <v>10</v>
      </c>
      <c r="AE48" s="51">
        <f t="shared" si="7"/>
        <v>94010</v>
      </c>
    </row>
    <row r="49" spans="1:31">
      <c r="A49" s="60" t="str">
        <f t="shared" si="2"/>
        <v>6089MTblack/red</v>
      </c>
      <c r="B49" s="60" t="str">
        <f t="shared" si="3"/>
        <v>94-009-72</v>
      </c>
      <c r="C49" s="72" t="s">
        <v>1037</v>
      </c>
      <c r="D49" s="72" t="s">
        <v>1038</v>
      </c>
      <c r="E49" s="72" t="s">
        <v>909</v>
      </c>
      <c r="F49" s="73">
        <v>0</v>
      </c>
      <c r="G49" s="73" t="s">
        <v>1039</v>
      </c>
      <c r="H49" s="72" t="s">
        <v>302</v>
      </c>
      <c r="I49" s="72" t="s">
        <v>1040</v>
      </c>
      <c r="J49" s="72" t="s">
        <v>783</v>
      </c>
      <c r="K49" s="72" t="s">
        <v>382</v>
      </c>
      <c r="L49" s="72" t="s">
        <v>918</v>
      </c>
      <c r="M49" s="72" t="s">
        <v>388</v>
      </c>
      <c r="N49" s="72" t="s">
        <v>46</v>
      </c>
      <c r="O49" s="72" t="s">
        <v>541</v>
      </c>
      <c r="P49" s="72" t="s">
        <v>919</v>
      </c>
      <c r="Q49" s="72" t="s">
        <v>1041</v>
      </c>
      <c r="R49" s="72" t="s">
        <v>53</v>
      </c>
      <c r="V49" s="60" t="str">
        <f t="shared" si="4"/>
        <v>6089MTчерный / красный</v>
      </c>
      <c r="W49" s="60" t="str">
        <f t="shared" si="0"/>
        <v>6089MT</v>
      </c>
      <c r="X49" s="60" t="str">
        <f t="shared" si="5"/>
        <v/>
      </c>
      <c r="AC49" s="51">
        <f t="shared" si="6"/>
        <v>94</v>
      </c>
      <c r="AD49" s="44">
        <f t="shared" si="1"/>
        <v>9</v>
      </c>
      <c r="AE49" s="51">
        <f t="shared" si="7"/>
        <v>94009</v>
      </c>
    </row>
    <row r="50" spans="1:31">
      <c r="A50" s="60" t="str">
        <f t="shared" si="2"/>
        <v>6089MTnavy/red</v>
      </c>
      <c r="B50" s="60" t="str">
        <f t="shared" si="3"/>
        <v>94-009-71</v>
      </c>
      <c r="C50" s="72" t="s">
        <v>1042</v>
      </c>
      <c r="D50" s="72" t="s">
        <v>1043</v>
      </c>
      <c r="E50" s="72" t="s">
        <v>909</v>
      </c>
      <c r="F50" s="73">
        <v>0</v>
      </c>
      <c r="G50" s="73" t="s">
        <v>1039</v>
      </c>
      <c r="H50" s="72" t="s">
        <v>592</v>
      </c>
      <c r="I50" s="72" t="s">
        <v>1040</v>
      </c>
      <c r="J50" s="72" t="s">
        <v>783</v>
      </c>
      <c r="K50" s="72" t="s">
        <v>382</v>
      </c>
      <c r="L50" s="72" t="s">
        <v>918</v>
      </c>
      <c r="M50" s="72" t="s">
        <v>388</v>
      </c>
      <c r="N50" s="72" t="s">
        <v>46</v>
      </c>
      <c r="O50" s="72" t="s">
        <v>541</v>
      </c>
      <c r="P50" s="72" t="s">
        <v>855</v>
      </c>
      <c r="Q50" s="72" t="s">
        <v>1044</v>
      </c>
      <c r="R50" s="72" t="s">
        <v>71</v>
      </c>
      <c r="V50" s="60" t="str">
        <f t="shared" si="4"/>
        <v>6089MTтемно-синий / красный</v>
      </c>
      <c r="W50" s="60" t="str">
        <f t="shared" si="0"/>
        <v>6089MT</v>
      </c>
      <c r="X50" s="60" t="str">
        <f t="shared" si="5"/>
        <v/>
      </c>
      <c r="AC50" s="51">
        <f t="shared" si="6"/>
        <v>94</v>
      </c>
      <c r="AD50" s="44">
        <f t="shared" si="1"/>
        <v>9</v>
      </c>
      <c r="AE50" s="51">
        <f t="shared" si="7"/>
        <v>94009</v>
      </c>
    </row>
    <row r="51" spans="1:31">
      <c r="A51" s="60" t="str">
        <f t="shared" si="2"/>
        <v>6089MTroyal/orange</v>
      </c>
      <c r="B51" s="60" t="str">
        <f t="shared" si="3"/>
        <v>94-009-45</v>
      </c>
      <c r="C51" s="72" t="s">
        <v>1045</v>
      </c>
      <c r="D51" s="72" t="s">
        <v>1046</v>
      </c>
      <c r="E51" s="72" t="s">
        <v>909</v>
      </c>
      <c r="F51" s="73">
        <v>0</v>
      </c>
      <c r="G51" s="73" t="s">
        <v>1039</v>
      </c>
      <c r="H51" s="72" t="s">
        <v>254</v>
      </c>
      <c r="I51" s="72" t="s">
        <v>1040</v>
      </c>
      <c r="J51" s="72" t="s">
        <v>783</v>
      </c>
      <c r="K51" s="72" t="s">
        <v>382</v>
      </c>
      <c r="L51" s="72" t="s">
        <v>918</v>
      </c>
      <c r="M51" s="72" t="s">
        <v>388</v>
      </c>
      <c r="N51" s="72" t="s">
        <v>46</v>
      </c>
      <c r="O51" s="72" t="s">
        <v>541</v>
      </c>
      <c r="P51" s="72" t="s">
        <v>919</v>
      </c>
      <c r="Q51" s="72" t="s">
        <v>1047</v>
      </c>
      <c r="R51" s="72" t="s">
        <v>71</v>
      </c>
      <c r="V51" s="60" t="str">
        <f t="shared" si="4"/>
        <v>6089MTсиний / оранжевый</v>
      </c>
      <c r="W51" s="60" t="str">
        <f t="shared" si="0"/>
        <v>6089MT</v>
      </c>
      <c r="X51" s="60" t="str">
        <f t="shared" si="5"/>
        <v/>
      </c>
      <c r="AC51" s="51">
        <f t="shared" si="6"/>
        <v>94</v>
      </c>
      <c r="AD51" s="44">
        <f t="shared" si="1"/>
        <v>9</v>
      </c>
      <c r="AE51" s="51">
        <f t="shared" si="7"/>
        <v>94009</v>
      </c>
    </row>
    <row r="52" spans="1:31">
      <c r="A52" s="60" t="str">
        <f t="shared" si="2"/>
        <v>6089MTheather/black</v>
      </c>
      <c r="B52" s="60" t="str">
        <f t="shared" si="3"/>
        <v>94-009-11</v>
      </c>
      <c r="C52" s="72" t="s">
        <v>1048</v>
      </c>
      <c r="D52" s="72" t="s">
        <v>1049</v>
      </c>
      <c r="E52" s="72" t="s">
        <v>909</v>
      </c>
      <c r="F52" s="73">
        <v>0</v>
      </c>
      <c r="G52" s="73" t="s">
        <v>1039</v>
      </c>
      <c r="H52" s="72" t="s">
        <v>853</v>
      </c>
      <c r="I52" s="72" t="s">
        <v>1040</v>
      </c>
      <c r="J52" s="72" t="s">
        <v>783</v>
      </c>
      <c r="K52" s="72" t="s">
        <v>382</v>
      </c>
      <c r="L52" s="72" t="s">
        <v>918</v>
      </c>
      <c r="M52" s="72" t="s">
        <v>388</v>
      </c>
      <c r="N52" s="72" t="s">
        <v>46</v>
      </c>
      <c r="O52" s="72" t="s">
        <v>541</v>
      </c>
      <c r="P52" s="72" t="s">
        <v>919</v>
      </c>
      <c r="Q52" s="72" t="s">
        <v>1050</v>
      </c>
      <c r="R52" s="72" t="s">
        <v>83</v>
      </c>
      <c r="V52" s="60" t="str">
        <f t="shared" si="4"/>
        <v>6089MTсветло-серый / черный</v>
      </c>
      <c r="W52" s="60" t="str">
        <f t="shared" si="0"/>
        <v>6089MT</v>
      </c>
      <c r="X52" s="60" t="str">
        <f t="shared" si="5"/>
        <v/>
      </c>
      <c r="AC52" s="51">
        <f t="shared" si="6"/>
        <v>94</v>
      </c>
      <c r="AD52" s="44">
        <f t="shared" si="1"/>
        <v>9</v>
      </c>
      <c r="AE52" s="51">
        <f t="shared" si="7"/>
        <v>94009</v>
      </c>
    </row>
    <row r="53" spans="1:31">
      <c r="A53" s="60" t="str">
        <f t="shared" si="2"/>
        <v>6089MTblack/silver</v>
      </c>
      <c r="B53" s="60" t="str">
        <f t="shared" si="3"/>
        <v>94-009-10</v>
      </c>
      <c r="C53" s="72" t="s">
        <v>1051</v>
      </c>
      <c r="D53" s="72" t="s">
        <v>1052</v>
      </c>
      <c r="E53" s="72" t="s">
        <v>909</v>
      </c>
      <c r="F53" s="73">
        <v>0</v>
      </c>
      <c r="G53" s="73" t="s">
        <v>1039</v>
      </c>
      <c r="H53" s="72" t="s">
        <v>308</v>
      </c>
      <c r="I53" s="72" t="s">
        <v>1040</v>
      </c>
      <c r="J53" s="72" t="s">
        <v>783</v>
      </c>
      <c r="K53" s="72" t="s">
        <v>382</v>
      </c>
      <c r="L53" s="72" t="s">
        <v>918</v>
      </c>
      <c r="M53" s="72" t="s">
        <v>388</v>
      </c>
      <c r="N53" s="72" t="s">
        <v>46</v>
      </c>
      <c r="O53" s="72" t="s">
        <v>541</v>
      </c>
      <c r="P53" s="72" t="s">
        <v>919</v>
      </c>
      <c r="Q53" s="72" t="s">
        <v>1053</v>
      </c>
      <c r="R53" s="72" t="s">
        <v>53</v>
      </c>
      <c r="V53" s="60" t="str">
        <f t="shared" si="4"/>
        <v>6089MTчерный / серый</v>
      </c>
      <c r="W53" s="60" t="str">
        <f t="shared" si="0"/>
        <v>6089MT</v>
      </c>
      <c r="X53" s="60" t="str">
        <f t="shared" si="5"/>
        <v/>
      </c>
      <c r="AC53" s="51">
        <f t="shared" si="6"/>
        <v>94</v>
      </c>
      <c r="AD53" s="44">
        <f t="shared" si="1"/>
        <v>9</v>
      </c>
      <c r="AE53" s="51">
        <f t="shared" si="7"/>
        <v>94009</v>
      </c>
    </row>
    <row r="54" spans="1:31">
      <c r="A54" s="60" t="str">
        <f t="shared" si="2"/>
        <v>6089MTdark heather/black</v>
      </c>
      <c r="B54" s="60" t="str">
        <f t="shared" si="3"/>
        <v>94-009-09</v>
      </c>
      <c r="C54" s="72" t="s">
        <v>1054</v>
      </c>
      <c r="D54" s="72" t="s">
        <v>1055</v>
      </c>
      <c r="E54" s="72" t="s">
        <v>909</v>
      </c>
      <c r="F54" s="73">
        <v>0</v>
      </c>
      <c r="G54" s="73" t="s">
        <v>1039</v>
      </c>
      <c r="H54" s="72" t="s">
        <v>246</v>
      </c>
      <c r="I54" s="72" t="s">
        <v>1040</v>
      </c>
      <c r="J54" s="72" t="s">
        <v>783</v>
      </c>
      <c r="K54" s="72" t="s">
        <v>382</v>
      </c>
      <c r="L54" s="72" t="s">
        <v>918</v>
      </c>
      <c r="M54" s="72" t="s">
        <v>388</v>
      </c>
      <c r="N54" s="72" t="s">
        <v>46</v>
      </c>
      <c r="O54" s="72" t="s">
        <v>541</v>
      </c>
      <c r="P54" s="72" t="s">
        <v>919</v>
      </c>
      <c r="Q54" s="72" t="s">
        <v>1056</v>
      </c>
      <c r="R54" s="72" t="s">
        <v>83</v>
      </c>
      <c r="V54" s="60" t="str">
        <f t="shared" si="4"/>
        <v>6089MTсерый / черный</v>
      </c>
      <c r="W54" s="60" t="str">
        <f t="shared" si="0"/>
        <v>6089MT</v>
      </c>
      <c r="X54" s="60" t="str">
        <f t="shared" si="5"/>
        <v/>
      </c>
      <c r="AC54" s="51">
        <f t="shared" si="6"/>
        <v>94</v>
      </c>
      <c r="AD54" s="44">
        <f t="shared" si="1"/>
        <v>9</v>
      </c>
      <c r="AE54" s="51">
        <f t="shared" si="7"/>
        <v>94009</v>
      </c>
    </row>
    <row r="55" spans="1:31">
      <c r="A55" s="60" t="str">
        <f t="shared" si="2"/>
        <v>6089MTdark heather/red</v>
      </c>
      <c r="B55" s="60" t="str">
        <f t="shared" si="3"/>
        <v>94-009-08</v>
      </c>
      <c r="C55" s="72" t="s">
        <v>1057</v>
      </c>
      <c r="D55" s="72" t="s">
        <v>1058</v>
      </c>
      <c r="E55" s="72" t="s">
        <v>909</v>
      </c>
      <c r="F55" s="73">
        <v>0</v>
      </c>
      <c r="G55" s="73" t="s">
        <v>1039</v>
      </c>
      <c r="H55" s="72" t="s">
        <v>241</v>
      </c>
      <c r="I55" s="72" t="s">
        <v>1040</v>
      </c>
      <c r="J55" s="72" t="s">
        <v>783</v>
      </c>
      <c r="K55" s="72" t="s">
        <v>382</v>
      </c>
      <c r="L55" s="72" t="s">
        <v>918</v>
      </c>
      <c r="M55" s="72" t="s">
        <v>388</v>
      </c>
      <c r="N55" s="72" t="s">
        <v>46</v>
      </c>
      <c r="O55" s="72" t="s">
        <v>541</v>
      </c>
      <c r="P55" s="72" t="s">
        <v>855</v>
      </c>
      <c r="Q55" s="72" t="s">
        <v>1059</v>
      </c>
      <c r="R55" s="72" t="s">
        <v>83</v>
      </c>
      <c r="V55" s="60" t="str">
        <f t="shared" si="4"/>
        <v>6089MTсерый / красный</v>
      </c>
      <c r="W55" s="60" t="str">
        <f t="shared" si="0"/>
        <v>6089MT</v>
      </c>
      <c r="X55" s="60" t="str">
        <f t="shared" si="5"/>
        <v/>
      </c>
      <c r="AC55" s="51">
        <f t="shared" si="6"/>
        <v>94</v>
      </c>
      <c r="AD55" s="44">
        <f t="shared" si="1"/>
        <v>9</v>
      </c>
      <c r="AE55" s="51">
        <f t="shared" si="7"/>
        <v>94009</v>
      </c>
    </row>
    <row r="56" spans="1:31">
      <c r="A56" s="60" t="str">
        <f t="shared" si="2"/>
        <v>6089MCmulticam</v>
      </c>
      <c r="B56" s="60" t="str">
        <f t="shared" si="3"/>
        <v>94-008-00</v>
      </c>
      <c r="C56" s="72" t="s">
        <v>1060</v>
      </c>
      <c r="D56" s="72" t="s">
        <v>1061</v>
      </c>
      <c r="E56" s="72" t="s">
        <v>909</v>
      </c>
      <c r="F56" s="73">
        <v>0</v>
      </c>
      <c r="G56" s="73" t="s">
        <v>1062</v>
      </c>
      <c r="H56" s="72" t="s">
        <v>158</v>
      </c>
      <c r="I56" s="72" t="s">
        <v>1063</v>
      </c>
      <c r="J56" s="72" t="s">
        <v>783</v>
      </c>
      <c r="K56" s="72" t="s">
        <v>382</v>
      </c>
      <c r="L56" s="72" t="s">
        <v>918</v>
      </c>
      <c r="M56" s="72" t="s">
        <v>388</v>
      </c>
      <c r="N56" s="72" t="s">
        <v>43</v>
      </c>
      <c r="O56" s="72" t="s">
        <v>541</v>
      </c>
      <c r="P56" s="72" t="s">
        <v>919</v>
      </c>
      <c r="Q56" s="72" t="s">
        <v>1064</v>
      </c>
      <c r="R56" s="72" t="s">
        <v>60</v>
      </c>
      <c r="V56" s="60" t="str">
        <f t="shared" si="4"/>
        <v>6089MCкамуфляж</v>
      </c>
      <c r="W56" s="60" t="str">
        <f t="shared" si="0"/>
        <v>6089MC</v>
      </c>
      <c r="X56" s="60" t="str">
        <f t="shared" si="5"/>
        <v/>
      </c>
      <c r="AC56" s="51">
        <f t="shared" si="6"/>
        <v>94</v>
      </c>
      <c r="AD56" s="44">
        <f t="shared" si="1"/>
        <v>8</v>
      </c>
      <c r="AE56" s="51">
        <f t="shared" si="7"/>
        <v>94008</v>
      </c>
    </row>
    <row r="57" spans="1:31">
      <c r="A57" s="60" t="str">
        <f t="shared" si="2"/>
        <v>6089Mdark navy</v>
      </c>
      <c r="B57" s="60" t="str">
        <f t="shared" si="3"/>
        <v>94-007-19</v>
      </c>
      <c r="C57" s="72" t="s">
        <v>1065</v>
      </c>
      <c r="D57" s="72" t="s">
        <v>1066</v>
      </c>
      <c r="E57" s="72" t="s">
        <v>909</v>
      </c>
      <c r="F57" s="73">
        <v>0</v>
      </c>
      <c r="G57" s="73" t="s">
        <v>1067</v>
      </c>
      <c r="H57" s="72" t="s">
        <v>776</v>
      </c>
      <c r="I57" s="72" t="s">
        <v>1040</v>
      </c>
      <c r="J57" s="72" t="s">
        <v>783</v>
      </c>
      <c r="K57" s="72" t="s">
        <v>382</v>
      </c>
      <c r="L57" s="72" t="s">
        <v>918</v>
      </c>
      <c r="M57" s="72" t="s">
        <v>388</v>
      </c>
      <c r="N57" s="72" t="s">
        <v>46</v>
      </c>
      <c r="O57" s="72" t="s">
        <v>541</v>
      </c>
      <c r="P57" s="72" t="s">
        <v>919</v>
      </c>
      <c r="Q57" s="72" t="s">
        <v>1068</v>
      </c>
      <c r="R57" s="72" t="s">
        <v>71</v>
      </c>
      <c r="V57" s="60" t="str">
        <f t="shared" si="4"/>
        <v>6089Mиссиня-черный</v>
      </c>
      <c r="W57" s="60" t="str">
        <f t="shared" si="0"/>
        <v>6089M</v>
      </c>
      <c r="X57" s="60" t="str">
        <f t="shared" si="5"/>
        <v/>
      </c>
      <c r="AC57" s="51">
        <f t="shared" si="6"/>
        <v>94</v>
      </c>
      <c r="AD57" s="44">
        <f t="shared" si="1"/>
        <v>7</v>
      </c>
      <c r="AE57" s="51">
        <f t="shared" si="7"/>
        <v>94007</v>
      </c>
    </row>
    <row r="58" spans="1:31">
      <c r="A58" s="60" t="str">
        <f t="shared" si="2"/>
        <v>6089Mred</v>
      </c>
      <c r="B58" s="60" t="str">
        <f t="shared" si="3"/>
        <v>94-007-18</v>
      </c>
      <c r="C58" s="72" t="s">
        <v>1069</v>
      </c>
      <c r="D58" s="72" t="s">
        <v>1070</v>
      </c>
      <c r="E58" s="72" t="s">
        <v>909</v>
      </c>
      <c r="F58" s="73">
        <v>0</v>
      </c>
      <c r="G58" s="73" t="s">
        <v>1067</v>
      </c>
      <c r="H58" s="72" t="s">
        <v>78</v>
      </c>
      <c r="I58" s="72" t="s">
        <v>1040</v>
      </c>
      <c r="J58" s="72" t="s">
        <v>783</v>
      </c>
      <c r="K58" s="72" t="s">
        <v>382</v>
      </c>
      <c r="L58" s="72" t="s">
        <v>918</v>
      </c>
      <c r="M58" s="72" t="s">
        <v>388</v>
      </c>
      <c r="N58" s="72" t="s">
        <v>46</v>
      </c>
      <c r="O58" s="72" t="s">
        <v>541</v>
      </c>
      <c r="P58" s="72" t="s">
        <v>919</v>
      </c>
      <c r="Q58" s="72" t="s">
        <v>920</v>
      </c>
      <c r="R58" s="72" t="s">
        <v>78</v>
      </c>
      <c r="V58" s="60" t="str">
        <f t="shared" si="4"/>
        <v>6089Mкрасный</v>
      </c>
      <c r="W58" s="60" t="str">
        <f t="shared" si="0"/>
        <v>6089M</v>
      </c>
      <c r="X58" s="60" t="str">
        <f t="shared" si="5"/>
        <v/>
      </c>
      <c r="AC58" s="51">
        <f t="shared" si="6"/>
        <v>94</v>
      </c>
      <c r="AD58" s="44">
        <f t="shared" si="1"/>
        <v>7</v>
      </c>
      <c r="AE58" s="51">
        <f t="shared" si="7"/>
        <v>94007</v>
      </c>
    </row>
    <row r="59" spans="1:31">
      <c r="A59" s="60" t="str">
        <f t="shared" si="2"/>
        <v>6089Mwhite</v>
      </c>
      <c r="B59" s="60" t="str">
        <f t="shared" si="3"/>
        <v>94-007-17</v>
      </c>
      <c r="C59" s="72" t="s">
        <v>1071</v>
      </c>
      <c r="D59" s="72" t="s">
        <v>1072</v>
      </c>
      <c r="E59" s="72" t="s">
        <v>909</v>
      </c>
      <c r="F59" s="73">
        <v>0</v>
      </c>
      <c r="G59" s="73" t="s">
        <v>1067</v>
      </c>
      <c r="H59" s="72" t="s">
        <v>57</v>
      </c>
      <c r="I59" s="72" t="s">
        <v>1040</v>
      </c>
      <c r="J59" s="72" t="s">
        <v>783</v>
      </c>
      <c r="K59" s="72" t="s">
        <v>382</v>
      </c>
      <c r="L59" s="72" t="s">
        <v>918</v>
      </c>
      <c r="M59" s="72" t="s">
        <v>388</v>
      </c>
      <c r="N59" s="72" t="s">
        <v>46</v>
      </c>
      <c r="O59" s="72" t="s">
        <v>541</v>
      </c>
      <c r="P59" s="72" t="s">
        <v>919</v>
      </c>
      <c r="Q59" s="72" t="s">
        <v>982</v>
      </c>
      <c r="R59" s="72" t="s">
        <v>57</v>
      </c>
      <c r="V59" s="60" t="str">
        <f t="shared" si="4"/>
        <v>6089Mбелый</v>
      </c>
      <c r="W59" s="60" t="str">
        <f t="shared" si="0"/>
        <v>6089M</v>
      </c>
      <c r="X59" s="60" t="str">
        <f t="shared" si="5"/>
        <v/>
      </c>
      <c r="AC59" s="51">
        <f t="shared" si="6"/>
        <v>94</v>
      </c>
      <c r="AD59" s="44">
        <f t="shared" si="1"/>
        <v>7</v>
      </c>
      <c r="AE59" s="51">
        <f t="shared" si="7"/>
        <v>94007</v>
      </c>
    </row>
    <row r="60" spans="1:31">
      <c r="A60" s="60" t="str">
        <f t="shared" si="2"/>
        <v>6089Mnavy</v>
      </c>
      <c r="B60" s="60" t="str">
        <f t="shared" si="3"/>
        <v>94-007-16</v>
      </c>
      <c r="C60" s="72" t="s">
        <v>1073</v>
      </c>
      <c r="D60" s="72" t="s">
        <v>1074</v>
      </c>
      <c r="E60" s="72" t="s">
        <v>909</v>
      </c>
      <c r="F60" s="73">
        <v>0</v>
      </c>
      <c r="G60" s="73" t="s">
        <v>1067</v>
      </c>
      <c r="H60" s="72" t="s">
        <v>55</v>
      </c>
      <c r="I60" s="72" t="s">
        <v>1040</v>
      </c>
      <c r="J60" s="72" t="s">
        <v>783</v>
      </c>
      <c r="K60" s="72" t="s">
        <v>382</v>
      </c>
      <c r="L60" s="72" t="s">
        <v>918</v>
      </c>
      <c r="M60" s="72" t="s">
        <v>388</v>
      </c>
      <c r="N60" s="72" t="s">
        <v>46</v>
      </c>
      <c r="O60" s="72" t="s">
        <v>541</v>
      </c>
      <c r="P60" s="72" t="s">
        <v>919</v>
      </c>
      <c r="Q60" s="72" t="s">
        <v>923</v>
      </c>
      <c r="R60" s="72" t="s">
        <v>71</v>
      </c>
      <c r="V60" s="60" t="str">
        <f t="shared" si="4"/>
        <v>6089Mтемно-синий</v>
      </c>
      <c r="W60" s="60" t="str">
        <f t="shared" si="0"/>
        <v>6089M</v>
      </c>
      <c r="X60" s="60" t="str">
        <f t="shared" si="5"/>
        <v/>
      </c>
      <c r="AC60" s="51">
        <f t="shared" si="6"/>
        <v>94</v>
      </c>
      <c r="AD60" s="44">
        <f t="shared" si="1"/>
        <v>7</v>
      </c>
      <c r="AE60" s="51">
        <f t="shared" si="7"/>
        <v>94007</v>
      </c>
    </row>
    <row r="61" spans="1:31">
      <c r="A61" s="60" t="str">
        <f t="shared" si="2"/>
        <v>6089Morange</v>
      </c>
      <c r="B61" s="60" t="str">
        <f t="shared" si="3"/>
        <v>94-007-13</v>
      </c>
      <c r="C61" s="72" t="s">
        <v>1075</v>
      </c>
      <c r="D61" s="72" t="s">
        <v>1076</v>
      </c>
      <c r="E61" s="72" t="s">
        <v>909</v>
      </c>
      <c r="F61" s="73">
        <v>0</v>
      </c>
      <c r="G61" s="73" t="s">
        <v>1067</v>
      </c>
      <c r="H61" s="72" t="s">
        <v>199</v>
      </c>
      <c r="I61" s="72" t="s">
        <v>1040</v>
      </c>
      <c r="J61" s="72" t="s">
        <v>783</v>
      </c>
      <c r="K61" s="72" t="s">
        <v>382</v>
      </c>
      <c r="L61" s="72" t="s">
        <v>918</v>
      </c>
      <c r="M61" s="72" t="s">
        <v>388</v>
      </c>
      <c r="N61" s="72" t="s">
        <v>46</v>
      </c>
      <c r="O61" s="72" t="s">
        <v>541</v>
      </c>
      <c r="P61" s="72" t="s">
        <v>919</v>
      </c>
      <c r="Q61" s="72" t="s">
        <v>1077</v>
      </c>
      <c r="R61" s="72" t="s">
        <v>199</v>
      </c>
      <c r="V61" s="60" t="str">
        <f t="shared" si="4"/>
        <v>6089Mоранжевый</v>
      </c>
      <c r="W61" s="60" t="str">
        <f t="shared" si="0"/>
        <v>6089M</v>
      </c>
      <c r="X61" s="60" t="str">
        <f t="shared" si="5"/>
        <v/>
      </c>
      <c r="AC61" s="51">
        <f t="shared" si="6"/>
        <v>94</v>
      </c>
      <c r="AD61" s="44">
        <f t="shared" si="1"/>
        <v>7</v>
      </c>
      <c r="AE61" s="51">
        <f t="shared" si="7"/>
        <v>94007</v>
      </c>
    </row>
    <row r="62" spans="1:31">
      <c r="A62" s="60" t="str">
        <f t="shared" si="2"/>
        <v>6089Mmaroon</v>
      </c>
      <c r="B62" s="60" t="str">
        <f t="shared" si="3"/>
        <v>94-007-12</v>
      </c>
      <c r="C62" s="72" t="s">
        <v>1078</v>
      </c>
      <c r="D62" s="72" t="s">
        <v>1079</v>
      </c>
      <c r="E62" s="72" t="s">
        <v>909</v>
      </c>
      <c r="F62" s="73">
        <v>0</v>
      </c>
      <c r="G62" s="73" t="s">
        <v>1067</v>
      </c>
      <c r="H62" s="72" t="s">
        <v>121</v>
      </c>
      <c r="I62" s="72" t="s">
        <v>1040</v>
      </c>
      <c r="J62" s="72" t="s">
        <v>783</v>
      </c>
      <c r="K62" s="72" t="s">
        <v>382</v>
      </c>
      <c r="L62" s="72" t="s">
        <v>918</v>
      </c>
      <c r="M62" s="72" t="s">
        <v>388</v>
      </c>
      <c r="N62" s="72" t="s">
        <v>46</v>
      </c>
      <c r="O62" s="72" t="s">
        <v>541</v>
      </c>
      <c r="P62" s="72" t="s">
        <v>919</v>
      </c>
      <c r="Q62" s="72" t="s">
        <v>955</v>
      </c>
      <c r="R62" s="72" t="s">
        <v>121</v>
      </c>
      <c r="V62" s="60" t="str">
        <f t="shared" si="4"/>
        <v>6089Mбордовый</v>
      </c>
      <c r="W62" s="60" t="str">
        <f t="shared" si="0"/>
        <v>6089M</v>
      </c>
      <c r="X62" s="60" t="str">
        <f t="shared" si="5"/>
        <v/>
      </c>
      <c r="AC62" s="51">
        <f t="shared" si="6"/>
        <v>94</v>
      </c>
      <c r="AD62" s="44">
        <f t="shared" si="1"/>
        <v>7</v>
      </c>
      <c r="AE62" s="51">
        <f t="shared" si="7"/>
        <v>94007</v>
      </c>
    </row>
    <row r="63" spans="1:31">
      <c r="A63" s="60" t="str">
        <f t="shared" si="2"/>
        <v>6089Mspruce</v>
      </c>
      <c r="B63" s="60" t="str">
        <f t="shared" si="3"/>
        <v>94-007-11</v>
      </c>
      <c r="C63" s="72" t="s">
        <v>1080</v>
      </c>
      <c r="D63" s="72" t="s">
        <v>1081</v>
      </c>
      <c r="E63" s="72" t="s">
        <v>909</v>
      </c>
      <c r="F63" s="73">
        <v>0</v>
      </c>
      <c r="G63" s="73" t="s">
        <v>1067</v>
      </c>
      <c r="H63" s="72" t="s">
        <v>60</v>
      </c>
      <c r="I63" s="72" t="s">
        <v>1040</v>
      </c>
      <c r="J63" s="72" t="s">
        <v>783</v>
      </c>
      <c r="K63" s="72" t="s">
        <v>382</v>
      </c>
      <c r="L63" s="72" t="s">
        <v>918</v>
      </c>
      <c r="M63" s="72" t="s">
        <v>388</v>
      </c>
      <c r="N63" s="72" t="s">
        <v>46</v>
      </c>
      <c r="O63" s="72" t="s">
        <v>541</v>
      </c>
      <c r="P63" s="72" t="s">
        <v>919</v>
      </c>
      <c r="Q63" s="72" t="s">
        <v>958</v>
      </c>
      <c r="R63" s="72" t="s">
        <v>60</v>
      </c>
      <c r="V63" s="60" t="str">
        <f t="shared" si="4"/>
        <v>6089Mзеленый</v>
      </c>
      <c r="W63" s="60" t="str">
        <f t="shared" si="0"/>
        <v>6089M</v>
      </c>
      <c r="X63" s="60" t="str">
        <f t="shared" si="5"/>
        <v/>
      </c>
      <c r="AC63" s="51">
        <f t="shared" si="6"/>
        <v>94</v>
      </c>
      <c r="AD63" s="44">
        <f t="shared" si="1"/>
        <v>7</v>
      </c>
      <c r="AE63" s="51">
        <f t="shared" si="7"/>
        <v>94007</v>
      </c>
    </row>
    <row r="64" spans="1:31">
      <c r="A64" s="60" t="str">
        <f t="shared" si="2"/>
        <v>6089Mblack</v>
      </c>
      <c r="B64" s="60" t="str">
        <f t="shared" si="3"/>
        <v>94-007-09</v>
      </c>
      <c r="C64" s="72" t="s">
        <v>1082</v>
      </c>
      <c r="D64" s="72" t="s">
        <v>1083</v>
      </c>
      <c r="E64" s="72" t="s">
        <v>909</v>
      </c>
      <c r="F64" s="73">
        <v>0</v>
      </c>
      <c r="G64" s="73" t="s">
        <v>1067</v>
      </c>
      <c r="H64" s="72" t="s">
        <v>53</v>
      </c>
      <c r="I64" s="72" t="s">
        <v>1040</v>
      </c>
      <c r="J64" s="72" t="s">
        <v>783</v>
      </c>
      <c r="K64" s="72" t="s">
        <v>382</v>
      </c>
      <c r="L64" s="72" t="s">
        <v>918</v>
      </c>
      <c r="M64" s="72" t="s">
        <v>388</v>
      </c>
      <c r="N64" s="72" t="s">
        <v>46</v>
      </c>
      <c r="O64" s="72" t="s">
        <v>541</v>
      </c>
      <c r="P64" s="72" t="s">
        <v>919</v>
      </c>
      <c r="Q64" s="72" t="s">
        <v>926</v>
      </c>
      <c r="R64" s="72" t="s">
        <v>53</v>
      </c>
      <c r="V64" s="60" t="str">
        <f t="shared" si="4"/>
        <v>6089Mчерный</v>
      </c>
      <c r="W64" s="60" t="str">
        <f t="shared" si="0"/>
        <v>6089M</v>
      </c>
      <c r="X64" s="60" t="str">
        <f t="shared" si="5"/>
        <v/>
      </c>
      <c r="AC64" s="51">
        <f t="shared" si="6"/>
        <v>94</v>
      </c>
      <c r="AD64" s="44">
        <f t="shared" si="1"/>
        <v>7</v>
      </c>
      <c r="AE64" s="51">
        <f t="shared" si="7"/>
        <v>94007</v>
      </c>
    </row>
    <row r="65" spans="1:31">
      <c r="A65" s="60" t="str">
        <f t="shared" si="2"/>
        <v>6089Msilver</v>
      </c>
      <c r="B65" s="60" t="str">
        <f t="shared" si="3"/>
        <v>94-007-08</v>
      </c>
      <c r="C65" s="72" t="s">
        <v>1084</v>
      </c>
      <c r="D65" s="72" t="s">
        <v>1085</v>
      </c>
      <c r="E65" s="72" t="s">
        <v>909</v>
      </c>
      <c r="F65" s="73">
        <v>0</v>
      </c>
      <c r="G65" s="73" t="s">
        <v>1067</v>
      </c>
      <c r="H65" s="72" t="s">
        <v>83</v>
      </c>
      <c r="I65" s="72" t="s">
        <v>1040</v>
      </c>
      <c r="J65" s="72" t="s">
        <v>783</v>
      </c>
      <c r="K65" s="72" t="s">
        <v>382</v>
      </c>
      <c r="L65" s="72" t="s">
        <v>918</v>
      </c>
      <c r="M65" s="72" t="s">
        <v>388</v>
      </c>
      <c r="N65" s="72" t="s">
        <v>46</v>
      </c>
      <c r="O65" s="72" t="s">
        <v>541</v>
      </c>
      <c r="P65" s="72" t="s">
        <v>919</v>
      </c>
      <c r="Q65" s="72" t="s">
        <v>1086</v>
      </c>
      <c r="R65" s="72" t="s">
        <v>83</v>
      </c>
      <c r="V65" s="60" t="str">
        <f t="shared" si="4"/>
        <v>6089Mсерый</v>
      </c>
      <c r="W65" s="60" t="str">
        <f t="shared" si="0"/>
        <v>6089M</v>
      </c>
      <c r="X65" s="60" t="str">
        <f t="shared" si="5"/>
        <v/>
      </c>
      <c r="AC65" s="51">
        <f t="shared" si="6"/>
        <v>94</v>
      </c>
      <c r="AD65" s="44">
        <f t="shared" si="1"/>
        <v>7</v>
      </c>
      <c r="AE65" s="51">
        <f t="shared" si="7"/>
        <v>94007</v>
      </c>
    </row>
    <row r="66" spans="1:31">
      <c r="A66" s="60" t="str">
        <f t="shared" si="2"/>
        <v>6089Mroyal</v>
      </c>
      <c r="B66" s="60" t="str">
        <f t="shared" si="3"/>
        <v>94-007-06</v>
      </c>
      <c r="C66" s="72" t="s">
        <v>1087</v>
      </c>
      <c r="D66" s="72" t="s">
        <v>1088</v>
      </c>
      <c r="E66" s="72" t="s">
        <v>909</v>
      </c>
      <c r="F66" s="73">
        <v>0</v>
      </c>
      <c r="G66" s="73" t="s">
        <v>1067</v>
      </c>
      <c r="H66" s="72" t="s">
        <v>71</v>
      </c>
      <c r="I66" s="72" t="s">
        <v>1040</v>
      </c>
      <c r="J66" s="72" t="s">
        <v>783</v>
      </c>
      <c r="K66" s="72" t="s">
        <v>382</v>
      </c>
      <c r="L66" s="72" t="s">
        <v>918</v>
      </c>
      <c r="M66" s="72" t="s">
        <v>388</v>
      </c>
      <c r="N66" s="72" t="s">
        <v>46</v>
      </c>
      <c r="O66" s="72" t="s">
        <v>541</v>
      </c>
      <c r="P66" s="72" t="s">
        <v>855</v>
      </c>
      <c r="Q66" s="72" t="s">
        <v>929</v>
      </c>
      <c r="R66" s="72" t="s">
        <v>71</v>
      </c>
      <c r="V66" s="60" t="str">
        <f t="shared" si="4"/>
        <v>6089Mсиний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60" t="str">
        <f t="shared" si="5"/>
        <v/>
      </c>
      <c r="AC66" s="51">
        <f t="shared" si="6"/>
        <v>94</v>
      </c>
      <c r="AD66" s="44">
        <f t="shared" si="1"/>
        <v>7</v>
      </c>
      <c r="AE66" s="51">
        <f t="shared" si="7"/>
        <v>94007</v>
      </c>
    </row>
    <row r="67" spans="1:31">
      <c r="A67" s="60" t="str">
        <f t="shared" ref="A67:A130" si="9">IF(G67&amp;Q67&lt;&gt;"",W67&amp;Q67,"")</f>
        <v>6089Mdark grey</v>
      </c>
      <c r="B67" s="60" t="str">
        <f t="shared" ref="B67:B130" si="10">IF(C67&lt;&gt;"",LEFT(C67,9),"")</f>
        <v>94-007-05</v>
      </c>
      <c r="C67" s="72" t="s">
        <v>1089</v>
      </c>
      <c r="D67" s="72" t="s">
        <v>1090</v>
      </c>
      <c r="E67" s="72" t="s">
        <v>909</v>
      </c>
      <c r="F67" s="73">
        <v>0</v>
      </c>
      <c r="G67" s="73" t="s">
        <v>1067</v>
      </c>
      <c r="H67" s="72" t="s">
        <v>277</v>
      </c>
      <c r="I67" s="72" t="s">
        <v>1040</v>
      </c>
      <c r="J67" s="72" t="s">
        <v>783</v>
      </c>
      <c r="K67" s="72" t="s">
        <v>382</v>
      </c>
      <c r="L67" s="72" t="s">
        <v>918</v>
      </c>
      <c r="M67" s="72" t="s">
        <v>388</v>
      </c>
      <c r="N67" s="72" t="s">
        <v>46</v>
      </c>
      <c r="O67" s="72" t="s">
        <v>541</v>
      </c>
      <c r="P67" s="72" t="s">
        <v>919</v>
      </c>
      <c r="Q67" s="72" t="s">
        <v>932</v>
      </c>
      <c r="R67" s="72" t="s">
        <v>83</v>
      </c>
      <c r="V67" s="60" t="str">
        <f t="shared" ref="V67:V130" si="11">W67&amp;H67</f>
        <v>6089Mтемно-серый</v>
      </c>
      <c r="W67" s="60" t="str">
        <f t="shared" si="8"/>
        <v>6089M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94</v>
      </c>
      <c r="AD67" s="44">
        <f t="shared" ref="AD67:AD130" si="14">IFERROR(VALUE(MID($C67,4,3)),0)</f>
        <v>7</v>
      </c>
      <c r="AE67" s="51">
        <f t="shared" ref="AE67:AE130" si="15">VALUE(RIGHT("00"&amp;AC67,2)&amp;RIGHT("000"&amp;AD67,3))</f>
        <v>94007</v>
      </c>
    </row>
    <row r="68" spans="1:31">
      <c r="A68" s="60" t="str">
        <f t="shared" si="9"/>
        <v>6089Mdark heather</v>
      </c>
      <c r="B68" s="60" t="str">
        <f t="shared" si="10"/>
        <v>94-007-01</v>
      </c>
      <c r="C68" s="72" t="s">
        <v>1091</v>
      </c>
      <c r="D68" s="72" t="s">
        <v>1092</v>
      </c>
      <c r="E68" s="72" t="s">
        <v>909</v>
      </c>
      <c r="F68" s="73">
        <v>0</v>
      </c>
      <c r="G68" s="73" t="s">
        <v>1067</v>
      </c>
      <c r="H68" s="72" t="s">
        <v>231</v>
      </c>
      <c r="I68" s="72" t="s">
        <v>1040</v>
      </c>
      <c r="J68" s="72" t="s">
        <v>783</v>
      </c>
      <c r="K68" s="72" t="s">
        <v>382</v>
      </c>
      <c r="L68" s="72" t="s">
        <v>918</v>
      </c>
      <c r="M68" s="72" t="s">
        <v>388</v>
      </c>
      <c r="N68" s="72" t="s">
        <v>46</v>
      </c>
      <c r="O68" s="72" t="s">
        <v>541</v>
      </c>
      <c r="P68" s="72" t="s">
        <v>919</v>
      </c>
      <c r="Q68" s="72" t="s">
        <v>1093</v>
      </c>
      <c r="R68" s="72" t="s">
        <v>83</v>
      </c>
      <c r="V68" s="60" t="str">
        <f t="shared" si="11"/>
        <v>6089Mсветло-серый</v>
      </c>
      <c r="W68" s="60" t="str">
        <f t="shared" si="8"/>
        <v>6089M</v>
      </c>
      <c r="X68" s="60" t="str">
        <f t="shared" si="12"/>
        <v/>
      </c>
      <c r="AC68" s="51">
        <f t="shared" si="13"/>
        <v>94</v>
      </c>
      <c r="AD68" s="44">
        <f t="shared" si="14"/>
        <v>7</v>
      </c>
      <c r="AE68" s="51">
        <f t="shared" si="15"/>
        <v>94007</v>
      </c>
    </row>
    <row r="69" spans="1:31">
      <c r="A69" s="60" t="str">
        <f t="shared" si="9"/>
        <v>6089CMgreen camo</v>
      </c>
      <c r="B69" s="60" t="str">
        <f t="shared" si="10"/>
        <v>94-006-00</v>
      </c>
      <c r="C69" s="72" t="s">
        <v>1094</v>
      </c>
      <c r="D69" s="72" t="s">
        <v>1095</v>
      </c>
      <c r="E69" s="72" t="s">
        <v>909</v>
      </c>
      <c r="F69" s="73">
        <v>0</v>
      </c>
      <c r="G69" s="73" t="s">
        <v>1096</v>
      </c>
      <c r="H69" s="72" t="s">
        <v>158</v>
      </c>
      <c r="I69" s="72" t="s">
        <v>912</v>
      </c>
      <c r="J69" s="72" t="s">
        <v>783</v>
      </c>
      <c r="K69" s="72" t="s">
        <v>382</v>
      </c>
      <c r="L69" s="72" t="s">
        <v>918</v>
      </c>
      <c r="M69" s="72" t="s">
        <v>388</v>
      </c>
      <c r="O69" s="72" t="s">
        <v>541</v>
      </c>
      <c r="P69" s="72" t="s">
        <v>919</v>
      </c>
      <c r="Q69" s="72" t="s">
        <v>1097</v>
      </c>
      <c r="R69" s="72" t="s">
        <v>60</v>
      </c>
      <c r="V69" s="60" t="str">
        <f t="shared" si="11"/>
        <v>6089CMкамуфляж</v>
      </c>
      <c r="W69" s="60" t="str">
        <f t="shared" si="8"/>
        <v>6089CM</v>
      </c>
      <c r="X69" s="60" t="str">
        <f t="shared" si="12"/>
        <v/>
      </c>
      <c r="AC69" s="51">
        <f t="shared" si="13"/>
        <v>94</v>
      </c>
      <c r="AD69" s="44">
        <f t="shared" si="14"/>
        <v>6</v>
      </c>
      <c r="AE69" s="51">
        <f t="shared" si="15"/>
        <v>94006</v>
      </c>
    </row>
    <row r="70" spans="1:31">
      <c r="A70" s="60" t="str">
        <f t="shared" si="9"/>
        <v>6007Tblack/red</v>
      </c>
      <c r="B70" s="60" t="str">
        <f t="shared" si="10"/>
        <v>94-005-72</v>
      </c>
      <c r="C70" s="72" t="s">
        <v>1098</v>
      </c>
      <c r="D70" s="72" t="s">
        <v>1099</v>
      </c>
      <c r="E70" s="72" t="s">
        <v>909</v>
      </c>
      <c r="F70" s="73">
        <v>0</v>
      </c>
      <c r="G70" s="73" t="s">
        <v>1100</v>
      </c>
      <c r="H70" s="72" t="s">
        <v>302</v>
      </c>
      <c r="I70" s="72" t="s">
        <v>910</v>
      </c>
      <c r="J70" s="72" t="s">
        <v>783</v>
      </c>
      <c r="K70" s="72" t="s">
        <v>382</v>
      </c>
      <c r="L70" s="72" t="s">
        <v>918</v>
      </c>
      <c r="M70" s="72" t="s">
        <v>388</v>
      </c>
      <c r="N70" s="72" t="s">
        <v>43</v>
      </c>
      <c r="O70" s="72" t="s">
        <v>541</v>
      </c>
      <c r="P70" s="72" t="s">
        <v>919</v>
      </c>
      <c r="Q70" s="72" t="s">
        <v>1041</v>
      </c>
      <c r="R70" s="72" t="s">
        <v>53</v>
      </c>
      <c r="V70" s="60" t="str">
        <f t="shared" si="11"/>
        <v>6007Tчерный / красный</v>
      </c>
      <c r="W70" s="60" t="str">
        <f t="shared" si="8"/>
        <v>6007T</v>
      </c>
      <c r="X70" s="60" t="str">
        <f t="shared" si="12"/>
        <v/>
      </c>
      <c r="AC70" s="51">
        <f t="shared" si="13"/>
        <v>94</v>
      </c>
      <c r="AD70" s="44">
        <f t="shared" si="14"/>
        <v>5</v>
      </c>
      <c r="AE70" s="51">
        <f t="shared" si="15"/>
        <v>94005</v>
      </c>
    </row>
    <row r="71" spans="1:31">
      <c r="A71" s="60" t="str">
        <f t="shared" si="9"/>
        <v>6007Tnavy/red</v>
      </c>
      <c r="B71" s="60" t="str">
        <f t="shared" si="10"/>
        <v>94-005-71</v>
      </c>
      <c r="C71" s="72" t="s">
        <v>1101</v>
      </c>
      <c r="D71" s="72" t="s">
        <v>1102</v>
      </c>
      <c r="E71" s="72" t="s">
        <v>909</v>
      </c>
      <c r="F71" s="73">
        <v>0</v>
      </c>
      <c r="G71" s="73" t="s">
        <v>1100</v>
      </c>
      <c r="H71" s="72" t="s">
        <v>592</v>
      </c>
      <c r="I71" s="72" t="s">
        <v>910</v>
      </c>
      <c r="J71" s="72" t="s">
        <v>783</v>
      </c>
      <c r="K71" s="72" t="s">
        <v>382</v>
      </c>
      <c r="L71" s="72" t="s">
        <v>918</v>
      </c>
      <c r="M71" s="72" t="s">
        <v>388</v>
      </c>
      <c r="N71" s="72" t="s">
        <v>43</v>
      </c>
      <c r="O71" s="72" t="s">
        <v>541</v>
      </c>
      <c r="P71" s="72" t="s">
        <v>919</v>
      </c>
      <c r="Q71" s="72" t="s">
        <v>1044</v>
      </c>
      <c r="R71" s="72" t="s">
        <v>71</v>
      </c>
      <c r="V71" s="60" t="str">
        <f t="shared" si="11"/>
        <v>6007Tтемно-синий / красный</v>
      </c>
      <c r="W71" s="60" t="str">
        <f t="shared" si="8"/>
        <v>6007T</v>
      </c>
      <c r="X71" s="60" t="str">
        <f t="shared" si="12"/>
        <v/>
      </c>
      <c r="AC71" s="51">
        <f t="shared" si="13"/>
        <v>94</v>
      </c>
      <c r="AD71" s="44">
        <f t="shared" si="14"/>
        <v>5</v>
      </c>
      <c r="AE71" s="51">
        <f t="shared" si="15"/>
        <v>94005</v>
      </c>
    </row>
    <row r="72" spans="1:31">
      <c r="A72" s="60" t="str">
        <f t="shared" si="9"/>
        <v>6007Tblack/teal</v>
      </c>
      <c r="B72" s="60" t="str">
        <f t="shared" si="10"/>
        <v>94-005-33</v>
      </c>
      <c r="C72" s="72" t="s">
        <v>1103</v>
      </c>
      <c r="D72" s="72" t="s">
        <v>1104</v>
      </c>
      <c r="E72" s="72" t="s">
        <v>909</v>
      </c>
      <c r="F72" s="73">
        <v>0</v>
      </c>
      <c r="G72" s="73" t="s">
        <v>1100</v>
      </c>
      <c r="H72" s="72" t="s">
        <v>309</v>
      </c>
      <c r="I72" s="72" t="s">
        <v>910</v>
      </c>
      <c r="J72" s="72" t="s">
        <v>783</v>
      </c>
      <c r="K72" s="72" t="s">
        <v>382</v>
      </c>
      <c r="L72" s="72" t="s">
        <v>918</v>
      </c>
      <c r="M72" s="72" t="s">
        <v>388</v>
      </c>
      <c r="N72" s="72" t="s">
        <v>43</v>
      </c>
      <c r="O72" s="72" t="s">
        <v>541</v>
      </c>
      <c r="P72" s="72" t="s">
        <v>919</v>
      </c>
      <c r="Q72" s="72" t="s">
        <v>1105</v>
      </c>
      <c r="R72" s="72" t="s">
        <v>53</v>
      </c>
      <c r="V72" s="60" t="str">
        <f t="shared" si="11"/>
        <v>6007Tчерный / синий</v>
      </c>
      <c r="W72" s="60" t="str">
        <f t="shared" si="8"/>
        <v>6007T</v>
      </c>
      <c r="X72" s="60" t="str">
        <f t="shared" si="12"/>
        <v/>
      </c>
      <c r="AC72" s="51">
        <f t="shared" si="13"/>
        <v>94</v>
      </c>
      <c r="AD72" s="44">
        <f t="shared" si="14"/>
        <v>5</v>
      </c>
      <c r="AE72" s="51">
        <f t="shared" si="15"/>
        <v>94005</v>
      </c>
    </row>
    <row r="73" spans="1:31">
      <c r="A73" s="60" t="str">
        <f t="shared" si="9"/>
        <v>6007Tblack/silver</v>
      </c>
      <c r="B73" s="60" t="str">
        <f t="shared" si="10"/>
        <v>94-005-10</v>
      </c>
      <c r="C73" s="72" t="s">
        <v>1106</v>
      </c>
      <c r="D73" s="72" t="s">
        <v>1107</v>
      </c>
      <c r="E73" s="72" t="s">
        <v>909</v>
      </c>
      <c r="F73" s="73">
        <v>0</v>
      </c>
      <c r="G73" s="73" t="s">
        <v>1100</v>
      </c>
      <c r="H73" s="72" t="s">
        <v>308</v>
      </c>
      <c r="I73" s="72" t="s">
        <v>910</v>
      </c>
      <c r="J73" s="72" t="s">
        <v>783</v>
      </c>
      <c r="K73" s="72" t="s">
        <v>382</v>
      </c>
      <c r="L73" s="72" t="s">
        <v>918</v>
      </c>
      <c r="M73" s="72" t="s">
        <v>388</v>
      </c>
      <c r="N73" s="72" t="s">
        <v>43</v>
      </c>
      <c r="O73" s="72" t="s">
        <v>541</v>
      </c>
      <c r="P73" s="72" t="s">
        <v>919</v>
      </c>
      <c r="Q73" s="72" t="s">
        <v>1053</v>
      </c>
      <c r="R73" s="72" t="s">
        <v>53</v>
      </c>
      <c r="V73" s="60" t="str">
        <f t="shared" si="11"/>
        <v>6007Tчерный / серый</v>
      </c>
      <c r="W73" s="60" t="str">
        <f t="shared" si="8"/>
        <v>6007T</v>
      </c>
      <c r="X73" s="60" t="str">
        <f t="shared" si="12"/>
        <v/>
      </c>
      <c r="AC73" s="51">
        <f t="shared" si="13"/>
        <v>94</v>
      </c>
      <c r="AD73" s="44">
        <f t="shared" si="14"/>
        <v>5</v>
      </c>
      <c r="AE73" s="51">
        <f t="shared" si="15"/>
        <v>94005</v>
      </c>
    </row>
    <row r="74" spans="1:31">
      <c r="A74" s="60" t="str">
        <f t="shared" si="9"/>
        <v>6007Tblack/purple</v>
      </c>
      <c r="B74" s="60" t="str">
        <f t="shared" si="10"/>
        <v>94-005-09</v>
      </c>
      <c r="C74" s="72" t="s">
        <v>1108</v>
      </c>
      <c r="D74" s="72" t="s">
        <v>1109</v>
      </c>
      <c r="E74" s="72" t="s">
        <v>909</v>
      </c>
      <c r="F74" s="73">
        <v>0</v>
      </c>
      <c r="G74" s="73" t="s">
        <v>1100</v>
      </c>
      <c r="H74" s="72" t="s">
        <v>595</v>
      </c>
      <c r="I74" s="72" t="s">
        <v>910</v>
      </c>
      <c r="J74" s="72" t="s">
        <v>783</v>
      </c>
      <c r="K74" s="72" t="s">
        <v>382</v>
      </c>
      <c r="L74" s="72" t="s">
        <v>918</v>
      </c>
      <c r="M74" s="72" t="s">
        <v>388</v>
      </c>
      <c r="N74" s="72" t="s">
        <v>43</v>
      </c>
      <c r="O74" s="72" t="s">
        <v>541</v>
      </c>
      <c r="P74" s="72" t="s">
        <v>919</v>
      </c>
      <c r="Q74" s="72" t="s">
        <v>1110</v>
      </c>
      <c r="R74" s="72" t="s">
        <v>53</v>
      </c>
      <c r="V74" s="60" t="str">
        <f t="shared" si="11"/>
        <v>6007Tчерный / фиолетовый</v>
      </c>
      <c r="W74" s="60" t="str">
        <f t="shared" si="8"/>
        <v>6007T</v>
      </c>
      <c r="X74" s="60" t="str">
        <f t="shared" si="12"/>
        <v/>
      </c>
      <c r="AC74" s="51">
        <f t="shared" si="13"/>
        <v>94</v>
      </c>
      <c r="AD74" s="44">
        <f t="shared" si="14"/>
        <v>5</v>
      </c>
      <c r="AE74" s="51">
        <f t="shared" si="15"/>
        <v>94005</v>
      </c>
    </row>
    <row r="75" spans="1:31">
      <c r="A75" s="60" t="str">
        <f t="shared" si="9"/>
        <v>6007red</v>
      </c>
      <c r="B75" s="60" t="str">
        <f t="shared" si="10"/>
        <v>94-004-18</v>
      </c>
      <c r="C75" s="72" t="s">
        <v>1111</v>
      </c>
      <c r="D75" s="72" t="s">
        <v>1112</v>
      </c>
      <c r="E75" s="72" t="s">
        <v>909</v>
      </c>
      <c r="F75" s="73">
        <v>0</v>
      </c>
      <c r="G75" s="73">
        <v>6007</v>
      </c>
      <c r="H75" s="72" t="s">
        <v>78</v>
      </c>
      <c r="I75" s="72" t="s">
        <v>910</v>
      </c>
      <c r="J75" s="72" t="s">
        <v>783</v>
      </c>
      <c r="K75" s="72" t="s">
        <v>382</v>
      </c>
      <c r="L75" s="72" t="s">
        <v>918</v>
      </c>
      <c r="M75" s="72" t="s">
        <v>388</v>
      </c>
      <c r="N75" s="72" t="s">
        <v>43</v>
      </c>
      <c r="O75" s="72" t="s">
        <v>541</v>
      </c>
      <c r="P75" s="72" t="s">
        <v>919</v>
      </c>
      <c r="Q75" s="72" t="s">
        <v>920</v>
      </c>
      <c r="R75" s="72" t="s">
        <v>78</v>
      </c>
      <c r="V75" s="60" t="str">
        <f t="shared" si="11"/>
        <v>6007красный</v>
      </c>
      <c r="W75" s="60" t="str">
        <f t="shared" si="8"/>
        <v>6007</v>
      </c>
      <c r="X75" s="60" t="str">
        <f t="shared" si="12"/>
        <v/>
      </c>
      <c r="AC75" s="51">
        <f t="shared" si="13"/>
        <v>94</v>
      </c>
      <c r="AD75" s="44">
        <f t="shared" si="14"/>
        <v>4</v>
      </c>
      <c r="AE75" s="51">
        <f t="shared" si="15"/>
        <v>94004</v>
      </c>
    </row>
    <row r="76" spans="1:31">
      <c r="A76" s="60" t="str">
        <f t="shared" si="9"/>
        <v>6007white</v>
      </c>
      <c r="B76" s="60" t="str">
        <f t="shared" si="10"/>
        <v>94-004-17</v>
      </c>
      <c r="C76" s="72" t="s">
        <v>1113</v>
      </c>
      <c r="D76" s="72" t="s">
        <v>1114</v>
      </c>
      <c r="E76" s="72" t="s">
        <v>909</v>
      </c>
      <c r="F76" s="73">
        <v>0</v>
      </c>
      <c r="G76" s="73">
        <v>6007</v>
      </c>
      <c r="H76" s="72" t="s">
        <v>57</v>
      </c>
      <c r="I76" s="72" t="s">
        <v>910</v>
      </c>
      <c r="J76" s="72" t="s">
        <v>783</v>
      </c>
      <c r="K76" s="72" t="s">
        <v>382</v>
      </c>
      <c r="L76" s="72" t="s">
        <v>918</v>
      </c>
      <c r="M76" s="72" t="s">
        <v>388</v>
      </c>
      <c r="N76" s="72" t="s">
        <v>43</v>
      </c>
      <c r="O76" s="72" t="s">
        <v>541</v>
      </c>
      <c r="P76" s="72" t="s">
        <v>919</v>
      </c>
      <c r="Q76" s="72" t="s">
        <v>982</v>
      </c>
      <c r="R76" s="72" t="s">
        <v>57</v>
      </c>
      <c r="V76" s="60" t="str">
        <f t="shared" si="11"/>
        <v>6007белый</v>
      </c>
      <c r="W76" s="60" t="str">
        <f t="shared" si="8"/>
        <v>6007</v>
      </c>
      <c r="X76" s="60" t="str">
        <f t="shared" si="12"/>
        <v/>
      </c>
      <c r="AC76" s="51">
        <f t="shared" si="13"/>
        <v>94</v>
      </c>
      <c r="AD76" s="44">
        <f t="shared" si="14"/>
        <v>4</v>
      </c>
      <c r="AE76" s="51">
        <f t="shared" si="15"/>
        <v>94004</v>
      </c>
    </row>
    <row r="77" spans="1:31">
      <c r="A77" s="60" t="str">
        <f t="shared" si="9"/>
        <v>6007navy</v>
      </c>
      <c r="B77" s="60" t="str">
        <f t="shared" si="10"/>
        <v>94-004-16</v>
      </c>
      <c r="C77" s="72" t="s">
        <v>1115</v>
      </c>
      <c r="D77" s="72" t="s">
        <v>1116</v>
      </c>
      <c r="E77" s="72" t="s">
        <v>909</v>
      </c>
      <c r="F77" s="73">
        <v>0</v>
      </c>
      <c r="G77" s="73">
        <v>6007</v>
      </c>
      <c r="H77" s="72" t="s">
        <v>55</v>
      </c>
      <c r="I77" s="72" t="s">
        <v>910</v>
      </c>
      <c r="J77" s="72" t="s">
        <v>783</v>
      </c>
      <c r="K77" s="72" t="s">
        <v>382</v>
      </c>
      <c r="L77" s="72" t="s">
        <v>918</v>
      </c>
      <c r="M77" s="72" t="s">
        <v>388</v>
      </c>
      <c r="N77" s="72" t="s">
        <v>43</v>
      </c>
      <c r="O77" s="72" t="s">
        <v>541</v>
      </c>
      <c r="P77" s="72" t="s">
        <v>919</v>
      </c>
      <c r="Q77" s="72" t="s">
        <v>923</v>
      </c>
      <c r="R77" s="72" t="s">
        <v>71</v>
      </c>
      <c r="V77" s="60" t="str">
        <f t="shared" si="11"/>
        <v>6007темно-синий</v>
      </c>
      <c r="W77" s="60" t="str">
        <f t="shared" si="8"/>
        <v>6007</v>
      </c>
      <c r="X77" s="60" t="str">
        <f t="shared" si="12"/>
        <v/>
      </c>
      <c r="AC77" s="51">
        <f t="shared" si="13"/>
        <v>94</v>
      </c>
      <c r="AD77" s="44">
        <f t="shared" si="14"/>
        <v>4</v>
      </c>
      <c r="AE77" s="51">
        <f t="shared" si="15"/>
        <v>94004</v>
      </c>
    </row>
    <row r="78" spans="1:31">
      <c r="A78" s="60" t="str">
        <f t="shared" si="9"/>
        <v>6007black</v>
      </c>
      <c r="B78" s="60" t="str">
        <f t="shared" si="10"/>
        <v>94-004-09</v>
      </c>
      <c r="C78" s="72" t="s">
        <v>1117</v>
      </c>
      <c r="D78" s="72" t="s">
        <v>1118</v>
      </c>
      <c r="E78" s="72" t="s">
        <v>909</v>
      </c>
      <c r="F78" s="73">
        <v>0</v>
      </c>
      <c r="G78" s="73">
        <v>6007</v>
      </c>
      <c r="H78" s="72" t="s">
        <v>53</v>
      </c>
      <c r="I78" s="72" t="s">
        <v>910</v>
      </c>
      <c r="J78" s="72" t="s">
        <v>783</v>
      </c>
      <c r="K78" s="72" t="s">
        <v>382</v>
      </c>
      <c r="L78" s="72" t="s">
        <v>918</v>
      </c>
      <c r="M78" s="72" t="s">
        <v>388</v>
      </c>
      <c r="N78" s="72" t="s">
        <v>43</v>
      </c>
      <c r="O78" s="72" t="s">
        <v>541</v>
      </c>
      <c r="P78" s="72" t="s">
        <v>919</v>
      </c>
      <c r="Q78" s="72" t="s">
        <v>926</v>
      </c>
      <c r="R78" s="72" t="s">
        <v>53</v>
      </c>
      <c r="V78" s="60" t="str">
        <f t="shared" si="11"/>
        <v>6007черный</v>
      </c>
      <c r="W78" s="60" t="str">
        <f t="shared" si="8"/>
        <v>6007</v>
      </c>
      <c r="X78" s="60" t="str">
        <f t="shared" si="12"/>
        <v/>
      </c>
      <c r="AC78" s="51">
        <f t="shared" si="13"/>
        <v>94</v>
      </c>
      <c r="AD78" s="44">
        <f t="shared" si="14"/>
        <v>4</v>
      </c>
      <c r="AE78" s="51">
        <f t="shared" si="15"/>
        <v>94004</v>
      </c>
    </row>
    <row r="79" spans="1:31">
      <c r="A79" s="60" t="str">
        <f t="shared" si="9"/>
        <v>6007grey</v>
      </c>
      <c r="B79" s="60" t="str">
        <f t="shared" si="10"/>
        <v>94-004-08</v>
      </c>
      <c r="C79" s="72" t="s">
        <v>1119</v>
      </c>
      <c r="D79" s="72" t="s">
        <v>1120</v>
      </c>
      <c r="E79" s="72" t="s">
        <v>909</v>
      </c>
      <c r="F79" s="73">
        <v>0</v>
      </c>
      <c r="G79" s="73">
        <v>6007</v>
      </c>
      <c r="H79" s="72" t="s">
        <v>83</v>
      </c>
      <c r="I79" s="72" t="s">
        <v>910</v>
      </c>
      <c r="J79" s="72" t="s">
        <v>783</v>
      </c>
      <c r="K79" s="72" t="s">
        <v>382</v>
      </c>
      <c r="L79" s="72" t="s">
        <v>918</v>
      </c>
      <c r="M79" s="72" t="s">
        <v>388</v>
      </c>
      <c r="N79" s="72" t="s">
        <v>43</v>
      </c>
      <c r="O79" s="72" t="s">
        <v>541</v>
      </c>
      <c r="P79" s="72" t="s">
        <v>919</v>
      </c>
      <c r="Q79" s="72" t="s">
        <v>1121</v>
      </c>
      <c r="R79" s="72" t="s">
        <v>83</v>
      </c>
      <c r="V79" s="60" t="str">
        <f t="shared" si="11"/>
        <v>6007серый</v>
      </c>
      <c r="W79" s="60" t="str">
        <f t="shared" si="8"/>
        <v>6007</v>
      </c>
      <c r="X79" s="60" t="str">
        <f t="shared" si="12"/>
        <v/>
      </c>
      <c r="AC79" s="51">
        <f t="shared" si="13"/>
        <v>94</v>
      </c>
      <c r="AD79" s="44">
        <f t="shared" si="14"/>
        <v>4</v>
      </c>
      <c r="AE79" s="51">
        <f t="shared" si="15"/>
        <v>94004</v>
      </c>
    </row>
    <row r="80" spans="1:31">
      <c r="A80" s="60" t="str">
        <f t="shared" si="9"/>
        <v>6007dark grey</v>
      </c>
      <c r="B80" s="60" t="str">
        <f t="shared" si="10"/>
        <v>94-004-05</v>
      </c>
      <c r="C80" s="72" t="s">
        <v>1122</v>
      </c>
      <c r="D80" s="72" t="s">
        <v>1123</v>
      </c>
      <c r="E80" s="72" t="s">
        <v>909</v>
      </c>
      <c r="F80" s="73">
        <v>0</v>
      </c>
      <c r="G80" s="73">
        <v>6007</v>
      </c>
      <c r="H80" s="72" t="s">
        <v>277</v>
      </c>
      <c r="I80" s="72" t="s">
        <v>910</v>
      </c>
      <c r="J80" s="72" t="s">
        <v>783</v>
      </c>
      <c r="K80" s="72" t="s">
        <v>382</v>
      </c>
      <c r="L80" s="72" t="s">
        <v>918</v>
      </c>
      <c r="M80" s="72" t="s">
        <v>388</v>
      </c>
      <c r="N80" s="72" t="s">
        <v>43</v>
      </c>
      <c r="O80" s="72" t="s">
        <v>541</v>
      </c>
      <c r="P80" s="72" t="s">
        <v>919</v>
      </c>
      <c r="Q80" s="72" t="s">
        <v>932</v>
      </c>
      <c r="R80" s="72" t="s">
        <v>83</v>
      </c>
      <c r="V80" s="60" t="str">
        <f t="shared" si="11"/>
        <v>6007темно-серый</v>
      </c>
      <c r="W80" s="60" t="str">
        <f t="shared" si="8"/>
        <v>6007</v>
      </c>
      <c r="X80" s="60" t="str">
        <f t="shared" si="12"/>
        <v/>
      </c>
      <c r="AC80" s="51">
        <f t="shared" si="13"/>
        <v>94</v>
      </c>
      <c r="AD80" s="44">
        <f t="shared" si="14"/>
        <v>4</v>
      </c>
      <c r="AE80" s="51">
        <f t="shared" si="15"/>
        <v>94004</v>
      </c>
    </row>
    <row r="81" spans="1:31">
      <c r="A81" s="60" t="str">
        <f t="shared" si="9"/>
        <v>6005FFred</v>
      </c>
      <c r="B81" s="60" t="str">
        <f t="shared" si="10"/>
        <v>94-003-18</v>
      </c>
      <c r="C81" s="72" t="s">
        <v>1124</v>
      </c>
      <c r="D81" s="72" t="s">
        <v>1125</v>
      </c>
      <c r="E81" s="72" t="s">
        <v>909</v>
      </c>
      <c r="F81" s="73">
        <v>0</v>
      </c>
      <c r="G81" s="73" t="s">
        <v>1126</v>
      </c>
      <c r="H81" s="72" t="s">
        <v>78</v>
      </c>
      <c r="I81" s="72" t="s">
        <v>1003</v>
      </c>
      <c r="J81" s="72" t="s">
        <v>783</v>
      </c>
      <c r="K81" s="72" t="s">
        <v>382</v>
      </c>
      <c r="L81" s="72" t="s">
        <v>918</v>
      </c>
      <c r="M81" s="72" t="s">
        <v>388</v>
      </c>
      <c r="N81" s="72" t="s">
        <v>43</v>
      </c>
      <c r="O81" s="72" t="s">
        <v>541</v>
      </c>
      <c r="P81" s="72" t="s">
        <v>919</v>
      </c>
      <c r="Q81" s="72" t="s">
        <v>920</v>
      </c>
      <c r="R81" s="72" t="s">
        <v>78</v>
      </c>
      <c r="V81" s="60" t="str">
        <f t="shared" si="11"/>
        <v>6005FFкрасный</v>
      </c>
      <c r="W81" s="60" t="str">
        <f t="shared" si="8"/>
        <v>6005FF</v>
      </c>
      <c r="X81" s="60" t="str">
        <f t="shared" si="12"/>
        <v/>
      </c>
      <c r="AC81" s="51">
        <f t="shared" si="13"/>
        <v>94</v>
      </c>
      <c r="AD81" s="44">
        <f t="shared" si="14"/>
        <v>3</v>
      </c>
      <c r="AE81" s="51">
        <f t="shared" si="15"/>
        <v>94003</v>
      </c>
    </row>
    <row r="82" spans="1:31">
      <c r="A82" s="60" t="str">
        <f t="shared" si="9"/>
        <v>6005FFnavy</v>
      </c>
      <c r="B82" s="60" t="str">
        <f t="shared" si="10"/>
        <v>94-003-16</v>
      </c>
      <c r="C82" s="72" t="s">
        <v>1127</v>
      </c>
      <c r="D82" s="72" t="s">
        <v>1128</v>
      </c>
      <c r="E82" s="72" t="s">
        <v>909</v>
      </c>
      <c r="F82" s="73">
        <v>0</v>
      </c>
      <c r="G82" s="73" t="s">
        <v>1126</v>
      </c>
      <c r="H82" s="72" t="s">
        <v>55</v>
      </c>
      <c r="I82" s="72" t="s">
        <v>1003</v>
      </c>
      <c r="J82" s="72" t="s">
        <v>783</v>
      </c>
      <c r="K82" s="72" t="s">
        <v>382</v>
      </c>
      <c r="L82" s="72" t="s">
        <v>918</v>
      </c>
      <c r="M82" s="72" t="s">
        <v>388</v>
      </c>
      <c r="N82" s="72" t="s">
        <v>43</v>
      </c>
      <c r="O82" s="72" t="s">
        <v>541</v>
      </c>
      <c r="P82" s="72" t="s">
        <v>919</v>
      </c>
      <c r="Q82" s="72" t="s">
        <v>923</v>
      </c>
      <c r="R82" s="72" t="s">
        <v>71</v>
      </c>
      <c r="V82" s="60" t="str">
        <f t="shared" si="11"/>
        <v>6005FFтемно-синий</v>
      </c>
      <c r="W82" s="60" t="str">
        <f t="shared" si="8"/>
        <v>6005FF</v>
      </c>
      <c r="X82" s="60" t="str">
        <f t="shared" si="12"/>
        <v/>
      </c>
      <c r="AC82" s="51">
        <f t="shared" si="13"/>
        <v>94</v>
      </c>
      <c r="AD82" s="44">
        <f t="shared" si="14"/>
        <v>3</v>
      </c>
      <c r="AE82" s="51">
        <f t="shared" si="15"/>
        <v>94003</v>
      </c>
    </row>
    <row r="83" spans="1:31">
      <c r="A83" s="60" t="str">
        <f t="shared" si="9"/>
        <v>6005FFblack</v>
      </c>
      <c r="B83" s="60" t="str">
        <f t="shared" si="10"/>
        <v>94-003-09</v>
      </c>
      <c r="C83" s="72" t="s">
        <v>1129</v>
      </c>
      <c r="D83" s="72" t="s">
        <v>1130</v>
      </c>
      <c r="E83" s="72" t="s">
        <v>909</v>
      </c>
      <c r="F83" s="73">
        <v>0</v>
      </c>
      <c r="G83" s="73" t="s">
        <v>1126</v>
      </c>
      <c r="H83" s="72" t="s">
        <v>53</v>
      </c>
      <c r="I83" s="72" t="s">
        <v>1003</v>
      </c>
      <c r="J83" s="72" t="s">
        <v>783</v>
      </c>
      <c r="K83" s="72" t="s">
        <v>382</v>
      </c>
      <c r="L83" s="72" t="s">
        <v>918</v>
      </c>
      <c r="M83" s="72" t="s">
        <v>388</v>
      </c>
      <c r="N83" s="72" t="s">
        <v>43</v>
      </c>
      <c r="O83" s="72" t="s">
        <v>541</v>
      </c>
      <c r="P83" s="72" t="s">
        <v>919</v>
      </c>
      <c r="Q83" s="72" t="s">
        <v>926</v>
      </c>
      <c r="R83" s="72" t="s">
        <v>53</v>
      </c>
      <c r="V83" s="60" t="str">
        <f t="shared" si="11"/>
        <v>6005FFчерный</v>
      </c>
      <c r="W83" s="60" t="str">
        <f t="shared" si="8"/>
        <v>6005FF</v>
      </c>
      <c r="X83" s="60" t="str">
        <f t="shared" si="12"/>
        <v/>
      </c>
      <c r="AC83" s="51">
        <f t="shared" si="13"/>
        <v>94</v>
      </c>
      <c r="AD83" s="44">
        <f t="shared" si="14"/>
        <v>3</v>
      </c>
      <c r="AE83" s="51">
        <f t="shared" si="15"/>
        <v>94003</v>
      </c>
    </row>
    <row r="84" spans="1:31">
      <c r="A84" s="60" t="str">
        <f t="shared" si="9"/>
        <v>6005FFroyal</v>
      </c>
      <c r="B84" s="60" t="str">
        <f t="shared" si="10"/>
        <v>94-003-06</v>
      </c>
      <c r="C84" s="72" t="s">
        <v>1131</v>
      </c>
      <c r="D84" s="72" t="s">
        <v>1132</v>
      </c>
      <c r="E84" s="72" t="s">
        <v>909</v>
      </c>
      <c r="F84" s="73">
        <v>0</v>
      </c>
      <c r="G84" s="73" t="s">
        <v>1126</v>
      </c>
      <c r="H84" s="72" t="s">
        <v>71</v>
      </c>
      <c r="I84" s="72" t="s">
        <v>1003</v>
      </c>
      <c r="J84" s="72" t="s">
        <v>783</v>
      </c>
      <c r="K84" s="72" t="s">
        <v>382</v>
      </c>
      <c r="L84" s="72" t="s">
        <v>918</v>
      </c>
      <c r="M84" s="72" t="s">
        <v>388</v>
      </c>
      <c r="N84" s="72" t="s">
        <v>43</v>
      </c>
      <c r="O84" s="72" t="s">
        <v>541</v>
      </c>
      <c r="P84" s="72" t="s">
        <v>919</v>
      </c>
      <c r="Q84" s="72" t="s">
        <v>929</v>
      </c>
      <c r="R84" s="72" t="s">
        <v>71</v>
      </c>
      <c r="V84" s="60" t="str">
        <f t="shared" si="11"/>
        <v>6005FFсиний</v>
      </c>
      <c r="W84" s="60" t="str">
        <f t="shared" si="8"/>
        <v>6005FF</v>
      </c>
      <c r="X84" s="60" t="str">
        <f t="shared" si="12"/>
        <v/>
      </c>
      <c r="AC84" s="51">
        <f t="shared" si="13"/>
        <v>94</v>
      </c>
      <c r="AD84" s="44">
        <f t="shared" si="14"/>
        <v>3</v>
      </c>
      <c r="AE84" s="51">
        <f t="shared" si="15"/>
        <v>94003</v>
      </c>
    </row>
    <row r="85" spans="1:31">
      <c r="A85" s="60" t="str">
        <f t="shared" si="9"/>
        <v>5089Mred</v>
      </c>
      <c r="B85" s="60" t="str">
        <f t="shared" si="10"/>
        <v>94-002-18</v>
      </c>
      <c r="C85" s="72" t="s">
        <v>1133</v>
      </c>
      <c r="D85" s="72" t="s">
        <v>1134</v>
      </c>
      <c r="E85" s="72" t="s">
        <v>909</v>
      </c>
      <c r="F85" s="73">
        <v>0</v>
      </c>
      <c r="G85" s="73" t="s">
        <v>1135</v>
      </c>
      <c r="H85" s="72" t="s">
        <v>78</v>
      </c>
      <c r="I85" s="72" t="s">
        <v>1040</v>
      </c>
      <c r="J85" s="72" t="s">
        <v>783</v>
      </c>
      <c r="K85" s="72" t="s">
        <v>382</v>
      </c>
      <c r="L85" s="72" t="s">
        <v>918</v>
      </c>
      <c r="M85" s="72" t="s">
        <v>388</v>
      </c>
      <c r="N85" s="72" t="s">
        <v>46</v>
      </c>
      <c r="O85" s="72" t="s">
        <v>541</v>
      </c>
      <c r="P85" s="72" t="s">
        <v>919</v>
      </c>
      <c r="Q85" s="72" t="s">
        <v>920</v>
      </c>
      <c r="R85" s="72" t="s">
        <v>78</v>
      </c>
      <c r="V85" s="60" t="str">
        <f t="shared" si="11"/>
        <v>5089Mкрасный</v>
      </c>
      <c r="W85" s="60" t="str">
        <f t="shared" si="8"/>
        <v>5089M</v>
      </c>
      <c r="X85" s="60" t="str">
        <f t="shared" si="12"/>
        <v/>
      </c>
      <c r="AC85" s="51">
        <f t="shared" si="13"/>
        <v>94</v>
      </c>
      <c r="AD85" s="44">
        <f t="shared" si="14"/>
        <v>2</v>
      </c>
      <c r="AE85" s="51">
        <f t="shared" si="15"/>
        <v>94002</v>
      </c>
    </row>
    <row r="86" spans="1:31">
      <c r="A86" s="60" t="str">
        <f t="shared" si="9"/>
        <v>5089Mwhite</v>
      </c>
      <c r="B86" s="60" t="str">
        <f t="shared" si="10"/>
        <v>94-002-17</v>
      </c>
      <c r="C86" s="72" t="s">
        <v>1136</v>
      </c>
      <c r="D86" s="72" t="s">
        <v>1137</v>
      </c>
      <c r="E86" s="72" t="s">
        <v>909</v>
      </c>
      <c r="F86" s="73">
        <v>0</v>
      </c>
      <c r="G86" s="73" t="s">
        <v>1135</v>
      </c>
      <c r="H86" s="72" t="s">
        <v>57</v>
      </c>
      <c r="I86" s="72" t="s">
        <v>1040</v>
      </c>
      <c r="J86" s="72" t="s">
        <v>783</v>
      </c>
      <c r="K86" s="72" t="s">
        <v>382</v>
      </c>
      <c r="L86" s="72" t="s">
        <v>918</v>
      </c>
      <c r="M86" s="72" t="s">
        <v>388</v>
      </c>
      <c r="N86" s="72" t="s">
        <v>46</v>
      </c>
      <c r="O86" s="72" t="s">
        <v>541</v>
      </c>
      <c r="P86" s="72" t="s">
        <v>919</v>
      </c>
      <c r="Q86" s="72" t="s">
        <v>982</v>
      </c>
      <c r="R86" s="72" t="s">
        <v>57</v>
      </c>
      <c r="V86" s="60" t="str">
        <f t="shared" si="11"/>
        <v>5089Mбелый</v>
      </c>
      <c r="W86" s="60" t="str">
        <f t="shared" si="8"/>
        <v>5089M</v>
      </c>
      <c r="X86" s="60" t="str">
        <f t="shared" si="12"/>
        <v/>
      </c>
      <c r="AC86" s="51">
        <f t="shared" si="13"/>
        <v>94</v>
      </c>
      <c r="AD86" s="44">
        <f t="shared" si="14"/>
        <v>2</v>
      </c>
      <c r="AE86" s="51">
        <f t="shared" si="15"/>
        <v>94002</v>
      </c>
    </row>
    <row r="87" spans="1:31">
      <c r="A87" s="60" t="str">
        <f t="shared" si="9"/>
        <v>5089Mnavy</v>
      </c>
      <c r="B87" s="60" t="str">
        <f t="shared" si="10"/>
        <v>94-002-16</v>
      </c>
      <c r="C87" s="72" t="s">
        <v>1138</v>
      </c>
      <c r="D87" s="72" t="s">
        <v>1139</v>
      </c>
      <c r="E87" s="72" t="s">
        <v>909</v>
      </c>
      <c r="F87" s="73">
        <v>0</v>
      </c>
      <c r="G87" s="73" t="s">
        <v>1135</v>
      </c>
      <c r="H87" s="72" t="s">
        <v>55</v>
      </c>
      <c r="I87" s="72" t="s">
        <v>1040</v>
      </c>
      <c r="J87" s="72" t="s">
        <v>783</v>
      </c>
      <c r="K87" s="72" t="s">
        <v>382</v>
      </c>
      <c r="L87" s="72" t="s">
        <v>918</v>
      </c>
      <c r="M87" s="72" t="s">
        <v>388</v>
      </c>
      <c r="N87" s="72" t="s">
        <v>46</v>
      </c>
      <c r="O87" s="72" t="s">
        <v>541</v>
      </c>
      <c r="P87" s="72" t="s">
        <v>919</v>
      </c>
      <c r="Q87" s="72" t="s">
        <v>923</v>
      </c>
      <c r="R87" s="72" t="s">
        <v>71</v>
      </c>
      <c r="V87" s="60" t="str">
        <f t="shared" si="11"/>
        <v>5089Mтемно-синий</v>
      </c>
      <c r="W87" s="60" t="str">
        <f t="shared" si="8"/>
        <v>5089M</v>
      </c>
      <c r="X87" s="60" t="str">
        <f t="shared" si="12"/>
        <v/>
      </c>
      <c r="AC87" s="51">
        <f t="shared" si="13"/>
        <v>94</v>
      </c>
      <c r="AD87" s="44">
        <f t="shared" si="14"/>
        <v>2</v>
      </c>
      <c r="AE87" s="51">
        <f t="shared" si="15"/>
        <v>94002</v>
      </c>
    </row>
    <row r="88" spans="1:31">
      <c r="A88" s="60" t="str">
        <f t="shared" si="9"/>
        <v>5089Mroyal</v>
      </c>
      <c r="B88" s="60" t="str">
        <f t="shared" si="10"/>
        <v>94-002-06</v>
      </c>
      <c r="C88" s="72" t="s">
        <v>1140</v>
      </c>
      <c r="D88" s="72" t="s">
        <v>1141</v>
      </c>
      <c r="E88" s="72" t="s">
        <v>909</v>
      </c>
      <c r="F88" s="73">
        <v>0</v>
      </c>
      <c r="G88" s="73" t="s">
        <v>1135</v>
      </c>
      <c r="H88" s="72" t="s">
        <v>71</v>
      </c>
      <c r="I88" s="72" t="s">
        <v>1040</v>
      </c>
      <c r="J88" s="72" t="s">
        <v>783</v>
      </c>
      <c r="K88" s="72" t="s">
        <v>382</v>
      </c>
      <c r="L88" s="72" t="s">
        <v>918</v>
      </c>
      <c r="M88" s="72" t="s">
        <v>388</v>
      </c>
      <c r="N88" s="72" t="s">
        <v>46</v>
      </c>
      <c r="O88" s="72" t="s">
        <v>541</v>
      </c>
      <c r="P88" s="72" t="s">
        <v>919</v>
      </c>
      <c r="Q88" s="72" t="s">
        <v>929</v>
      </c>
      <c r="R88" s="72" t="s">
        <v>71</v>
      </c>
      <c r="V88" s="60" t="str">
        <f t="shared" si="11"/>
        <v>5089Mсиний</v>
      </c>
      <c r="W88" s="60" t="str">
        <f t="shared" si="8"/>
        <v>5089M</v>
      </c>
      <c r="X88" s="60" t="str">
        <f t="shared" si="12"/>
        <v/>
      </c>
      <c r="AC88" s="51">
        <f t="shared" si="13"/>
        <v>94</v>
      </c>
      <c r="AD88" s="44">
        <f t="shared" si="14"/>
        <v>2</v>
      </c>
      <c r="AE88" s="51">
        <f t="shared" si="15"/>
        <v>94002</v>
      </c>
    </row>
    <row r="89" spans="1:31">
      <c r="A89" s="60" t="str">
        <f t="shared" si="9"/>
        <v>5089Mdark grey</v>
      </c>
      <c r="B89" s="60" t="str">
        <f t="shared" si="10"/>
        <v>94-002-05</v>
      </c>
      <c r="C89" s="72" t="s">
        <v>1142</v>
      </c>
      <c r="D89" s="72" t="s">
        <v>1143</v>
      </c>
      <c r="E89" s="72" t="s">
        <v>909</v>
      </c>
      <c r="F89" s="73">
        <v>0</v>
      </c>
      <c r="G89" s="73" t="s">
        <v>1135</v>
      </c>
      <c r="H89" s="72" t="s">
        <v>277</v>
      </c>
      <c r="I89" s="72" t="s">
        <v>1040</v>
      </c>
      <c r="J89" s="72" t="s">
        <v>783</v>
      </c>
      <c r="K89" s="72" t="s">
        <v>382</v>
      </c>
      <c r="L89" s="72" t="s">
        <v>918</v>
      </c>
      <c r="M89" s="72" t="s">
        <v>388</v>
      </c>
      <c r="N89" s="72" t="s">
        <v>46</v>
      </c>
      <c r="O89" s="72" t="s">
        <v>541</v>
      </c>
      <c r="P89" s="72" t="s">
        <v>919</v>
      </c>
      <c r="Q89" s="72" t="s">
        <v>932</v>
      </c>
      <c r="R89" s="72" t="s">
        <v>83</v>
      </c>
      <c r="V89" s="60" t="str">
        <f t="shared" si="11"/>
        <v>5089Mтемно-серый</v>
      </c>
      <c r="W89" s="60" t="str">
        <f t="shared" si="8"/>
        <v>5089M</v>
      </c>
      <c r="X89" s="60" t="str">
        <f t="shared" si="12"/>
        <v/>
      </c>
      <c r="AC89" s="51">
        <f t="shared" si="13"/>
        <v>94</v>
      </c>
      <c r="AD89" s="44">
        <f t="shared" si="14"/>
        <v>2</v>
      </c>
      <c r="AE89" s="51">
        <f t="shared" si="15"/>
        <v>94002</v>
      </c>
    </row>
    <row r="90" spans="1:31">
      <c r="A90" s="60" t="str">
        <f t="shared" si="9"/>
        <v>110Fdark grey</v>
      </c>
      <c r="B90" s="60" t="str">
        <f t="shared" si="10"/>
        <v>94-001-05</v>
      </c>
      <c r="C90" s="72" t="s">
        <v>1144</v>
      </c>
      <c r="D90" s="72" t="s">
        <v>1145</v>
      </c>
      <c r="E90" s="72" t="s">
        <v>909</v>
      </c>
      <c r="F90" s="73">
        <v>0</v>
      </c>
      <c r="G90" s="73" t="s">
        <v>1146</v>
      </c>
      <c r="H90" s="72" t="s">
        <v>277</v>
      </c>
      <c r="I90" s="72" t="s">
        <v>1147</v>
      </c>
      <c r="J90" s="72" t="s">
        <v>783</v>
      </c>
      <c r="K90" s="72" t="s">
        <v>382</v>
      </c>
      <c r="L90" s="72" t="s">
        <v>918</v>
      </c>
      <c r="M90" s="72" t="s">
        <v>388</v>
      </c>
      <c r="N90" s="72" t="s">
        <v>46</v>
      </c>
      <c r="O90" s="72" t="s">
        <v>541</v>
      </c>
      <c r="P90" s="72" t="s">
        <v>855</v>
      </c>
      <c r="Q90" s="72" t="s">
        <v>932</v>
      </c>
      <c r="R90" s="72" t="s">
        <v>83</v>
      </c>
      <c r="V90" s="60" t="str">
        <f t="shared" si="11"/>
        <v>110Fтемно-серый</v>
      </c>
      <c r="W90" s="60" t="str">
        <f t="shared" si="8"/>
        <v>110F</v>
      </c>
      <c r="X90" s="60" t="str">
        <f t="shared" si="12"/>
        <v/>
      </c>
      <c r="AC90" s="51">
        <f t="shared" si="13"/>
        <v>94</v>
      </c>
      <c r="AD90" s="44">
        <f t="shared" si="14"/>
        <v>1</v>
      </c>
      <c r="AE90" s="51">
        <f t="shared" si="15"/>
        <v>94001</v>
      </c>
    </row>
    <row r="91" spans="1:31">
      <c r="A91" s="60" t="str">
        <f t="shared" si="9"/>
        <v>110Fheather grey</v>
      </c>
      <c r="B91" s="60" t="str">
        <f t="shared" si="10"/>
        <v>94-001-01</v>
      </c>
      <c r="C91" s="72" t="s">
        <v>1148</v>
      </c>
      <c r="D91" s="72" t="s">
        <v>1149</v>
      </c>
      <c r="E91" s="72" t="s">
        <v>909</v>
      </c>
      <c r="F91" s="73">
        <v>0</v>
      </c>
      <c r="G91" s="73" t="s">
        <v>1146</v>
      </c>
      <c r="H91" s="72" t="s">
        <v>231</v>
      </c>
      <c r="I91" s="72" t="s">
        <v>1147</v>
      </c>
      <c r="J91" s="72" t="s">
        <v>783</v>
      </c>
      <c r="K91" s="72" t="s">
        <v>382</v>
      </c>
      <c r="L91" s="72" t="s">
        <v>918</v>
      </c>
      <c r="M91" s="72" t="s">
        <v>388</v>
      </c>
      <c r="N91" s="72" t="s">
        <v>46</v>
      </c>
      <c r="O91" s="72" t="s">
        <v>541</v>
      </c>
      <c r="P91" s="72" t="s">
        <v>855</v>
      </c>
      <c r="Q91" s="72" t="s">
        <v>935</v>
      </c>
      <c r="R91" s="72" t="s">
        <v>83</v>
      </c>
      <c r="V91" s="60" t="str">
        <f t="shared" si="11"/>
        <v>110Fсветло-серый</v>
      </c>
      <c r="W91" s="60" t="str">
        <f t="shared" si="8"/>
        <v>110F</v>
      </c>
      <c r="X91" s="60" t="str">
        <f t="shared" si="12"/>
        <v/>
      </c>
      <c r="AC91" s="51">
        <f t="shared" si="13"/>
        <v>94</v>
      </c>
      <c r="AD91" s="44">
        <f t="shared" si="14"/>
        <v>1</v>
      </c>
      <c r="AE91" s="51">
        <f t="shared" si="15"/>
        <v>94001</v>
      </c>
    </row>
    <row r="92" spans="1:31">
      <c r="A92" s="60" t="str">
        <f t="shared" si="9"/>
        <v>6789Mred</v>
      </c>
      <c r="B92" s="60" t="str">
        <f t="shared" si="10"/>
        <v>94-023-18</v>
      </c>
      <c r="C92" s="72" t="s">
        <v>1150</v>
      </c>
      <c r="D92" s="72" t="s">
        <v>1151</v>
      </c>
      <c r="E92" s="72" t="s">
        <v>909</v>
      </c>
      <c r="F92" s="73">
        <v>0</v>
      </c>
      <c r="G92" s="73" t="s">
        <v>1152</v>
      </c>
      <c r="H92" s="72" t="s">
        <v>78</v>
      </c>
      <c r="I92" s="72" t="s">
        <v>1040</v>
      </c>
      <c r="J92" s="72" t="s">
        <v>327</v>
      </c>
      <c r="K92" s="72" t="s">
        <v>382</v>
      </c>
      <c r="L92" s="72" t="s">
        <v>918</v>
      </c>
      <c r="M92" s="72" t="s">
        <v>388</v>
      </c>
      <c r="N92" s="72" t="s">
        <v>46</v>
      </c>
      <c r="O92" s="72" t="s">
        <v>541</v>
      </c>
      <c r="P92" s="72" t="s">
        <v>919</v>
      </c>
      <c r="Q92" s="72" t="s">
        <v>920</v>
      </c>
      <c r="R92" s="72" t="s">
        <v>78</v>
      </c>
      <c r="V92" s="60" t="str">
        <f t="shared" si="11"/>
        <v>6789Mкрасный</v>
      </c>
      <c r="W92" s="60" t="str">
        <f t="shared" si="8"/>
        <v>6789M</v>
      </c>
      <c r="X92" s="60" t="str">
        <f t="shared" si="12"/>
        <v/>
      </c>
      <c r="AC92" s="51">
        <f t="shared" si="13"/>
        <v>94</v>
      </c>
      <c r="AD92" s="44">
        <f t="shared" si="14"/>
        <v>23</v>
      </c>
      <c r="AE92" s="51">
        <f t="shared" si="15"/>
        <v>94023</v>
      </c>
    </row>
    <row r="93" spans="1:31">
      <c r="A93" s="60" t="str">
        <f t="shared" si="9"/>
        <v>6789Mblack</v>
      </c>
      <c r="B93" s="60" t="str">
        <f t="shared" si="10"/>
        <v>94-023-09</v>
      </c>
      <c r="C93" s="72" t="s">
        <v>1153</v>
      </c>
      <c r="D93" s="72" t="s">
        <v>1154</v>
      </c>
      <c r="E93" s="72" t="s">
        <v>909</v>
      </c>
      <c r="F93" s="73">
        <v>0</v>
      </c>
      <c r="G93" s="73" t="s">
        <v>1152</v>
      </c>
      <c r="H93" s="72" t="s">
        <v>53</v>
      </c>
      <c r="I93" s="72" t="s">
        <v>1040</v>
      </c>
      <c r="J93" s="72" t="s">
        <v>327</v>
      </c>
      <c r="K93" s="72" t="s">
        <v>382</v>
      </c>
      <c r="L93" s="72" t="s">
        <v>918</v>
      </c>
      <c r="M93" s="72" t="s">
        <v>388</v>
      </c>
      <c r="N93" s="72" t="s">
        <v>46</v>
      </c>
      <c r="O93" s="72" t="s">
        <v>541</v>
      </c>
      <c r="P93" s="72" t="s">
        <v>919</v>
      </c>
      <c r="Q93" s="72" t="s">
        <v>926</v>
      </c>
      <c r="R93" s="72" t="s">
        <v>53</v>
      </c>
      <c r="V93" s="60" t="str">
        <f t="shared" si="11"/>
        <v>6789Mчерный</v>
      </c>
      <c r="W93" s="60" t="str">
        <f t="shared" si="8"/>
        <v>6789M</v>
      </c>
      <c r="X93" s="60" t="str">
        <f t="shared" si="12"/>
        <v/>
      </c>
      <c r="AC93" s="51">
        <f t="shared" si="13"/>
        <v>94</v>
      </c>
      <c r="AD93" s="44">
        <f t="shared" si="14"/>
        <v>23</v>
      </c>
      <c r="AE93" s="51">
        <f t="shared" si="15"/>
        <v>94023</v>
      </c>
    </row>
    <row r="94" spans="1:31">
      <c r="A94" s="60" t="str">
        <f t="shared" si="9"/>
        <v>6789Mroyal</v>
      </c>
      <c r="B94" s="60" t="str">
        <f t="shared" si="10"/>
        <v>94-023-06</v>
      </c>
      <c r="C94" s="72" t="s">
        <v>1155</v>
      </c>
      <c r="D94" s="72" t="s">
        <v>1156</v>
      </c>
      <c r="E94" s="72" t="s">
        <v>909</v>
      </c>
      <c r="F94" s="73">
        <v>0</v>
      </c>
      <c r="G94" s="73" t="s">
        <v>1152</v>
      </c>
      <c r="H94" s="72" t="s">
        <v>71</v>
      </c>
      <c r="I94" s="72" t="s">
        <v>1040</v>
      </c>
      <c r="J94" s="72" t="s">
        <v>327</v>
      </c>
      <c r="K94" s="72" t="s">
        <v>382</v>
      </c>
      <c r="L94" s="72" t="s">
        <v>918</v>
      </c>
      <c r="M94" s="72" t="s">
        <v>388</v>
      </c>
      <c r="N94" s="72" t="s">
        <v>46</v>
      </c>
      <c r="O94" s="72" t="s">
        <v>541</v>
      </c>
      <c r="P94" s="72" t="s">
        <v>855</v>
      </c>
      <c r="Q94" s="72" t="s">
        <v>929</v>
      </c>
      <c r="R94" s="72" t="s">
        <v>71</v>
      </c>
      <c r="V94" s="60" t="str">
        <f t="shared" si="11"/>
        <v>6789Mсиний</v>
      </c>
      <c r="W94" s="60" t="str">
        <f t="shared" si="8"/>
        <v>6789M</v>
      </c>
      <c r="X94" s="60" t="str">
        <f t="shared" si="12"/>
        <v/>
      </c>
      <c r="AC94" s="51">
        <f t="shared" si="13"/>
        <v>94</v>
      </c>
      <c r="AD94" s="44">
        <f t="shared" si="14"/>
        <v>23</v>
      </c>
      <c r="AE94" s="51">
        <f t="shared" si="15"/>
        <v>94023</v>
      </c>
    </row>
    <row r="95" spans="1:31">
      <c r="A95" s="60" t="str">
        <f t="shared" si="9"/>
        <v>6789Mheather grey</v>
      </c>
      <c r="B95" s="60" t="str">
        <f t="shared" si="10"/>
        <v>94-023-01</v>
      </c>
      <c r="C95" s="72" t="s">
        <v>1157</v>
      </c>
      <c r="D95" s="72" t="s">
        <v>1158</v>
      </c>
      <c r="E95" s="72" t="s">
        <v>909</v>
      </c>
      <c r="F95" s="73">
        <v>0</v>
      </c>
      <c r="G95" s="73" t="s">
        <v>1152</v>
      </c>
      <c r="H95" s="72" t="s">
        <v>231</v>
      </c>
      <c r="I95" s="72" t="s">
        <v>1040</v>
      </c>
      <c r="J95" s="72" t="s">
        <v>327</v>
      </c>
      <c r="K95" s="72" t="s">
        <v>382</v>
      </c>
      <c r="L95" s="72" t="s">
        <v>918</v>
      </c>
      <c r="M95" s="72" t="s">
        <v>388</v>
      </c>
      <c r="N95" s="72" t="s">
        <v>46</v>
      </c>
      <c r="O95" s="72" t="s">
        <v>541</v>
      </c>
      <c r="P95" s="72" t="s">
        <v>919</v>
      </c>
      <c r="Q95" s="72" t="s">
        <v>935</v>
      </c>
      <c r="R95" s="72" t="s">
        <v>83</v>
      </c>
      <c r="V95" s="60" t="str">
        <f t="shared" si="11"/>
        <v>6789Mсветло-серый</v>
      </c>
      <c r="W95" s="60" t="str">
        <f t="shared" si="8"/>
        <v>6789M</v>
      </c>
      <c r="X95" s="60" t="str">
        <f t="shared" si="12"/>
        <v/>
      </c>
      <c r="AC95" s="51">
        <f t="shared" si="13"/>
        <v>94</v>
      </c>
      <c r="AD95" s="44">
        <f t="shared" si="14"/>
        <v>23</v>
      </c>
      <c r="AE95" s="51">
        <f t="shared" si="15"/>
        <v>94023</v>
      </c>
    </row>
    <row r="96" spans="1:31">
      <c r="A96" s="60" t="str">
        <f t="shared" si="9"/>
        <v>110Croyal</v>
      </c>
      <c r="B96" s="60" t="str">
        <f t="shared" si="10"/>
        <v>94-022-06</v>
      </c>
      <c r="C96" s="72" t="s">
        <v>1159</v>
      </c>
      <c r="D96" s="72" t="s">
        <v>1160</v>
      </c>
      <c r="E96" s="72" t="s">
        <v>909</v>
      </c>
      <c r="F96" s="73">
        <v>0</v>
      </c>
      <c r="G96" s="73" t="s">
        <v>1161</v>
      </c>
      <c r="H96" s="72" t="s">
        <v>71</v>
      </c>
      <c r="I96" s="72" t="s">
        <v>1162</v>
      </c>
      <c r="J96" s="72" t="s">
        <v>327</v>
      </c>
      <c r="K96" s="72" t="s">
        <v>382</v>
      </c>
      <c r="L96" s="72" t="s">
        <v>918</v>
      </c>
      <c r="M96" s="72" t="s">
        <v>388</v>
      </c>
      <c r="O96" s="72" t="s">
        <v>541</v>
      </c>
      <c r="P96" s="72" t="s">
        <v>855</v>
      </c>
      <c r="Q96" s="72" t="s">
        <v>929</v>
      </c>
      <c r="R96" s="72" t="s">
        <v>71</v>
      </c>
      <c r="V96" s="60" t="str">
        <f t="shared" si="11"/>
        <v>110Cсиний</v>
      </c>
      <c r="W96" s="60" t="str">
        <f t="shared" si="8"/>
        <v>110C</v>
      </c>
      <c r="X96" s="60" t="str">
        <f t="shared" si="12"/>
        <v/>
      </c>
      <c r="AC96" s="51">
        <f t="shared" si="13"/>
        <v>94</v>
      </c>
      <c r="AD96" s="44">
        <f t="shared" si="14"/>
        <v>22</v>
      </c>
      <c r="AE96" s="51">
        <f t="shared" si="15"/>
        <v>94022</v>
      </c>
    </row>
    <row r="97" spans="1:31">
      <c r="A97" s="60" t="str">
        <f t="shared" si="9"/>
        <v>6089CClt. steel grey</v>
      </c>
      <c r="B97" s="60" t="str">
        <f t="shared" si="10"/>
        <v>94-020-80</v>
      </c>
      <c r="C97" s="72" t="s">
        <v>1163</v>
      </c>
      <c r="D97" s="72" t="s">
        <v>1164</v>
      </c>
      <c r="E97" s="72" t="s">
        <v>909</v>
      </c>
      <c r="F97" s="73">
        <v>0</v>
      </c>
      <c r="G97" s="73" t="s">
        <v>1165</v>
      </c>
      <c r="H97" s="72" t="s">
        <v>83</v>
      </c>
      <c r="I97" s="72" t="s">
        <v>910</v>
      </c>
      <c r="J97" s="72" t="s">
        <v>327</v>
      </c>
      <c r="K97" s="72" t="s">
        <v>382</v>
      </c>
      <c r="L97" s="72" t="s">
        <v>918</v>
      </c>
      <c r="M97" s="72" t="s">
        <v>388</v>
      </c>
      <c r="N97" s="72" t="s">
        <v>43</v>
      </c>
      <c r="O97" s="72" t="s">
        <v>541</v>
      </c>
      <c r="P97" s="72" t="s">
        <v>855</v>
      </c>
      <c r="Q97" s="72" t="s">
        <v>1166</v>
      </c>
      <c r="R97" s="72" t="s">
        <v>83</v>
      </c>
      <c r="V97" s="60" t="str">
        <f t="shared" si="11"/>
        <v>6089CCсерый</v>
      </c>
      <c r="W97" s="60" t="str">
        <f t="shared" si="8"/>
        <v>6089CC</v>
      </c>
      <c r="X97" s="60" t="str">
        <f t="shared" si="12"/>
        <v/>
      </c>
      <c r="AC97" s="51">
        <f t="shared" si="13"/>
        <v>94</v>
      </c>
      <c r="AD97" s="44">
        <f t="shared" si="14"/>
        <v>20</v>
      </c>
      <c r="AE97" s="51">
        <f t="shared" si="15"/>
        <v>94020</v>
      </c>
    </row>
    <row r="98" spans="1:31">
      <c r="A98" s="60" t="str">
        <f t="shared" si="9"/>
        <v>6089CCmaroon</v>
      </c>
      <c r="B98" s="60" t="str">
        <f t="shared" si="10"/>
        <v>94-020-12</v>
      </c>
      <c r="C98" s="72" t="s">
        <v>1167</v>
      </c>
      <c r="D98" s="72" t="s">
        <v>1168</v>
      </c>
      <c r="E98" s="72" t="s">
        <v>909</v>
      </c>
      <c r="F98" s="73">
        <v>0</v>
      </c>
      <c r="G98" s="73" t="s">
        <v>1165</v>
      </c>
      <c r="H98" s="72" t="s">
        <v>121</v>
      </c>
      <c r="I98" s="72" t="s">
        <v>910</v>
      </c>
      <c r="J98" s="72" t="s">
        <v>327</v>
      </c>
      <c r="K98" s="72" t="s">
        <v>382</v>
      </c>
      <c r="L98" s="72" t="s">
        <v>918</v>
      </c>
      <c r="M98" s="72" t="s">
        <v>388</v>
      </c>
      <c r="N98" s="72" t="s">
        <v>43</v>
      </c>
      <c r="O98" s="72" t="s">
        <v>541</v>
      </c>
      <c r="P98" s="72" t="s">
        <v>855</v>
      </c>
      <c r="Q98" s="72" t="s">
        <v>955</v>
      </c>
      <c r="R98" s="72" t="s">
        <v>121</v>
      </c>
      <c r="V98" s="60" t="str">
        <f t="shared" si="11"/>
        <v>6089CCбордовый</v>
      </c>
      <c r="W98" s="60" t="str">
        <f t="shared" si="8"/>
        <v>6089CC</v>
      </c>
      <c r="X98" s="60" t="str">
        <f t="shared" si="12"/>
        <v/>
      </c>
      <c r="AC98" s="51">
        <f t="shared" si="13"/>
        <v>94</v>
      </c>
      <c r="AD98" s="44">
        <f t="shared" si="14"/>
        <v>20</v>
      </c>
      <c r="AE98" s="51">
        <f t="shared" si="15"/>
        <v>94020</v>
      </c>
    </row>
    <row r="99" spans="1:31">
      <c r="A99" s="60" t="str">
        <f t="shared" si="9"/>
        <v>6089CCdark grey</v>
      </c>
      <c r="B99" s="60" t="str">
        <f t="shared" si="10"/>
        <v>94-020-05</v>
      </c>
      <c r="C99" s="72" t="s">
        <v>1169</v>
      </c>
      <c r="D99" s="72" t="s">
        <v>1170</v>
      </c>
      <c r="E99" s="72" t="s">
        <v>909</v>
      </c>
      <c r="F99" s="73">
        <v>0</v>
      </c>
      <c r="G99" s="73" t="s">
        <v>1165</v>
      </c>
      <c r="H99" s="72" t="s">
        <v>277</v>
      </c>
      <c r="I99" s="72" t="s">
        <v>910</v>
      </c>
      <c r="J99" s="72" t="s">
        <v>327</v>
      </c>
      <c r="K99" s="72" t="s">
        <v>382</v>
      </c>
      <c r="L99" s="72" t="s">
        <v>918</v>
      </c>
      <c r="M99" s="72" t="s">
        <v>388</v>
      </c>
      <c r="N99" s="72" t="s">
        <v>43</v>
      </c>
      <c r="O99" s="72" t="s">
        <v>541</v>
      </c>
      <c r="P99" s="72" t="s">
        <v>855</v>
      </c>
      <c r="Q99" s="72" t="s">
        <v>932</v>
      </c>
      <c r="R99" s="72" t="s">
        <v>83</v>
      </c>
      <c r="V99" s="60" t="str">
        <f t="shared" si="11"/>
        <v>6089CCтемно-серый</v>
      </c>
      <c r="W99" s="60" t="str">
        <f t="shared" si="8"/>
        <v>6089CC</v>
      </c>
      <c r="X99" s="60" t="str">
        <f t="shared" si="12"/>
        <v/>
      </c>
      <c r="AC99" s="51">
        <f t="shared" si="13"/>
        <v>94</v>
      </c>
      <c r="AD99" s="44">
        <f t="shared" si="14"/>
        <v>20</v>
      </c>
      <c r="AE99" s="51">
        <f t="shared" si="15"/>
        <v>94020</v>
      </c>
    </row>
    <row r="100" spans="1:31">
      <c r="A100" s="60" t="str">
        <f t="shared" si="9"/>
        <v>6245CMblack</v>
      </c>
      <c r="B100" s="60" t="str">
        <f t="shared" si="10"/>
        <v>94-019-09</v>
      </c>
      <c r="C100" s="72" t="s">
        <v>1171</v>
      </c>
      <c r="D100" s="72" t="s">
        <v>1172</v>
      </c>
      <c r="E100" s="72" t="s">
        <v>909</v>
      </c>
      <c r="F100" s="73">
        <v>0</v>
      </c>
      <c r="G100" s="73" t="s">
        <v>1173</v>
      </c>
      <c r="H100" s="72" t="s">
        <v>53</v>
      </c>
      <c r="I100" s="72" t="s">
        <v>910</v>
      </c>
      <c r="J100" s="72" t="s">
        <v>327</v>
      </c>
      <c r="K100" s="72" t="s">
        <v>382</v>
      </c>
      <c r="L100" s="72" t="s">
        <v>918</v>
      </c>
      <c r="M100" s="72" t="s">
        <v>388</v>
      </c>
      <c r="N100" s="72" t="s">
        <v>43</v>
      </c>
      <c r="O100" s="72" t="s">
        <v>541</v>
      </c>
      <c r="P100" s="72" t="s">
        <v>855</v>
      </c>
      <c r="Q100" s="72" t="s">
        <v>926</v>
      </c>
      <c r="R100" s="72" t="s">
        <v>53</v>
      </c>
      <c r="V100" s="60" t="str">
        <f t="shared" si="11"/>
        <v>6245CMчерный</v>
      </c>
      <c r="W100" s="60" t="str">
        <f t="shared" si="8"/>
        <v>6245CM</v>
      </c>
      <c r="X100" s="60" t="str">
        <f t="shared" si="12"/>
        <v/>
      </c>
      <c r="AC100" s="51">
        <f t="shared" si="13"/>
        <v>94</v>
      </c>
      <c r="AD100" s="44">
        <f t="shared" si="14"/>
        <v>19</v>
      </c>
      <c r="AE100" s="51">
        <f t="shared" si="15"/>
        <v>94019</v>
      </c>
    </row>
    <row r="101" spans="1:31">
      <c r="A101" s="60" t="str">
        <f t="shared" si="9"/>
        <v>6606pink</v>
      </c>
      <c r="B101" s="60" t="str">
        <f t="shared" si="10"/>
        <v>94-015-34</v>
      </c>
      <c r="C101" s="72" t="s">
        <v>1174</v>
      </c>
      <c r="D101" s="72" t="s">
        <v>1175</v>
      </c>
      <c r="E101" s="72" t="s">
        <v>909</v>
      </c>
      <c r="F101" s="73">
        <v>0</v>
      </c>
      <c r="G101" s="73">
        <v>6606</v>
      </c>
      <c r="H101" s="72" t="s">
        <v>68</v>
      </c>
      <c r="I101" s="72" t="s">
        <v>1003</v>
      </c>
      <c r="J101" s="72" t="s">
        <v>356</v>
      </c>
      <c r="K101" s="72" t="s">
        <v>382</v>
      </c>
      <c r="L101" s="72" t="s">
        <v>918</v>
      </c>
      <c r="M101" s="72" t="s">
        <v>388</v>
      </c>
      <c r="O101" s="72" t="s">
        <v>541</v>
      </c>
      <c r="P101" s="72" t="s">
        <v>855</v>
      </c>
      <c r="Q101" s="72" t="s">
        <v>1176</v>
      </c>
      <c r="R101" s="72" t="s">
        <v>68</v>
      </c>
      <c r="V101" s="60" t="str">
        <f t="shared" si="11"/>
        <v>6606розовый</v>
      </c>
      <c r="W101" s="60" t="str">
        <f t="shared" si="8"/>
        <v>6606</v>
      </c>
      <c r="X101" s="60" t="str">
        <f t="shared" si="12"/>
        <v/>
      </c>
      <c r="AC101" s="51">
        <f t="shared" si="13"/>
        <v>94</v>
      </c>
      <c r="AD101" s="44">
        <f t="shared" si="14"/>
        <v>15</v>
      </c>
      <c r="AE101" s="51">
        <f t="shared" si="15"/>
        <v>94015</v>
      </c>
    </row>
    <row r="102" spans="1:31">
      <c r="A102" s="60" t="str">
        <f t="shared" si="9"/>
        <v>6089MTheather/red</v>
      </c>
      <c r="B102" s="60" t="str">
        <f t="shared" si="10"/>
        <v>94-009-70</v>
      </c>
      <c r="C102" s="72" t="s">
        <v>1177</v>
      </c>
      <c r="D102" s="72" t="s">
        <v>1178</v>
      </c>
      <c r="E102" s="72" t="s">
        <v>909</v>
      </c>
      <c r="F102" s="73">
        <v>0</v>
      </c>
      <c r="G102" s="73" t="s">
        <v>1039</v>
      </c>
      <c r="H102" s="72" t="s">
        <v>870</v>
      </c>
      <c r="I102" s="72" t="s">
        <v>1040</v>
      </c>
      <c r="J102" s="72" t="s">
        <v>783</v>
      </c>
      <c r="K102" s="72" t="s">
        <v>382</v>
      </c>
      <c r="L102" s="72" t="s">
        <v>918</v>
      </c>
      <c r="M102" s="72" t="s">
        <v>388</v>
      </c>
      <c r="N102" s="72" t="s">
        <v>46</v>
      </c>
      <c r="O102" s="72" t="s">
        <v>541</v>
      </c>
      <c r="P102" s="72" t="s">
        <v>855</v>
      </c>
      <c r="Q102" s="72" t="s">
        <v>1179</v>
      </c>
      <c r="R102" s="72" t="s">
        <v>83</v>
      </c>
      <c r="V102" s="60" t="str">
        <f t="shared" si="11"/>
        <v>6089MTтемно-серый / красный</v>
      </c>
      <c r="W102" s="60" t="str">
        <f t="shared" si="8"/>
        <v>6089MT</v>
      </c>
      <c r="X102" s="60" t="str">
        <f t="shared" si="12"/>
        <v/>
      </c>
      <c r="AC102" s="51">
        <f t="shared" si="13"/>
        <v>94</v>
      </c>
      <c r="AD102" s="44">
        <f t="shared" si="14"/>
        <v>9</v>
      </c>
      <c r="AE102" s="51">
        <f t="shared" si="15"/>
        <v>94009</v>
      </c>
    </row>
    <row r="103" spans="1:31">
      <c r="A103" s="60" t="str">
        <f t="shared" si="9"/>
        <v>6089MTheather/purple</v>
      </c>
      <c r="B103" s="60" t="str">
        <f t="shared" si="10"/>
        <v>94-009-56</v>
      </c>
      <c r="C103" s="72" t="s">
        <v>1180</v>
      </c>
      <c r="D103" s="72" t="s">
        <v>1181</v>
      </c>
      <c r="E103" s="72" t="s">
        <v>909</v>
      </c>
      <c r="F103" s="73">
        <v>0</v>
      </c>
      <c r="G103" s="73" t="s">
        <v>1039</v>
      </c>
      <c r="H103" s="72" t="s">
        <v>869</v>
      </c>
      <c r="I103" s="72" t="s">
        <v>1040</v>
      </c>
      <c r="J103" s="72" t="s">
        <v>783</v>
      </c>
      <c r="K103" s="72" t="s">
        <v>382</v>
      </c>
      <c r="L103" s="72" t="s">
        <v>918</v>
      </c>
      <c r="M103" s="72" t="s">
        <v>388</v>
      </c>
      <c r="N103" s="72" t="s">
        <v>46</v>
      </c>
      <c r="O103" s="72" t="s">
        <v>541</v>
      </c>
      <c r="P103" s="72" t="s">
        <v>855</v>
      </c>
      <c r="Q103" s="72" t="s">
        <v>1182</v>
      </c>
      <c r="R103" s="72" t="s">
        <v>83</v>
      </c>
      <c r="V103" s="60" t="str">
        <f t="shared" si="11"/>
        <v>6089MTсерый / фиолетовый</v>
      </c>
      <c r="W103" s="60" t="str">
        <f t="shared" si="8"/>
        <v>6089MT</v>
      </c>
      <c r="X103" s="60" t="str">
        <f t="shared" si="12"/>
        <v/>
      </c>
      <c r="AC103" s="51">
        <f t="shared" si="13"/>
        <v>94</v>
      </c>
      <c r="AD103" s="44">
        <f t="shared" si="14"/>
        <v>9</v>
      </c>
      <c r="AE103" s="51">
        <f t="shared" si="15"/>
        <v>94009</v>
      </c>
    </row>
    <row r="104" spans="1:31">
      <c r="A104" s="60" t="str">
        <f t="shared" si="9"/>
        <v>6089MTheather/royal</v>
      </c>
      <c r="B104" s="60" t="str">
        <f t="shared" si="10"/>
        <v>94-009-26</v>
      </c>
      <c r="C104" s="72" t="s">
        <v>1183</v>
      </c>
      <c r="D104" s="72" t="s">
        <v>1184</v>
      </c>
      <c r="E104" s="72" t="s">
        <v>909</v>
      </c>
      <c r="F104" s="73">
        <v>0</v>
      </c>
      <c r="G104" s="73" t="s">
        <v>1039</v>
      </c>
      <c r="H104" s="72" t="s">
        <v>245</v>
      </c>
      <c r="I104" s="72" t="s">
        <v>1040</v>
      </c>
      <c r="J104" s="72" t="s">
        <v>783</v>
      </c>
      <c r="K104" s="72" t="s">
        <v>382</v>
      </c>
      <c r="L104" s="72" t="s">
        <v>918</v>
      </c>
      <c r="M104" s="72" t="s">
        <v>388</v>
      </c>
      <c r="N104" s="72" t="s">
        <v>46</v>
      </c>
      <c r="O104" s="72" t="s">
        <v>541</v>
      </c>
      <c r="P104" s="72" t="s">
        <v>855</v>
      </c>
      <c r="Q104" s="72" t="s">
        <v>1185</v>
      </c>
      <c r="R104" s="72" t="s">
        <v>83</v>
      </c>
      <c r="V104" s="60" t="str">
        <f t="shared" si="11"/>
        <v>6089MTсерый / синий</v>
      </c>
      <c r="W104" s="60" t="str">
        <f t="shared" si="8"/>
        <v>6089MT</v>
      </c>
      <c r="X104" s="60" t="str">
        <f t="shared" si="12"/>
        <v/>
      </c>
      <c r="AC104" s="51">
        <f t="shared" si="13"/>
        <v>94</v>
      </c>
      <c r="AD104" s="44">
        <f t="shared" si="14"/>
        <v>9</v>
      </c>
      <c r="AE104" s="51">
        <f t="shared" si="15"/>
        <v>94009</v>
      </c>
    </row>
    <row r="105" spans="1:31">
      <c r="A105" s="60" t="str">
        <f t="shared" si="9"/>
        <v>6089Mheather grey</v>
      </c>
      <c r="B105" s="60" t="str">
        <f t="shared" si="10"/>
        <v>94-007-80</v>
      </c>
      <c r="C105" s="72" t="s">
        <v>1186</v>
      </c>
      <c r="D105" s="72" t="s">
        <v>1187</v>
      </c>
      <c r="E105" s="72" t="s">
        <v>909</v>
      </c>
      <c r="F105" s="73">
        <v>0</v>
      </c>
      <c r="G105" s="73" t="s">
        <v>1067</v>
      </c>
      <c r="H105" s="72" t="s">
        <v>83</v>
      </c>
      <c r="I105" s="72" t="s">
        <v>1040</v>
      </c>
      <c r="J105" s="72" t="s">
        <v>783</v>
      </c>
      <c r="K105" s="72" t="s">
        <v>382</v>
      </c>
      <c r="L105" s="72" t="s">
        <v>918</v>
      </c>
      <c r="M105" s="72" t="s">
        <v>388</v>
      </c>
      <c r="N105" s="72" t="s">
        <v>46</v>
      </c>
      <c r="O105" s="72" t="s">
        <v>541</v>
      </c>
      <c r="P105" s="72" t="s">
        <v>919</v>
      </c>
      <c r="Q105" s="72" t="s">
        <v>935</v>
      </c>
      <c r="R105" s="72" t="s">
        <v>83</v>
      </c>
      <c r="V105" s="60" t="str">
        <f t="shared" si="11"/>
        <v>6089Mсерый</v>
      </c>
      <c r="W105" s="60" t="str">
        <f t="shared" si="8"/>
        <v>6089M</v>
      </c>
      <c r="X105" s="60" t="str">
        <f t="shared" si="12"/>
        <v/>
      </c>
      <c r="AC105" s="51">
        <f t="shared" si="13"/>
        <v>94</v>
      </c>
      <c r="AD105" s="44">
        <f t="shared" si="14"/>
        <v>7</v>
      </c>
      <c r="AE105" s="51">
        <f t="shared" si="15"/>
        <v>94007</v>
      </c>
    </row>
    <row r="106" spans="1:31">
      <c r="A106" s="60" t="str">
        <f t="shared" si="9"/>
        <v>6089CCblack</v>
      </c>
      <c r="B106" s="60" t="str">
        <f t="shared" si="10"/>
        <v>94-020-09</v>
      </c>
      <c r="C106" s="72" t="s">
        <v>1188</v>
      </c>
      <c r="D106" s="72" t="s">
        <v>1189</v>
      </c>
      <c r="E106" s="72" t="s">
        <v>909</v>
      </c>
      <c r="F106" s="73">
        <v>0</v>
      </c>
      <c r="G106" s="73" t="s">
        <v>1165</v>
      </c>
      <c r="H106" s="72" t="s">
        <v>53</v>
      </c>
      <c r="I106" s="72" t="s">
        <v>910</v>
      </c>
      <c r="J106" s="72" t="s">
        <v>327</v>
      </c>
      <c r="K106" s="72" t="s">
        <v>382</v>
      </c>
      <c r="L106" s="72" t="s">
        <v>918</v>
      </c>
      <c r="M106" s="72" t="s">
        <v>388</v>
      </c>
      <c r="N106" s="72" t="s">
        <v>43</v>
      </c>
      <c r="O106" s="72" t="s">
        <v>541</v>
      </c>
      <c r="P106" s="72" t="s">
        <v>919</v>
      </c>
      <c r="Q106" s="72" t="s">
        <v>926</v>
      </c>
      <c r="R106" s="72" t="s">
        <v>53</v>
      </c>
      <c r="V106" s="60" t="str">
        <f t="shared" si="11"/>
        <v>6089CCчерный</v>
      </c>
      <c r="W106" s="60" t="str">
        <f t="shared" si="8"/>
        <v>6089CC</v>
      </c>
      <c r="X106" s="60" t="str">
        <f t="shared" si="12"/>
        <v/>
      </c>
      <c r="AC106" s="51">
        <f t="shared" si="13"/>
        <v>94</v>
      </c>
      <c r="AD106" s="44">
        <f t="shared" si="14"/>
        <v>20</v>
      </c>
      <c r="AE106" s="51">
        <f t="shared" si="15"/>
        <v>94020</v>
      </c>
    </row>
    <row r="107" spans="1:31">
      <c r="A107" s="60" t="str">
        <f t="shared" si="9"/>
        <v>6606charcoal</v>
      </c>
      <c r="B107" s="60" t="str">
        <f t="shared" si="10"/>
        <v>94-015-51</v>
      </c>
      <c r="C107" s="72" t="s">
        <v>1190</v>
      </c>
      <c r="D107" s="72" t="s">
        <v>1191</v>
      </c>
      <c r="E107" s="72" t="s">
        <v>909</v>
      </c>
      <c r="F107" s="73">
        <v>0</v>
      </c>
      <c r="G107" s="73">
        <v>6606</v>
      </c>
      <c r="H107" s="72" t="s">
        <v>777</v>
      </c>
      <c r="I107" s="72" t="s">
        <v>1003</v>
      </c>
      <c r="J107" s="72" t="s">
        <v>356</v>
      </c>
      <c r="K107" s="72" t="s">
        <v>382</v>
      </c>
      <c r="L107" s="72" t="s">
        <v>918</v>
      </c>
      <c r="M107" s="72" t="s">
        <v>388</v>
      </c>
      <c r="N107" s="72" t="s">
        <v>43</v>
      </c>
      <c r="O107" s="72" t="s">
        <v>541</v>
      </c>
      <c r="P107" s="72" t="s">
        <v>919</v>
      </c>
      <c r="Q107" s="72" t="s">
        <v>1192</v>
      </c>
      <c r="R107" s="72" t="s">
        <v>83</v>
      </c>
      <c r="V107" s="60" t="str">
        <f t="shared" si="11"/>
        <v>6606угольный</v>
      </c>
      <c r="W107" s="60" t="str">
        <f t="shared" si="8"/>
        <v>6606</v>
      </c>
      <c r="X107" s="60" t="str">
        <f t="shared" si="12"/>
        <v/>
      </c>
      <c r="AC107" s="51">
        <f t="shared" si="13"/>
        <v>94</v>
      </c>
      <c r="AD107" s="44">
        <f t="shared" si="14"/>
        <v>15</v>
      </c>
      <c r="AE107" s="51">
        <f t="shared" si="15"/>
        <v>94015</v>
      </c>
    </row>
    <row r="108" spans="1:31">
      <c r="A108" s="60" t="str">
        <f t="shared" si="9"/>
        <v>6606navy</v>
      </c>
      <c r="B108" s="60" t="str">
        <f t="shared" si="10"/>
        <v>94-015-16</v>
      </c>
      <c r="C108" s="72" t="s">
        <v>1193</v>
      </c>
      <c r="D108" s="72" t="s">
        <v>1194</v>
      </c>
      <c r="E108" s="72" t="s">
        <v>909</v>
      </c>
      <c r="F108" s="73">
        <v>0</v>
      </c>
      <c r="G108" s="73">
        <v>6606</v>
      </c>
      <c r="H108" s="72" t="s">
        <v>55</v>
      </c>
      <c r="I108" s="72" t="s">
        <v>1003</v>
      </c>
      <c r="J108" s="72" t="s">
        <v>356</v>
      </c>
      <c r="K108" s="72" t="s">
        <v>382</v>
      </c>
      <c r="L108" s="72" t="s">
        <v>918</v>
      </c>
      <c r="M108" s="72" t="s">
        <v>388</v>
      </c>
      <c r="N108" s="72" t="s">
        <v>43</v>
      </c>
      <c r="O108" s="72" t="s">
        <v>541</v>
      </c>
      <c r="P108" s="72" t="s">
        <v>919</v>
      </c>
      <c r="Q108" s="72" t="s">
        <v>923</v>
      </c>
      <c r="R108" s="72" t="s">
        <v>71</v>
      </c>
      <c r="V108" s="60" t="str">
        <f t="shared" si="11"/>
        <v>6606темно-синий</v>
      </c>
      <c r="W108" s="60" t="str">
        <f t="shared" si="8"/>
        <v>6606</v>
      </c>
      <c r="X108" s="60" t="str">
        <f t="shared" si="12"/>
        <v/>
      </c>
      <c r="AC108" s="51">
        <f t="shared" si="13"/>
        <v>94</v>
      </c>
      <c r="AD108" s="44">
        <f t="shared" si="14"/>
        <v>15</v>
      </c>
      <c r="AE108" s="51">
        <f t="shared" si="15"/>
        <v>94015</v>
      </c>
    </row>
    <row r="109" spans="1:31">
      <c r="A109" s="60" t="str">
        <f t="shared" si="9"/>
        <v>6277dark navy</v>
      </c>
      <c r="B109" s="60" t="str">
        <f t="shared" si="10"/>
        <v>94-011-99</v>
      </c>
      <c r="C109" s="72" t="s">
        <v>1195</v>
      </c>
      <c r="D109" s="72" t="s">
        <v>1196</v>
      </c>
      <c r="E109" s="72" t="s">
        <v>1014</v>
      </c>
      <c r="F109" s="73">
        <v>60</v>
      </c>
      <c r="G109" s="73">
        <v>6277</v>
      </c>
      <c r="H109" s="72" t="s">
        <v>776</v>
      </c>
      <c r="I109" s="72" t="s">
        <v>1028</v>
      </c>
      <c r="J109" s="72" t="s">
        <v>327</v>
      </c>
      <c r="K109" s="72" t="s">
        <v>382</v>
      </c>
      <c r="L109" s="72" t="s">
        <v>918</v>
      </c>
      <c r="M109" s="72" t="s">
        <v>388</v>
      </c>
      <c r="O109" s="72" t="s">
        <v>541</v>
      </c>
      <c r="P109" s="72" t="s">
        <v>919</v>
      </c>
      <c r="Q109" s="72" t="s">
        <v>1068</v>
      </c>
      <c r="R109" s="72" t="s">
        <v>53</v>
      </c>
      <c r="V109" s="60" t="str">
        <f t="shared" si="11"/>
        <v>6277иссиня-черный</v>
      </c>
      <c r="W109" s="60" t="str">
        <f t="shared" si="8"/>
        <v>6277</v>
      </c>
      <c r="X109" s="60" t="str">
        <f t="shared" si="12"/>
        <v/>
      </c>
      <c r="AC109" s="51">
        <f t="shared" si="13"/>
        <v>94</v>
      </c>
      <c r="AD109" s="44">
        <f t="shared" si="14"/>
        <v>11</v>
      </c>
      <c r="AE109" s="51">
        <f t="shared" si="15"/>
        <v>94011</v>
      </c>
    </row>
    <row r="110" spans="1:31">
      <c r="A110" s="60" t="str">
        <f t="shared" si="9"/>
        <v>6277dark navy</v>
      </c>
      <c r="B110" s="60" t="str">
        <f t="shared" si="10"/>
        <v>94-011-99</v>
      </c>
      <c r="C110" s="72" t="s">
        <v>1197</v>
      </c>
      <c r="D110" s="72" t="s">
        <v>1196</v>
      </c>
      <c r="E110" s="72" t="s">
        <v>1009</v>
      </c>
      <c r="F110" s="73">
        <v>56</v>
      </c>
      <c r="G110" s="73">
        <v>6277</v>
      </c>
      <c r="H110" s="72" t="s">
        <v>776</v>
      </c>
      <c r="I110" s="72" t="s">
        <v>1028</v>
      </c>
      <c r="J110" s="72" t="s">
        <v>327</v>
      </c>
      <c r="K110" s="72" t="s">
        <v>382</v>
      </c>
      <c r="L110" s="72" t="s">
        <v>918</v>
      </c>
      <c r="M110" s="72" t="s">
        <v>388</v>
      </c>
      <c r="O110" s="72" t="s">
        <v>541</v>
      </c>
      <c r="P110" s="72" t="s">
        <v>919</v>
      </c>
      <c r="Q110" s="72" t="s">
        <v>1068</v>
      </c>
      <c r="R110" s="72" t="s">
        <v>53</v>
      </c>
      <c r="V110" s="60" t="str">
        <f t="shared" si="11"/>
        <v>6277иссиня-черный</v>
      </c>
      <c r="W110" s="60" t="str">
        <f t="shared" si="8"/>
        <v>6277</v>
      </c>
      <c r="X110" s="60" t="str">
        <f t="shared" si="12"/>
        <v/>
      </c>
      <c r="AC110" s="51">
        <f t="shared" si="13"/>
        <v>94</v>
      </c>
      <c r="AD110" s="44">
        <f t="shared" si="14"/>
        <v>11</v>
      </c>
      <c r="AE110" s="51">
        <f t="shared" si="15"/>
        <v>94011</v>
      </c>
    </row>
    <row r="111" spans="1:31">
      <c r="A111" s="60" t="str">
        <f t="shared" si="9"/>
        <v>6277grey</v>
      </c>
      <c r="B111" s="60" t="str">
        <f t="shared" si="10"/>
        <v>94-011-80</v>
      </c>
      <c r="C111" s="72" t="s">
        <v>1198</v>
      </c>
      <c r="D111" s="72" t="s">
        <v>1199</v>
      </c>
      <c r="E111" s="72" t="s">
        <v>1014</v>
      </c>
      <c r="F111" s="73">
        <v>60</v>
      </c>
      <c r="G111" s="73">
        <v>6277</v>
      </c>
      <c r="H111" s="72" t="s">
        <v>83</v>
      </c>
      <c r="I111" s="72" t="s">
        <v>1028</v>
      </c>
      <c r="J111" s="72" t="s">
        <v>327</v>
      </c>
      <c r="K111" s="72" t="s">
        <v>382</v>
      </c>
      <c r="L111" s="72" t="s">
        <v>918</v>
      </c>
      <c r="M111" s="72" t="s">
        <v>388</v>
      </c>
      <c r="O111" s="72" t="s">
        <v>541</v>
      </c>
      <c r="P111" s="72" t="s">
        <v>919</v>
      </c>
      <c r="Q111" s="72" t="s">
        <v>1121</v>
      </c>
      <c r="R111" s="72" t="s">
        <v>83</v>
      </c>
      <c r="V111" s="60" t="str">
        <f t="shared" si="11"/>
        <v>6277серый</v>
      </c>
      <c r="W111" s="60" t="str">
        <f t="shared" si="8"/>
        <v>6277</v>
      </c>
      <c r="X111" s="60" t="str">
        <f t="shared" si="12"/>
        <v/>
      </c>
      <c r="AC111" s="51">
        <f t="shared" si="13"/>
        <v>94</v>
      </c>
      <c r="AD111" s="44">
        <f t="shared" si="14"/>
        <v>11</v>
      </c>
      <c r="AE111" s="51">
        <f t="shared" si="15"/>
        <v>94011</v>
      </c>
    </row>
    <row r="112" spans="1:31">
      <c r="A112" s="60" t="str">
        <f t="shared" si="9"/>
        <v>6277grey</v>
      </c>
      <c r="B112" s="60" t="str">
        <f t="shared" si="10"/>
        <v>94-011-80</v>
      </c>
      <c r="C112" s="72" t="s">
        <v>1200</v>
      </c>
      <c r="D112" s="72" t="s">
        <v>1199</v>
      </c>
      <c r="E112" s="72" t="s">
        <v>1009</v>
      </c>
      <c r="F112" s="73">
        <v>56</v>
      </c>
      <c r="G112" s="73">
        <v>6277</v>
      </c>
      <c r="H112" s="72" t="s">
        <v>83</v>
      </c>
      <c r="I112" s="72" t="s">
        <v>1028</v>
      </c>
      <c r="J112" s="72" t="s">
        <v>327</v>
      </c>
      <c r="K112" s="72" t="s">
        <v>382</v>
      </c>
      <c r="L112" s="72" t="s">
        <v>918</v>
      </c>
      <c r="M112" s="72" t="s">
        <v>388</v>
      </c>
      <c r="O112" s="72" t="s">
        <v>541</v>
      </c>
      <c r="P112" s="72" t="s">
        <v>919</v>
      </c>
      <c r="Q112" s="72" t="s">
        <v>1121</v>
      </c>
      <c r="R112" s="72" t="s">
        <v>83</v>
      </c>
      <c r="V112" s="60" t="str">
        <f t="shared" si="11"/>
        <v>6277серый</v>
      </c>
      <c r="W112" s="60" t="str">
        <f t="shared" si="8"/>
        <v>6277</v>
      </c>
      <c r="X112" s="60" t="str">
        <f t="shared" si="12"/>
        <v/>
      </c>
      <c r="AC112" s="51">
        <f t="shared" si="13"/>
        <v>94</v>
      </c>
      <c r="AD112" s="44">
        <f t="shared" si="14"/>
        <v>11</v>
      </c>
      <c r="AE112" s="51">
        <f t="shared" si="15"/>
        <v>94011</v>
      </c>
    </row>
    <row r="113" spans="1:31">
      <c r="A113" s="60" t="str">
        <f t="shared" si="9"/>
        <v>6277purple</v>
      </c>
      <c r="B113" s="60" t="str">
        <f t="shared" si="10"/>
        <v>94-011-41</v>
      </c>
      <c r="C113" s="72" t="s">
        <v>1201</v>
      </c>
      <c r="D113" s="72" t="s">
        <v>1202</v>
      </c>
      <c r="E113" s="72" t="s">
        <v>1014</v>
      </c>
      <c r="F113" s="73">
        <v>60</v>
      </c>
      <c r="G113" s="73">
        <v>6277</v>
      </c>
      <c r="H113" s="72" t="s">
        <v>286</v>
      </c>
      <c r="I113" s="72" t="s">
        <v>1028</v>
      </c>
      <c r="J113" s="72" t="s">
        <v>327</v>
      </c>
      <c r="K113" s="72" t="s">
        <v>382</v>
      </c>
      <c r="L113" s="72" t="s">
        <v>918</v>
      </c>
      <c r="M113" s="72" t="s">
        <v>388</v>
      </c>
      <c r="O113" s="72" t="s">
        <v>541</v>
      </c>
      <c r="P113" s="72" t="s">
        <v>919</v>
      </c>
      <c r="Q113" s="72" t="s">
        <v>1011</v>
      </c>
      <c r="R113" s="72" t="s">
        <v>286</v>
      </c>
      <c r="V113" s="60" t="str">
        <f t="shared" si="11"/>
        <v>6277фиолетовый</v>
      </c>
      <c r="W113" s="60" t="str">
        <f t="shared" si="8"/>
        <v>6277</v>
      </c>
      <c r="X113" s="60" t="str">
        <f t="shared" si="12"/>
        <v/>
      </c>
      <c r="AC113" s="51">
        <f t="shared" si="13"/>
        <v>94</v>
      </c>
      <c r="AD113" s="44">
        <f t="shared" si="14"/>
        <v>11</v>
      </c>
      <c r="AE113" s="51">
        <f t="shared" si="15"/>
        <v>94011</v>
      </c>
    </row>
    <row r="114" spans="1:31">
      <c r="A114" s="60" t="str">
        <f t="shared" si="9"/>
        <v>6277purple</v>
      </c>
      <c r="B114" s="60" t="str">
        <f t="shared" si="10"/>
        <v>94-011-41</v>
      </c>
      <c r="C114" s="72" t="s">
        <v>1203</v>
      </c>
      <c r="D114" s="72" t="s">
        <v>1202</v>
      </c>
      <c r="E114" s="72" t="s">
        <v>1009</v>
      </c>
      <c r="F114" s="73">
        <v>56</v>
      </c>
      <c r="G114" s="73">
        <v>6277</v>
      </c>
      <c r="H114" s="72" t="s">
        <v>286</v>
      </c>
      <c r="I114" s="72" t="s">
        <v>1028</v>
      </c>
      <c r="J114" s="72" t="s">
        <v>327</v>
      </c>
      <c r="K114" s="72" t="s">
        <v>382</v>
      </c>
      <c r="L114" s="72" t="s">
        <v>918</v>
      </c>
      <c r="M114" s="72" t="s">
        <v>388</v>
      </c>
      <c r="O114" s="72" t="s">
        <v>541</v>
      </c>
      <c r="P114" s="72" t="s">
        <v>919</v>
      </c>
      <c r="Q114" s="72" t="s">
        <v>1011</v>
      </c>
      <c r="R114" s="72" t="s">
        <v>286</v>
      </c>
      <c r="V114" s="60" t="str">
        <f t="shared" si="11"/>
        <v>6277фиолетовый</v>
      </c>
      <c r="W114" s="60" t="str">
        <f t="shared" si="8"/>
        <v>6277</v>
      </c>
      <c r="X114" s="60" t="str">
        <f t="shared" si="12"/>
        <v/>
      </c>
      <c r="AC114" s="51">
        <f t="shared" si="13"/>
        <v>94</v>
      </c>
      <c r="AD114" s="44">
        <f t="shared" si="14"/>
        <v>11</v>
      </c>
      <c r="AE114" s="51">
        <f t="shared" si="15"/>
        <v>94011</v>
      </c>
    </row>
    <row r="115" spans="1:31">
      <c r="A115" s="60" t="str">
        <f t="shared" si="9"/>
        <v>6277red</v>
      </c>
      <c r="B115" s="60" t="str">
        <f t="shared" si="10"/>
        <v>94-011-18</v>
      </c>
      <c r="C115" s="72" t="s">
        <v>1204</v>
      </c>
      <c r="D115" s="72" t="s">
        <v>1205</v>
      </c>
      <c r="E115" s="72" t="s">
        <v>1014</v>
      </c>
      <c r="F115" s="73">
        <v>60</v>
      </c>
      <c r="G115" s="73">
        <v>6277</v>
      </c>
      <c r="H115" s="72" t="s">
        <v>78</v>
      </c>
      <c r="I115" s="72" t="s">
        <v>1028</v>
      </c>
      <c r="J115" s="72" t="s">
        <v>327</v>
      </c>
      <c r="K115" s="72" t="s">
        <v>382</v>
      </c>
      <c r="L115" s="72" t="s">
        <v>918</v>
      </c>
      <c r="M115" s="72" t="s">
        <v>388</v>
      </c>
      <c r="O115" s="72" t="s">
        <v>541</v>
      </c>
      <c r="P115" s="72" t="s">
        <v>919</v>
      </c>
      <c r="Q115" s="72" t="s">
        <v>920</v>
      </c>
      <c r="R115" s="72" t="s">
        <v>78</v>
      </c>
      <c r="V115" s="60" t="str">
        <f t="shared" si="11"/>
        <v>6277красный</v>
      </c>
      <c r="W115" s="60" t="str">
        <f t="shared" si="8"/>
        <v>6277</v>
      </c>
      <c r="X115" s="60" t="str">
        <f t="shared" si="12"/>
        <v/>
      </c>
      <c r="AC115" s="51">
        <f t="shared" si="13"/>
        <v>94</v>
      </c>
      <c r="AD115" s="44">
        <f t="shared" si="14"/>
        <v>11</v>
      </c>
      <c r="AE115" s="51">
        <f t="shared" si="15"/>
        <v>94011</v>
      </c>
    </row>
    <row r="116" spans="1:31">
      <c r="A116" s="60" t="str">
        <f t="shared" si="9"/>
        <v>6277red</v>
      </c>
      <c r="B116" s="60" t="str">
        <f t="shared" si="10"/>
        <v>94-011-18</v>
      </c>
      <c r="C116" s="72" t="s">
        <v>1206</v>
      </c>
      <c r="D116" s="72" t="s">
        <v>1205</v>
      </c>
      <c r="E116" s="72" t="s">
        <v>1009</v>
      </c>
      <c r="F116" s="73">
        <v>56</v>
      </c>
      <c r="G116" s="73">
        <v>6277</v>
      </c>
      <c r="H116" s="72" t="s">
        <v>78</v>
      </c>
      <c r="I116" s="72" t="s">
        <v>1028</v>
      </c>
      <c r="J116" s="72" t="s">
        <v>327</v>
      </c>
      <c r="K116" s="72" t="s">
        <v>382</v>
      </c>
      <c r="L116" s="72" t="s">
        <v>918</v>
      </c>
      <c r="M116" s="72" t="s">
        <v>388</v>
      </c>
      <c r="O116" s="72" t="s">
        <v>541</v>
      </c>
      <c r="P116" s="72" t="s">
        <v>919</v>
      </c>
      <c r="Q116" s="72" t="s">
        <v>920</v>
      </c>
      <c r="R116" s="72" t="s">
        <v>78</v>
      </c>
      <c r="V116" s="60" t="str">
        <f t="shared" si="11"/>
        <v>6277красный</v>
      </c>
      <c r="W116" s="60" t="str">
        <f t="shared" si="8"/>
        <v>6277</v>
      </c>
      <c r="X116" s="60" t="str">
        <f t="shared" si="12"/>
        <v/>
      </c>
      <c r="AC116" s="51">
        <f t="shared" si="13"/>
        <v>94</v>
      </c>
      <c r="AD116" s="44">
        <f t="shared" si="14"/>
        <v>11</v>
      </c>
      <c r="AE116" s="51">
        <f t="shared" si="15"/>
        <v>94011</v>
      </c>
    </row>
    <row r="117" spans="1:31">
      <c r="A117" s="60" t="str">
        <f t="shared" si="9"/>
        <v>6277navy</v>
      </c>
      <c r="B117" s="60" t="str">
        <f t="shared" si="10"/>
        <v>94-011-16</v>
      </c>
      <c r="C117" s="72" t="s">
        <v>1207</v>
      </c>
      <c r="D117" s="72" t="s">
        <v>1208</v>
      </c>
      <c r="E117" s="72" t="s">
        <v>1014</v>
      </c>
      <c r="F117" s="73">
        <v>60</v>
      </c>
      <c r="G117" s="73">
        <v>6277</v>
      </c>
      <c r="H117" s="72" t="s">
        <v>55</v>
      </c>
      <c r="I117" s="72" t="s">
        <v>1028</v>
      </c>
      <c r="J117" s="72" t="s">
        <v>327</v>
      </c>
      <c r="K117" s="72" t="s">
        <v>382</v>
      </c>
      <c r="L117" s="72" t="s">
        <v>918</v>
      </c>
      <c r="M117" s="72" t="s">
        <v>388</v>
      </c>
      <c r="O117" s="72" t="s">
        <v>541</v>
      </c>
      <c r="P117" s="72" t="s">
        <v>919</v>
      </c>
      <c r="Q117" s="72" t="s">
        <v>923</v>
      </c>
      <c r="R117" s="72" t="s">
        <v>71</v>
      </c>
      <c r="V117" s="60" t="str">
        <f t="shared" si="11"/>
        <v>6277темно-синий</v>
      </c>
      <c r="W117" s="60" t="str">
        <f t="shared" si="8"/>
        <v>6277</v>
      </c>
      <c r="X117" s="60" t="str">
        <f t="shared" si="12"/>
        <v/>
      </c>
      <c r="AC117" s="51">
        <f t="shared" si="13"/>
        <v>94</v>
      </c>
      <c r="AD117" s="44">
        <f t="shared" si="14"/>
        <v>11</v>
      </c>
      <c r="AE117" s="51">
        <f t="shared" si="15"/>
        <v>94011</v>
      </c>
    </row>
    <row r="118" spans="1:31">
      <c r="A118" s="60" t="str">
        <f t="shared" si="9"/>
        <v>6277navy</v>
      </c>
      <c r="B118" s="60" t="str">
        <f t="shared" si="10"/>
        <v>94-011-16</v>
      </c>
      <c r="C118" s="72" t="s">
        <v>1209</v>
      </c>
      <c r="D118" s="72" t="s">
        <v>1208</v>
      </c>
      <c r="E118" s="72" t="s">
        <v>1009</v>
      </c>
      <c r="F118" s="73">
        <v>56</v>
      </c>
      <c r="G118" s="73">
        <v>6277</v>
      </c>
      <c r="H118" s="72" t="s">
        <v>55</v>
      </c>
      <c r="I118" s="72" t="s">
        <v>1028</v>
      </c>
      <c r="J118" s="72" t="s">
        <v>327</v>
      </c>
      <c r="K118" s="72" t="s">
        <v>382</v>
      </c>
      <c r="L118" s="72" t="s">
        <v>918</v>
      </c>
      <c r="M118" s="72" t="s">
        <v>388</v>
      </c>
      <c r="O118" s="72" t="s">
        <v>541</v>
      </c>
      <c r="P118" s="72" t="s">
        <v>919</v>
      </c>
      <c r="Q118" s="72" t="s">
        <v>923</v>
      </c>
      <c r="R118" s="72" t="s">
        <v>71</v>
      </c>
      <c r="V118" s="60" t="str">
        <f t="shared" si="11"/>
        <v>6277темно-синий</v>
      </c>
      <c r="W118" s="60" t="str">
        <f t="shared" si="8"/>
        <v>6277</v>
      </c>
      <c r="X118" s="60" t="str">
        <f t="shared" si="12"/>
        <v/>
      </c>
      <c r="AC118" s="51">
        <f t="shared" si="13"/>
        <v>94</v>
      </c>
      <c r="AD118" s="44">
        <f t="shared" si="14"/>
        <v>11</v>
      </c>
      <c r="AE118" s="51">
        <f t="shared" si="15"/>
        <v>94011</v>
      </c>
    </row>
    <row r="119" spans="1:31">
      <c r="A119" s="60" t="str">
        <f t="shared" si="9"/>
        <v>6277maroon</v>
      </c>
      <c r="B119" s="60" t="str">
        <f t="shared" si="10"/>
        <v>94-011-12</v>
      </c>
      <c r="C119" s="72" t="s">
        <v>1210</v>
      </c>
      <c r="D119" s="72" t="s">
        <v>1211</v>
      </c>
      <c r="E119" s="72" t="s">
        <v>1014</v>
      </c>
      <c r="F119" s="73">
        <v>60</v>
      </c>
      <c r="G119" s="73">
        <v>6277</v>
      </c>
      <c r="H119" s="72" t="s">
        <v>121</v>
      </c>
      <c r="I119" s="72" t="s">
        <v>1028</v>
      </c>
      <c r="J119" s="72" t="s">
        <v>327</v>
      </c>
      <c r="K119" s="72" t="s">
        <v>382</v>
      </c>
      <c r="L119" s="72" t="s">
        <v>918</v>
      </c>
      <c r="M119" s="72" t="s">
        <v>388</v>
      </c>
      <c r="O119" s="72" t="s">
        <v>541</v>
      </c>
      <c r="P119" s="72" t="s">
        <v>919</v>
      </c>
      <c r="Q119" s="72" t="s">
        <v>955</v>
      </c>
      <c r="R119" s="72" t="s">
        <v>121</v>
      </c>
      <c r="V119" s="60" t="str">
        <f t="shared" si="11"/>
        <v>6277бордовый</v>
      </c>
      <c r="W119" s="60" t="str">
        <f t="shared" si="8"/>
        <v>6277</v>
      </c>
      <c r="X119" s="60" t="str">
        <f t="shared" si="12"/>
        <v/>
      </c>
      <c r="AC119" s="51">
        <f t="shared" si="13"/>
        <v>94</v>
      </c>
      <c r="AD119" s="44">
        <f t="shared" si="14"/>
        <v>11</v>
      </c>
      <c r="AE119" s="51">
        <f t="shared" si="15"/>
        <v>94011</v>
      </c>
    </row>
    <row r="120" spans="1:31">
      <c r="A120" s="60" t="str">
        <f t="shared" si="9"/>
        <v>6277maroon</v>
      </c>
      <c r="B120" s="60" t="str">
        <f t="shared" si="10"/>
        <v>94-011-12</v>
      </c>
      <c r="C120" s="72" t="s">
        <v>1212</v>
      </c>
      <c r="D120" s="72" t="s">
        <v>1211</v>
      </c>
      <c r="E120" s="72" t="s">
        <v>1009</v>
      </c>
      <c r="F120" s="73">
        <v>56</v>
      </c>
      <c r="G120" s="73">
        <v>6277</v>
      </c>
      <c r="H120" s="72" t="s">
        <v>121</v>
      </c>
      <c r="I120" s="72" t="s">
        <v>1028</v>
      </c>
      <c r="J120" s="72" t="s">
        <v>327</v>
      </c>
      <c r="K120" s="72" t="s">
        <v>382</v>
      </c>
      <c r="L120" s="72" t="s">
        <v>918</v>
      </c>
      <c r="M120" s="72" t="s">
        <v>388</v>
      </c>
      <c r="O120" s="72" t="s">
        <v>541</v>
      </c>
      <c r="P120" s="72" t="s">
        <v>919</v>
      </c>
      <c r="Q120" s="72" t="s">
        <v>955</v>
      </c>
      <c r="R120" s="72" t="s">
        <v>121</v>
      </c>
      <c r="V120" s="60" t="str">
        <f t="shared" si="11"/>
        <v>6277бордовый</v>
      </c>
      <c r="W120" s="60" t="str">
        <f t="shared" si="8"/>
        <v>6277</v>
      </c>
      <c r="X120" s="60" t="str">
        <f t="shared" si="12"/>
        <v/>
      </c>
      <c r="AC120" s="51">
        <f t="shared" si="13"/>
        <v>94</v>
      </c>
      <c r="AD120" s="44">
        <f t="shared" si="14"/>
        <v>11</v>
      </c>
      <c r="AE120" s="51">
        <f t="shared" si="15"/>
        <v>94011</v>
      </c>
    </row>
    <row r="121" spans="1:31">
      <c r="A121" s="60" t="str">
        <f t="shared" si="9"/>
        <v>6277black</v>
      </c>
      <c r="B121" s="60" t="str">
        <f t="shared" si="10"/>
        <v>94-011-09</v>
      </c>
      <c r="C121" s="72" t="s">
        <v>1213</v>
      </c>
      <c r="D121" s="72" t="s">
        <v>1214</v>
      </c>
      <c r="E121" s="72" t="s">
        <v>1215</v>
      </c>
      <c r="F121" s="73">
        <v>62</v>
      </c>
      <c r="G121" s="73">
        <v>6277</v>
      </c>
      <c r="H121" s="72" t="s">
        <v>53</v>
      </c>
      <c r="I121" s="72" t="s">
        <v>1028</v>
      </c>
      <c r="J121" s="72" t="s">
        <v>327</v>
      </c>
      <c r="K121" s="72" t="s">
        <v>382</v>
      </c>
      <c r="L121" s="72" t="s">
        <v>918</v>
      </c>
      <c r="M121" s="72" t="s">
        <v>388</v>
      </c>
      <c r="O121" s="72" t="s">
        <v>541</v>
      </c>
      <c r="P121" s="72" t="s">
        <v>919</v>
      </c>
      <c r="Q121" s="72" t="s">
        <v>926</v>
      </c>
      <c r="R121" s="72" t="s">
        <v>53</v>
      </c>
      <c r="V121" s="60" t="str">
        <f t="shared" si="11"/>
        <v>6277черный</v>
      </c>
      <c r="W121" s="60" t="str">
        <f t="shared" si="8"/>
        <v>6277</v>
      </c>
      <c r="X121" s="60" t="str">
        <f t="shared" si="12"/>
        <v/>
      </c>
      <c r="AC121" s="51">
        <f t="shared" si="13"/>
        <v>94</v>
      </c>
      <c r="AD121" s="44">
        <f t="shared" si="14"/>
        <v>11</v>
      </c>
      <c r="AE121" s="51">
        <f t="shared" si="15"/>
        <v>94011</v>
      </c>
    </row>
    <row r="122" spans="1:31">
      <c r="A122" s="60" t="str">
        <f t="shared" si="9"/>
        <v>6277black</v>
      </c>
      <c r="B122" s="60" t="str">
        <f t="shared" si="10"/>
        <v>94-011-09</v>
      </c>
      <c r="C122" s="72" t="s">
        <v>1216</v>
      </c>
      <c r="D122" s="72" t="s">
        <v>1214</v>
      </c>
      <c r="E122" s="72" t="s">
        <v>1014</v>
      </c>
      <c r="F122" s="73">
        <v>60</v>
      </c>
      <c r="G122" s="73">
        <v>6277</v>
      </c>
      <c r="H122" s="72" t="s">
        <v>53</v>
      </c>
      <c r="I122" s="72" t="s">
        <v>1028</v>
      </c>
      <c r="J122" s="72" t="s">
        <v>327</v>
      </c>
      <c r="K122" s="72" t="s">
        <v>382</v>
      </c>
      <c r="L122" s="72" t="s">
        <v>918</v>
      </c>
      <c r="M122" s="72" t="s">
        <v>388</v>
      </c>
      <c r="O122" s="72" t="s">
        <v>541</v>
      </c>
      <c r="P122" s="72" t="s">
        <v>919</v>
      </c>
      <c r="Q122" s="72" t="s">
        <v>926</v>
      </c>
      <c r="R122" s="72" t="s">
        <v>53</v>
      </c>
      <c r="V122" s="60" t="str">
        <f t="shared" si="11"/>
        <v>6277черный</v>
      </c>
      <c r="W122" s="60" t="str">
        <f t="shared" si="8"/>
        <v>6277</v>
      </c>
      <c r="X122" s="60" t="str">
        <f t="shared" si="12"/>
        <v/>
      </c>
      <c r="AC122" s="51">
        <f t="shared" si="13"/>
        <v>94</v>
      </c>
      <c r="AD122" s="44">
        <f t="shared" si="14"/>
        <v>11</v>
      </c>
      <c r="AE122" s="51">
        <f t="shared" si="15"/>
        <v>94011</v>
      </c>
    </row>
    <row r="123" spans="1:31">
      <c r="A123" s="60" t="str">
        <f t="shared" si="9"/>
        <v>6277black</v>
      </c>
      <c r="B123" s="60" t="str">
        <f t="shared" si="10"/>
        <v>94-011-09</v>
      </c>
      <c r="C123" s="72" t="s">
        <v>1217</v>
      </c>
      <c r="D123" s="72" t="s">
        <v>1214</v>
      </c>
      <c r="E123" s="72" t="s">
        <v>1009</v>
      </c>
      <c r="F123" s="73">
        <v>56</v>
      </c>
      <c r="G123" s="73">
        <v>6277</v>
      </c>
      <c r="H123" s="72" t="s">
        <v>53</v>
      </c>
      <c r="I123" s="72" t="s">
        <v>1028</v>
      </c>
      <c r="J123" s="72" t="s">
        <v>327</v>
      </c>
      <c r="K123" s="72" t="s">
        <v>382</v>
      </c>
      <c r="L123" s="72" t="s">
        <v>918</v>
      </c>
      <c r="M123" s="72" t="s">
        <v>388</v>
      </c>
      <c r="O123" s="72" t="s">
        <v>541</v>
      </c>
      <c r="P123" s="72" t="s">
        <v>919</v>
      </c>
      <c r="Q123" s="72" t="s">
        <v>926</v>
      </c>
      <c r="R123" s="72" t="s">
        <v>53</v>
      </c>
      <c r="V123" s="60" t="str">
        <f t="shared" si="11"/>
        <v>6277черный</v>
      </c>
      <c r="W123" s="60" t="str">
        <f t="shared" si="8"/>
        <v>6277</v>
      </c>
      <c r="X123" s="60" t="str">
        <f t="shared" si="12"/>
        <v/>
      </c>
      <c r="AC123" s="51">
        <f t="shared" si="13"/>
        <v>94</v>
      </c>
      <c r="AD123" s="44">
        <f t="shared" si="14"/>
        <v>11</v>
      </c>
      <c r="AE123" s="51">
        <f t="shared" si="15"/>
        <v>94011</v>
      </c>
    </row>
    <row r="124" spans="1:31">
      <c r="A124" s="60" t="str">
        <f t="shared" si="9"/>
        <v>6277dark grey</v>
      </c>
      <c r="B124" s="60" t="str">
        <f t="shared" si="10"/>
        <v>94-011-05</v>
      </c>
      <c r="C124" s="72" t="s">
        <v>1218</v>
      </c>
      <c r="D124" s="72" t="s">
        <v>1219</v>
      </c>
      <c r="E124" s="72" t="s">
        <v>1014</v>
      </c>
      <c r="F124" s="73">
        <v>60</v>
      </c>
      <c r="G124" s="73">
        <v>6277</v>
      </c>
      <c r="H124" s="72" t="s">
        <v>277</v>
      </c>
      <c r="I124" s="72" t="s">
        <v>1028</v>
      </c>
      <c r="J124" s="72" t="s">
        <v>327</v>
      </c>
      <c r="K124" s="72" t="s">
        <v>382</v>
      </c>
      <c r="L124" s="72" t="s">
        <v>918</v>
      </c>
      <c r="M124" s="72" t="s">
        <v>388</v>
      </c>
      <c r="O124" s="72" t="s">
        <v>541</v>
      </c>
      <c r="P124" s="72" t="s">
        <v>919</v>
      </c>
      <c r="Q124" s="72" t="s">
        <v>932</v>
      </c>
      <c r="R124" s="72" t="s">
        <v>83</v>
      </c>
      <c r="V124" s="60" t="str">
        <f t="shared" si="11"/>
        <v>6277темно-серый</v>
      </c>
      <c r="W124" s="60" t="str">
        <f t="shared" si="8"/>
        <v>6277</v>
      </c>
      <c r="X124" s="60" t="str">
        <f t="shared" si="12"/>
        <v/>
      </c>
      <c r="AC124" s="51">
        <f t="shared" si="13"/>
        <v>94</v>
      </c>
      <c r="AD124" s="44">
        <f t="shared" si="14"/>
        <v>11</v>
      </c>
      <c r="AE124" s="51">
        <f t="shared" si="15"/>
        <v>94011</v>
      </c>
    </row>
    <row r="125" spans="1:31">
      <c r="A125" s="60" t="str">
        <f t="shared" si="9"/>
        <v>6277dark grey</v>
      </c>
      <c r="B125" s="60" t="str">
        <f t="shared" si="10"/>
        <v>94-011-05</v>
      </c>
      <c r="C125" s="72" t="s">
        <v>1220</v>
      </c>
      <c r="D125" s="72" t="s">
        <v>1219</v>
      </c>
      <c r="E125" s="72" t="s">
        <v>1009</v>
      </c>
      <c r="F125" s="73">
        <v>56</v>
      </c>
      <c r="G125" s="73">
        <v>6277</v>
      </c>
      <c r="H125" s="72" t="s">
        <v>277</v>
      </c>
      <c r="I125" s="72" t="s">
        <v>1028</v>
      </c>
      <c r="J125" s="72" t="s">
        <v>327</v>
      </c>
      <c r="K125" s="72" t="s">
        <v>382</v>
      </c>
      <c r="L125" s="72" t="s">
        <v>918</v>
      </c>
      <c r="M125" s="72" t="s">
        <v>388</v>
      </c>
      <c r="O125" s="72" t="s">
        <v>541</v>
      </c>
      <c r="P125" s="72" t="s">
        <v>919</v>
      </c>
      <c r="Q125" s="72" t="s">
        <v>932</v>
      </c>
      <c r="R125" s="72" t="s">
        <v>83</v>
      </c>
      <c r="V125" s="60" t="str">
        <f t="shared" si="11"/>
        <v>6277темно-серый</v>
      </c>
      <c r="W125" s="60" t="str">
        <f t="shared" si="8"/>
        <v>6277</v>
      </c>
      <c r="X125" s="60" t="str">
        <f t="shared" si="12"/>
        <v/>
      </c>
      <c r="AC125" s="51">
        <f t="shared" si="13"/>
        <v>94</v>
      </c>
      <c r="AD125" s="44">
        <f t="shared" si="14"/>
        <v>11</v>
      </c>
      <c r="AE125" s="51">
        <f t="shared" si="15"/>
        <v>94011</v>
      </c>
    </row>
    <row r="126" spans="1:31">
      <c r="A126" s="60" t="str">
        <f t="shared" si="9"/>
        <v>6089TCblack/camo</v>
      </c>
      <c r="B126" s="60" t="str">
        <f t="shared" si="10"/>
        <v>94-010-75</v>
      </c>
      <c r="C126" s="72" t="s">
        <v>1221</v>
      </c>
      <c r="D126" s="72" t="s">
        <v>1222</v>
      </c>
      <c r="E126" s="72" t="s">
        <v>909</v>
      </c>
      <c r="F126" s="73">
        <v>0</v>
      </c>
      <c r="G126" s="73" t="s">
        <v>1035</v>
      </c>
      <c r="H126" s="72" t="s">
        <v>690</v>
      </c>
      <c r="I126" s="72" t="s">
        <v>912</v>
      </c>
      <c r="J126" s="72" t="s">
        <v>783</v>
      </c>
      <c r="K126" s="72" t="s">
        <v>382</v>
      </c>
      <c r="L126" s="72" t="s">
        <v>918</v>
      </c>
      <c r="M126" s="72" t="s">
        <v>388</v>
      </c>
      <c r="O126" s="72" t="s">
        <v>541</v>
      </c>
      <c r="P126" s="72" t="s">
        <v>919</v>
      </c>
      <c r="Q126" s="72" t="s">
        <v>1223</v>
      </c>
      <c r="R126" s="72" t="s">
        <v>53</v>
      </c>
      <c r="V126" s="60" t="str">
        <f t="shared" si="11"/>
        <v>6089TCчерный / камуфляж</v>
      </c>
      <c r="W126" s="60" t="str">
        <f t="shared" si="8"/>
        <v>6089TC</v>
      </c>
      <c r="X126" s="60" t="str">
        <f t="shared" si="12"/>
        <v/>
      </c>
      <c r="AC126" s="51">
        <f t="shared" si="13"/>
        <v>94</v>
      </c>
      <c r="AD126" s="44">
        <f t="shared" si="14"/>
        <v>10</v>
      </c>
      <c r="AE126" s="51">
        <f t="shared" si="15"/>
        <v>94010</v>
      </c>
    </row>
    <row r="127" spans="1:31">
      <c r="A127" s="60" t="str">
        <f t="shared" si="9"/>
        <v>6606Wblack/white/black</v>
      </c>
      <c r="B127" s="60" t="str">
        <f t="shared" si="10"/>
        <v>94-026-48</v>
      </c>
      <c r="C127" s="72" t="s">
        <v>1224</v>
      </c>
      <c r="D127" s="72" t="s">
        <v>1225</v>
      </c>
      <c r="E127" s="72" t="s">
        <v>909</v>
      </c>
      <c r="F127" s="73">
        <v>0</v>
      </c>
      <c r="G127" s="73" t="s">
        <v>1226</v>
      </c>
      <c r="H127" s="72" t="s">
        <v>119</v>
      </c>
      <c r="I127" s="72" t="s">
        <v>912</v>
      </c>
      <c r="J127" s="72" t="s">
        <v>356</v>
      </c>
      <c r="K127" s="72" t="s">
        <v>382</v>
      </c>
      <c r="L127" s="72" t="s">
        <v>918</v>
      </c>
      <c r="M127" s="72" t="s">
        <v>388</v>
      </c>
      <c r="O127" s="72" t="s">
        <v>541</v>
      </c>
      <c r="P127" s="72" t="s">
        <v>919</v>
      </c>
      <c r="Q127" s="72" t="s">
        <v>1227</v>
      </c>
      <c r="R127" s="72" t="s">
        <v>57</v>
      </c>
      <c r="V127" s="60" t="str">
        <f t="shared" si="11"/>
        <v>6606Wбелый / черный</v>
      </c>
      <c r="W127" s="60" t="str">
        <f t="shared" si="8"/>
        <v>6606W</v>
      </c>
      <c r="X127" s="60" t="str">
        <f t="shared" si="12"/>
        <v/>
      </c>
      <c r="AC127" s="51">
        <f t="shared" si="13"/>
        <v>94</v>
      </c>
      <c r="AD127" s="44">
        <f t="shared" si="14"/>
        <v>26</v>
      </c>
      <c r="AE127" s="51">
        <f t="shared" si="15"/>
        <v>94026</v>
      </c>
    </row>
    <row r="128" spans="1:31">
      <c r="A128" s="60" t="str">
        <f t="shared" si="9"/>
        <v>6606Wnavy/white/navy</v>
      </c>
      <c r="B128" s="60" t="str">
        <f t="shared" si="10"/>
        <v>94-026-46</v>
      </c>
      <c r="C128" s="72" t="s">
        <v>1228</v>
      </c>
      <c r="D128" s="72" t="s">
        <v>1229</v>
      </c>
      <c r="E128" s="72" t="s">
        <v>909</v>
      </c>
      <c r="F128" s="73">
        <v>0</v>
      </c>
      <c r="G128" s="73" t="s">
        <v>1226</v>
      </c>
      <c r="H128" s="72" t="s">
        <v>107</v>
      </c>
      <c r="I128" s="72" t="s">
        <v>912</v>
      </c>
      <c r="J128" s="72" t="s">
        <v>356</v>
      </c>
      <c r="K128" s="72" t="s">
        <v>382</v>
      </c>
      <c r="L128" s="72" t="s">
        <v>918</v>
      </c>
      <c r="M128" s="72" t="s">
        <v>388</v>
      </c>
      <c r="O128" s="72" t="s">
        <v>541</v>
      </c>
      <c r="P128" s="72" t="s">
        <v>919</v>
      </c>
      <c r="Q128" s="72" t="s">
        <v>1230</v>
      </c>
      <c r="R128" s="72" t="s">
        <v>57</v>
      </c>
      <c r="V128" s="60" t="str">
        <f t="shared" si="11"/>
        <v>6606Wбелый / голубой</v>
      </c>
      <c r="W128" s="60" t="str">
        <f t="shared" si="8"/>
        <v>6606W</v>
      </c>
      <c r="X128" s="60" t="str">
        <f t="shared" si="12"/>
        <v/>
      </c>
      <c r="AC128" s="51">
        <f t="shared" si="13"/>
        <v>94</v>
      </c>
      <c r="AD128" s="44">
        <f t="shared" si="14"/>
        <v>26</v>
      </c>
      <c r="AE128" s="51">
        <f t="shared" si="15"/>
        <v>94026</v>
      </c>
    </row>
    <row r="129" spans="1:31">
      <c r="A129" s="60" t="str">
        <f t="shared" si="9"/>
        <v>6606CAgreen camo</v>
      </c>
      <c r="B129" s="60" t="str">
        <f t="shared" si="10"/>
        <v>94-025-00</v>
      </c>
      <c r="C129" s="72" t="s">
        <v>1231</v>
      </c>
      <c r="D129" s="72" t="s">
        <v>1232</v>
      </c>
      <c r="E129" s="72" t="s">
        <v>909</v>
      </c>
      <c r="F129" s="73">
        <v>0</v>
      </c>
      <c r="G129" s="73" t="s">
        <v>1233</v>
      </c>
      <c r="H129" s="72" t="s">
        <v>158</v>
      </c>
      <c r="I129" s="72" t="s">
        <v>1234</v>
      </c>
      <c r="J129" s="72" t="s">
        <v>356</v>
      </c>
      <c r="K129" s="72" t="s">
        <v>382</v>
      </c>
      <c r="L129" s="72" t="s">
        <v>918</v>
      </c>
      <c r="M129" s="72" t="s">
        <v>388</v>
      </c>
      <c r="O129" s="72" t="s">
        <v>541</v>
      </c>
      <c r="P129" s="72" t="s">
        <v>919</v>
      </c>
      <c r="Q129" s="72" t="s">
        <v>1097</v>
      </c>
      <c r="R129" s="72" t="s">
        <v>60</v>
      </c>
      <c r="V129" s="60" t="str">
        <f t="shared" si="11"/>
        <v>6606CAкамуфляж</v>
      </c>
      <c r="W129" s="60" t="str">
        <f t="shared" si="8"/>
        <v>6606CA</v>
      </c>
      <c r="X129" s="60" t="str">
        <f t="shared" si="12"/>
        <v/>
      </c>
      <c r="AC129" s="51">
        <f t="shared" si="13"/>
        <v>94</v>
      </c>
      <c r="AD129" s="44">
        <f t="shared" si="14"/>
        <v>25</v>
      </c>
      <c r="AE129" s="51">
        <f t="shared" si="15"/>
        <v>94025</v>
      </c>
    </row>
    <row r="130" spans="1:31">
      <c r="A130" s="60" t="str">
        <f t="shared" si="9"/>
        <v>6277MCmulticam black</v>
      </c>
      <c r="B130" s="60" t="str">
        <f t="shared" si="10"/>
        <v>94-024-99</v>
      </c>
      <c r="C130" s="72" t="s">
        <v>1235</v>
      </c>
      <c r="D130" s="72" t="s">
        <v>1236</v>
      </c>
      <c r="E130" s="72" t="s">
        <v>1014</v>
      </c>
      <c r="F130" s="73">
        <v>60</v>
      </c>
      <c r="G130" s="73" t="s">
        <v>1237</v>
      </c>
      <c r="H130" s="72" t="s">
        <v>845</v>
      </c>
      <c r="I130" s="72" t="s">
        <v>1063</v>
      </c>
      <c r="J130" s="72" t="s">
        <v>327</v>
      </c>
      <c r="K130" s="72" t="s">
        <v>382</v>
      </c>
      <c r="L130" s="72" t="s">
        <v>918</v>
      </c>
      <c r="M130" s="72" t="s">
        <v>388</v>
      </c>
      <c r="N130" s="72" t="s">
        <v>43</v>
      </c>
      <c r="O130" s="72" t="s">
        <v>541</v>
      </c>
      <c r="P130" s="72" t="s">
        <v>919</v>
      </c>
      <c r="Q130" s="72" t="s">
        <v>1238</v>
      </c>
      <c r="R130" s="72" t="s">
        <v>60</v>
      </c>
      <c r="V130" s="60" t="str">
        <f t="shared" si="11"/>
        <v>6277MCкамуфляж / 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6277MC</v>
      </c>
      <c r="X130" s="60" t="str">
        <f t="shared" si="12"/>
        <v/>
      </c>
      <c r="AC130" s="51">
        <f t="shared" si="13"/>
        <v>94</v>
      </c>
      <c r="AD130" s="44">
        <f t="shared" si="14"/>
        <v>24</v>
      </c>
      <c r="AE130" s="51">
        <f t="shared" si="15"/>
        <v>94024</v>
      </c>
    </row>
    <row r="131" spans="1:31">
      <c r="A131" s="60" t="str">
        <f t="shared" ref="A131:A194" si="17">IF(G131&amp;Q131&lt;&gt;"",W131&amp;Q131,"")</f>
        <v>6277MCmulticam black</v>
      </c>
      <c r="B131" s="60" t="str">
        <f t="shared" ref="B131:B194" si="18">IF(C131&lt;&gt;"",LEFT(C131,9),"")</f>
        <v>94-024-99</v>
      </c>
      <c r="C131" s="72" t="s">
        <v>1239</v>
      </c>
      <c r="D131" s="72" t="s">
        <v>1236</v>
      </c>
      <c r="E131" s="72" t="s">
        <v>1009</v>
      </c>
      <c r="F131" s="73">
        <v>56</v>
      </c>
      <c r="G131" s="73" t="s">
        <v>1237</v>
      </c>
      <c r="H131" s="72" t="s">
        <v>845</v>
      </c>
      <c r="I131" s="72" t="s">
        <v>1063</v>
      </c>
      <c r="J131" s="72" t="s">
        <v>327</v>
      </c>
      <c r="K131" s="72" t="s">
        <v>382</v>
      </c>
      <c r="L131" s="72" t="s">
        <v>918</v>
      </c>
      <c r="M131" s="72" t="s">
        <v>388</v>
      </c>
      <c r="N131" s="72" t="s">
        <v>43</v>
      </c>
      <c r="O131" s="72" t="s">
        <v>541</v>
      </c>
      <c r="P131" s="72" t="s">
        <v>919</v>
      </c>
      <c r="Q131" s="72" t="s">
        <v>1238</v>
      </c>
      <c r="R131" s="72" t="s">
        <v>60</v>
      </c>
      <c r="V131" s="60" t="str">
        <f t="shared" ref="V131:V194" si="19">W131&amp;H131</f>
        <v>6277MCкамуфляж / черный</v>
      </c>
      <c r="W131" s="60" t="str">
        <f t="shared" si="16"/>
        <v>6277MC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94</v>
      </c>
      <c r="AD131" s="44">
        <f t="shared" ref="AD131:AD194" si="22">IFERROR(VALUE(MID($C131,4,3)),0)</f>
        <v>24</v>
      </c>
      <c r="AE131" s="51">
        <f t="shared" ref="AE131:AE194" si="23">VALUE(RIGHT("00"&amp;AC131,2)&amp;RIGHT("000"&amp;AD131,3))</f>
        <v>94024</v>
      </c>
    </row>
    <row r="132" spans="1:31">
      <c r="A132" s="60" t="str">
        <f t="shared" si="17"/>
        <v>6277MCmulticam</v>
      </c>
      <c r="B132" s="60" t="str">
        <f t="shared" si="18"/>
        <v>94-024-00</v>
      </c>
      <c r="C132" s="72" t="s">
        <v>1240</v>
      </c>
      <c r="D132" s="72" t="s">
        <v>1241</v>
      </c>
      <c r="E132" s="72" t="s">
        <v>1014</v>
      </c>
      <c r="F132" s="73">
        <v>60</v>
      </c>
      <c r="G132" s="73" t="s">
        <v>1237</v>
      </c>
      <c r="H132" s="72" t="s">
        <v>158</v>
      </c>
      <c r="I132" s="72" t="s">
        <v>1063</v>
      </c>
      <c r="J132" s="72" t="s">
        <v>327</v>
      </c>
      <c r="K132" s="72" t="s">
        <v>382</v>
      </c>
      <c r="L132" s="72" t="s">
        <v>918</v>
      </c>
      <c r="M132" s="72" t="s">
        <v>388</v>
      </c>
      <c r="N132" s="72" t="s">
        <v>43</v>
      </c>
      <c r="O132" s="72" t="s">
        <v>541</v>
      </c>
      <c r="P132" s="72" t="s">
        <v>919</v>
      </c>
      <c r="Q132" s="72" t="s">
        <v>1064</v>
      </c>
      <c r="R132" s="72" t="s">
        <v>60</v>
      </c>
      <c r="V132" s="60" t="str">
        <f t="shared" si="19"/>
        <v>6277MCкамуфляж</v>
      </c>
      <c r="W132" s="60" t="str">
        <f t="shared" si="16"/>
        <v>6277MC</v>
      </c>
      <c r="X132" s="60" t="str">
        <f t="shared" si="20"/>
        <v/>
      </c>
      <c r="AC132" s="51">
        <f t="shared" si="21"/>
        <v>94</v>
      </c>
      <c r="AD132" s="44">
        <f t="shared" si="22"/>
        <v>24</v>
      </c>
      <c r="AE132" s="51">
        <f t="shared" si="23"/>
        <v>94024</v>
      </c>
    </row>
    <row r="133" spans="1:31">
      <c r="A133" s="60" t="str">
        <f t="shared" si="17"/>
        <v>6277MCmulticam</v>
      </c>
      <c r="B133" s="60" t="str">
        <f t="shared" si="18"/>
        <v>94-024-00</v>
      </c>
      <c r="C133" s="72" t="s">
        <v>1242</v>
      </c>
      <c r="D133" s="72" t="s">
        <v>1241</v>
      </c>
      <c r="E133" s="72" t="s">
        <v>1009</v>
      </c>
      <c r="F133" s="73">
        <v>56</v>
      </c>
      <c r="G133" s="73" t="s">
        <v>1237</v>
      </c>
      <c r="H133" s="72" t="s">
        <v>158</v>
      </c>
      <c r="I133" s="72" t="s">
        <v>1063</v>
      </c>
      <c r="J133" s="72" t="s">
        <v>327</v>
      </c>
      <c r="K133" s="72" t="s">
        <v>382</v>
      </c>
      <c r="L133" s="72" t="s">
        <v>918</v>
      </c>
      <c r="M133" s="72" t="s">
        <v>388</v>
      </c>
      <c r="N133" s="72" t="s">
        <v>43</v>
      </c>
      <c r="O133" s="72" t="s">
        <v>541</v>
      </c>
      <c r="P133" s="72" t="s">
        <v>919</v>
      </c>
      <c r="Q133" s="72" t="s">
        <v>1064</v>
      </c>
      <c r="R133" s="72" t="s">
        <v>60</v>
      </c>
      <c r="V133" s="60" t="str">
        <f t="shared" si="19"/>
        <v>6277MCкамуфляж</v>
      </c>
      <c r="W133" s="60" t="str">
        <f t="shared" si="16"/>
        <v>6277MC</v>
      </c>
      <c r="X133" s="60" t="str">
        <f t="shared" si="20"/>
        <v/>
      </c>
      <c r="AC133" s="51">
        <f t="shared" si="21"/>
        <v>94</v>
      </c>
      <c r="AD133" s="44">
        <f t="shared" si="22"/>
        <v>24</v>
      </c>
      <c r="AE133" s="51">
        <f t="shared" si="23"/>
        <v>94024</v>
      </c>
    </row>
    <row r="134" spans="1:31">
      <c r="A134" s="60" t="str">
        <f t="shared" si="17"/>
        <v>6789Mnavy</v>
      </c>
      <c r="B134" s="60" t="str">
        <f t="shared" si="18"/>
        <v>94-023-16</v>
      </c>
      <c r="C134" s="72" t="s">
        <v>1243</v>
      </c>
      <c r="D134" s="72" t="s">
        <v>1244</v>
      </c>
      <c r="E134" s="72" t="s">
        <v>909</v>
      </c>
      <c r="F134" s="73">
        <v>0</v>
      </c>
      <c r="G134" s="73" t="s">
        <v>1152</v>
      </c>
      <c r="H134" s="72" t="s">
        <v>55</v>
      </c>
      <c r="I134" s="72" t="s">
        <v>1040</v>
      </c>
      <c r="J134" s="72" t="s">
        <v>327</v>
      </c>
      <c r="K134" s="72" t="s">
        <v>382</v>
      </c>
      <c r="L134" s="72" t="s">
        <v>918</v>
      </c>
      <c r="M134" s="72" t="s">
        <v>388</v>
      </c>
      <c r="N134" s="72" t="s">
        <v>46</v>
      </c>
      <c r="O134" s="72" t="s">
        <v>541</v>
      </c>
      <c r="P134" s="72" t="s">
        <v>919</v>
      </c>
      <c r="Q134" s="72" t="s">
        <v>923</v>
      </c>
      <c r="R134" s="72" t="s">
        <v>71</v>
      </c>
      <c r="V134" s="60" t="str">
        <f t="shared" si="19"/>
        <v>6789Mтемно-синий</v>
      </c>
      <c r="W134" s="60" t="str">
        <f t="shared" si="16"/>
        <v>6789M</v>
      </c>
      <c r="X134" s="60" t="str">
        <f t="shared" si="20"/>
        <v/>
      </c>
      <c r="AC134" s="51">
        <f t="shared" si="21"/>
        <v>94</v>
      </c>
      <c r="AD134" s="44">
        <f t="shared" si="22"/>
        <v>23</v>
      </c>
      <c r="AE134" s="51">
        <f t="shared" si="23"/>
        <v>94023</v>
      </c>
    </row>
    <row r="135" spans="1:31">
      <c r="A135" s="60" t="str">
        <f t="shared" si="17"/>
        <v>6789Mmaroon</v>
      </c>
      <c r="B135" s="60" t="str">
        <f t="shared" si="18"/>
        <v>94-023-12</v>
      </c>
      <c r="C135" s="72" t="s">
        <v>1245</v>
      </c>
      <c r="D135" s="72" t="s">
        <v>1246</v>
      </c>
      <c r="E135" s="72" t="s">
        <v>909</v>
      </c>
      <c r="F135" s="73">
        <v>0</v>
      </c>
      <c r="G135" s="73" t="s">
        <v>1152</v>
      </c>
      <c r="H135" s="72" t="s">
        <v>121</v>
      </c>
      <c r="I135" s="72" t="s">
        <v>1040</v>
      </c>
      <c r="J135" s="72" t="s">
        <v>327</v>
      </c>
      <c r="K135" s="72" t="s">
        <v>382</v>
      </c>
      <c r="L135" s="72" t="s">
        <v>918</v>
      </c>
      <c r="M135" s="72" t="s">
        <v>388</v>
      </c>
      <c r="N135" s="72" t="s">
        <v>46</v>
      </c>
      <c r="O135" s="72" t="s">
        <v>541</v>
      </c>
      <c r="P135" s="72" t="s">
        <v>919</v>
      </c>
      <c r="Q135" s="72" t="s">
        <v>955</v>
      </c>
      <c r="R135" s="72" t="s">
        <v>121</v>
      </c>
      <c r="V135" s="60" t="str">
        <f t="shared" si="19"/>
        <v>6789Mбордовый</v>
      </c>
      <c r="W135" s="60" t="str">
        <f t="shared" si="16"/>
        <v>6789M</v>
      </c>
      <c r="X135" s="60" t="str">
        <f t="shared" si="20"/>
        <v/>
      </c>
      <c r="AC135" s="51">
        <f t="shared" si="21"/>
        <v>94</v>
      </c>
      <c r="AD135" s="44">
        <f t="shared" si="22"/>
        <v>23</v>
      </c>
      <c r="AE135" s="51">
        <f t="shared" si="23"/>
        <v>94023</v>
      </c>
    </row>
    <row r="136" spans="1:31">
      <c r="A136" s="60" t="str">
        <f t="shared" si="17"/>
        <v>6789Mdark grey</v>
      </c>
      <c r="B136" s="60" t="str">
        <f t="shared" si="18"/>
        <v>94-023-05</v>
      </c>
      <c r="C136" s="72" t="s">
        <v>1247</v>
      </c>
      <c r="D136" s="72" t="s">
        <v>1248</v>
      </c>
      <c r="E136" s="72" t="s">
        <v>909</v>
      </c>
      <c r="F136" s="73">
        <v>0</v>
      </c>
      <c r="G136" s="73" t="s">
        <v>1152</v>
      </c>
      <c r="H136" s="72" t="s">
        <v>277</v>
      </c>
      <c r="I136" s="72" t="s">
        <v>1040</v>
      </c>
      <c r="J136" s="72" t="s">
        <v>327</v>
      </c>
      <c r="K136" s="72" t="s">
        <v>382</v>
      </c>
      <c r="L136" s="72" t="s">
        <v>918</v>
      </c>
      <c r="M136" s="72" t="s">
        <v>388</v>
      </c>
      <c r="N136" s="72" t="s">
        <v>46</v>
      </c>
      <c r="O136" s="72" t="s">
        <v>541</v>
      </c>
      <c r="P136" s="72" t="s">
        <v>919</v>
      </c>
      <c r="Q136" s="72" t="s">
        <v>932</v>
      </c>
      <c r="R136" s="72" t="s">
        <v>83</v>
      </c>
      <c r="V136" s="60" t="str">
        <f t="shared" si="19"/>
        <v>6789Mтемно-серый</v>
      </c>
      <c r="W136" s="60" t="str">
        <f t="shared" si="16"/>
        <v>6789M</v>
      </c>
      <c r="X136" s="60" t="str">
        <f t="shared" si="20"/>
        <v/>
      </c>
      <c r="AC136" s="51">
        <f t="shared" si="21"/>
        <v>94</v>
      </c>
      <c r="AD136" s="44">
        <f t="shared" si="22"/>
        <v>23</v>
      </c>
      <c r="AE136" s="51">
        <f t="shared" si="23"/>
        <v>94023</v>
      </c>
    </row>
    <row r="137" spans="1:31">
      <c r="A137" s="60" t="str">
        <f t="shared" si="17"/>
        <v>6606caramel</v>
      </c>
      <c r="B137" s="60" t="str">
        <f t="shared" si="18"/>
        <v>94-015-77</v>
      </c>
      <c r="C137" s="72" t="s">
        <v>1249</v>
      </c>
      <c r="D137" s="72" t="s">
        <v>1250</v>
      </c>
      <c r="E137" s="72" t="s">
        <v>909</v>
      </c>
      <c r="F137" s="73">
        <v>0</v>
      </c>
      <c r="G137" s="73">
        <v>6606</v>
      </c>
      <c r="H137" s="72" t="s">
        <v>738</v>
      </c>
      <c r="I137" s="72" t="s">
        <v>1003</v>
      </c>
      <c r="J137" s="72" t="s">
        <v>356</v>
      </c>
      <c r="K137" s="72" t="s">
        <v>382</v>
      </c>
      <c r="L137" s="72" t="s">
        <v>918</v>
      </c>
      <c r="M137" s="72" t="s">
        <v>388</v>
      </c>
      <c r="N137" s="72" t="s">
        <v>43</v>
      </c>
      <c r="O137" s="72" t="s">
        <v>541</v>
      </c>
      <c r="P137" s="72" t="s">
        <v>919</v>
      </c>
      <c r="Q137" s="72" t="s">
        <v>946</v>
      </c>
      <c r="R137" s="72" t="s">
        <v>199</v>
      </c>
      <c r="V137" s="60" t="str">
        <f t="shared" si="19"/>
        <v>6606карамельный</v>
      </c>
      <c r="W137" s="60" t="str">
        <f t="shared" si="16"/>
        <v>6606</v>
      </c>
      <c r="X137" s="60" t="str">
        <f t="shared" si="20"/>
        <v/>
      </c>
      <c r="AC137" s="51">
        <f t="shared" si="21"/>
        <v>94</v>
      </c>
      <c r="AD137" s="44">
        <f t="shared" si="22"/>
        <v>15</v>
      </c>
      <c r="AE137" s="51">
        <f t="shared" si="23"/>
        <v>94015</v>
      </c>
    </row>
    <row r="138" spans="1:31">
      <c r="A138" s="60" t="str">
        <f t="shared" si="17"/>
        <v>6606white</v>
      </c>
      <c r="B138" s="60" t="str">
        <f t="shared" si="18"/>
        <v>94-015-17</v>
      </c>
      <c r="C138" s="72" t="s">
        <v>1251</v>
      </c>
      <c r="D138" s="72" t="s">
        <v>1252</v>
      </c>
      <c r="E138" s="72" t="s">
        <v>909</v>
      </c>
      <c r="F138" s="73">
        <v>0</v>
      </c>
      <c r="G138" s="73">
        <v>6606</v>
      </c>
      <c r="H138" s="72" t="s">
        <v>57</v>
      </c>
      <c r="I138" s="72" t="s">
        <v>1003</v>
      </c>
      <c r="J138" s="72" t="s">
        <v>356</v>
      </c>
      <c r="K138" s="72" t="s">
        <v>382</v>
      </c>
      <c r="L138" s="72" t="s">
        <v>918</v>
      </c>
      <c r="M138" s="72" t="s">
        <v>388</v>
      </c>
      <c r="N138" s="72" t="s">
        <v>43</v>
      </c>
      <c r="O138" s="72" t="s">
        <v>541</v>
      </c>
      <c r="P138" s="72" t="s">
        <v>919</v>
      </c>
      <c r="Q138" s="72" t="s">
        <v>982</v>
      </c>
      <c r="R138" s="72" t="s">
        <v>57</v>
      </c>
      <c r="V138" s="60" t="str">
        <f t="shared" si="19"/>
        <v>6606белый</v>
      </c>
      <c r="W138" s="60" t="str">
        <f t="shared" si="16"/>
        <v>6606</v>
      </c>
      <c r="X138" s="60" t="str">
        <f t="shared" si="20"/>
        <v/>
      </c>
      <c r="AC138" s="51">
        <f t="shared" si="21"/>
        <v>94</v>
      </c>
      <c r="AD138" s="44">
        <f t="shared" si="22"/>
        <v>15</v>
      </c>
      <c r="AE138" s="51">
        <f t="shared" si="23"/>
        <v>94015</v>
      </c>
    </row>
    <row r="139" spans="1:31">
      <c r="A139" s="60" t="str">
        <f t="shared" si="17"/>
        <v>6606cranberry</v>
      </c>
      <c r="B139" s="60" t="str">
        <f t="shared" si="18"/>
        <v>94-015-12</v>
      </c>
      <c r="C139" s="72" t="s">
        <v>1253</v>
      </c>
      <c r="D139" s="72" t="s">
        <v>1254</v>
      </c>
      <c r="E139" s="72" t="s">
        <v>909</v>
      </c>
      <c r="F139" s="73">
        <v>0</v>
      </c>
      <c r="G139" s="73">
        <v>6606</v>
      </c>
      <c r="H139" s="72" t="s">
        <v>121</v>
      </c>
      <c r="I139" s="72" t="s">
        <v>1003</v>
      </c>
      <c r="J139" s="72" t="s">
        <v>356</v>
      </c>
      <c r="K139" s="72" t="s">
        <v>382</v>
      </c>
      <c r="L139" s="72" t="s">
        <v>918</v>
      </c>
      <c r="M139" s="72" t="s">
        <v>388</v>
      </c>
      <c r="N139" s="72" t="s">
        <v>43</v>
      </c>
      <c r="O139" s="72" t="s">
        <v>541</v>
      </c>
      <c r="P139" s="72" t="s">
        <v>919</v>
      </c>
      <c r="Q139" s="72" t="s">
        <v>1255</v>
      </c>
      <c r="R139" s="72" t="s">
        <v>121</v>
      </c>
      <c r="V139" s="60" t="str">
        <f t="shared" si="19"/>
        <v>6606бордовый</v>
      </c>
      <c r="W139" s="60" t="str">
        <f t="shared" si="16"/>
        <v>6606</v>
      </c>
      <c r="X139" s="60" t="str">
        <f t="shared" si="20"/>
        <v/>
      </c>
      <c r="AC139" s="51">
        <f t="shared" si="21"/>
        <v>94</v>
      </c>
      <c r="AD139" s="44">
        <f t="shared" si="22"/>
        <v>15</v>
      </c>
      <c r="AE139" s="51">
        <f t="shared" si="23"/>
        <v>94015</v>
      </c>
    </row>
    <row r="140" spans="1:31">
      <c r="A140" s="60" t="str">
        <f t="shared" si="17"/>
        <v>6277carolina blue</v>
      </c>
      <c r="B140" s="60" t="str">
        <f t="shared" si="18"/>
        <v>94-011-19</v>
      </c>
      <c r="C140" s="72" t="s">
        <v>1256</v>
      </c>
      <c r="D140" s="72" t="s">
        <v>1257</v>
      </c>
      <c r="E140" s="72" t="s">
        <v>1014</v>
      </c>
      <c r="F140" s="73">
        <v>60</v>
      </c>
      <c r="G140" s="73">
        <v>6277</v>
      </c>
      <c r="H140" s="72" t="s">
        <v>91</v>
      </c>
      <c r="I140" s="72" t="s">
        <v>1028</v>
      </c>
      <c r="J140" s="72" t="s">
        <v>327</v>
      </c>
      <c r="K140" s="72" t="s">
        <v>382</v>
      </c>
      <c r="L140" s="72" t="s">
        <v>918</v>
      </c>
      <c r="M140" s="72" t="s">
        <v>388</v>
      </c>
      <c r="O140" s="72" t="s">
        <v>541</v>
      </c>
      <c r="P140" s="72" t="s">
        <v>919</v>
      </c>
      <c r="Q140" s="72" t="s">
        <v>939</v>
      </c>
      <c r="R140" s="72" t="s">
        <v>91</v>
      </c>
      <c r="V140" s="60" t="str">
        <f t="shared" si="19"/>
        <v>6277голубой</v>
      </c>
      <c r="W140" s="60" t="str">
        <f t="shared" si="16"/>
        <v>6277</v>
      </c>
      <c r="X140" s="60" t="str">
        <f t="shared" si="20"/>
        <v/>
      </c>
      <c r="AC140" s="51">
        <f t="shared" si="21"/>
        <v>94</v>
      </c>
      <c r="AD140" s="44">
        <f t="shared" si="22"/>
        <v>11</v>
      </c>
      <c r="AE140" s="51">
        <f t="shared" si="23"/>
        <v>94011</v>
      </c>
    </row>
    <row r="141" spans="1:31">
      <c r="A141" s="60" t="str">
        <f t="shared" si="17"/>
        <v>6277carolina blue</v>
      </c>
      <c r="B141" s="60" t="str">
        <f t="shared" si="18"/>
        <v>94-011-19</v>
      </c>
      <c r="C141" s="72" t="s">
        <v>1258</v>
      </c>
      <c r="D141" s="72" t="s">
        <v>1257</v>
      </c>
      <c r="E141" s="72" t="s">
        <v>1009</v>
      </c>
      <c r="F141" s="73">
        <v>56</v>
      </c>
      <c r="G141" s="73">
        <v>6277</v>
      </c>
      <c r="H141" s="72" t="s">
        <v>91</v>
      </c>
      <c r="I141" s="72" t="s">
        <v>1028</v>
      </c>
      <c r="J141" s="72" t="s">
        <v>327</v>
      </c>
      <c r="K141" s="72" t="s">
        <v>382</v>
      </c>
      <c r="L141" s="72" t="s">
        <v>918</v>
      </c>
      <c r="M141" s="72" t="s">
        <v>388</v>
      </c>
      <c r="O141" s="72" t="s">
        <v>541</v>
      </c>
      <c r="P141" s="72" t="s">
        <v>919</v>
      </c>
      <c r="Q141" s="72" t="s">
        <v>939</v>
      </c>
      <c r="R141" s="72" t="s">
        <v>91</v>
      </c>
      <c r="V141" s="60" t="str">
        <f t="shared" si="19"/>
        <v>6277голубой</v>
      </c>
      <c r="W141" s="60" t="str">
        <f t="shared" si="16"/>
        <v>6277</v>
      </c>
      <c r="X141" s="60" t="str">
        <f t="shared" si="20"/>
        <v/>
      </c>
      <c r="AC141" s="51">
        <f t="shared" si="21"/>
        <v>94</v>
      </c>
      <c r="AD141" s="44">
        <f t="shared" si="22"/>
        <v>11</v>
      </c>
      <c r="AE141" s="51">
        <f t="shared" si="23"/>
        <v>94011</v>
      </c>
    </row>
    <row r="142" spans="1:31">
      <c r="A142" s="60" t="str">
        <f t="shared" si="17"/>
        <v>6277white</v>
      </c>
      <c r="B142" s="60" t="str">
        <f t="shared" si="18"/>
        <v>94-011-17</v>
      </c>
      <c r="C142" s="72" t="s">
        <v>1259</v>
      </c>
      <c r="D142" s="72" t="s">
        <v>1260</v>
      </c>
      <c r="E142" s="72" t="s">
        <v>1014</v>
      </c>
      <c r="F142" s="73">
        <v>60</v>
      </c>
      <c r="G142" s="73">
        <v>6277</v>
      </c>
      <c r="H142" s="72" t="s">
        <v>57</v>
      </c>
      <c r="I142" s="72" t="s">
        <v>1028</v>
      </c>
      <c r="J142" s="72" t="s">
        <v>327</v>
      </c>
      <c r="K142" s="72" t="s">
        <v>382</v>
      </c>
      <c r="L142" s="72" t="s">
        <v>918</v>
      </c>
      <c r="M142" s="72" t="s">
        <v>388</v>
      </c>
      <c r="O142" s="72" t="s">
        <v>541</v>
      </c>
      <c r="P142" s="72" t="s">
        <v>919</v>
      </c>
      <c r="Q142" s="72" t="s">
        <v>982</v>
      </c>
      <c r="R142" s="72" t="s">
        <v>57</v>
      </c>
      <c r="V142" s="60" t="str">
        <f t="shared" si="19"/>
        <v>6277белый</v>
      </c>
      <c r="W142" s="60" t="str">
        <f t="shared" si="16"/>
        <v>6277</v>
      </c>
      <c r="X142" s="60" t="str">
        <f t="shared" si="20"/>
        <v/>
      </c>
      <c r="AC142" s="51">
        <f t="shared" si="21"/>
        <v>94</v>
      </c>
      <c r="AD142" s="44">
        <f t="shared" si="22"/>
        <v>11</v>
      </c>
      <c r="AE142" s="51">
        <f t="shared" si="23"/>
        <v>94011</v>
      </c>
    </row>
    <row r="143" spans="1:31">
      <c r="A143" s="60" t="str">
        <f t="shared" si="17"/>
        <v>6277white</v>
      </c>
      <c r="B143" s="60" t="str">
        <f t="shared" si="18"/>
        <v>94-011-17</v>
      </c>
      <c r="C143" s="72" t="s">
        <v>1261</v>
      </c>
      <c r="D143" s="72" t="s">
        <v>1260</v>
      </c>
      <c r="E143" s="72" t="s">
        <v>1009</v>
      </c>
      <c r="F143" s="73">
        <v>56</v>
      </c>
      <c r="G143" s="73">
        <v>6277</v>
      </c>
      <c r="H143" s="72" t="s">
        <v>57</v>
      </c>
      <c r="I143" s="72" t="s">
        <v>1028</v>
      </c>
      <c r="J143" s="72" t="s">
        <v>327</v>
      </c>
      <c r="K143" s="72" t="s">
        <v>382</v>
      </c>
      <c r="L143" s="72" t="s">
        <v>918</v>
      </c>
      <c r="M143" s="72" t="s">
        <v>388</v>
      </c>
      <c r="O143" s="72" t="s">
        <v>541</v>
      </c>
      <c r="P143" s="72" t="s">
        <v>919</v>
      </c>
      <c r="Q143" s="72" t="s">
        <v>982</v>
      </c>
      <c r="R143" s="72" t="s">
        <v>57</v>
      </c>
      <c r="V143" s="60" t="str">
        <f t="shared" si="19"/>
        <v>6277белый</v>
      </c>
      <c r="W143" s="60" t="str">
        <f t="shared" si="16"/>
        <v>6277</v>
      </c>
      <c r="X143" s="60" t="str">
        <f t="shared" si="20"/>
        <v/>
      </c>
      <c r="AC143" s="51">
        <f t="shared" si="21"/>
        <v>94</v>
      </c>
      <c r="AD143" s="44">
        <f t="shared" si="22"/>
        <v>11</v>
      </c>
      <c r="AE143" s="51">
        <f t="shared" si="23"/>
        <v>94011</v>
      </c>
    </row>
    <row r="144" spans="1:31">
      <c r="A144" s="60" t="str">
        <f t="shared" si="17"/>
        <v>6277coyote brown</v>
      </c>
      <c r="B144" s="60" t="str">
        <f t="shared" si="18"/>
        <v>94-011-15</v>
      </c>
      <c r="C144" s="72" t="s">
        <v>1262</v>
      </c>
      <c r="D144" s="72" t="s">
        <v>1263</v>
      </c>
      <c r="E144" s="72" t="s">
        <v>1014</v>
      </c>
      <c r="F144" s="73">
        <v>60</v>
      </c>
      <c r="G144" s="73">
        <v>6277</v>
      </c>
      <c r="H144" s="72" t="s">
        <v>226</v>
      </c>
      <c r="I144" s="72" t="s">
        <v>1028</v>
      </c>
      <c r="J144" s="72" t="s">
        <v>327</v>
      </c>
      <c r="K144" s="72" t="s">
        <v>382</v>
      </c>
      <c r="L144" s="72" t="s">
        <v>918</v>
      </c>
      <c r="M144" s="72" t="s">
        <v>388</v>
      </c>
      <c r="O144" s="72" t="s">
        <v>541</v>
      </c>
      <c r="P144" s="72" t="s">
        <v>919</v>
      </c>
      <c r="Q144" s="72" t="s">
        <v>1264</v>
      </c>
      <c r="R144" s="72" t="s">
        <v>86</v>
      </c>
      <c r="V144" s="60" t="str">
        <f t="shared" si="19"/>
        <v>6277светло-коричневый</v>
      </c>
      <c r="W144" s="60" t="str">
        <f t="shared" si="16"/>
        <v>6277</v>
      </c>
      <c r="X144" s="60" t="str">
        <f t="shared" si="20"/>
        <v/>
      </c>
      <c r="AC144" s="51">
        <f t="shared" si="21"/>
        <v>94</v>
      </c>
      <c r="AD144" s="44">
        <f t="shared" si="22"/>
        <v>11</v>
      </c>
      <c r="AE144" s="51">
        <f t="shared" si="23"/>
        <v>94011</v>
      </c>
    </row>
    <row r="145" spans="1:31">
      <c r="A145" s="60" t="str">
        <f t="shared" si="17"/>
        <v>6277coyote brown</v>
      </c>
      <c r="B145" s="60" t="str">
        <f t="shared" si="18"/>
        <v>94-011-15</v>
      </c>
      <c r="C145" s="72" t="s">
        <v>1265</v>
      </c>
      <c r="D145" s="72" t="s">
        <v>1263</v>
      </c>
      <c r="E145" s="72" t="s">
        <v>1009</v>
      </c>
      <c r="F145" s="73">
        <v>56</v>
      </c>
      <c r="G145" s="73">
        <v>6277</v>
      </c>
      <c r="H145" s="72" t="s">
        <v>226</v>
      </c>
      <c r="I145" s="72" t="s">
        <v>1028</v>
      </c>
      <c r="J145" s="72" t="s">
        <v>327</v>
      </c>
      <c r="K145" s="72" t="s">
        <v>382</v>
      </c>
      <c r="L145" s="72" t="s">
        <v>918</v>
      </c>
      <c r="M145" s="72" t="s">
        <v>388</v>
      </c>
      <c r="O145" s="72" t="s">
        <v>541</v>
      </c>
      <c r="P145" s="72" t="s">
        <v>919</v>
      </c>
      <c r="Q145" s="72" t="s">
        <v>1264</v>
      </c>
      <c r="R145" s="72" t="s">
        <v>86</v>
      </c>
      <c r="V145" s="60" t="str">
        <f t="shared" si="19"/>
        <v>6277светло-коричневый</v>
      </c>
      <c r="W145" s="60" t="str">
        <f t="shared" si="16"/>
        <v>6277</v>
      </c>
      <c r="X145" s="60" t="str">
        <f t="shared" si="20"/>
        <v/>
      </c>
      <c r="AC145" s="51">
        <f t="shared" si="21"/>
        <v>94</v>
      </c>
      <c r="AD145" s="44">
        <f t="shared" si="22"/>
        <v>11</v>
      </c>
      <c r="AE145" s="51">
        <f t="shared" si="23"/>
        <v>94011</v>
      </c>
    </row>
    <row r="146" spans="1:31">
      <c r="A146" s="60" t="str">
        <f t="shared" si="17"/>
        <v>6277silver</v>
      </c>
      <c r="B146" s="60" t="str">
        <f t="shared" si="18"/>
        <v>94-011-08</v>
      </c>
      <c r="C146" s="72" t="s">
        <v>1266</v>
      </c>
      <c r="D146" s="72" t="s">
        <v>1267</v>
      </c>
      <c r="E146" s="72" t="s">
        <v>1014</v>
      </c>
      <c r="F146" s="73">
        <v>60</v>
      </c>
      <c r="G146" s="73">
        <v>6277</v>
      </c>
      <c r="H146" s="72" t="s">
        <v>234</v>
      </c>
      <c r="I146" s="72" t="s">
        <v>1028</v>
      </c>
      <c r="J146" s="72" t="s">
        <v>327</v>
      </c>
      <c r="K146" s="72" t="s">
        <v>382</v>
      </c>
      <c r="L146" s="72" t="s">
        <v>918</v>
      </c>
      <c r="M146" s="72" t="s">
        <v>388</v>
      </c>
      <c r="O146" s="72" t="s">
        <v>541</v>
      </c>
      <c r="P146" s="72" t="s">
        <v>919</v>
      </c>
      <c r="Q146" s="72" t="s">
        <v>1086</v>
      </c>
      <c r="R146" s="72" t="s">
        <v>83</v>
      </c>
      <c r="V146" s="60" t="str">
        <f t="shared" si="19"/>
        <v>6277серебристый</v>
      </c>
      <c r="W146" s="60" t="str">
        <f t="shared" si="16"/>
        <v>6277</v>
      </c>
      <c r="X146" s="60" t="str">
        <f t="shared" si="20"/>
        <v/>
      </c>
      <c r="AC146" s="51">
        <f t="shared" si="21"/>
        <v>94</v>
      </c>
      <c r="AD146" s="44">
        <f t="shared" si="22"/>
        <v>11</v>
      </c>
      <c r="AE146" s="51">
        <f t="shared" si="23"/>
        <v>94011</v>
      </c>
    </row>
    <row r="147" spans="1:31">
      <c r="A147" s="60" t="str">
        <f t="shared" si="17"/>
        <v>6277silver</v>
      </c>
      <c r="B147" s="60" t="str">
        <f t="shared" si="18"/>
        <v>94-011-08</v>
      </c>
      <c r="C147" s="72" t="s">
        <v>1268</v>
      </c>
      <c r="D147" s="72" t="s">
        <v>1267</v>
      </c>
      <c r="E147" s="72" t="s">
        <v>1009</v>
      </c>
      <c r="F147" s="73">
        <v>56</v>
      </c>
      <c r="G147" s="73">
        <v>6277</v>
      </c>
      <c r="H147" s="72" t="s">
        <v>234</v>
      </c>
      <c r="I147" s="72" t="s">
        <v>1028</v>
      </c>
      <c r="J147" s="72" t="s">
        <v>327</v>
      </c>
      <c r="K147" s="72" t="s">
        <v>382</v>
      </c>
      <c r="L147" s="72" t="s">
        <v>918</v>
      </c>
      <c r="M147" s="72" t="s">
        <v>388</v>
      </c>
      <c r="O147" s="72" t="s">
        <v>541</v>
      </c>
      <c r="P147" s="72" t="s">
        <v>919</v>
      </c>
      <c r="Q147" s="72" t="s">
        <v>1086</v>
      </c>
      <c r="R147" s="72" t="s">
        <v>83</v>
      </c>
      <c r="V147" s="60" t="str">
        <f t="shared" si="19"/>
        <v>6277серебристый</v>
      </c>
      <c r="W147" s="60" t="str">
        <f t="shared" si="16"/>
        <v>6277</v>
      </c>
      <c r="X147" s="60" t="str">
        <f t="shared" si="20"/>
        <v/>
      </c>
      <c r="AC147" s="51">
        <f t="shared" si="21"/>
        <v>94</v>
      </c>
      <c r="AD147" s="44">
        <f t="shared" si="22"/>
        <v>11</v>
      </c>
      <c r="AE147" s="51">
        <f t="shared" si="23"/>
        <v>94011</v>
      </c>
    </row>
    <row r="148" spans="1:31">
      <c r="A148" s="60" t="str">
        <f t="shared" si="17"/>
        <v>6277olive</v>
      </c>
      <c r="B148" s="60" t="str">
        <f t="shared" si="18"/>
        <v>94-011-03</v>
      </c>
      <c r="C148" s="72" t="s">
        <v>1269</v>
      </c>
      <c r="D148" s="72" t="s">
        <v>1270</v>
      </c>
      <c r="E148" s="72" t="s">
        <v>1014</v>
      </c>
      <c r="F148" s="73">
        <v>60</v>
      </c>
      <c r="G148" s="73">
        <v>6277</v>
      </c>
      <c r="H148" s="72" t="s">
        <v>195</v>
      </c>
      <c r="I148" s="72" t="s">
        <v>1028</v>
      </c>
      <c r="J148" s="72" t="s">
        <v>327</v>
      </c>
      <c r="K148" s="72" t="s">
        <v>382</v>
      </c>
      <c r="L148" s="72" t="s">
        <v>918</v>
      </c>
      <c r="M148" s="72" t="s">
        <v>388</v>
      </c>
      <c r="O148" s="72" t="s">
        <v>541</v>
      </c>
      <c r="P148" s="72" t="s">
        <v>919</v>
      </c>
      <c r="Q148" s="72" t="s">
        <v>965</v>
      </c>
      <c r="R148" s="72" t="s">
        <v>195</v>
      </c>
      <c r="V148" s="60" t="str">
        <f t="shared" si="19"/>
        <v>6277оливковый</v>
      </c>
      <c r="W148" s="60" t="str">
        <f t="shared" si="16"/>
        <v>6277</v>
      </c>
      <c r="X148" s="60" t="str">
        <f t="shared" si="20"/>
        <v/>
      </c>
      <c r="AC148" s="51">
        <f t="shared" si="21"/>
        <v>94</v>
      </c>
      <c r="AD148" s="44">
        <f t="shared" si="22"/>
        <v>11</v>
      </c>
      <c r="AE148" s="51">
        <f t="shared" si="23"/>
        <v>94011</v>
      </c>
    </row>
    <row r="149" spans="1:31">
      <c r="A149" s="60" t="str">
        <f t="shared" si="17"/>
        <v>6277olive</v>
      </c>
      <c r="B149" s="60" t="str">
        <f t="shared" si="18"/>
        <v>94-011-03</v>
      </c>
      <c r="C149" s="72" t="s">
        <v>1271</v>
      </c>
      <c r="D149" s="72" t="s">
        <v>1270</v>
      </c>
      <c r="E149" s="72" t="s">
        <v>1009</v>
      </c>
      <c r="F149" s="73">
        <v>56</v>
      </c>
      <c r="G149" s="73">
        <v>6277</v>
      </c>
      <c r="H149" s="72" t="s">
        <v>195</v>
      </c>
      <c r="I149" s="72" t="s">
        <v>1028</v>
      </c>
      <c r="J149" s="72" t="s">
        <v>327</v>
      </c>
      <c r="K149" s="72" t="s">
        <v>382</v>
      </c>
      <c r="L149" s="72" t="s">
        <v>918</v>
      </c>
      <c r="M149" s="72" t="s">
        <v>388</v>
      </c>
      <c r="O149" s="72" t="s">
        <v>541</v>
      </c>
      <c r="P149" s="72" t="s">
        <v>919</v>
      </c>
      <c r="Q149" s="72" t="s">
        <v>965</v>
      </c>
      <c r="R149" s="72" t="s">
        <v>195</v>
      </c>
      <c r="V149" s="60" t="str">
        <f t="shared" si="19"/>
        <v>6277оливковый</v>
      </c>
      <c r="W149" s="60" t="str">
        <f t="shared" si="16"/>
        <v>6277</v>
      </c>
      <c r="X149" s="60" t="str">
        <f t="shared" si="20"/>
        <v/>
      </c>
      <c r="AC149" s="51">
        <f t="shared" si="21"/>
        <v>94</v>
      </c>
      <c r="AD149" s="44">
        <f t="shared" si="22"/>
        <v>11</v>
      </c>
      <c r="AE149" s="51">
        <f t="shared" si="23"/>
        <v>94011</v>
      </c>
    </row>
    <row r="150" spans="1:31">
      <c r="A150" s="60" t="str">
        <f t="shared" si="17"/>
        <v>6089MCmulticam black</v>
      </c>
      <c r="B150" s="60" t="str">
        <f t="shared" si="18"/>
        <v>94-008-99</v>
      </c>
      <c r="C150" s="72" t="s">
        <v>1272</v>
      </c>
      <c r="D150" s="72" t="s">
        <v>1273</v>
      </c>
      <c r="E150" s="72" t="s">
        <v>909</v>
      </c>
      <c r="F150" s="73">
        <v>0</v>
      </c>
      <c r="G150" s="73" t="s">
        <v>1062</v>
      </c>
      <c r="H150" s="72" t="s">
        <v>845</v>
      </c>
      <c r="I150" s="72" t="s">
        <v>1063</v>
      </c>
      <c r="J150" s="72" t="s">
        <v>783</v>
      </c>
      <c r="K150" s="72" t="s">
        <v>382</v>
      </c>
      <c r="L150" s="72" t="s">
        <v>918</v>
      </c>
      <c r="M150" s="72" t="s">
        <v>388</v>
      </c>
      <c r="N150" s="72" t="s">
        <v>43</v>
      </c>
      <c r="O150" s="72" t="s">
        <v>541</v>
      </c>
      <c r="P150" s="72" t="s">
        <v>919</v>
      </c>
      <c r="Q150" s="72" t="s">
        <v>1238</v>
      </c>
      <c r="R150" s="72" t="s">
        <v>60</v>
      </c>
      <c r="V150" s="60" t="str">
        <f t="shared" si="19"/>
        <v>6089MCкамуфляж / черный</v>
      </c>
      <c r="W150" s="60" t="str">
        <f t="shared" si="16"/>
        <v>6089MC</v>
      </c>
      <c r="X150" s="60" t="str">
        <f t="shared" si="20"/>
        <v/>
      </c>
      <c r="AC150" s="51">
        <f t="shared" si="21"/>
        <v>94</v>
      </c>
      <c r="AD150" s="44">
        <f t="shared" si="22"/>
        <v>8</v>
      </c>
      <c r="AE150" s="51">
        <f t="shared" si="23"/>
        <v>94008</v>
      </c>
    </row>
    <row r="151" spans="1:31">
      <c r="A151" s="60" t="str">
        <f t="shared" si="17"/>
        <v>6089Mall black</v>
      </c>
      <c r="B151" s="60" t="str">
        <f t="shared" si="18"/>
        <v>94-007-48</v>
      </c>
      <c r="C151" s="72" t="s">
        <v>1274</v>
      </c>
      <c r="D151" s="72" t="s">
        <v>1275</v>
      </c>
      <c r="E151" s="72" t="s">
        <v>909</v>
      </c>
      <c r="F151" s="73">
        <v>0</v>
      </c>
      <c r="G151" s="73" t="s">
        <v>1067</v>
      </c>
      <c r="H151" s="72" t="s">
        <v>590</v>
      </c>
      <c r="I151" s="72" t="s">
        <v>1040</v>
      </c>
      <c r="J151" s="72" t="s">
        <v>783</v>
      </c>
      <c r="K151" s="72" t="s">
        <v>382</v>
      </c>
      <c r="L151" s="72" t="s">
        <v>918</v>
      </c>
      <c r="M151" s="72" t="s">
        <v>388</v>
      </c>
      <c r="N151" s="72" t="s">
        <v>46</v>
      </c>
      <c r="O151" s="72" t="s">
        <v>541</v>
      </c>
      <c r="P151" s="72" t="s">
        <v>919</v>
      </c>
      <c r="Q151" s="72" t="s">
        <v>1276</v>
      </c>
      <c r="R151" s="72" t="s">
        <v>53</v>
      </c>
      <c r="V151" s="60" t="str">
        <f t="shared" si="19"/>
        <v>6089Mчерный / черный</v>
      </c>
      <c r="W151" s="60" t="str">
        <f t="shared" si="16"/>
        <v>6089M</v>
      </c>
      <c r="X151" s="60" t="str">
        <f t="shared" si="20"/>
        <v/>
      </c>
      <c r="AC151" s="51">
        <f t="shared" si="21"/>
        <v>94</v>
      </c>
      <c r="AD151" s="44">
        <f t="shared" si="22"/>
        <v>7</v>
      </c>
      <c r="AE151" s="51">
        <f t="shared" si="23"/>
        <v>94007</v>
      </c>
    </row>
    <row r="152" spans="1:31">
      <c r="A152" s="60" t="str">
        <f t="shared" si="17"/>
        <v>6089Mpurple</v>
      </c>
      <c r="B152" s="60" t="str">
        <f t="shared" si="18"/>
        <v>94-007-41</v>
      </c>
      <c r="C152" s="72" t="s">
        <v>1277</v>
      </c>
      <c r="D152" s="72" t="s">
        <v>1278</v>
      </c>
      <c r="E152" s="72" t="s">
        <v>909</v>
      </c>
      <c r="F152" s="73">
        <v>0</v>
      </c>
      <c r="G152" s="73" t="s">
        <v>1067</v>
      </c>
      <c r="H152" s="72" t="s">
        <v>286</v>
      </c>
      <c r="I152" s="72" t="s">
        <v>1040</v>
      </c>
      <c r="J152" s="72" t="s">
        <v>783</v>
      </c>
      <c r="K152" s="72" t="s">
        <v>382</v>
      </c>
      <c r="L152" s="72" t="s">
        <v>918</v>
      </c>
      <c r="M152" s="72" t="s">
        <v>388</v>
      </c>
      <c r="N152" s="72" t="s">
        <v>46</v>
      </c>
      <c r="O152" s="72" t="s">
        <v>541</v>
      </c>
      <c r="P152" s="72" t="s">
        <v>919</v>
      </c>
      <c r="Q152" s="72" t="s">
        <v>1011</v>
      </c>
      <c r="R152" s="72" t="s">
        <v>286</v>
      </c>
      <c r="V152" s="60" t="str">
        <f t="shared" si="19"/>
        <v>6089Mфиолетовый</v>
      </c>
      <c r="W152" s="60" t="str">
        <f t="shared" si="16"/>
        <v>6089M</v>
      </c>
      <c r="X152" s="60" t="str">
        <f t="shared" si="20"/>
        <v/>
      </c>
      <c r="AC152" s="51">
        <f t="shared" si="21"/>
        <v>94</v>
      </c>
      <c r="AD152" s="44">
        <f t="shared" si="22"/>
        <v>7</v>
      </c>
      <c r="AE152" s="51">
        <f t="shared" si="23"/>
        <v>94007</v>
      </c>
    </row>
    <row r="153" spans="1:31">
      <c r="A153" s="60" t="str">
        <f t="shared" si="17"/>
        <v>110X</v>
      </c>
      <c r="B153" s="60" t="str">
        <f t="shared" si="18"/>
        <v>94-027-</v>
      </c>
      <c r="C153" s="72" t="s">
        <v>1306</v>
      </c>
      <c r="G153" s="73" t="s">
        <v>1279</v>
      </c>
      <c r="V153" s="60" t="str">
        <f t="shared" si="19"/>
        <v>110X</v>
      </c>
      <c r="W153" s="60" t="str">
        <f t="shared" si="16"/>
        <v>110X</v>
      </c>
      <c r="X153" s="60" t="str">
        <f t="shared" si="20"/>
        <v/>
      </c>
      <c r="AC153" s="51">
        <f t="shared" si="21"/>
        <v>94</v>
      </c>
      <c r="AD153" s="44">
        <f t="shared" si="22"/>
        <v>27</v>
      </c>
      <c r="AE153" s="51">
        <f t="shared" si="23"/>
        <v>94027</v>
      </c>
    </row>
    <row r="154" spans="1:31">
      <c r="A154" s="60" t="str">
        <f t="shared" si="17"/>
        <v>6005FW</v>
      </c>
      <c r="B154" s="60" t="str">
        <f t="shared" si="18"/>
        <v>94-028-</v>
      </c>
      <c r="C154" s="72" t="s">
        <v>1307</v>
      </c>
      <c r="G154" s="73" t="s">
        <v>1282</v>
      </c>
      <c r="V154" s="60" t="str">
        <f t="shared" si="19"/>
        <v>6005FW</v>
      </c>
      <c r="W154" s="60" t="str">
        <f t="shared" si="16"/>
        <v>6005FW</v>
      </c>
      <c r="X154" s="60" t="str">
        <f t="shared" si="20"/>
        <v/>
      </c>
      <c r="AC154" s="51">
        <f t="shared" si="21"/>
        <v>94</v>
      </c>
      <c r="AD154" s="44">
        <f t="shared" si="22"/>
        <v>28</v>
      </c>
      <c r="AE154" s="51">
        <f t="shared" si="23"/>
        <v>94028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P152"/>
  <sheetViews>
    <sheetView topLeftCell="A16" workbookViewId="0">
      <selection activeCell="G31" sqref="G31"/>
    </sheetView>
  </sheetViews>
  <sheetFormatPr defaultRowHeight="15"/>
  <cols>
    <col min="5" max="5" width="9.140625" style="171"/>
  </cols>
  <sheetData>
    <row r="1" spans="1:16">
      <c r="A1" s="164" t="s">
        <v>366</v>
      </c>
      <c r="B1" s="164" t="s">
        <v>367</v>
      </c>
      <c r="C1" s="164" t="s">
        <v>368</v>
      </c>
      <c r="D1" s="164" t="s">
        <v>369</v>
      </c>
      <c r="E1" s="168" t="s">
        <v>370</v>
      </c>
      <c r="F1" s="164" t="s">
        <v>371</v>
      </c>
      <c r="G1" s="164" t="s">
        <v>372</v>
      </c>
      <c r="H1" s="164" t="s">
        <v>373</v>
      </c>
      <c r="I1" s="164" t="s">
        <v>374</v>
      </c>
      <c r="J1" s="164" t="s">
        <v>375</v>
      </c>
      <c r="K1" s="164" t="s">
        <v>376</v>
      </c>
      <c r="L1" s="164" t="s">
        <v>377</v>
      </c>
      <c r="M1" s="164" t="s">
        <v>378</v>
      </c>
      <c r="N1" s="164" t="s">
        <v>379</v>
      </c>
      <c r="O1" s="164" t="s">
        <v>380</v>
      </c>
      <c r="P1" s="164" t="s">
        <v>381</v>
      </c>
    </row>
    <row r="2" spans="1:16">
      <c r="A2" s="165" t="s">
        <v>914</v>
      </c>
      <c r="B2" s="165" t="s">
        <v>915</v>
      </c>
      <c r="C2" s="165" t="s">
        <v>909</v>
      </c>
      <c r="D2" s="166">
        <v>0</v>
      </c>
      <c r="E2" s="169" t="s">
        <v>916</v>
      </c>
      <c r="F2" s="165" t="s">
        <v>78</v>
      </c>
      <c r="G2" s="165" t="s">
        <v>917</v>
      </c>
      <c r="H2" s="165" t="s">
        <v>342</v>
      </c>
      <c r="I2" s="165" t="s">
        <v>382</v>
      </c>
      <c r="J2" s="165" t="s">
        <v>918</v>
      </c>
      <c r="K2" s="165" t="s">
        <v>388</v>
      </c>
      <c r="L2" s="165" t="s">
        <v>46</v>
      </c>
      <c r="M2" s="165" t="s">
        <v>541</v>
      </c>
      <c r="N2" s="165" t="s">
        <v>919</v>
      </c>
      <c r="O2" s="165" t="s">
        <v>920</v>
      </c>
      <c r="P2" s="165" t="s">
        <v>78</v>
      </c>
    </row>
    <row r="3" spans="1:16">
      <c r="A3" s="165" t="s">
        <v>921</v>
      </c>
      <c r="B3" s="165" t="s">
        <v>922</v>
      </c>
      <c r="C3" s="165" t="s">
        <v>909</v>
      </c>
      <c r="D3" s="166">
        <v>0</v>
      </c>
      <c r="E3" s="169" t="s">
        <v>916</v>
      </c>
      <c r="F3" s="165" t="s">
        <v>55</v>
      </c>
      <c r="G3" s="165" t="s">
        <v>917</v>
      </c>
      <c r="H3" s="165" t="s">
        <v>342</v>
      </c>
      <c r="I3" s="165" t="s">
        <v>382</v>
      </c>
      <c r="J3" s="165" t="s">
        <v>918</v>
      </c>
      <c r="K3" s="165" t="s">
        <v>388</v>
      </c>
      <c r="L3" s="165" t="s">
        <v>46</v>
      </c>
      <c r="M3" s="165" t="s">
        <v>541</v>
      </c>
      <c r="N3" s="165" t="s">
        <v>919</v>
      </c>
      <c r="O3" s="165" t="s">
        <v>923</v>
      </c>
      <c r="P3" s="165" t="s">
        <v>71</v>
      </c>
    </row>
    <row r="4" spans="1:16">
      <c r="A4" s="165" t="s">
        <v>924</v>
      </c>
      <c r="B4" s="165" t="s">
        <v>925</v>
      </c>
      <c r="C4" s="165" t="s">
        <v>909</v>
      </c>
      <c r="D4" s="166">
        <v>0</v>
      </c>
      <c r="E4" s="169" t="s">
        <v>916</v>
      </c>
      <c r="F4" s="165" t="s">
        <v>53</v>
      </c>
      <c r="G4" s="165" t="s">
        <v>917</v>
      </c>
      <c r="H4" s="165" t="s">
        <v>342</v>
      </c>
      <c r="I4" s="165" t="s">
        <v>382</v>
      </c>
      <c r="J4" s="165" t="s">
        <v>918</v>
      </c>
      <c r="K4" s="165" t="s">
        <v>388</v>
      </c>
      <c r="L4" s="165" t="s">
        <v>46</v>
      </c>
      <c r="M4" s="165" t="s">
        <v>541</v>
      </c>
      <c r="N4" s="165" t="s">
        <v>919</v>
      </c>
      <c r="O4" s="165" t="s">
        <v>926</v>
      </c>
      <c r="P4" s="165" t="s">
        <v>53</v>
      </c>
    </row>
    <row r="5" spans="1:16">
      <c r="A5" s="165" t="s">
        <v>927</v>
      </c>
      <c r="B5" s="165" t="s">
        <v>928</v>
      </c>
      <c r="C5" s="165" t="s">
        <v>909</v>
      </c>
      <c r="D5" s="166">
        <v>0</v>
      </c>
      <c r="E5" s="169" t="s">
        <v>916</v>
      </c>
      <c r="F5" s="165" t="s">
        <v>71</v>
      </c>
      <c r="G5" s="165" t="s">
        <v>917</v>
      </c>
      <c r="H5" s="165" t="s">
        <v>342</v>
      </c>
      <c r="I5" s="165" t="s">
        <v>382</v>
      </c>
      <c r="J5" s="165" t="s">
        <v>918</v>
      </c>
      <c r="K5" s="165" t="s">
        <v>388</v>
      </c>
      <c r="L5" s="165" t="s">
        <v>46</v>
      </c>
      <c r="M5" s="165" t="s">
        <v>541</v>
      </c>
      <c r="N5" s="165" t="s">
        <v>919</v>
      </c>
      <c r="O5" s="165" t="s">
        <v>929</v>
      </c>
      <c r="P5" s="165" t="s">
        <v>71</v>
      </c>
    </row>
    <row r="6" spans="1:16">
      <c r="A6" s="165" t="s">
        <v>930</v>
      </c>
      <c r="B6" s="165" t="s">
        <v>931</v>
      </c>
      <c r="C6" s="165" t="s">
        <v>909</v>
      </c>
      <c r="D6" s="166">
        <v>0</v>
      </c>
      <c r="E6" s="169" t="s">
        <v>916</v>
      </c>
      <c r="F6" s="165" t="s">
        <v>277</v>
      </c>
      <c r="G6" s="165" t="s">
        <v>917</v>
      </c>
      <c r="H6" s="165" t="s">
        <v>342</v>
      </c>
      <c r="I6" s="165" t="s">
        <v>382</v>
      </c>
      <c r="J6" s="165" t="s">
        <v>918</v>
      </c>
      <c r="K6" s="165" t="s">
        <v>388</v>
      </c>
      <c r="L6" s="165" t="s">
        <v>46</v>
      </c>
      <c r="M6" s="165" t="s">
        <v>541</v>
      </c>
      <c r="N6" s="165" t="s">
        <v>919</v>
      </c>
      <c r="O6" s="165" t="s">
        <v>932</v>
      </c>
      <c r="P6" s="165" t="s">
        <v>83</v>
      </c>
    </row>
    <row r="7" spans="1:16">
      <c r="A7" s="165" t="s">
        <v>933</v>
      </c>
      <c r="B7" s="165" t="s">
        <v>934</v>
      </c>
      <c r="C7" s="165" t="s">
        <v>909</v>
      </c>
      <c r="D7" s="166">
        <v>0</v>
      </c>
      <c r="E7" s="169" t="s">
        <v>916</v>
      </c>
      <c r="F7" s="165" t="s">
        <v>231</v>
      </c>
      <c r="G7" s="165" t="s">
        <v>917</v>
      </c>
      <c r="H7" s="165" t="s">
        <v>342</v>
      </c>
      <c r="I7" s="165" t="s">
        <v>382</v>
      </c>
      <c r="J7" s="165" t="s">
        <v>918</v>
      </c>
      <c r="K7" s="165" t="s">
        <v>388</v>
      </c>
      <c r="L7" s="165" t="s">
        <v>46</v>
      </c>
      <c r="M7" s="165" t="s">
        <v>541</v>
      </c>
      <c r="N7" s="165" t="s">
        <v>919</v>
      </c>
      <c r="O7" s="165" t="s">
        <v>935</v>
      </c>
      <c r="P7" s="165" t="s">
        <v>83</v>
      </c>
    </row>
    <row r="8" spans="1:16">
      <c r="A8" s="165" t="s">
        <v>936</v>
      </c>
      <c r="B8" s="165" t="s">
        <v>937</v>
      </c>
      <c r="C8" s="165" t="s">
        <v>909</v>
      </c>
      <c r="D8" s="166">
        <v>0</v>
      </c>
      <c r="E8" s="169" t="s">
        <v>938</v>
      </c>
      <c r="F8" s="165" t="s">
        <v>91</v>
      </c>
      <c r="G8" s="165" t="s">
        <v>917</v>
      </c>
      <c r="H8" s="165" t="s">
        <v>340</v>
      </c>
      <c r="I8" s="165" t="s">
        <v>382</v>
      </c>
      <c r="J8" s="165" t="s">
        <v>918</v>
      </c>
      <c r="K8" s="165" t="s">
        <v>388</v>
      </c>
      <c r="L8" s="165" t="s">
        <v>46</v>
      </c>
      <c r="M8" s="165" t="s">
        <v>542</v>
      </c>
      <c r="N8" s="165" t="s">
        <v>919</v>
      </c>
      <c r="O8" s="165" t="s">
        <v>939</v>
      </c>
      <c r="P8" s="165" t="s">
        <v>91</v>
      </c>
    </row>
    <row r="9" spans="1:16">
      <c r="A9" s="165" t="s">
        <v>940</v>
      </c>
      <c r="B9" s="165" t="s">
        <v>941</v>
      </c>
      <c r="C9" s="165" t="s">
        <v>909</v>
      </c>
      <c r="D9" s="166">
        <v>0</v>
      </c>
      <c r="E9" s="169" t="s">
        <v>938</v>
      </c>
      <c r="F9" s="165" t="s">
        <v>78</v>
      </c>
      <c r="G9" s="165" t="s">
        <v>917</v>
      </c>
      <c r="H9" s="165" t="s">
        <v>340</v>
      </c>
      <c r="I9" s="165" t="s">
        <v>382</v>
      </c>
      <c r="J9" s="165" t="s">
        <v>918</v>
      </c>
      <c r="K9" s="165" t="s">
        <v>388</v>
      </c>
      <c r="L9" s="165" t="s">
        <v>46</v>
      </c>
      <c r="M9" s="165" t="s">
        <v>541</v>
      </c>
      <c r="N9" s="165" t="s">
        <v>919</v>
      </c>
      <c r="O9" s="165" t="s">
        <v>920</v>
      </c>
      <c r="P9" s="165" t="s">
        <v>78</v>
      </c>
    </row>
    <row r="10" spans="1:16">
      <c r="A10" s="165" t="s">
        <v>942</v>
      </c>
      <c r="B10" s="165" t="s">
        <v>943</v>
      </c>
      <c r="C10" s="165" t="s">
        <v>909</v>
      </c>
      <c r="D10" s="166">
        <v>0</v>
      </c>
      <c r="E10" s="169" t="s">
        <v>938</v>
      </c>
      <c r="F10" s="165" t="s">
        <v>55</v>
      </c>
      <c r="G10" s="165" t="s">
        <v>917</v>
      </c>
      <c r="H10" s="165" t="s">
        <v>340</v>
      </c>
      <c r="I10" s="165" t="s">
        <v>382</v>
      </c>
      <c r="J10" s="165" t="s">
        <v>918</v>
      </c>
      <c r="K10" s="165" t="s">
        <v>388</v>
      </c>
      <c r="L10" s="165" t="s">
        <v>46</v>
      </c>
      <c r="M10" s="165" t="s">
        <v>541</v>
      </c>
      <c r="N10" s="165" t="s">
        <v>919</v>
      </c>
      <c r="O10" s="165" t="s">
        <v>923</v>
      </c>
      <c r="P10" s="165" t="s">
        <v>71</v>
      </c>
    </row>
    <row r="11" spans="1:16">
      <c r="A11" s="165" t="s">
        <v>944</v>
      </c>
      <c r="B11" s="165" t="s">
        <v>945</v>
      </c>
      <c r="C11" s="165" t="s">
        <v>909</v>
      </c>
      <c r="D11" s="166">
        <v>0</v>
      </c>
      <c r="E11" s="169" t="s">
        <v>938</v>
      </c>
      <c r="F11" s="165" t="s">
        <v>226</v>
      </c>
      <c r="G11" s="165" t="s">
        <v>917</v>
      </c>
      <c r="H11" s="165" t="s">
        <v>340</v>
      </c>
      <c r="I11" s="165" t="s">
        <v>382</v>
      </c>
      <c r="J11" s="165" t="s">
        <v>918</v>
      </c>
      <c r="K11" s="165" t="s">
        <v>388</v>
      </c>
      <c r="L11" s="165" t="s">
        <v>46</v>
      </c>
      <c r="M11" s="165" t="s">
        <v>541</v>
      </c>
      <c r="N11" s="165" t="s">
        <v>919</v>
      </c>
      <c r="O11" s="165" t="s">
        <v>946</v>
      </c>
      <c r="P11" s="165" t="s">
        <v>86</v>
      </c>
    </row>
    <row r="12" spans="1:16">
      <c r="A12" s="165" t="s">
        <v>947</v>
      </c>
      <c r="B12" s="165" t="s">
        <v>948</v>
      </c>
      <c r="C12" s="165" t="s">
        <v>909</v>
      </c>
      <c r="D12" s="166">
        <v>0</v>
      </c>
      <c r="E12" s="169" t="s">
        <v>938</v>
      </c>
      <c r="F12" s="165" t="s">
        <v>86</v>
      </c>
      <c r="G12" s="165" t="s">
        <v>917</v>
      </c>
      <c r="H12" s="165" t="s">
        <v>340</v>
      </c>
      <c r="I12" s="165" t="s">
        <v>382</v>
      </c>
      <c r="J12" s="165" t="s">
        <v>918</v>
      </c>
      <c r="K12" s="165" t="s">
        <v>388</v>
      </c>
      <c r="L12" s="165" t="s">
        <v>46</v>
      </c>
      <c r="M12" s="165" t="s">
        <v>541</v>
      </c>
      <c r="N12" s="165" t="s">
        <v>919</v>
      </c>
      <c r="O12" s="165" t="s">
        <v>949</v>
      </c>
      <c r="P12" s="165" t="s">
        <v>86</v>
      </c>
    </row>
    <row r="13" spans="1:16">
      <c r="A13" s="165" t="s">
        <v>950</v>
      </c>
      <c r="B13" s="165" t="s">
        <v>951</v>
      </c>
      <c r="C13" s="165" t="s">
        <v>909</v>
      </c>
      <c r="D13" s="166">
        <v>0</v>
      </c>
      <c r="E13" s="169" t="s">
        <v>938</v>
      </c>
      <c r="F13" s="165" t="s">
        <v>199</v>
      </c>
      <c r="G13" s="165" t="s">
        <v>917</v>
      </c>
      <c r="H13" s="165" t="s">
        <v>340</v>
      </c>
      <c r="I13" s="165" t="s">
        <v>382</v>
      </c>
      <c r="J13" s="165" t="s">
        <v>918</v>
      </c>
      <c r="K13" s="165" t="s">
        <v>388</v>
      </c>
      <c r="L13" s="165" t="s">
        <v>46</v>
      </c>
      <c r="M13" s="165" t="s">
        <v>541</v>
      </c>
      <c r="N13" s="165" t="s">
        <v>919</v>
      </c>
      <c r="O13" s="165" t="s">
        <v>952</v>
      </c>
      <c r="P13" s="165" t="s">
        <v>199</v>
      </c>
    </row>
    <row r="14" spans="1:16">
      <c r="A14" s="165" t="s">
        <v>953</v>
      </c>
      <c r="B14" s="165" t="s">
        <v>954</v>
      </c>
      <c r="C14" s="165" t="s">
        <v>909</v>
      </c>
      <c r="D14" s="166">
        <v>0</v>
      </c>
      <c r="E14" s="169" t="s">
        <v>938</v>
      </c>
      <c r="F14" s="165" t="s">
        <v>121</v>
      </c>
      <c r="G14" s="165" t="s">
        <v>917</v>
      </c>
      <c r="H14" s="165" t="s">
        <v>340</v>
      </c>
      <c r="I14" s="165" t="s">
        <v>382</v>
      </c>
      <c r="J14" s="165" t="s">
        <v>918</v>
      </c>
      <c r="K14" s="165" t="s">
        <v>388</v>
      </c>
      <c r="L14" s="165" t="s">
        <v>46</v>
      </c>
      <c r="M14" s="165" t="s">
        <v>541</v>
      </c>
      <c r="N14" s="165" t="s">
        <v>919</v>
      </c>
      <c r="O14" s="165" t="s">
        <v>955</v>
      </c>
      <c r="P14" s="165" t="s">
        <v>121</v>
      </c>
    </row>
    <row r="15" spans="1:16">
      <c r="A15" s="165" t="s">
        <v>956</v>
      </c>
      <c r="B15" s="165" t="s">
        <v>957</v>
      </c>
      <c r="C15" s="165" t="s">
        <v>909</v>
      </c>
      <c r="D15" s="166">
        <v>0</v>
      </c>
      <c r="E15" s="169" t="s">
        <v>938</v>
      </c>
      <c r="F15" s="165" t="s">
        <v>60</v>
      </c>
      <c r="G15" s="165" t="s">
        <v>917</v>
      </c>
      <c r="H15" s="165" t="s">
        <v>340</v>
      </c>
      <c r="I15" s="165" t="s">
        <v>382</v>
      </c>
      <c r="J15" s="165" t="s">
        <v>918</v>
      </c>
      <c r="K15" s="165" t="s">
        <v>388</v>
      </c>
      <c r="L15" s="165" t="s">
        <v>46</v>
      </c>
      <c r="M15" s="165" t="s">
        <v>541</v>
      </c>
      <c r="N15" s="165" t="s">
        <v>919</v>
      </c>
      <c r="O15" s="165" t="s">
        <v>958</v>
      </c>
      <c r="P15" s="165" t="s">
        <v>60</v>
      </c>
    </row>
    <row r="16" spans="1:16">
      <c r="A16" s="165" t="s">
        <v>959</v>
      </c>
      <c r="B16" s="165" t="s">
        <v>960</v>
      </c>
      <c r="C16" s="165" t="s">
        <v>909</v>
      </c>
      <c r="D16" s="166">
        <v>0</v>
      </c>
      <c r="E16" s="169" t="s">
        <v>938</v>
      </c>
      <c r="F16" s="165" t="s">
        <v>71</v>
      </c>
      <c r="G16" s="165" t="s">
        <v>917</v>
      </c>
      <c r="H16" s="165" t="s">
        <v>340</v>
      </c>
      <c r="I16" s="165" t="s">
        <v>382</v>
      </c>
      <c r="J16" s="165" t="s">
        <v>918</v>
      </c>
      <c r="K16" s="165" t="s">
        <v>388</v>
      </c>
      <c r="L16" s="165" t="s">
        <v>46</v>
      </c>
      <c r="M16" s="165" t="s">
        <v>541</v>
      </c>
      <c r="N16" s="165" t="s">
        <v>919</v>
      </c>
      <c r="O16" s="165" t="s">
        <v>929</v>
      </c>
      <c r="P16" s="165" t="s">
        <v>71</v>
      </c>
    </row>
    <row r="17" spans="1:16">
      <c r="A17" s="165" t="s">
        <v>961</v>
      </c>
      <c r="B17" s="165" t="s">
        <v>962</v>
      </c>
      <c r="C17" s="165" t="s">
        <v>909</v>
      </c>
      <c r="D17" s="166">
        <v>0</v>
      </c>
      <c r="E17" s="169" t="s">
        <v>938</v>
      </c>
      <c r="F17" s="165" t="s">
        <v>277</v>
      </c>
      <c r="G17" s="165" t="s">
        <v>917</v>
      </c>
      <c r="H17" s="165" t="s">
        <v>340</v>
      </c>
      <c r="I17" s="165" t="s">
        <v>382</v>
      </c>
      <c r="J17" s="165" t="s">
        <v>918</v>
      </c>
      <c r="K17" s="165" t="s">
        <v>388</v>
      </c>
      <c r="L17" s="165" t="s">
        <v>46</v>
      </c>
      <c r="M17" s="165" t="s">
        <v>541</v>
      </c>
      <c r="N17" s="165" t="s">
        <v>919</v>
      </c>
      <c r="O17" s="165" t="s">
        <v>932</v>
      </c>
      <c r="P17" s="165" t="s">
        <v>83</v>
      </c>
    </row>
    <row r="18" spans="1:16">
      <c r="A18" s="165" t="s">
        <v>963</v>
      </c>
      <c r="B18" s="165" t="s">
        <v>964</v>
      </c>
      <c r="C18" s="165" t="s">
        <v>909</v>
      </c>
      <c r="D18" s="166">
        <v>0</v>
      </c>
      <c r="E18" s="169" t="s">
        <v>938</v>
      </c>
      <c r="F18" s="165" t="s">
        <v>195</v>
      </c>
      <c r="G18" s="165" t="s">
        <v>917</v>
      </c>
      <c r="H18" s="165" t="s">
        <v>340</v>
      </c>
      <c r="I18" s="165" t="s">
        <v>382</v>
      </c>
      <c r="J18" s="165" t="s">
        <v>918</v>
      </c>
      <c r="K18" s="165" t="s">
        <v>388</v>
      </c>
      <c r="L18" s="165" t="s">
        <v>46</v>
      </c>
      <c r="M18" s="165" t="s">
        <v>541</v>
      </c>
      <c r="N18" s="165" t="s">
        <v>919</v>
      </c>
      <c r="O18" s="165" t="s">
        <v>965</v>
      </c>
      <c r="P18" s="165" t="s">
        <v>195</v>
      </c>
    </row>
    <row r="19" spans="1:16">
      <c r="A19" s="165" t="s">
        <v>966</v>
      </c>
      <c r="B19" s="165" t="s">
        <v>967</v>
      </c>
      <c r="C19" s="165" t="s">
        <v>909</v>
      </c>
      <c r="D19" s="166">
        <v>0</v>
      </c>
      <c r="E19" s="169" t="s">
        <v>938</v>
      </c>
      <c r="F19" s="165" t="s">
        <v>205</v>
      </c>
      <c r="G19" s="165" t="s">
        <v>917</v>
      </c>
      <c r="H19" s="165" t="s">
        <v>340</v>
      </c>
      <c r="I19" s="165" t="s">
        <v>382</v>
      </c>
      <c r="J19" s="165" t="s">
        <v>918</v>
      </c>
      <c r="K19" s="165" t="s">
        <v>388</v>
      </c>
      <c r="L19" s="165" t="s">
        <v>46</v>
      </c>
      <c r="M19" s="165" t="s">
        <v>541</v>
      </c>
      <c r="N19" s="165" t="s">
        <v>919</v>
      </c>
      <c r="O19" s="165" t="s">
        <v>968</v>
      </c>
      <c r="P19" s="165" t="s">
        <v>63</v>
      </c>
    </row>
    <row r="20" spans="1:16">
      <c r="A20" s="165" t="s">
        <v>969</v>
      </c>
      <c r="B20" s="165" t="s">
        <v>970</v>
      </c>
      <c r="C20" s="165" t="s">
        <v>909</v>
      </c>
      <c r="D20" s="166">
        <v>0</v>
      </c>
      <c r="E20" s="169" t="s">
        <v>938</v>
      </c>
      <c r="F20" s="165" t="s">
        <v>231</v>
      </c>
      <c r="G20" s="165" t="s">
        <v>917</v>
      </c>
      <c r="H20" s="165" t="s">
        <v>340</v>
      </c>
      <c r="I20" s="165" t="s">
        <v>382</v>
      </c>
      <c r="J20" s="165" t="s">
        <v>918</v>
      </c>
      <c r="K20" s="165" t="s">
        <v>388</v>
      </c>
      <c r="L20" s="165" t="s">
        <v>46</v>
      </c>
      <c r="M20" s="165" t="s">
        <v>541</v>
      </c>
      <c r="N20" s="165" t="s">
        <v>919</v>
      </c>
      <c r="O20" s="165" t="s">
        <v>935</v>
      </c>
      <c r="P20" s="165" t="s">
        <v>83</v>
      </c>
    </row>
    <row r="21" spans="1:16">
      <c r="A21" s="165" t="s">
        <v>971</v>
      </c>
      <c r="B21" s="165" t="s">
        <v>972</v>
      </c>
      <c r="C21" s="165" t="s">
        <v>909</v>
      </c>
      <c r="D21" s="166">
        <v>0</v>
      </c>
      <c r="E21" s="169" t="s">
        <v>938</v>
      </c>
      <c r="F21" s="165" t="s">
        <v>157</v>
      </c>
      <c r="G21" s="165" t="s">
        <v>917</v>
      </c>
      <c r="H21" s="165" t="s">
        <v>340</v>
      </c>
      <c r="I21" s="165" t="s">
        <v>382</v>
      </c>
      <c r="J21" s="165" t="s">
        <v>918</v>
      </c>
      <c r="K21" s="165" t="s">
        <v>388</v>
      </c>
      <c r="L21" s="165" t="s">
        <v>46</v>
      </c>
      <c r="M21" s="165" t="s">
        <v>541</v>
      </c>
      <c r="N21" s="165" t="s">
        <v>919</v>
      </c>
      <c r="O21" s="165" t="s">
        <v>973</v>
      </c>
      <c r="P21" s="165" t="s">
        <v>65</v>
      </c>
    </row>
    <row r="22" spans="1:16">
      <c r="A22" s="165" t="s">
        <v>974</v>
      </c>
      <c r="B22" s="165" t="s">
        <v>975</v>
      </c>
      <c r="C22" s="165" t="s">
        <v>909</v>
      </c>
      <c r="D22" s="166">
        <v>0</v>
      </c>
      <c r="E22" s="169" t="s">
        <v>976</v>
      </c>
      <c r="F22" s="165" t="s">
        <v>68</v>
      </c>
      <c r="G22" s="165" t="s">
        <v>917</v>
      </c>
      <c r="H22" s="165" t="s">
        <v>340</v>
      </c>
      <c r="I22" s="165" t="s">
        <v>387</v>
      </c>
      <c r="J22" s="165" t="s">
        <v>918</v>
      </c>
      <c r="K22" s="165" t="s">
        <v>388</v>
      </c>
      <c r="L22" s="165" t="s">
        <v>46</v>
      </c>
      <c r="M22" s="165" t="s">
        <v>542</v>
      </c>
      <c r="N22" s="165" t="s">
        <v>919</v>
      </c>
      <c r="O22" s="165" t="s">
        <v>977</v>
      </c>
      <c r="P22" s="165" t="s">
        <v>68</v>
      </c>
    </row>
    <row r="23" spans="1:16">
      <c r="A23" s="165" t="s">
        <v>978</v>
      </c>
      <c r="B23" s="165" t="s">
        <v>979</v>
      </c>
      <c r="C23" s="165" t="s">
        <v>909</v>
      </c>
      <c r="D23" s="166">
        <v>0</v>
      </c>
      <c r="E23" s="169" t="s">
        <v>976</v>
      </c>
      <c r="F23" s="165" t="s">
        <v>78</v>
      </c>
      <c r="G23" s="165" t="s">
        <v>917</v>
      </c>
      <c r="H23" s="165" t="s">
        <v>340</v>
      </c>
      <c r="I23" s="165" t="s">
        <v>382</v>
      </c>
      <c r="J23" s="165" t="s">
        <v>918</v>
      </c>
      <c r="K23" s="165" t="s">
        <v>388</v>
      </c>
      <c r="L23" s="165" t="s">
        <v>46</v>
      </c>
      <c r="M23" s="165" t="s">
        <v>541</v>
      </c>
      <c r="N23" s="165" t="s">
        <v>919</v>
      </c>
      <c r="O23" s="165" t="s">
        <v>920</v>
      </c>
      <c r="P23" s="165" t="s">
        <v>78</v>
      </c>
    </row>
    <row r="24" spans="1:16">
      <c r="A24" s="165" t="s">
        <v>980</v>
      </c>
      <c r="B24" s="165" t="s">
        <v>981</v>
      </c>
      <c r="C24" s="165" t="s">
        <v>909</v>
      </c>
      <c r="D24" s="166">
        <v>0</v>
      </c>
      <c r="E24" s="169" t="s">
        <v>976</v>
      </c>
      <c r="F24" s="165" t="s">
        <v>57</v>
      </c>
      <c r="G24" s="165" t="s">
        <v>917</v>
      </c>
      <c r="H24" s="165" t="s">
        <v>340</v>
      </c>
      <c r="I24" s="165" t="s">
        <v>382</v>
      </c>
      <c r="J24" s="165" t="s">
        <v>918</v>
      </c>
      <c r="K24" s="165" t="s">
        <v>388</v>
      </c>
      <c r="L24" s="165" t="s">
        <v>46</v>
      </c>
      <c r="M24" s="165" t="s">
        <v>541</v>
      </c>
      <c r="N24" s="165" t="s">
        <v>919</v>
      </c>
      <c r="O24" s="165" t="s">
        <v>982</v>
      </c>
      <c r="P24" s="165" t="s">
        <v>57</v>
      </c>
    </row>
    <row r="25" spans="1:16">
      <c r="A25" s="165" t="s">
        <v>983</v>
      </c>
      <c r="B25" s="165" t="s">
        <v>984</v>
      </c>
      <c r="C25" s="165" t="s">
        <v>909</v>
      </c>
      <c r="D25" s="166">
        <v>0</v>
      </c>
      <c r="E25" s="169" t="s">
        <v>976</v>
      </c>
      <c r="F25" s="165" t="s">
        <v>55</v>
      </c>
      <c r="G25" s="165" t="s">
        <v>917</v>
      </c>
      <c r="H25" s="165" t="s">
        <v>340</v>
      </c>
      <c r="I25" s="165" t="s">
        <v>382</v>
      </c>
      <c r="J25" s="165" t="s">
        <v>918</v>
      </c>
      <c r="K25" s="165" t="s">
        <v>388</v>
      </c>
      <c r="L25" s="165" t="s">
        <v>46</v>
      </c>
      <c r="M25" s="165" t="s">
        <v>541</v>
      </c>
      <c r="N25" s="165" t="s">
        <v>919</v>
      </c>
      <c r="O25" s="165" t="s">
        <v>923</v>
      </c>
      <c r="P25" s="165" t="s">
        <v>71</v>
      </c>
    </row>
    <row r="26" spans="1:16">
      <c r="A26" s="165" t="s">
        <v>985</v>
      </c>
      <c r="B26" s="165" t="s">
        <v>986</v>
      </c>
      <c r="C26" s="165" t="s">
        <v>909</v>
      </c>
      <c r="D26" s="166">
        <v>0</v>
      </c>
      <c r="E26" s="169" t="s">
        <v>976</v>
      </c>
      <c r="F26" s="165" t="s">
        <v>86</v>
      </c>
      <c r="G26" s="165" t="s">
        <v>917</v>
      </c>
      <c r="H26" s="165" t="s">
        <v>340</v>
      </c>
      <c r="I26" s="165" t="s">
        <v>382</v>
      </c>
      <c r="J26" s="165" t="s">
        <v>918</v>
      </c>
      <c r="K26" s="165" t="s">
        <v>388</v>
      </c>
      <c r="L26" s="165" t="s">
        <v>46</v>
      </c>
      <c r="M26" s="165" t="s">
        <v>541</v>
      </c>
      <c r="N26" s="165" t="s">
        <v>919</v>
      </c>
      <c r="O26" s="165" t="s">
        <v>949</v>
      </c>
      <c r="P26" s="165" t="s">
        <v>86</v>
      </c>
    </row>
    <row r="27" spans="1:16">
      <c r="A27" s="165" t="s">
        <v>987</v>
      </c>
      <c r="B27" s="165" t="s">
        <v>988</v>
      </c>
      <c r="C27" s="165" t="s">
        <v>909</v>
      </c>
      <c r="D27" s="166">
        <v>0</v>
      </c>
      <c r="E27" s="169" t="s">
        <v>976</v>
      </c>
      <c r="F27" s="165" t="s">
        <v>121</v>
      </c>
      <c r="G27" s="165" t="s">
        <v>917</v>
      </c>
      <c r="H27" s="165" t="s">
        <v>340</v>
      </c>
      <c r="I27" s="165" t="s">
        <v>382</v>
      </c>
      <c r="J27" s="165" t="s">
        <v>918</v>
      </c>
      <c r="K27" s="165" t="s">
        <v>388</v>
      </c>
      <c r="L27" s="165" t="s">
        <v>46</v>
      </c>
      <c r="M27" s="165" t="s">
        <v>541</v>
      </c>
      <c r="N27" s="165" t="s">
        <v>919</v>
      </c>
      <c r="O27" s="165" t="s">
        <v>955</v>
      </c>
      <c r="P27" s="165" t="s">
        <v>121</v>
      </c>
    </row>
    <row r="28" spans="1:16">
      <c r="A28" s="165" t="s">
        <v>989</v>
      </c>
      <c r="B28" s="165" t="s">
        <v>990</v>
      </c>
      <c r="C28" s="165" t="s">
        <v>909</v>
      </c>
      <c r="D28" s="166">
        <v>0</v>
      </c>
      <c r="E28" s="169" t="s">
        <v>976</v>
      </c>
      <c r="F28" s="165" t="s">
        <v>53</v>
      </c>
      <c r="G28" s="165" t="s">
        <v>917</v>
      </c>
      <c r="H28" s="165" t="s">
        <v>340</v>
      </c>
      <c r="I28" s="165" t="s">
        <v>382</v>
      </c>
      <c r="J28" s="165" t="s">
        <v>918</v>
      </c>
      <c r="K28" s="165" t="s">
        <v>388</v>
      </c>
      <c r="L28" s="165" t="s">
        <v>46</v>
      </c>
      <c r="M28" s="165" t="s">
        <v>541</v>
      </c>
      <c r="N28" s="165" t="s">
        <v>919</v>
      </c>
      <c r="O28" s="165" t="s">
        <v>926</v>
      </c>
      <c r="P28" s="165" t="s">
        <v>53</v>
      </c>
    </row>
    <row r="29" spans="1:16">
      <c r="A29" s="165" t="s">
        <v>991</v>
      </c>
      <c r="B29" s="165" t="s">
        <v>992</v>
      </c>
      <c r="C29" s="165" t="s">
        <v>909</v>
      </c>
      <c r="D29" s="166">
        <v>0</v>
      </c>
      <c r="E29" s="169" t="s">
        <v>976</v>
      </c>
      <c r="F29" s="165" t="s">
        <v>71</v>
      </c>
      <c r="G29" s="165" t="s">
        <v>917</v>
      </c>
      <c r="H29" s="165" t="s">
        <v>340</v>
      </c>
      <c r="I29" s="165" t="s">
        <v>382</v>
      </c>
      <c r="J29" s="165" t="s">
        <v>918</v>
      </c>
      <c r="K29" s="165" t="s">
        <v>388</v>
      </c>
      <c r="L29" s="165" t="s">
        <v>46</v>
      </c>
      <c r="M29" s="165" t="s">
        <v>541</v>
      </c>
      <c r="N29" s="165" t="s">
        <v>919</v>
      </c>
      <c r="O29" s="165" t="s">
        <v>929</v>
      </c>
      <c r="P29" s="165" t="s">
        <v>71</v>
      </c>
    </row>
    <row r="30" spans="1:16">
      <c r="A30" s="165" t="s">
        <v>993</v>
      </c>
      <c r="B30" s="165" t="s">
        <v>994</v>
      </c>
      <c r="C30" s="165" t="s">
        <v>909</v>
      </c>
      <c r="D30" s="166">
        <v>0</v>
      </c>
      <c r="E30" s="169" t="s">
        <v>976</v>
      </c>
      <c r="F30" s="165" t="s">
        <v>277</v>
      </c>
      <c r="G30" s="165" t="s">
        <v>917</v>
      </c>
      <c r="H30" s="165" t="s">
        <v>340</v>
      </c>
      <c r="I30" s="165" t="s">
        <v>382</v>
      </c>
      <c r="J30" s="165" t="s">
        <v>918</v>
      </c>
      <c r="K30" s="165" t="s">
        <v>388</v>
      </c>
      <c r="L30" s="165" t="s">
        <v>46</v>
      </c>
      <c r="M30" s="165" t="s">
        <v>541</v>
      </c>
      <c r="N30" s="165" t="s">
        <v>919</v>
      </c>
      <c r="O30" s="165" t="s">
        <v>932</v>
      </c>
      <c r="P30" s="165" t="s">
        <v>83</v>
      </c>
    </row>
    <row r="31" spans="1:16">
      <c r="A31" s="165" t="s">
        <v>995</v>
      </c>
      <c r="B31" s="165" t="s">
        <v>996</v>
      </c>
      <c r="C31" s="165" t="s">
        <v>909</v>
      </c>
      <c r="D31" s="166">
        <v>0</v>
      </c>
      <c r="E31" s="169" t="s">
        <v>976</v>
      </c>
      <c r="F31" s="165" t="s">
        <v>195</v>
      </c>
      <c r="G31" s="165" t="s">
        <v>917</v>
      </c>
      <c r="H31" s="165" t="s">
        <v>340</v>
      </c>
      <c r="I31" s="165" t="s">
        <v>382</v>
      </c>
      <c r="J31" s="165" t="s">
        <v>918</v>
      </c>
      <c r="K31" s="165" t="s">
        <v>388</v>
      </c>
      <c r="L31" s="165" t="s">
        <v>46</v>
      </c>
      <c r="M31" s="165" t="s">
        <v>541</v>
      </c>
      <c r="N31" s="165" t="s">
        <v>919</v>
      </c>
      <c r="O31" s="165" t="s">
        <v>965</v>
      </c>
      <c r="P31" s="165" t="s">
        <v>195</v>
      </c>
    </row>
    <row r="32" spans="1:16">
      <c r="A32" s="165" t="s">
        <v>997</v>
      </c>
      <c r="B32" s="165" t="s">
        <v>998</v>
      </c>
      <c r="C32" s="165" t="s">
        <v>909</v>
      </c>
      <c r="D32" s="166">
        <v>0</v>
      </c>
      <c r="E32" s="169" t="s">
        <v>976</v>
      </c>
      <c r="F32" s="165" t="s">
        <v>231</v>
      </c>
      <c r="G32" s="165" t="s">
        <v>917</v>
      </c>
      <c r="H32" s="165" t="s">
        <v>340</v>
      </c>
      <c r="I32" s="165" t="s">
        <v>382</v>
      </c>
      <c r="J32" s="165" t="s">
        <v>918</v>
      </c>
      <c r="K32" s="165" t="s">
        <v>388</v>
      </c>
      <c r="L32" s="165" t="s">
        <v>46</v>
      </c>
      <c r="M32" s="165" t="s">
        <v>541</v>
      </c>
      <c r="N32" s="165" t="s">
        <v>919</v>
      </c>
      <c r="O32" s="165" t="s">
        <v>935</v>
      </c>
      <c r="P32" s="165" t="s">
        <v>83</v>
      </c>
    </row>
    <row r="33" spans="1:16">
      <c r="A33" s="165" t="s">
        <v>999</v>
      </c>
      <c r="B33" s="165" t="s">
        <v>1000</v>
      </c>
      <c r="C33" s="165" t="s">
        <v>909</v>
      </c>
      <c r="D33" s="166">
        <v>0</v>
      </c>
      <c r="E33" s="169" t="s">
        <v>976</v>
      </c>
      <c r="F33" s="165" t="s">
        <v>157</v>
      </c>
      <c r="G33" s="165" t="s">
        <v>917</v>
      </c>
      <c r="H33" s="165" t="s">
        <v>340</v>
      </c>
      <c r="I33" s="165" t="s">
        <v>382</v>
      </c>
      <c r="J33" s="165" t="s">
        <v>918</v>
      </c>
      <c r="K33" s="165" t="s">
        <v>388</v>
      </c>
      <c r="L33" s="165" t="s">
        <v>46</v>
      </c>
      <c r="M33" s="165" t="s">
        <v>542</v>
      </c>
      <c r="N33" s="165" t="s">
        <v>919</v>
      </c>
      <c r="O33" s="165" t="s">
        <v>973</v>
      </c>
      <c r="P33" s="165" t="s">
        <v>65</v>
      </c>
    </row>
    <row r="34" spans="1:16">
      <c r="A34" s="165" t="s">
        <v>1001</v>
      </c>
      <c r="B34" s="165" t="s">
        <v>1002</v>
      </c>
      <c r="C34" s="165" t="s">
        <v>909</v>
      </c>
      <c r="D34" s="166">
        <v>0</v>
      </c>
      <c r="E34" s="170">
        <v>6606</v>
      </c>
      <c r="F34" s="165" t="s">
        <v>60</v>
      </c>
      <c r="G34" s="165" t="s">
        <v>1003</v>
      </c>
      <c r="H34" s="165" t="s">
        <v>356</v>
      </c>
      <c r="I34" s="165" t="s">
        <v>382</v>
      </c>
      <c r="J34" s="165" t="s">
        <v>918</v>
      </c>
      <c r="K34" s="165" t="s">
        <v>388</v>
      </c>
      <c r="L34" s="165" t="s">
        <v>43</v>
      </c>
      <c r="M34" s="165" t="s">
        <v>541</v>
      </c>
      <c r="N34" s="165" t="s">
        <v>919</v>
      </c>
      <c r="O34" s="165" t="s">
        <v>1004</v>
      </c>
      <c r="P34" s="165" t="s">
        <v>60</v>
      </c>
    </row>
    <row r="35" spans="1:16">
      <c r="A35" s="165" t="s">
        <v>1005</v>
      </c>
      <c r="B35" s="165" t="s">
        <v>1006</v>
      </c>
      <c r="C35" s="165" t="s">
        <v>909</v>
      </c>
      <c r="D35" s="166">
        <v>0</v>
      </c>
      <c r="E35" s="170">
        <v>6606</v>
      </c>
      <c r="F35" s="165" t="s">
        <v>53</v>
      </c>
      <c r="G35" s="165" t="s">
        <v>1003</v>
      </c>
      <c r="H35" s="165" t="s">
        <v>356</v>
      </c>
      <c r="I35" s="165" t="s">
        <v>382</v>
      </c>
      <c r="J35" s="165" t="s">
        <v>918</v>
      </c>
      <c r="K35" s="165" t="s">
        <v>388</v>
      </c>
      <c r="L35" s="165" t="s">
        <v>43</v>
      </c>
      <c r="M35" s="165" t="s">
        <v>541</v>
      </c>
      <c r="N35" s="165" t="s">
        <v>919</v>
      </c>
      <c r="O35" s="165" t="s">
        <v>926</v>
      </c>
      <c r="P35" s="165" t="s">
        <v>53</v>
      </c>
    </row>
    <row r="36" spans="1:16">
      <c r="A36" s="165" t="s">
        <v>1007</v>
      </c>
      <c r="B36" s="165" t="s">
        <v>1008</v>
      </c>
      <c r="C36" s="165" t="s">
        <v>1009</v>
      </c>
      <c r="D36" s="167">
        <v>56</v>
      </c>
      <c r="E36" s="170">
        <v>6533</v>
      </c>
      <c r="F36" s="165" t="s">
        <v>286</v>
      </c>
      <c r="G36" s="165" t="s">
        <v>1010</v>
      </c>
      <c r="H36" s="165" t="s">
        <v>356</v>
      </c>
      <c r="I36" s="165" t="s">
        <v>382</v>
      </c>
      <c r="J36" s="165" t="s">
        <v>918</v>
      </c>
      <c r="K36" s="165" t="s">
        <v>388</v>
      </c>
      <c r="L36" s="165"/>
      <c r="M36" s="165" t="s">
        <v>541</v>
      </c>
      <c r="N36" s="165" t="s">
        <v>919</v>
      </c>
      <c r="O36" s="165" t="s">
        <v>1011</v>
      </c>
      <c r="P36" s="165" t="s">
        <v>286</v>
      </c>
    </row>
    <row r="37" spans="1:16">
      <c r="A37" s="165" t="s">
        <v>1012</v>
      </c>
      <c r="B37" s="165" t="s">
        <v>1013</v>
      </c>
      <c r="C37" s="165" t="s">
        <v>1014</v>
      </c>
      <c r="D37" s="167">
        <v>60</v>
      </c>
      <c r="E37" s="170">
        <v>6533</v>
      </c>
      <c r="F37" s="165" t="s">
        <v>121</v>
      </c>
      <c r="G37" s="165" t="s">
        <v>1010</v>
      </c>
      <c r="H37" s="165" t="s">
        <v>356</v>
      </c>
      <c r="I37" s="165" t="s">
        <v>382</v>
      </c>
      <c r="J37" s="165" t="s">
        <v>918</v>
      </c>
      <c r="K37" s="165" t="s">
        <v>388</v>
      </c>
      <c r="L37" s="165"/>
      <c r="M37" s="165" t="s">
        <v>541</v>
      </c>
      <c r="N37" s="165" t="s">
        <v>919</v>
      </c>
      <c r="O37" s="165" t="s">
        <v>955</v>
      </c>
      <c r="P37" s="165" t="s">
        <v>121</v>
      </c>
    </row>
    <row r="38" spans="1:16">
      <c r="A38" s="165" t="s">
        <v>1015</v>
      </c>
      <c r="B38" s="165" t="s">
        <v>1013</v>
      </c>
      <c r="C38" s="165" t="s">
        <v>1009</v>
      </c>
      <c r="D38" s="167">
        <v>56</v>
      </c>
      <c r="E38" s="170">
        <v>6533</v>
      </c>
      <c r="F38" s="165" t="s">
        <v>121</v>
      </c>
      <c r="G38" s="165" t="s">
        <v>1010</v>
      </c>
      <c r="H38" s="165" t="s">
        <v>356</v>
      </c>
      <c r="I38" s="165" t="s">
        <v>382</v>
      </c>
      <c r="J38" s="165" t="s">
        <v>918</v>
      </c>
      <c r="K38" s="165" t="s">
        <v>388</v>
      </c>
      <c r="L38" s="165"/>
      <c r="M38" s="165" t="s">
        <v>541</v>
      </c>
      <c r="N38" s="165" t="s">
        <v>919</v>
      </c>
      <c r="O38" s="165" t="s">
        <v>955</v>
      </c>
      <c r="P38" s="165" t="s">
        <v>121</v>
      </c>
    </row>
    <row r="39" spans="1:16">
      <c r="A39" s="165" t="s">
        <v>1016</v>
      </c>
      <c r="B39" s="165" t="s">
        <v>1017</v>
      </c>
      <c r="C39" s="165" t="s">
        <v>1014</v>
      </c>
      <c r="D39" s="167">
        <v>60</v>
      </c>
      <c r="E39" s="170">
        <v>6533</v>
      </c>
      <c r="F39" s="165" t="s">
        <v>277</v>
      </c>
      <c r="G39" s="165" t="s">
        <v>1010</v>
      </c>
      <c r="H39" s="165" t="s">
        <v>356</v>
      </c>
      <c r="I39" s="165" t="s">
        <v>382</v>
      </c>
      <c r="J39" s="165" t="s">
        <v>918</v>
      </c>
      <c r="K39" s="165" t="s">
        <v>388</v>
      </c>
      <c r="L39" s="165"/>
      <c r="M39" s="165" t="s">
        <v>541</v>
      </c>
      <c r="N39" s="165" t="s">
        <v>919</v>
      </c>
      <c r="O39" s="165" t="s">
        <v>932</v>
      </c>
      <c r="P39" s="165" t="s">
        <v>83</v>
      </c>
    </row>
    <row r="40" spans="1:16">
      <c r="A40" s="165" t="s">
        <v>1018</v>
      </c>
      <c r="B40" s="165" t="s">
        <v>1017</v>
      </c>
      <c r="C40" s="165" t="s">
        <v>1009</v>
      </c>
      <c r="D40" s="167">
        <v>56</v>
      </c>
      <c r="E40" s="170">
        <v>6533</v>
      </c>
      <c r="F40" s="165" t="s">
        <v>277</v>
      </c>
      <c r="G40" s="165" t="s">
        <v>1010</v>
      </c>
      <c r="H40" s="165" t="s">
        <v>356</v>
      </c>
      <c r="I40" s="165" t="s">
        <v>382</v>
      </c>
      <c r="J40" s="165" t="s">
        <v>918</v>
      </c>
      <c r="K40" s="165" t="s">
        <v>388</v>
      </c>
      <c r="L40" s="165"/>
      <c r="M40" s="165" t="s">
        <v>541</v>
      </c>
      <c r="N40" s="165" t="s">
        <v>919</v>
      </c>
      <c r="O40" s="165" t="s">
        <v>932</v>
      </c>
      <c r="P40" s="165" t="s">
        <v>83</v>
      </c>
    </row>
    <row r="41" spans="1:16">
      <c r="A41" s="165" t="s">
        <v>1019</v>
      </c>
      <c r="B41" s="165" t="s">
        <v>1020</v>
      </c>
      <c r="C41" s="165" t="s">
        <v>1009</v>
      </c>
      <c r="D41" s="167">
        <v>56</v>
      </c>
      <c r="E41" s="170">
        <v>6511</v>
      </c>
      <c r="F41" s="165" t="s">
        <v>86</v>
      </c>
      <c r="G41" s="165" t="s">
        <v>1021</v>
      </c>
      <c r="H41" s="165" t="s">
        <v>356</v>
      </c>
      <c r="I41" s="165" t="s">
        <v>382</v>
      </c>
      <c r="J41" s="165" t="s">
        <v>918</v>
      </c>
      <c r="K41" s="165" t="s">
        <v>388</v>
      </c>
      <c r="L41" s="165"/>
      <c r="M41" s="165" t="s">
        <v>541</v>
      </c>
      <c r="N41" s="165" t="s">
        <v>919</v>
      </c>
      <c r="O41" s="165" t="s">
        <v>949</v>
      </c>
      <c r="P41" s="165" t="s">
        <v>86</v>
      </c>
    </row>
    <row r="42" spans="1:16">
      <c r="A42" s="165" t="s">
        <v>1022</v>
      </c>
      <c r="B42" s="165" t="s">
        <v>1023</v>
      </c>
      <c r="C42" s="165" t="s">
        <v>909</v>
      </c>
      <c r="D42" s="166">
        <v>0</v>
      </c>
      <c r="E42" s="170">
        <v>6320</v>
      </c>
      <c r="F42" s="165" t="s">
        <v>78</v>
      </c>
      <c r="G42" s="165" t="s">
        <v>911</v>
      </c>
      <c r="H42" s="165" t="s">
        <v>356</v>
      </c>
      <c r="I42" s="165" t="s">
        <v>382</v>
      </c>
      <c r="J42" s="165" t="s">
        <v>918</v>
      </c>
      <c r="K42" s="165" t="s">
        <v>388</v>
      </c>
      <c r="L42" s="165"/>
      <c r="M42" s="165" t="s">
        <v>541</v>
      </c>
      <c r="N42" s="165" t="s">
        <v>919</v>
      </c>
      <c r="O42" s="165" t="s">
        <v>920</v>
      </c>
      <c r="P42" s="165" t="s">
        <v>78</v>
      </c>
    </row>
    <row r="43" spans="1:16">
      <c r="A43" s="165" t="s">
        <v>1024</v>
      </c>
      <c r="B43" s="165" t="s">
        <v>1025</v>
      </c>
      <c r="C43" s="165" t="s">
        <v>909</v>
      </c>
      <c r="D43" s="166">
        <v>0</v>
      </c>
      <c r="E43" s="170">
        <v>6320</v>
      </c>
      <c r="F43" s="165" t="s">
        <v>71</v>
      </c>
      <c r="G43" s="165" t="s">
        <v>911</v>
      </c>
      <c r="H43" s="165" t="s">
        <v>356</v>
      </c>
      <c r="I43" s="165" t="s">
        <v>382</v>
      </c>
      <c r="J43" s="165" t="s">
        <v>918</v>
      </c>
      <c r="K43" s="165" t="s">
        <v>388</v>
      </c>
      <c r="L43" s="165"/>
      <c r="M43" s="165" t="s">
        <v>541</v>
      </c>
      <c r="N43" s="165" t="s">
        <v>919</v>
      </c>
      <c r="O43" s="165" t="s">
        <v>929</v>
      </c>
      <c r="P43" s="165" t="s">
        <v>71</v>
      </c>
    </row>
    <row r="44" spans="1:16">
      <c r="A44" s="165" t="s">
        <v>1026</v>
      </c>
      <c r="B44" s="165" t="s">
        <v>1027</v>
      </c>
      <c r="C44" s="165" t="s">
        <v>1014</v>
      </c>
      <c r="D44" s="167">
        <v>60</v>
      </c>
      <c r="E44" s="170">
        <v>6277</v>
      </c>
      <c r="F44" s="165" t="s">
        <v>86</v>
      </c>
      <c r="G44" s="165" t="s">
        <v>1028</v>
      </c>
      <c r="H44" s="165" t="s">
        <v>327</v>
      </c>
      <c r="I44" s="165" t="s">
        <v>382</v>
      </c>
      <c r="J44" s="165" t="s">
        <v>918</v>
      </c>
      <c r="K44" s="165" t="s">
        <v>388</v>
      </c>
      <c r="L44" s="165"/>
      <c r="M44" s="165" t="s">
        <v>541</v>
      </c>
      <c r="N44" s="165" t="s">
        <v>919</v>
      </c>
      <c r="O44" s="165" t="s">
        <v>949</v>
      </c>
      <c r="P44" s="165" t="s">
        <v>86</v>
      </c>
    </row>
    <row r="45" spans="1:16">
      <c r="A45" s="165" t="s">
        <v>1029</v>
      </c>
      <c r="B45" s="165" t="s">
        <v>1027</v>
      </c>
      <c r="C45" s="165" t="s">
        <v>1009</v>
      </c>
      <c r="D45" s="167">
        <v>56</v>
      </c>
      <c r="E45" s="170">
        <v>6277</v>
      </c>
      <c r="F45" s="165" t="s">
        <v>86</v>
      </c>
      <c r="G45" s="165" t="s">
        <v>1028</v>
      </c>
      <c r="H45" s="165" t="s">
        <v>327</v>
      </c>
      <c r="I45" s="165" t="s">
        <v>382</v>
      </c>
      <c r="J45" s="165" t="s">
        <v>918</v>
      </c>
      <c r="K45" s="165" t="s">
        <v>388</v>
      </c>
      <c r="L45" s="165"/>
      <c r="M45" s="165" t="s">
        <v>541</v>
      </c>
      <c r="N45" s="165" t="s">
        <v>919</v>
      </c>
      <c r="O45" s="165" t="s">
        <v>949</v>
      </c>
      <c r="P45" s="165" t="s">
        <v>86</v>
      </c>
    </row>
    <row r="46" spans="1:16">
      <c r="A46" s="165" t="s">
        <v>1030</v>
      </c>
      <c r="B46" s="165" t="s">
        <v>1031</v>
      </c>
      <c r="C46" s="165" t="s">
        <v>1014</v>
      </c>
      <c r="D46" s="167">
        <v>60</v>
      </c>
      <c r="E46" s="170">
        <v>6277</v>
      </c>
      <c r="F46" s="165" t="s">
        <v>157</v>
      </c>
      <c r="G46" s="165" t="s">
        <v>1028</v>
      </c>
      <c r="H46" s="165" t="s">
        <v>327</v>
      </c>
      <c r="I46" s="165" t="s">
        <v>382</v>
      </c>
      <c r="J46" s="165" t="s">
        <v>918</v>
      </c>
      <c r="K46" s="165" t="s">
        <v>388</v>
      </c>
      <c r="L46" s="165"/>
      <c r="M46" s="165" t="s">
        <v>541</v>
      </c>
      <c r="N46" s="165" t="s">
        <v>919</v>
      </c>
      <c r="O46" s="165" t="s">
        <v>973</v>
      </c>
      <c r="P46" s="165" t="s">
        <v>65</v>
      </c>
    </row>
    <row r="47" spans="1:16">
      <c r="A47" s="165" t="s">
        <v>1032</v>
      </c>
      <c r="B47" s="165" t="s">
        <v>1031</v>
      </c>
      <c r="C47" s="165" t="s">
        <v>1009</v>
      </c>
      <c r="D47" s="167">
        <v>56</v>
      </c>
      <c r="E47" s="170">
        <v>6277</v>
      </c>
      <c r="F47" s="165" t="s">
        <v>157</v>
      </c>
      <c r="G47" s="165" t="s">
        <v>1028</v>
      </c>
      <c r="H47" s="165" t="s">
        <v>327</v>
      </c>
      <c r="I47" s="165" t="s">
        <v>382</v>
      </c>
      <c r="J47" s="165" t="s">
        <v>918</v>
      </c>
      <c r="K47" s="165" t="s">
        <v>388</v>
      </c>
      <c r="L47" s="165"/>
      <c r="M47" s="165" t="s">
        <v>541</v>
      </c>
      <c r="N47" s="165" t="s">
        <v>919</v>
      </c>
      <c r="O47" s="165" t="s">
        <v>973</v>
      </c>
      <c r="P47" s="165" t="s">
        <v>65</v>
      </c>
    </row>
    <row r="48" spans="1:16">
      <c r="A48" s="165" t="s">
        <v>1033</v>
      </c>
      <c r="B48" s="165" t="s">
        <v>1034</v>
      </c>
      <c r="C48" s="165" t="s">
        <v>909</v>
      </c>
      <c r="D48" s="166">
        <v>0</v>
      </c>
      <c r="E48" s="169" t="s">
        <v>1035</v>
      </c>
      <c r="F48" s="165" t="s">
        <v>845</v>
      </c>
      <c r="G48" s="165" t="s">
        <v>912</v>
      </c>
      <c r="H48" s="165" t="s">
        <v>783</v>
      </c>
      <c r="I48" s="165" t="s">
        <v>382</v>
      </c>
      <c r="J48" s="165" t="s">
        <v>918</v>
      </c>
      <c r="K48" s="165" t="s">
        <v>388</v>
      </c>
      <c r="L48" s="165"/>
      <c r="M48" s="165" t="s">
        <v>541</v>
      </c>
      <c r="N48" s="165" t="s">
        <v>919</v>
      </c>
      <c r="O48" s="165" t="s">
        <v>1036</v>
      </c>
      <c r="P48" s="165" t="s">
        <v>60</v>
      </c>
    </row>
    <row r="49" spans="1:16">
      <c r="A49" s="165" t="s">
        <v>1037</v>
      </c>
      <c r="B49" s="165" t="s">
        <v>1038</v>
      </c>
      <c r="C49" s="165" t="s">
        <v>909</v>
      </c>
      <c r="D49" s="166">
        <v>0</v>
      </c>
      <c r="E49" s="169" t="s">
        <v>1039</v>
      </c>
      <c r="F49" s="165" t="s">
        <v>302</v>
      </c>
      <c r="G49" s="165" t="s">
        <v>1040</v>
      </c>
      <c r="H49" s="165" t="s">
        <v>783</v>
      </c>
      <c r="I49" s="165" t="s">
        <v>382</v>
      </c>
      <c r="J49" s="165" t="s">
        <v>918</v>
      </c>
      <c r="K49" s="165" t="s">
        <v>388</v>
      </c>
      <c r="L49" s="165" t="s">
        <v>46</v>
      </c>
      <c r="M49" s="165" t="s">
        <v>541</v>
      </c>
      <c r="N49" s="165" t="s">
        <v>919</v>
      </c>
      <c r="O49" s="165" t="s">
        <v>1041</v>
      </c>
      <c r="P49" s="165" t="s">
        <v>53</v>
      </c>
    </row>
    <row r="50" spans="1:16">
      <c r="A50" s="165" t="s">
        <v>1042</v>
      </c>
      <c r="B50" s="165" t="s">
        <v>1043</v>
      </c>
      <c r="C50" s="165" t="s">
        <v>909</v>
      </c>
      <c r="D50" s="166">
        <v>0</v>
      </c>
      <c r="E50" s="169" t="s">
        <v>1039</v>
      </c>
      <c r="F50" s="165" t="s">
        <v>592</v>
      </c>
      <c r="G50" s="165" t="s">
        <v>1040</v>
      </c>
      <c r="H50" s="165" t="s">
        <v>783</v>
      </c>
      <c r="I50" s="165" t="s">
        <v>382</v>
      </c>
      <c r="J50" s="165" t="s">
        <v>918</v>
      </c>
      <c r="K50" s="165" t="s">
        <v>388</v>
      </c>
      <c r="L50" s="165" t="s">
        <v>46</v>
      </c>
      <c r="M50" s="165" t="s">
        <v>541</v>
      </c>
      <c r="N50" s="165" t="s">
        <v>855</v>
      </c>
      <c r="O50" s="165" t="s">
        <v>1044</v>
      </c>
      <c r="P50" s="165" t="s">
        <v>71</v>
      </c>
    </row>
    <row r="51" spans="1:16">
      <c r="A51" s="165" t="s">
        <v>1045</v>
      </c>
      <c r="B51" s="165" t="s">
        <v>1046</v>
      </c>
      <c r="C51" s="165" t="s">
        <v>909</v>
      </c>
      <c r="D51" s="166">
        <v>0</v>
      </c>
      <c r="E51" s="169" t="s">
        <v>1039</v>
      </c>
      <c r="F51" s="165" t="s">
        <v>254</v>
      </c>
      <c r="G51" s="165" t="s">
        <v>1040</v>
      </c>
      <c r="H51" s="165" t="s">
        <v>783</v>
      </c>
      <c r="I51" s="165" t="s">
        <v>382</v>
      </c>
      <c r="J51" s="165" t="s">
        <v>918</v>
      </c>
      <c r="K51" s="165" t="s">
        <v>388</v>
      </c>
      <c r="L51" s="165" t="s">
        <v>46</v>
      </c>
      <c r="M51" s="165" t="s">
        <v>541</v>
      </c>
      <c r="N51" s="165" t="s">
        <v>919</v>
      </c>
      <c r="O51" s="165" t="s">
        <v>1047</v>
      </c>
      <c r="P51" s="165" t="s">
        <v>71</v>
      </c>
    </row>
    <row r="52" spans="1:16">
      <c r="A52" s="165" t="s">
        <v>1048</v>
      </c>
      <c r="B52" s="165" t="s">
        <v>1049</v>
      </c>
      <c r="C52" s="165" t="s">
        <v>909</v>
      </c>
      <c r="D52" s="166">
        <v>0</v>
      </c>
      <c r="E52" s="169" t="s">
        <v>1039</v>
      </c>
      <c r="F52" s="165" t="s">
        <v>853</v>
      </c>
      <c r="G52" s="165" t="s">
        <v>1040</v>
      </c>
      <c r="H52" s="165" t="s">
        <v>783</v>
      </c>
      <c r="I52" s="165" t="s">
        <v>382</v>
      </c>
      <c r="J52" s="165" t="s">
        <v>918</v>
      </c>
      <c r="K52" s="165" t="s">
        <v>388</v>
      </c>
      <c r="L52" s="165" t="s">
        <v>46</v>
      </c>
      <c r="M52" s="165" t="s">
        <v>541</v>
      </c>
      <c r="N52" s="165" t="s">
        <v>919</v>
      </c>
      <c r="O52" s="165" t="s">
        <v>1050</v>
      </c>
      <c r="P52" s="165" t="s">
        <v>83</v>
      </c>
    </row>
    <row r="53" spans="1:16">
      <c r="A53" s="165" t="s">
        <v>1051</v>
      </c>
      <c r="B53" s="165" t="s">
        <v>1052</v>
      </c>
      <c r="C53" s="165" t="s">
        <v>909</v>
      </c>
      <c r="D53" s="166">
        <v>0</v>
      </c>
      <c r="E53" s="169" t="s">
        <v>1039</v>
      </c>
      <c r="F53" s="165" t="s">
        <v>308</v>
      </c>
      <c r="G53" s="165" t="s">
        <v>1040</v>
      </c>
      <c r="H53" s="165" t="s">
        <v>783</v>
      </c>
      <c r="I53" s="165" t="s">
        <v>382</v>
      </c>
      <c r="J53" s="165" t="s">
        <v>918</v>
      </c>
      <c r="K53" s="165" t="s">
        <v>388</v>
      </c>
      <c r="L53" s="165" t="s">
        <v>46</v>
      </c>
      <c r="M53" s="165" t="s">
        <v>541</v>
      </c>
      <c r="N53" s="165" t="s">
        <v>919</v>
      </c>
      <c r="O53" s="165" t="s">
        <v>1053</v>
      </c>
      <c r="P53" s="165" t="s">
        <v>53</v>
      </c>
    </row>
    <row r="54" spans="1:16">
      <c r="A54" s="165" t="s">
        <v>1054</v>
      </c>
      <c r="B54" s="165" t="s">
        <v>1055</v>
      </c>
      <c r="C54" s="165" t="s">
        <v>909</v>
      </c>
      <c r="D54" s="166">
        <v>0</v>
      </c>
      <c r="E54" s="169" t="s">
        <v>1039</v>
      </c>
      <c r="F54" s="165" t="s">
        <v>246</v>
      </c>
      <c r="G54" s="165" t="s">
        <v>1040</v>
      </c>
      <c r="H54" s="165" t="s">
        <v>783</v>
      </c>
      <c r="I54" s="165" t="s">
        <v>382</v>
      </c>
      <c r="J54" s="165" t="s">
        <v>918</v>
      </c>
      <c r="K54" s="165" t="s">
        <v>388</v>
      </c>
      <c r="L54" s="165" t="s">
        <v>46</v>
      </c>
      <c r="M54" s="165" t="s">
        <v>541</v>
      </c>
      <c r="N54" s="165" t="s">
        <v>919</v>
      </c>
      <c r="O54" s="165" t="s">
        <v>1056</v>
      </c>
      <c r="P54" s="165" t="s">
        <v>83</v>
      </c>
    </row>
    <row r="55" spans="1:16">
      <c r="A55" s="165" t="s">
        <v>1057</v>
      </c>
      <c r="B55" s="165" t="s">
        <v>1058</v>
      </c>
      <c r="C55" s="165" t="s">
        <v>909</v>
      </c>
      <c r="D55" s="166">
        <v>0</v>
      </c>
      <c r="E55" s="169" t="s">
        <v>1039</v>
      </c>
      <c r="F55" s="165" t="s">
        <v>241</v>
      </c>
      <c r="G55" s="165" t="s">
        <v>1040</v>
      </c>
      <c r="H55" s="165" t="s">
        <v>783</v>
      </c>
      <c r="I55" s="165" t="s">
        <v>382</v>
      </c>
      <c r="J55" s="165" t="s">
        <v>918</v>
      </c>
      <c r="K55" s="165" t="s">
        <v>388</v>
      </c>
      <c r="L55" s="165" t="s">
        <v>46</v>
      </c>
      <c r="M55" s="165" t="s">
        <v>541</v>
      </c>
      <c r="N55" s="165" t="s">
        <v>855</v>
      </c>
      <c r="O55" s="165" t="s">
        <v>1059</v>
      </c>
      <c r="P55" s="165" t="s">
        <v>83</v>
      </c>
    </row>
    <row r="56" spans="1:16">
      <c r="A56" s="165" t="s">
        <v>1060</v>
      </c>
      <c r="B56" s="165" t="s">
        <v>1061</v>
      </c>
      <c r="C56" s="165" t="s">
        <v>909</v>
      </c>
      <c r="D56" s="166">
        <v>0</v>
      </c>
      <c r="E56" s="169" t="s">
        <v>1062</v>
      </c>
      <c r="F56" s="165" t="s">
        <v>158</v>
      </c>
      <c r="G56" s="165" t="s">
        <v>1063</v>
      </c>
      <c r="H56" s="165" t="s">
        <v>783</v>
      </c>
      <c r="I56" s="165" t="s">
        <v>382</v>
      </c>
      <c r="J56" s="165" t="s">
        <v>918</v>
      </c>
      <c r="K56" s="165" t="s">
        <v>388</v>
      </c>
      <c r="L56" s="165" t="s">
        <v>43</v>
      </c>
      <c r="M56" s="165" t="s">
        <v>541</v>
      </c>
      <c r="N56" s="165" t="s">
        <v>919</v>
      </c>
      <c r="O56" s="165" t="s">
        <v>1064</v>
      </c>
      <c r="P56" s="165" t="s">
        <v>60</v>
      </c>
    </row>
    <row r="57" spans="1:16">
      <c r="A57" s="165" t="s">
        <v>1065</v>
      </c>
      <c r="B57" s="165" t="s">
        <v>1066</v>
      </c>
      <c r="C57" s="165" t="s">
        <v>909</v>
      </c>
      <c r="D57" s="166">
        <v>0</v>
      </c>
      <c r="E57" s="169" t="s">
        <v>1067</v>
      </c>
      <c r="F57" s="165" t="s">
        <v>776</v>
      </c>
      <c r="G57" s="165" t="s">
        <v>1040</v>
      </c>
      <c r="H57" s="165" t="s">
        <v>783</v>
      </c>
      <c r="I57" s="165" t="s">
        <v>382</v>
      </c>
      <c r="J57" s="165" t="s">
        <v>918</v>
      </c>
      <c r="K57" s="165" t="s">
        <v>388</v>
      </c>
      <c r="L57" s="165" t="s">
        <v>46</v>
      </c>
      <c r="M57" s="165" t="s">
        <v>541</v>
      </c>
      <c r="N57" s="165" t="s">
        <v>919</v>
      </c>
      <c r="O57" s="165" t="s">
        <v>1068</v>
      </c>
      <c r="P57" s="165" t="s">
        <v>71</v>
      </c>
    </row>
    <row r="58" spans="1:16">
      <c r="A58" s="165" t="s">
        <v>1069</v>
      </c>
      <c r="B58" s="165" t="s">
        <v>1070</v>
      </c>
      <c r="C58" s="165" t="s">
        <v>909</v>
      </c>
      <c r="D58" s="166">
        <v>0</v>
      </c>
      <c r="E58" s="169" t="s">
        <v>1067</v>
      </c>
      <c r="F58" s="165" t="s">
        <v>78</v>
      </c>
      <c r="G58" s="165" t="s">
        <v>1040</v>
      </c>
      <c r="H58" s="165" t="s">
        <v>783</v>
      </c>
      <c r="I58" s="165" t="s">
        <v>382</v>
      </c>
      <c r="J58" s="165" t="s">
        <v>918</v>
      </c>
      <c r="K58" s="165" t="s">
        <v>388</v>
      </c>
      <c r="L58" s="165" t="s">
        <v>46</v>
      </c>
      <c r="M58" s="165" t="s">
        <v>541</v>
      </c>
      <c r="N58" s="165" t="s">
        <v>919</v>
      </c>
      <c r="O58" s="165" t="s">
        <v>920</v>
      </c>
      <c r="P58" s="165" t="s">
        <v>78</v>
      </c>
    </row>
    <row r="59" spans="1:16">
      <c r="A59" s="165" t="s">
        <v>1071</v>
      </c>
      <c r="B59" s="165" t="s">
        <v>1072</v>
      </c>
      <c r="C59" s="165" t="s">
        <v>909</v>
      </c>
      <c r="D59" s="166">
        <v>0</v>
      </c>
      <c r="E59" s="169" t="s">
        <v>1067</v>
      </c>
      <c r="F59" s="165" t="s">
        <v>57</v>
      </c>
      <c r="G59" s="165" t="s">
        <v>1040</v>
      </c>
      <c r="H59" s="165" t="s">
        <v>783</v>
      </c>
      <c r="I59" s="165" t="s">
        <v>382</v>
      </c>
      <c r="J59" s="165" t="s">
        <v>918</v>
      </c>
      <c r="K59" s="165" t="s">
        <v>388</v>
      </c>
      <c r="L59" s="165" t="s">
        <v>46</v>
      </c>
      <c r="M59" s="165" t="s">
        <v>541</v>
      </c>
      <c r="N59" s="165" t="s">
        <v>919</v>
      </c>
      <c r="O59" s="165" t="s">
        <v>982</v>
      </c>
      <c r="P59" s="165" t="s">
        <v>57</v>
      </c>
    </row>
    <row r="60" spans="1:16">
      <c r="A60" s="165" t="s">
        <v>1073</v>
      </c>
      <c r="B60" s="165" t="s">
        <v>1074</v>
      </c>
      <c r="C60" s="165" t="s">
        <v>909</v>
      </c>
      <c r="D60" s="166">
        <v>0</v>
      </c>
      <c r="E60" s="169" t="s">
        <v>1067</v>
      </c>
      <c r="F60" s="165" t="s">
        <v>55</v>
      </c>
      <c r="G60" s="165" t="s">
        <v>1040</v>
      </c>
      <c r="H60" s="165" t="s">
        <v>783</v>
      </c>
      <c r="I60" s="165" t="s">
        <v>382</v>
      </c>
      <c r="J60" s="165" t="s">
        <v>918</v>
      </c>
      <c r="K60" s="165" t="s">
        <v>388</v>
      </c>
      <c r="L60" s="165" t="s">
        <v>46</v>
      </c>
      <c r="M60" s="165" t="s">
        <v>541</v>
      </c>
      <c r="N60" s="165" t="s">
        <v>919</v>
      </c>
      <c r="O60" s="165" t="s">
        <v>923</v>
      </c>
      <c r="P60" s="165" t="s">
        <v>71</v>
      </c>
    </row>
    <row r="61" spans="1:16">
      <c r="A61" s="165" t="s">
        <v>1075</v>
      </c>
      <c r="B61" s="165" t="s">
        <v>1076</v>
      </c>
      <c r="C61" s="165" t="s">
        <v>909</v>
      </c>
      <c r="D61" s="166">
        <v>0</v>
      </c>
      <c r="E61" s="169" t="s">
        <v>1067</v>
      </c>
      <c r="F61" s="165" t="s">
        <v>199</v>
      </c>
      <c r="G61" s="165" t="s">
        <v>1040</v>
      </c>
      <c r="H61" s="165" t="s">
        <v>783</v>
      </c>
      <c r="I61" s="165" t="s">
        <v>382</v>
      </c>
      <c r="J61" s="165" t="s">
        <v>918</v>
      </c>
      <c r="K61" s="165" t="s">
        <v>388</v>
      </c>
      <c r="L61" s="165" t="s">
        <v>46</v>
      </c>
      <c r="M61" s="165" t="s">
        <v>541</v>
      </c>
      <c r="N61" s="165" t="s">
        <v>919</v>
      </c>
      <c r="O61" s="165" t="s">
        <v>1077</v>
      </c>
      <c r="P61" s="165" t="s">
        <v>199</v>
      </c>
    </row>
    <row r="62" spans="1:16">
      <c r="A62" s="165" t="s">
        <v>1078</v>
      </c>
      <c r="B62" s="165" t="s">
        <v>1079</v>
      </c>
      <c r="C62" s="165" t="s">
        <v>909</v>
      </c>
      <c r="D62" s="166">
        <v>0</v>
      </c>
      <c r="E62" s="169" t="s">
        <v>1067</v>
      </c>
      <c r="F62" s="165" t="s">
        <v>121</v>
      </c>
      <c r="G62" s="165" t="s">
        <v>1040</v>
      </c>
      <c r="H62" s="165" t="s">
        <v>783</v>
      </c>
      <c r="I62" s="165" t="s">
        <v>382</v>
      </c>
      <c r="J62" s="165" t="s">
        <v>918</v>
      </c>
      <c r="K62" s="165" t="s">
        <v>388</v>
      </c>
      <c r="L62" s="165" t="s">
        <v>46</v>
      </c>
      <c r="M62" s="165" t="s">
        <v>541</v>
      </c>
      <c r="N62" s="165" t="s">
        <v>919</v>
      </c>
      <c r="O62" s="165" t="s">
        <v>955</v>
      </c>
      <c r="P62" s="165" t="s">
        <v>121</v>
      </c>
    </row>
    <row r="63" spans="1:16">
      <c r="A63" s="165" t="s">
        <v>1080</v>
      </c>
      <c r="B63" s="165" t="s">
        <v>1081</v>
      </c>
      <c r="C63" s="165" t="s">
        <v>909</v>
      </c>
      <c r="D63" s="166">
        <v>0</v>
      </c>
      <c r="E63" s="169" t="s">
        <v>1067</v>
      </c>
      <c r="F63" s="165" t="s">
        <v>60</v>
      </c>
      <c r="G63" s="165" t="s">
        <v>1040</v>
      </c>
      <c r="H63" s="165" t="s">
        <v>783</v>
      </c>
      <c r="I63" s="165" t="s">
        <v>382</v>
      </c>
      <c r="J63" s="165" t="s">
        <v>918</v>
      </c>
      <c r="K63" s="165" t="s">
        <v>388</v>
      </c>
      <c r="L63" s="165" t="s">
        <v>46</v>
      </c>
      <c r="M63" s="165" t="s">
        <v>541</v>
      </c>
      <c r="N63" s="165" t="s">
        <v>919</v>
      </c>
      <c r="O63" s="165" t="s">
        <v>958</v>
      </c>
      <c r="P63" s="165" t="s">
        <v>60</v>
      </c>
    </row>
    <row r="64" spans="1:16">
      <c r="A64" s="165" t="s">
        <v>1082</v>
      </c>
      <c r="B64" s="165" t="s">
        <v>1083</v>
      </c>
      <c r="C64" s="165" t="s">
        <v>909</v>
      </c>
      <c r="D64" s="166">
        <v>0</v>
      </c>
      <c r="E64" s="169" t="s">
        <v>1067</v>
      </c>
      <c r="F64" s="165" t="s">
        <v>53</v>
      </c>
      <c r="G64" s="165" t="s">
        <v>1040</v>
      </c>
      <c r="H64" s="165" t="s">
        <v>783</v>
      </c>
      <c r="I64" s="165" t="s">
        <v>382</v>
      </c>
      <c r="J64" s="165" t="s">
        <v>918</v>
      </c>
      <c r="K64" s="165" t="s">
        <v>388</v>
      </c>
      <c r="L64" s="165" t="s">
        <v>46</v>
      </c>
      <c r="M64" s="165" t="s">
        <v>541</v>
      </c>
      <c r="N64" s="165" t="s">
        <v>919</v>
      </c>
      <c r="O64" s="165" t="s">
        <v>926</v>
      </c>
      <c r="P64" s="165" t="s">
        <v>53</v>
      </c>
    </row>
    <row r="65" spans="1:16">
      <c r="A65" s="165" t="s">
        <v>1084</v>
      </c>
      <c r="B65" s="165" t="s">
        <v>1085</v>
      </c>
      <c r="C65" s="165" t="s">
        <v>909</v>
      </c>
      <c r="D65" s="166">
        <v>0</v>
      </c>
      <c r="E65" s="169" t="s">
        <v>1067</v>
      </c>
      <c r="F65" s="165" t="s">
        <v>83</v>
      </c>
      <c r="G65" s="165" t="s">
        <v>1040</v>
      </c>
      <c r="H65" s="165" t="s">
        <v>783</v>
      </c>
      <c r="I65" s="165" t="s">
        <v>382</v>
      </c>
      <c r="J65" s="165" t="s">
        <v>918</v>
      </c>
      <c r="K65" s="165" t="s">
        <v>388</v>
      </c>
      <c r="L65" s="165" t="s">
        <v>46</v>
      </c>
      <c r="M65" s="165" t="s">
        <v>541</v>
      </c>
      <c r="N65" s="165" t="s">
        <v>919</v>
      </c>
      <c r="O65" s="165" t="s">
        <v>1086</v>
      </c>
      <c r="P65" s="165" t="s">
        <v>83</v>
      </c>
    </row>
    <row r="66" spans="1:16">
      <c r="A66" s="165" t="s">
        <v>1087</v>
      </c>
      <c r="B66" s="165" t="s">
        <v>1088</v>
      </c>
      <c r="C66" s="165" t="s">
        <v>909</v>
      </c>
      <c r="D66" s="166">
        <v>0</v>
      </c>
      <c r="E66" s="169" t="s">
        <v>1067</v>
      </c>
      <c r="F66" s="165" t="s">
        <v>71</v>
      </c>
      <c r="G66" s="165" t="s">
        <v>1040</v>
      </c>
      <c r="H66" s="165" t="s">
        <v>783</v>
      </c>
      <c r="I66" s="165" t="s">
        <v>382</v>
      </c>
      <c r="J66" s="165" t="s">
        <v>918</v>
      </c>
      <c r="K66" s="165" t="s">
        <v>388</v>
      </c>
      <c r="L66" s="165" t="s">
        <v>46</v>
      </c>
      <c r="M66" s="165" t="s">
        <v>541</v>
      </c>
      <c r="N66" s="165" t="s">
        <v>855</v>
      </c>
      <c r="O66" s="165" t="s">
        <v>929</v>
      </c>
      <c r="P66" s="165" t="s">
        <v>71</v>
      </c>
    </row>
    <row r="67" spans="1:16">
      <c r="A67" s="165" t="s">
        <v>1089</v>
      </c>
      <c r="B67" s="165" t="s">
        <v>1090</v>
      </c>
      <c r="C67" s="165" t="s">
        <v>909</v>
      </c>
      <c r="D67" s="166">
        <v>0</v>
      </c>
      <c r="E67" s="169" t="s">
        <v>1067</v>
      </c>
      <c r="F67" s="165" t="s">
        <v>277</v>
      </c>
      <c r="G67" s="165" t="s">
        <v>1040</v>
      </c>
      <c r="H67" s="165" t="s">
        <v>783</v>
      </c>
      <c r="I67" s="165" t="s">
        <v>382</v>
      </c>
      <c r="J67" s="165" t="s">
        <v>918</v>
      </c>
      <c r="K67" s="165" t="s">
        <v>388</v>
      </c>
      <c r="L67" s="165" t="s">
        <v>46</v>
      </c>
      <c r="M67" s="165" t="s">
        <v>541</v>
      </c>
      <c r="N67" s="165" t="s">
        <v>919</v>
      </c>
      <c r="O67" s="165" t="s">
        <v>932</v>
      </c>
      <c r="P67" s="165" t="s">
        <v>83</v>
      </c>
    </row>
    <row r="68" spans="1:16">
      <c r="A68" s="165" t="s">
        <v>1091</v>
      </c>
      <c r="B68" s="165" t="s">
        <v>1092</v>
      </c>
      <c r="C68" s="165" t="s">
        <v>909</v>
      </c>
      <c r="D68" s="166">
        <v>0</v>
      </c>
      <c r="E68" s="169" t="s">
        <v>1067</v>
      </c>
      <c r="F68" s="165" t="s">
        <v>231</v>
      </c>
      <c r="G68" s="165" t="s">
        <v>1040</v>
      </c>
      <c r="H68" s="165" t="s">
        <v>783</v>
      </c>
      <c r="I68" s="165" t="s">
        <v>382</v>
      </c>
      <c r="J68" s="165" t="s">
        <v>918</v>
      </c>
      <c r="K68" s="165" t="s">
        <v>388</v>
      </c>
      <c r="L68" s="165" t="s">
        <v>46</v>
      </c>
      <c r="M68" s="165" t="s">
        <v>541</v>
      </c>
      <c r="N68" s="165" t="s">
        <v>919</v>
      </c>
      <c r="O68" s="165" t="s">
        <v>1093</v>
      </c>
      <c r="P68" s="165" t="s">
        <v>83</v>
      </c>
    </row>
    <row r="69" spans="1:16">
      <c r="A69" s="165" t="s">
        <v>1094</v>
      </c>
      <c r="B69" s="165" t="s">
        <v>1095</v>
      </c>
      <c r="C69" s="165" t="s">
        <v>909</v>
      </c>
      <c r="D69" s="166">
        <v>0</v>
      </c>
      <c r="E69" s="169" t="s">
        <v>1096</v>
      </c>
      <c r="F69" s="165" t="s">
        <v>158</v>
      </c>
      <c r="G69" s="165" t="s">
        <v>912</v>
      </c>
      <c r="H69" s="165" t="s">
        <v>783</v>
      </c>
      <c r="I69" s="165" t="s">
        <v>382</v>
      </c>
      <c r="J69" s="165" t="s">
        <v>918</v>
      </c>
      <c r="K69" s="165" t="s">
        <v>388</v>
      </c>
      <c r="L69" s="165"/>
      <c r="M69" s="165" t="s">
        <v>541</v>
      </c>
      <c r="N69" s="165" t="s">
        <v>919</v>
      </c>
      <c r="O69" s="165" t="s">
        <v>1097</v>
      </c>
      <c r="P69" s="165" t="s">
        <v>60</v>
      </c>
    </row>
    <row r="70" spans="1:16">
      <c r="A70" s="165" t="s">
        <v>1098</v>
      </c>
      <c r="B70" s="165" t="s">
        <v>1099</v>
      </c>
      <c r="C70" s="165" t="s">
        <v>909</v>
      </c>
      <c r="D70" s="166">
        <v>0</v>
      </c>
      <c r="E70" s="169" t="s">
        <v>1100</v>
      </c>
      <c r="F70" s="165" t="s">
        <v>302</v>
      </c>
      <c r="G70" s="165" t="s">
        <v>910</v>
      </c>
      <c r="H70" s="165" t="s">
        <v>783</v>
      </c>
      <c r="I70" s="165" t="s">
        <v>382</v>
      </c>
      <c r="J70" s="165" t="s">
        <v>918</v>
      </c>
      <c r="K70" s="165" t="s">
        <v>388</v>
      </c>
      <c r="L70" s="165" t="s">
        <v>43</v>
      </c>
      <c r="M70" s="165" t="s">
        <v>541</v>
      </c>
      <c r="N70" s="165" t="s">
        <v>919</v>
      </c>
      <c r="O70" s="165" t="s">
        <v>1041</v>
      </c>
      <c r="P70" s="165" t="s">
        <v>53</v>
      </c>
    </row>
    <row r="71" spans="1:16">
      <c r="A71" s="165" t="s">
        <v>1101</v>
      </c>
      <c r="B71" s="165" t="s">
        <v>1102</v>
      </c>
      <c r="C71" s="165" t="s">
        <v>909</v>
      </c>
      <c r="D71" s="166">
        <v>0</v>
      </c>
      <c r="E71" s="169" t="s">
        <v>1100</v>
      </c>
      <c r="F71" s="165" t="s">
        <v>592</v>
      </c>
      <c r="G71" s="165" t="s">
        <v>910</v>
      </c>
      <c r="H71" s="165" t="s">
        <v>783</v>
      </c>
      <c r="I71" s="165" t="s">
        <v>382</v>
      </c>
      <c r="J71" s="165" t="s">
        <v>918</v>
      </c>
      <c r="K71" s="165" t="s">
        <v>388</v>
      </c>
      <c r="L71" s="165" t="s">
        <v>43</v>
      </c>
      <c r="M71" s="165" t="s">
        <v>541</v>
      </c>
      <c r="N71" s="165" t="s">
        <v>919</v>
      </c>
      <c r="O71" s="165" t="s">
        <v>1044</v>
      </c>
      <c r="P71" s="165" t="s">
        <v>71</v>
      </c>
    </row>
    <row r="72" spans="1:16">
      <c r="A72" s="165" t="s">
        <v>1103</v>
      </c>
      <c r="B72" s="165" t="s">
        <v>1104</v>
      </c>
      <c r="C72" s="165" t="s">
        <v>909</v>
      </c>
      <c r="D72" s="166">
        <v>0</v>
      </c>
      <c r="E72" s="169" t="s">
        <v>1100</v>
      </c>
      <c r="F72" s="165" t="s">
        <v>309</v>
      </c>
      <c r="G72" s="165" t="s">
        <v>910</v>
      </c>
      <c r="H72" s="165" t="s">
        <v>783</v>
      </c>
      <c r="I72" s="165" t="s">
        <v>382</v>
      </c>
      <c r="J72" s="165" t="s">
        <v>918</v>
      </c>
      <c r="K72" s="165" t="s">
        <v>388</v>
      </c>
      <c r="L72" s="165" t="s">
        <v>43</v>
      </c>
      <c r="M72" s="165" t="s">
        <v>541</v>
      </c>
      <c r="N72" s="165" t="s">
        <v>919</v>
      </c>
      <c r="O72" s="165" t="s">
        <v>1105</v>
      </c>
      <c r="P72" s="165" t="s">
        <v>53</v>
      </c>
    </row>
    <row r="73" spans="1:16">
      <c r="A73" s="165" t="s">
        <v>1106</v>
      </c>
      <c r="B73" s="165" t="s">
        <v>1107</v>
      </c>
      <c r="C73" s="165" t="s">
        <v>909</v>
      </c>
      <c r="D73" s="166">
        <v>0</v>
      </c>
      <c r="E73" s="169" t="s">
        <v>1100</v>
      </c>
      <c r="F73" s="165" t="s">
        <v>308</v>
      </c>
      <c r="G73" s="165" t="s">
        <v>910</v>
      </c>
      <c r="H73" s="165" t="s">
        <v>783</v>
      </c>
      <c r="I73" s="165" t="s">
        <v>382</v>
      </c>
      <c r="J73" s="165" t="s">
        <v>918</v>
      </c>
      <c r="K73" s="165" t="s">
        <v>388</v>
      </c>
      <c r="L73" s="165" t="s">
        <v>43</v>
      </c>
      <c r="M73" s="165" t="s">
        <v>541</v>
      </c>
      <c r="N73" s="165" t="s">
        <v>919</v>
      </c>
      <c r="O73" s="165" t="s">
        <v>1053</v>
      </c>
      <c r="P73" s="165" t="s">
        <v>53</v>
      </c>
    </row>
    <row r="74" spans="1:16">
      <c r="A74" s="165" t="s">
        <v>1108</v>
      </c>
      <c r="B74" s="165" t="s">
        <v>1109</v>
      </c>
      <c r="C74" s="165" t="s">
        <v>909</v>
      </c>
      <c r="D74" s="166">
        <v>0</v>
      </c>
      <c r="E74" s="169" t="s">
        <v>1100</v>
      </c>
      <c r="F74" s="165" t="s">
        <v>595</v>
      </c>
      <c r="G74" s="165" t="s">
        <v>910</v>
      </c>
      <c r="H74" s="165" t="s">
        <v>783</v>
      </c>
      <c r="I74" s="165" t="s">
        <v>382</v>
      </c>
      <c r="J74" s="165" t="s">
        <v>918</v>
      </c>
      <c r="K74" s="165" t="s">
        <v>388</v>
      </c>
      <c r="L74" s="165" t="s">
        <v>43</v>
      </c>
      <c r="M74" s="165" t="s">
        <v>541</v>
      </c>
      <c r="N74" s="165" t="s">
        <v>919</v>
      </c>
      <c r="O74" s="165" t="s">
        <v>1110</v>
      </c>
      <c r="P74" s="165" t="s">
        <v>53</v>
      </c>
    </row>
    <row r="75" spans="1:16">
      <c r="A75" s="165" t="s">
        <v>1111</v>
      </c>
      <c r="B75" s="165" t="s">
        <v>1112</v>
      </c>
      <c r="C75" s="165" t="s">
        <v>909</v>
      </c>
      <c r="D75" s="166">
        <v>0</v>
      </c>
      <c r="E75" s="170">
        <v>6007</v>
      </c>
      <c r="F75" s="165" t="s">
        <v>78</v>
      </c>
      <c r="G75" s="165" t="s">
        <v>910</v>
      </c>
      <c r="H75" s="165" t="s">
        <v>783</v>
      </c>
      <c r="I75" s="165" t="s">
        <v>382</v>
      </c>
      <c r="J75" s="165" t="s">
        <v>918</v>
      </c>
      <c r="K75" s="165" t="s">
        <v>388</v>
      </c>
      <c r="L75" s="165" t="s">
        <v>43</v>
      </c>
      <c r="M75" s="165" t="s">
        <v>541</v>
      </c>
      <c r="N75" s="165" t="s">
        <v>919</v>
      </c>
      <c r="O75" s="165" t="s">
        <v>920</v>
      </c>
      <c r="P75" s="165" t="s">
        <v>78</v>
      </c>
    </row>
    <row r="76" spans="1:16">
      <c r="A76" s="165" t="s">
        <v>1113</v>
      </c>
      <c r="B76" s="165" t="s">
        <v>1114</v>
      </c>
      <c r="C76" s="165" t="s">
        <v>909</v>
      </c>
      <c r="D76" s="166">
        <v>0</v>
      </c>
      <c r="E76" s="170">
        <v>6007</v>
      </c>
      <c r="F76" s="165" t="s">
        <v>57</v>
      </c>
      <c r="G76" s="165" t="s">
        <v>910</v>
      </c>
      <c r="H76" s="165" t="s">
        <v>783</v>
      </c>
      <c r="I76" s="165" t="s">
        <v>382</v>
      </c>
      <c r="J76" s="165" t="s">
        <v>918</v>
      </c>
      <c r="K76" s="165" t="s">
        <v>388</v>
      </c>
      <c r="L76" s="165" t="s">
        <v>43</v>
      </c>
      <c r="M76" s="165" t="s">
        <v>541</v>
      </c>
      <c r="N76" s="165" t="s">
        <v>919</v>
      </c>
      <c r="O76" s="165" t="s">
        <v>982</v>
      </c>
      <c r="P76" s="165" t="s">
        <v>57</v>
      </c>
    </row>
    <row r="77" spans="1:16">
      <c r="A77" s="165" t="s">
        <v>1115</v>
      </c>
      <c r="B77" s="165" t="s">
        <v>1116</v>
      </c>
      <c r="C77" s="165" t="s">
        <v>909</v>
      </c>
      <c r="D77" s="166">
        <v>0</v>
      </c>
      <c r="E77" s="170">
        <v>6007</v>
      </c>
      <c r="F77" s="165" t="s">
        <v>55</v>
      </c>
      <c r="G77" s="165" t="s">
        <v>910</v>
      </c>
      <c r="H77" s="165" t="s">
        <v>783</v>
      </c>
      <c r="I77" s="165" t="s">
        <v>382</v>
      </c>
      <c r="J77" s="165" t="s">
        <v>918</v>
      </c>
      <c r="K77" s="165" t="s">
        <v>388</v>
      </c>
      <c r="L77" s="165" t="s">
        <v>43</v>
      </c>
      <c r="M77" s="165" t="s">
        <v>541</v>
      </c>
      <c r="N77" s="165" t="s">
        <v>919</v>
      </c>
      <c r="O77" s="165" t="s">
        <v>923</v>
      </c>
      <c r="P77" s="165" t="s">
        <v>71</v>
      </c>
    </row>
    <row r="78" spans="1:16">
      <c r="A78" s="165" t="s">
        <v>1117</v>
      </c>
      <c r="B78" s="165" t="s">
        <v>1118</v>
      </c>
      <c r="C78" s="165" t="s">
        <v>909</v>
      </c>
      <c r="D78" s="166">
        <v>0</v>
      </c>
      <c r="E78" s="170">
        <v>6007</v>
      </c>
      <c r="F78" s="165" t="s">
        <v>53</v>
      </c>
      <c r="G78" s="165" t="s">
        <v>910</v>
      </c>
      <c r="H78" s="165" t="s">
        <v>783</v>
      </c>
      <c r="I78" s="165" t="s">
        <v>382</v>
      </c>
      <c r="J78" s="165" t="s">
        <v>918</v>
      </c>
      <c r="K78" s="165" t="s">
        <v>388</v>
      </c>
      <c r="L78" s="165" t="s">
        <v>43</v>
      </c>
      <c r="M78" s="165" t="s">
        <v>541</v>
      </c>
      <c r="N78" s="165" t="s">
        <v>919</v>
      </c>
      <c r="O78" s="165" t="s">
        <v>926</v>
      </c>
      <c r="P78" s="165" t="s">
        <v>53</v>
      </c>
    </row>
    <row r="79" spans="1:16">
      <c r="A79" s="165" t="s">
        <v>1119</v>
      </c>
      <c r="B79" s="165" t="s">
        <v>1120</v>
      </c>
      <c r="C79" s="165" t="s">
        <v>909</v>
      </c>
      <c r="D79" s="166">
        <v>0</v>
      </c>
      <c r="E79" s="170">
        <v>6007</v>
      </c>
      <c r="F79" s="165" t="s">
        <v>83</v>
      </c>
      <c r="G79" s="165" t="s">
        <v>910</v>
      </c>
      <c r="H79" s="165" t="s">
        <v>783</v>
      </c>
      <c r="I79" s="165" t="s">
        <v>382</v>
      </c>
      <c r="J79" s="165" t="s">
        <v>918</v>
      </c>
      <c r="K79" s="165" t="s">
        <v>388</v>
      </c>
      <c r="L79" s="165" t="s">
        <v>43</v>
      </c>
      <c r="M79" s="165" t="s">
        <v>541</v>
      </c>
      <c r="N79" s="165" t="s">
        <v>919</v>
      </c>
      <c r="O79" s="165" t="s">
        <v>1121</v>
      </c>
      <c r="P79" s="165" t="s">
        <v>83</v>
      </c>
    </row>
    <row r="80" spans="1:16">
      <c r="A80" s="165" t="s">
        <v>1122</v>
      </c>
      <c r="B80" s="165" t="s">
        <v>1123</v>
      </c>
      <c r="C80" s="165" t="s">
        <v>909</v>
      </c>
      <c r="D80" s="166">
        <v>0</v>
      </c>
      <c r="E80" s="170">
        <v>6007</v>
      </c>
      <c r="F80" s="165" t="s">
        <v>277</v>
      </c>
      <c r="G80" s="165" t="s">
        <v>910</v>
      </c>
      <c r="H80" s="165" t="s">
        <v>783</v>
      </c>
      <c r="I80" s="165" t="s">
        <v>382</v>
      </c>
      <c r="J80" s="165" t="s">
        <v>918</v>
      </c>
      <c r="K80" s="165" t="s">
        <v>388</v>
      </c>
      <c r="L80" s="165" t="s">
        <v>43</v>
      </c>
      <c r="M80" s="165" t="s">
        <v>541</v>
      </c>
      <c r="N80" s="165" t="s">
        <v>919</v>
      </c>
      <c r="O80" s="165" t="s">
        <v>932</v>
      </c>
      <c r="P80" s="165" t="s">
        <v>83</v>
      </c>
    </row>
    <row r="81" spans="1:16">
      <c r="A81" s="165" t="s">
        <v>1124</v>
      </c>
      <c r="B81" s="165" t="s">
        <v>1125</v>
      </c>
      <c r="C81" s="165" t="s">
        <v>909</v>
      </c>
      <c r="D81" s="166">
        <v>0</v>
      </c>
      <c r="E81" s="169" t="s">
        <v>1126</v>
      </c>
      <c r="F81" s="165" t="s">
        <v>78</v>
      </c>
      <c r="G81" s="165" t="s">
        <v>1003</v>
      </c>
      <c r="H81" s="165" t="s">
        <v>783</v>
      </c>
      <c r="I81" s="165" t="s">
        <v>382</v>
      </c>
      <c r="J81" s="165" t="s">
        <v>918</v>
      </c>
      <c r="K81" s="165" t="s">
        <v>388</v>
      </c>
      <c r="L81" s="165" t="s">
        <v>43</v>
      </c>
      <c r="M81" s="165" t="s">
        <v>541</v>
      </c>
      <c r="N81" s="165" t="s">
        <v>919</v>
      </c>
      <c r="O81" s="165" t="s">
        <v>920</v>
      </c>
      <c r="P81" s="165" t="s">
        <v>78</v>
      </c>
    </row>
    <row r="82" spans="1:16">
      <c r="A82" s="165" t="s">
        <v>1127</v>
      </c>
      <c r="B82" s="165" t="s">
        <v>1128</v>
      </c>
      <c r="C82" s="165" t="s">
        <v>909</v>
      </c>
      <c r="D82" s="166">
        <v>0</v>
      </c>
      <c r="E82" s="169" t="s">
        <v>1126</v>
      </c>
      <c r="F82" s="165" t="s">
        <v>55</v>
      </c>
      <c r="G82" s="165" t="s">
        <v>1003</v>
      </c>
      <c r="H82" s="165" t="s">
        <v>783</v>
      </c>
      <c r="I82" s="165" t="s">
        <v>382</v>
      </c>
      <c r="J82" s="165" t="s">
        <v>918</v>
      </c>
      <c r="K82" s="165" t="s">
        <v>388</v>
      </c>
      <c r="L82" s="165" t="s">
        <v>43</v>
      </c>
      <c r="M82" s="165" t="s">
        <v>541</v>
      </c>
      <c r="N82" s="165" t="s">
        <v>919</v>
      </c>
      <c r="O82" s="165" t="s">
        <v>923</v>
      </c>
      <c r="P82" s="165" t="s">
        <v>71</v>
      </c>
    </row>
    <row r="83" spans="1:16">
      <c r="A83" s="165" t="s">
        <v>1129</v>
      </c>
      <c r="B83" s="165" t="s">
        <v>1130</v>
      </c>
      <c r="C83" s="165" t="s">
        <v>909</v>
      </c>
      <c r="D83" s="166">
        <v>0</v>
      </c>
      <c r="E83" s="169" t="s">
        <v>1126</v>
      </c>
      <c r="F83" s="165" t="s">
        <v>53</v>
      </c>
      <c r="G83" s="165" t="s">
        <v>1003</v>
      </c>
      <c r="H83" s="165" t="s">
        <v>783</v>
      </c>
      <c r="I83" s="165" t="s">
        <v>382</v>
      </c>
      <c r="J83" s="165" t="s">
        <v>918</v>
      </c>
      <c r="K83" s="165" t="s">
        <v>388</v>
      </c>
      <c r="L83" s="165" t="s">
        <v>43</v>
      </c>
      <c r="M83" s="165" t="s">
        <v>541</v>
      </c>
      <c r="N83" s="165" t="s">
        <v>919</v>
      </c>
      <c r="O83" s="165" t="s">
        <v>926</v>
      </c>
      <c r="P83" s="165" t="s">
        <v>53</v>
      </c>
    </row>
    <row r="84" spans="1:16">
      <c r="A84" s="165" t="s">
        <v>1131</v>
      </c>
      <c r="B84" s="165" t="s">
        <v>1132</v>
      </c>
      <c r="C84" s="165" t="s">
        <v>909</v>
      </c>
      <c r="D84" s="166">
        <v>0</v>
      </c>
      <c r="E84" s="169" t="s">
        <v>1126</v>
      </c>
      <c r="F84" s="165" t="s">
        <v>71</v>
      </c>
      <c r="G84" s="165" t="s">
        <v>1003</v>
      </c>
      <c r="H84" s="165" t="s">
        <v>783</v>
      </c>
      <c r="I84" s="165" t="s">
        <v>382</v>
      </c>
      <c r="J84" s="165" t="s">
        <v>918</v>
      </c>
      <c r="K84" s="165" t="s">
        <v>388</v>
      </c>
      <c r="L84" s="165" t="s">
        <v>43</v>
      </c>
      <c r="M84" s="165" t="s">
        <v>541</v>
      </c>
      <c r="N84" s="165" t="s">
        <v>919</v>
      </c>
      <c r="O84" s="165" t="s">
        <v>929</v>
      </c>
      <c r="P84" s="165" t="s">
        <v>71</v>
      </c>
    </row>
    <row r="85" spans="1:16">
      <c r="A85" s="165" t="s">
        <v>1133</v>
      </c>
      <c r="B85" s="165" t="s">
        <v>1134</v>
      </c>
      <c r="C85" s="165" t="s">
        <v>909</v>
      </c>
      <c r="D85" s="166">
        <v>0</v>
      </c>
      <c r="E85" s="169" t="s">
        <v>1135</v>
      </c>
      <c r="F85" s="165" t="s">
        <v>78</v>
      </c>
      <c r="G85" s="165" t="s">
        <v>1040</v>
      </c>
      <c r="H85" s="165" t="s">
        <v>783</v>
      </c>
      <c r="I85" s="165" t="s">
        <v>382</v>
      </c>
      <c r="J85" s="165" t="s">
        <v>918</v>
      </c>
      <c r="K85" s="165" t="s">
        <v>388</v>
      </c>
      <c r="L85" s="165" t="s">
        <v>46</v>
      </c>
      <c r="M85" s="165" t="s">
        <v>541</v>
      </c>
      <c r="N85" s="165" t="s">
        <v>919</v>
      </c>
      <c r="O85" s="165" t="s">
        <v>920</v>
      </c>
      <c r="P85" s="165" t="s">
        <v>78</v>
      </c>
    </row>
    <row r="86" spans="1:16">
      <c r="A86" s="165" t="s">
        <v>1136</v>
      </c>
      <c r="B86" s="165" t="s">
        <v>1137</v>
      </c>
      <c r="C86" s="165" t="s">
        <v>909</v>
      </c>
      <c r="D86" s="166">
        <v>0</v>
      </c>
      <c r="E86" s="169" t="s">
        <v>1135</v>
      </c>
      <c r="F86" s="165" t="s">
        <v>57</v>
      </c>
      <c r="G86" s="165" t="s">
        <v>1040</v>
      </c>
      <c r="H86" s="165" t="s">
        <v>783</v>
      </c>
      <c r="I86" s="165" t="s">
        <v>382</v>
      </c>
      <c r="J86" s="165" t="s">
        <v>918</v>
      </c>
      <c r="K86" s="165" t="s">
        <v>388</v>
      </c>
      <c r="L86" s="165" t="s">
        <v>46</v>
      </c>
      <c r="M86" s="165" t="s">
        <v>541</v>
      </c>
      <c r="N86" s="165" t="s">
        <v>919</v>
      </c>
      <c r="O86" s="165" t="s">
        <v>982</v>
      </c>
      <c r="P86" s="165" t="s">
        <v>57</v>
      </c>
    </row>
    <row r="87" spans="1:16">
      <c r="A87" s="165" t="s">
        <v>1138</v>
      </c>
      <c r="B87" s="165" t="s">
        <v>1139</v>
      </c>
      <c r="C87" s="165" t="s">
        <v>909</v>
      </c>
      <c r="D87" s="166">
        <v>0</v>
      </c>
      <c r="E87" s="169" t="s">
        <v>1135</v>
      </c>
      <c r="F87" s="165" t="s">
        <v>55</v>
      </c>
      <c r="G87" s="165" t="s">
        <v>1040</v>
      </c>
      <c r="H87" s="165" t="s">
        <v>783</v>
      </c>
      <c r="I87" s="165" t="s">
        <v>382</v>
      </c>
      <c r="J87" s="165" t="s">
        <v>918</v>
      </c>
      <c r="K87" s="165" t="s">
        <v>388</v>
      </c>
      <c r="L87" s="165" t="s">
        <v>46</v>
      </c>
      <c r="M87" s="165" t="s">
        <v>541</v>
      </c>
      <c r="N87" s="165" t="s">
        <v>919</v>
      </c>
      <c r="O87" s="165" t="s">
        <v>923</v>
      </c>
      <c r="P87" s="165" t="s">
        <v>71</v>
      </c>
    </row>
    <row r="88" spans="1:16">
      <c r="A88" s="165" t="s">
        <v>1140</v>
      </c>
      <c r="B88" s="165" t="s">
        <v>1141</v>
      </c>
      <c r="C88" s="165" t="s">
        <v>909</v>
      </c>
      <c r="D88" s="166">
        <v>0</v>
      </c>
      <c r="E88" s="169" t="s">
        <v>1135</v>
      </c>
      <c r="F88" s="165" t="s">
        <v>71</v>
      </c>
      <c r="G88" s="165" t="s">
        <v>1040</v>
      </c>
      <c r="H88" s="165" t="s">
        <v>783</v>
      </c>
      <c r="I88" s="165" t="s">
        <v>382</v>
      </c>
      <c r="J88" s="165" t="s">
        <v>918</v>
      </c>
      <c r="K88" s="165" t="s">
        <v>388</v>
      </c>
      <c r="L88" s="165" t="s">
        <v>46</v>
      </c>
      <c r="M88" s="165" t="s">
        <v>541</v>
      </c>
      <c r="N88" s="165" t="s">
        <v>919</v>
      </c>
      <c r="O88" s="165" t="s">
        <v>929</v>
      </c>
      <c r="P88" s="165" t="s">
        <v>71</v>
      </c>
    </row>
    <row r="89" spans="1:16">
      <c r="A89" s="165" t="s">
        <v>1142</v>
      </c>
      <c r="B89" s="165" t="s">
        <v>1143</v>
      </c>
      <c r="C89" s="165" t="s">
        <v>909</v>
      </c>
      <c r="D89" s="166">
        <v>0</v>
      </c>
      <c r="E89" s="169" t="s">
        <v>1135</v>
      </c>
      <c r="F89" s="165" t="s">
        <v>277</v>
      </c>
      <c r="G89" s="165" t="s">
        <v>1040</v>
      </c>
      <c r="H89" s="165" t="s">
        <v>783</v>
      </c>
      <c r="I89" s="165" t="s">
        <v>382</v>
      </c>
      <c r="J89" s="165" t="s">
        <v>918</v>
      </c>
      <c r="K89" s="165" t="s">
        <v>388</v>
      </c>
      <c r="L89" s="165" t="s">
        <v>46</v>
      </c>
      <c r="M89" s="165" t="s">
        <v>541</v>
      </c>
      <c r="N89" s="165" t="s">
        <v>919</v>
      </c>
      <c r="O89" s="165" t="s">
        <v>932</v>
      </c>
      <c r="P89" s="165" t="s">
        <v>83</v>
      </c>
    </row>
    <row r="90" spans="1:16">
      <c r="A90" s="165" t="s">
        <v>1144</v>
      </c>
      <c r="B90" s="165" t="s">
        <v>1145</v>
      </c>
      <c r="C90" s="165" t="s">
        <v>909</v>
      </c>
      <c r="D90" s="166">
        <v>0</v>
      </c>
      <c r="E90" s="169" t="s">
        <v>1146</v>
      </c>
      <c r="F90" s="165" t="s">
        <v>277</v>
      </c>
      <c r="G90" s="165" t="s">
        <v>1147</v>
      </c>
      <c r="H90" s="165" t="s">
        <v>783</v>
      </c>
      <c r="I90" s="165" t="s">
        <v>382</v>
      </c>
      <c r="J90" s="165" t="s">
        <v>918</v>
      </c>
      <c r="K90" s="165" t="s">
        <v>388</v>
      </c>
      <c r="L90" s="165" t="s">
        <v>46</v>
      </c>
      <c r="M90" s="165" t="s">
        <v>541</v>
      </c>
      <c r="N90" s="165" t="s">
        <v>855</v>
      </c>
      <c r="O90" s="165" t="s">
        <v>932</v>
      </c>
      <c r="P90" s="165" t="s">
        <v>83</v>
      </c>
    </row>
    <row r="91" spans="1:16">
      <c r="A91" s="165" t="s">
        <v>1148</v>
      </c>
      <c r="B91" s="165" t="s">
        <v>1149</v>
      </c>
      <c r="C91" s="165" t="s">
        <v>909</v>
      </c>
      <c r="D91" s="166">
        <v>0</v>
      </c>
      <c r="E91" s="169" t="s">
        <v>1146</v>
      </c>
      <c r="F91" s="165" t="s">
        <v>231</v>
      </c>
      <c r="G91" s="165" t="s">
        <v>1147</v>
      </c>
      <c r="H91" s="165" t="s">
        <v>783</v>
      </c>
      <c r="I91" s="165" t="s">
        <v>382</v>
      </c>
      <c r="J91" s="165" t="s">
        <v>918</v>
      </c>
      <c r="K91" s="165" t="s">
        <v>388</v>
      </c>
      <c r="L91" s="165" t="s">
        <v>46</v>
      </c>
      <c r="M91" s="165" t="s">
        <v>541</v>
      </c>
      <c r="N91" s="165" t="s">
        <v>855</v>
      </c>
      <c r="O91" s="165" t="s">
        <v>935</v>
      </c>
      <c r="P91" s="165" t="s">
        <v>83</v>
      </c>
    </row>
    <row r="92" spans="1:16">
      <c r="A92" s="165" t="s">
        <v>1150</v>
      </c>
      <c r="B92" s="165" t="s">
        <v>1151</v>
      </c>
      <c r="C92" s="165" t="s">
        <v>909</v>
      </c>
      <c r="D92" s="166">
        <v>0</v>
      </c>
      <c r="E92" s="169" t="s">
        <v>1152</v>
      </c>
      <c r="F92" s="165" t="s">
        <v>78</v>
      </c>
      <c r="G92" s="165" t="s">
        <v>1040</v>
      </c>
      <c r="H92" s="165" t="s">
        <v>327</v>
      </c>
      <c r="I92" s="165" t="s">
        <v>382</v>
      </c>
      <c r="J92" s="165" t="s">
        <v>918</v>
      </c>
      <c r="K92" s="165" t="s">
        <v>388</v>
      </c>
      <c r="L92" s="165" t="s">
        <v>46</v>
      </c>
      <c r="M92" s="165" t="s">
        <v>541</v>
      </c>
      <c r="N92" s="165" t="s">
        <v>919</v>
      </c>
      <c r="O92" s="165" t="s">
        <v>920</v>
      </c>
      <c r="P92" s="165" t="s">
        <v>78</v>
      </c>
    </row>
    <row r="93" spans="1:16">
      <c r="A93" s="165" t="s">
        <v>1153</v>
      </c>
      <c r="B93" s="165" t="s">
        <v>1154</v>
      </c>
      <c r="C93" s="165" t="s">
        <v>909</v>
      </c>
      <c r="D93" s="166">
        <v>0</v>
      </c>
      <c r="E93" s="169" t="s">
        <v>1152</v>
      </c>
      <c r="F93" s="165" t="s">
        <v>53</v>
      </c>
      <c r="G93" s="165" t="s">
        <v>1040</v>
      </c>
      <c r="H93" s="165" t="s">
        <v>327</v>
      </c>
      <c r="I93" s="165" t="s">
        <v>382</v>
      </c>
      <c r="J93" s="165" t="s">
        <v>918</v>
      </c>
      <c r="K93" s="165" t="s">
        <v>388</v>
      </c>
      <c r="L93" s="165" t="s">
        <v>46</v>
      </c>
      <c r="M93" s="165" t="s">
        <v>541</v>
      </c>
      <c r="N93" s="165" t="s">
        <v>919</v>
      </c>
      <c r="O93" s="165" t="s">
        <v>926</v>
      </c>
      <c r="P93" s="165" t="s">
        <v>53</v>
      </c>
    </row>
    <row r="94" spans="1:16">
      <c r="A94" s="165" t="s">
        <v>1155</v>
      </c>
      <c r="B94" s="165" t="s">
        <v>1156</v>
      </c>
      <c r="C94" s="165" t="s">
        <v>909</v>
      </c>
      <c r="D94" s="166">
        <v>0</v>
      </c>
      <c r="E94" s="169" t="s">
        <v>1152</v>
      </c>
      <c r="F94" s="165" t="s">
        <v>71</v>
      </c>
      <c r="G94" s="165" t="s">
        <v>1040</v>
      </c>
      <c r="H94" s="165" t="s">
        <v>327</v>
      </c>
      <c r="I94" s="165" t="s">
        <v>382</v>
      </c>
      <c r="J94" s="165" t="s">
        <v>918</v>
      </c>
      <c r="K94" s="165" t="s">
        <v>388</v>
      </c>
      <c r="L94" s="165" t="s">
        <v>46</v>
      </c>
      <c r="M94" s="165" t="s">
        <v>541</v>
      </c>
      <c r="N94" s="165" t="s">
        <v>855</v>
      </c>
      <c r="O94" s="165" t="s">
        <v>929</v>
      </c>
      <c r="P94" s="165" t="s">
        <v>71</v>
      </c>
    </row>
    <row r="95" spans="1:16">
      <c r="A95" s="165" t="s">
        <v>1157</v>
      </c>
      <c r="B95" s="165" t="s">
        <v>1158</v>
      </c>
      <c r="C95" s="165" t="s">
        <v>909</v>
      </c>
      <c r="D95" s="166">
        <v>0</v>
      </c>
      <c r="E95" s="169" t="s">
        <v>1152</v>
      </c>
      <c r="F95" s="165" t="s">
        <v>231</v>
      </c>
      <c r="G95" s="165" t="s">
        <v>1040</v>
      </c>
      <c r="H95" s="165" t="s">
        <v>327</v>
      </c>
      <c r="I95" s="165" t="s">
        <v>382</v>
      </c>
      <c r="J95" s="165" t="s">
        <v>918</v>
      </c>
      <c r="K95" s="165" t="s">
        <v>388</v>
      </c>
      <c r="L95" s="165" t="s">
        <v>46</v>
      </c>
      <c r="M95" s="165" t="s">
        <v>541</v>
      </c>
      <c r="N95" s="165" t="s">
        <v>919</v>
      </c>
      <c r="O95" s="165" t="s">
        <v>935</v>
      </c>
      <c r="P95" s="165" t="s">
        <v>83</v>
      </c>
    </row>
    <row r="96" spans="1:16">
      <c r="A96" s="165" t="s">
        <v>1159</v>
      </c>
      <c r="B96" s="165" t="s">
        <v>1160</v>
      </c>
      <c r="C96" s="165" t="s">
        <v>909</v>
      </c>
      <c r="D96" s="166">
        <v>0</v>
      </c>
      <c r="E96" s="169" t="s">
        <v>1161</v>
      </c>
      <c r="F96" s="165" t="s">
        <v>71</v>
      </c>
      <c r="G96" s="165" t="s">
        <v>1162</v>
      </c>
      <c r="H96" s="165" t="s">
        <v>327</v>
      </c>
      <c r="I96" s="165" t="s">
        <v>382</v>
      </c>
      <c r="J96" s="165" t="s">
        <v>918</v>
      </c>
      <c r="K96" s="165" t="s">
        <v>388</v>
      </c>
      <c r="L96" s="165"/>
      <c r="M96" s="165" t="s">
        <v>541</v>
      </c>
      <c r="N96" s="165" t="s">
        <v>855</v>
      </c>
      <c r="O96" s="165" t="s">
        <v>929</v>
      </c>
      <c r="P96" s="165" t="s">
        <v>71</v>
      </c>
    </row>
    <row r="97" spans="1:16">
      <c r="A97" s="165" t="s">
        <v>1163</v>
      </c>
      <c r="B97" s="165" t="s">
        <v>1164</v>
      </c>
      <c r="C97" s="165" t="s">
        <v>909</v>
      </c>
      <c r="D97" s="166">
        <v>0</v>
      </c>
      <c r="E97" s="169" t="s">
        <v>1165</v>
      </c>
      <c r="F97" s="165" t="s">
        <v>83</v>
      </c>
      <c r="G97" s="165" t="s">
        <v>910</v>
      </c>
      <c r="H97" s="165" t="s">
        <v>327</v>
      </c>
      <c r="I97" s="165" t="s">
        <v>382</v>
      </c>
      <c r="J97" s="165" t="s">
        <v>918</v>
      </c>
      <c r="K97" s="165" t="s">
        <v>388</v>
      </c>
      <c r="L97" s="165" t="s">
        <v>43</v>
      </c>
      <c r="M97" s="165" t="s">
        <v>541</v>
      </c>
      <c r="N97" s="165" t="s">
        <v>855</v>
      </c>
      <c r="O97" s="165" t="s">
        <v>1166</v>
      </c>
      <c r="P97" s="165" t="s">
        <v>83</v>
      </c>
    </row>
    <row r="98" spans="1:16">
      <c r="A98" s="165" t="s">
        <v>1167</v>
      </c>
      <c r="B98" s="165" t="s">
        <v>1168</v>
      </c>
      <c r="C98" s="165" t="s">
        <v>909</v>
      </c>
      <c r="D98" s="166">
        <v>0</v>
      </c>
      <c r="E98" s="169" t="s">
        <v>1165</v>
      </c>
      <c r="F98" s="165" t="s">
        <v>121</v>
      </c>
      <c r="G98" s="165" t="s">
        <v>910</v>
      </c>
      <c r="H98" s="165" t="s">
        <v>327</v>
      </c>
      <c r="I98" s="165" t="s">
        <v>382</v>
      </c>
      <c r="J98" s="165" t="s">
        <v>918</v>
      </c>
      <c r="K98" s="165" t="s">
        <v>388</v>
      </c>
      <c r="L98" s="165" t="s">
        <v>43</v>
      </c>
      <c r="M98" s="165" t="s">
        <v>541</v>
      </c>
      <c r="N98" s="165" t="s">
        <v>855</v>
      </c>
      <c r="O98" s="165" t="s">
        <v>955</v>
      </c>
      <c r="P98" s="165" t="s">
        <v>121</v>
      </c>
    </row>
    <row r="99" spans="1:16">
      <c r="A99" s="165" t="s">
        <v>1169</v>
      </c>
      <c r="B99" s="165" t="s">
        <v>1170</v>
      </c>
      <c r="C99" s="165" t="s">
        <v>909</v>
      </c>
      <c r="D99" s="166">
        <v>0</v>
      </c>
      <c r="E99" s="169" t="s">
        <v>1165</v>
      </c>
      <c r="F99" s="165" t="s">
        <v>277</v>
      </c>
      <c r="G99" s="165" t="s">
        <v>910</v>
      </c>
      <c r="H99" s="165" t="s">
        <v>327</v>
      </c>
      <c r="I99" s="165" t="s">
        <v>382</v>
      </c>
      <c r="J99" s="165" t="s">
        <v>918</v>
      </c>
      <c r="K99" s="165" t="s">
        <v>388</v>
      </c>
      <c r="L99" s="165" t="s">
        <v>43</v>
      </c>
      <c r="M99" s="165" t="s">
        <v>541</v>
      </c>
      <c r="N99" s="165" t="s">
        <v>855</v>
      </c>
      <c r="O99" s="165" t="s">
        <v>932</v>
      </c>
      <c r="P99" s="165" t="s">
        <v>83</v>
      </c>
    </row>
    <row r="100" spans="1:16">
      <c r="A100" s="165" t="s">
        <v>1171</v>
      </c>
      <c r="B100" s="165" t="s">
        <v>1172</v>
      </c>
      <c r="C100" s="165" t="s">
        <v>909</v>
      </c>
      <c r="D100" s="166">
        <v>0</v>
      </c>
      <c r="E100" s="169" t="s">
        <v>1173</v>
      </c>
      <c r="F100" s="165" t="s">
        <v>53</v>
      </c>
      <c r="G100" s="165" t="s">
        <v>910</v>
      </c>
      <c r="H100" s="165" t="s">
        <v>327</v>
      </c>
      <c r="I100" s="165" t="s">
        <v>382</v>
      </c>
      <c r="J100" s="165" t="s">
        <v>918</v>
      </c>
      <c r="K100" s="165" t="s">
        <v>388</v>
      </c>
      <c r="L100" s="165" t="s">
        <v>43</v>
      </c>
      <c r="M100" s="165" t="s">
        <v>541</v>
      </c>
      <c r="N100" s="165" t="s">
        <v>855</v>
      </c>
      <c r="O100" s="165" t="s">
        <v>926</v>
      </c>
      <c r="P100" s="165" t="s">
        <v>53</v>
      </c>
    </row>
    <row r="101" spans="1:16">
      <c r="A101" s="165" t="s">
        <v>1174</v>
      </c>
      <c r="B101" s="165" t="s">
        <v>1175</v>
      </c>
      <c r="C101" s="165" t="s">
        <v>909</v>
      </c>
      <c r="D101" s="166">
        <v>0</v>
      </c>
      <c r="E101" s="170">
        <v>6606</v>
      </c>
      <c r="F101" s="165" t="s">
        <v>68</v>
      </c>
      <c r="G101" s="165" t="s">
        <v>1003</v>
      </c>
      <c r="H101" s="165" t="s">
        <v>356</v>
      </c>
      <c r="I101" s="165" t="s">
        <v>382</v>
      </c>
      <c r="J101" s="165" t="s">
        <v>918</v>
      </c>
      <c r="K101" s="165" t="s">
        <v>388</v>
      </c>
      <c r="L101" s="165"/>
      <c r="M101" s="165" t="s">
        <v>541</v>
      </c>
      <c r="N101" s="165" t="s">
        <v>855</v>
      </c>
      <c r="O101" s="165" t="s">
        <v>1176</v>
      </c>
      <c r="P101" s="165" t="s">
        <v>68</v>
      </c>
    </row>
    <row r="102" spans="1:16">
      <c r="A102" s="165" t="s">
        <v>1177</v>
      </c>
      <c r="B102" s="165" t="s">
        <v>1178</v>
      </c>
      <c r="C102" s="165" t="s">
        <v>909</v>
      </c>
      <c r="D102" s="166">
        <v>0</v>
      </c>
      <c r="E102" s="169" t="s">
        <v>1039</v>
      </c>
      <c r="F102" s="165" t="s">
        <v>870</v>
      </c>
      <c r="G102" s="165" t="s">
        <v>1040</v>
      </c>
      <c r="H102" s="165" t="s">
        <v>783</v>
      </c>
      <c r="I102" s="165" t="s">
        <v>382</v>
      </c>
      <c r="J102" s="165" t="s">
        <v>918</v>
      </c>
      <c r="K102" s="165" t="s">
        <v>388</v>
      </c>
      <c r="L102" s="165" t="s">
        <v>46</v>
      </c>
      <c r="M102" s="165" t="s">
        <v>541</v>
      </c>
      <c r="N102" s="165" t="s">
        <v>855</v>
      </c>
      <c r="O102" s="165" t="s">
        <v>1179</v>
      </c>
      <c r="P102" s="165" t="s">
        <v>83</v>
      </c>
    </row>
    <row r="103" spans="1:16">
      <c r="A103" s="165" t="s">
        <v>1180</v>
      </c>
      <c r="B103" s="165" t="s">
        <v>1181</v>
      </c>
      <c r="C103" s="165" t="s">
        <v>909</v>
      </c>
      <c r="D103" s="166">
        <v>0</v>
      </c>
      <c r="E103" s="169" t="s">
        <v>1039</v>
      </c>
      <c r="F103" s="165" t="s">
        <v>869</v>
      </c>
      <c r="G103" s="165" t="s">
        <v>1040</v>
      </c>
      <c r="H103" s="165" t="s">
        <v>783</v>
      </c>
      <c r="I103" s="165" t="s">
        <v>382</v>
      </c>
      <c r="J103" s="165" t="s">
        <v>918</v>
      </c>
      <c r="K103" s="165" t="s">
        <v>388</v>
      </c>
      <c r="L103" s="165" t="s">
        <v>46</v>
      </c>
      <c r="M103" s="165" t="s">
        <v>541</v>
      </c>
      <c r="N103" s="165" t="s">
        <v>855</v>
      </c>
      <c r="O103" s="165" t="s">
        <v>1182</v>
      </c>
      <c r="P103" s="165" t="s">
        <v>83</v>
      </c>
    </row>
    <row r="104" spans="1:16">
      <c r="A104" s="165" t="s">
        <v>1183</v>
      </c>
      <c r="B104" s="165" t="s">
        <v>1184</v>
      </c>
      <c r="C104" s="165" t="s">
        <v>909</v>
      </c>
      <c r="D104" s="166">
        <v>0</v>
      </c>
      <c r="E104" s="169" t="s">
        <v>1039</v>
      </c>
      <c r="F104" s="165" t="s">
        <v>245</v>
      </c>
      <c r="G104" s="165" t="s">
        <v>1040</v>
      </c>
      <c r="H104" s="165" t="s">
        <v>783</v>
      </c>
      <c r="I104" s="165" t="s">
        <v>382</v>
      </c>
      <c r="J104" s="165" t="s">
        <v>918</v>
      </c>
      <c r="K104" s="165" t="s">
        <v>388</v>
      </c>
      <c r="L104" s="165" t="s">
        <v>46</v>
      </c>
      <c r="M104" s="165" t="s">
        <v>541</v>
      </c>
      <c r="N104" s="165" t="s">
        <v>855</v>
      </c>
      <c r="O104" s="165" t="s">
        <v>1185</v>
      </c>
      <c r="P104" s="165" t="s">
        <v>83</v>
      </c>
    </row>
    <row r="105" spans="1:16">
      <c r="A105" s="165" t="s">
        <v>1186</v>
      </c>
      <c r="B105" s="165" t="s">
        <v>1187</v>
      </c>
      <c r="C105" s="165" t="s">
        <v>909</v>
      </c>
      <c r="D105" s="166">
        <v>0</v>
      </c>
      <c r="E105" s="169" t="s">
        <v>1067</v>
      </c>
      <c r="F105" s="165" t="s">
        <v>83</v>
      </c>
      <c r="G105" s="165" t="s">
        <v>1040</v>
      </c>
      <c r="H105" s="165" t="s">
        <v>783</v>
      </c>
      <c r="I105" s="165" t="s">
        <v>382</v>
      </c>
      <c r="J105" s="165" t="s">
        <v>918</v>
      </c>
      <c r="K105" s="165" t="s">
        <v>388</v>
      </c>
      <c r="L105" s="165" t="s">
        <v>46</v>
      </c>
      <c r="M105" s="165" t="s">
        <v>541</v>
      </c>
      <c r="N105" s="165" t="s">
        <v>919</v>
      </c>
      <c r="O105" s="165" t="s">
        <v>935</v>
      </c>
      <c r="P105" s="165" t="s">
        <v>83</v>
      </c>
    </row>
    <row r="106" spans="1:16">
      <c r="A106" s="165" t="s">
        <v>1188</v>
      </c>
      <c r="B106" s="165" t="s">
        <v>1189</v>
      </c>
      <c r="C106" s="165" t="s">
        <v>909</v>
      </c>
      <c r="D106" s="166">
        <v>0</v>
      </c>
      <c r="E106" s="169" t="s">
        <v>1165</v>
      </c>
      <c r="F106" s="165" t="s">
        <v>53</v>
      </c>
      <c r="G106" s="165" t="s">
        <v>910</v>
      </c>
      <c r="H106" s="165" t="s">
        <v>327</v>
      </c>
      <c r="I106" s="165" t="s">
        <v>382</v>
      </c>
      <c r="J106" s="165" t="s">
        <v>918</v>
      </c>
      <c r="K106" s="165" t="s">
        <v>388</v>
      </c>
      <c r="L106" s="165" t="s">
        <v>43</v>
      </c>
      <c r="M106" s="165" t="s">
        <v>541</v>
      </c>
      <c r="N106" s="165" t="s">
        <v>919</v>
      </c>
      <c r="O106" s="165" t="s">
        <v>926</v>
      </c>
      <c r="P106" s="165" t="s">
        <v>53</v>
      </c>
    </row>
    <row r="107" spans="1:16">
      <c r="A107" s="165" t="s">
        <v>1190</v>
      </c>
      <c r="B107" s="165" t="s">
        <v>1191</v>
      </c>
      <c r="C107" s="165" t="s">
        <v>909</v>
      </c>
      <c r="D107" s="166">
        <v>0</v>
      </c>
      <c r="E107" s="170">
        <v>6606</v>
      </c>
      <c r="F107" s="165" t="s">
        <v>777</v>
      </c>
      <c r="G107" s="165" t="s">
        <v>1003</v>
      </c>
      <c r="H107" s="165" t="s">
        <v>356</v>
      </c>
      <c r="I107" s="165" t="s">
        <v>382</v>
      </c>
      <c r="J107" s="165" t="s">
        <v>918</v>
      </c>
      <c r="K107" s="165" t="s">
        <v>388</v>
      </c>
      <c r="L107" s="165" t="s">
        <v>43</v>
      </c>
      <c r="M107" s="165" t="s">
        <v>541</v>
      </c>
      <c r="N107" s="165" t="s">
        <v>919</v>
      </c>
      <c r="O107" s="165" t="s">
        <v>1192</v>
      </c>
      <c r="P107" s="165" t="s">
        <v>83</v>
      </c>
    </row>
    <row r="108" spans="1:16">
      <c r="A108" s="165" t="s">
        <v>1193</v>
      </c>
      <c r="B108" s="165" t="s">
        <v>1194</v>
      </c>
      <c r="C108" s="165" t="s">
        <v>909</v>
      </c>
      <c r="D108" s="166">
        <v>0</v>
      </c>
      <c r="E108" s="170">
        <v>6606</v>
      </c>
      <c r="F108" s="165" t="s">
        <v>55</v>
      </c>
      <c r="G108" s="165" t="s">
        <v>1003</v>
      </c>
      <c r="H108" s="165" t="s">
        <v>356</v>
      </c>
      <c r="I108" s="165" t="s">
        <v>382</v>
      </c>
      <c r="J108" s="165" t="s">
        <v>918</v>
      </c>
      <c r="K108" s="165" t="s">
        <v>388</v>
      </c>
      <c r="L108" s="165" t="s">
        <v>43</v>
      </c>
      <c r="M108" s="165" t="s">
        <v>541</v>
      </c>
      <c r="N108" s="165" t="s">
        <v>919</v>
      </c>
      <c r="O108" s="165" t="s">
        <v>923</v>
      </c>
      <c r="P108" s="165" t="s">
        <v>71</v>
      </c>
    </row>
    <row r="109" spans="1:16">
      <c r="A109" s="165" t="s">
        <v>1195</v>
      </c>
      <c r="B109" s="165" t="s">
        <v>1196</v>
      </c>
      <c r="C109" s="165" t="s">
        <v>1014</v>
      </c>
      <c r="D109" s="167">
        <v>60</v>
      </c>
      <c r="E109" s="170">
        <v>6277</v>
      </c>
      <c r="F109" s="165" t="s">
        <v>776</v>
      </c>
      <c r="G109" s="165" t="s">
        <v>1028</v>
      </c>
      <c r="H109" s="165" t="s">
        <v>327</v>
      </c>
      <c r="I109" s="165" t="s">
        <v>382</v>
      </c>
      <c r="J109" s="165" t="s">
        <v>918</v>
      </c>
      <c r="K109" s="165" t="s">
        <v>388</v>
      </c>
      <c r="L109" s="165"/>
      <c r="M109" s="165" t="s">
        <v>541</v>
      </c>
      <c r="N109" s="165" t="s">
        <v>919</v>
      </c>
      <c r="O109" s="165" t="s">
        <v>1068</v>
      </c>
      <c r="P109" s="165" t="s">
        <v>53</v>
      </c>
    </row>
    <row r="110" spans="1:16">
      <c r="A110" s="165" t="s">
        <v>1197</v>
      </c>
      <c r="B110" s="165" t="s">
        <v>1196</v>
      </c>
      <c r="C110" s="165" t="s">
        <v>1009</v>
      </c>
      <c r="D110" s="167">
        <v>56</v>
      </c>
      <c r="E110" s="170">
        <v>6277</v>
      </c>
      <c r="F110" s="165" t="s">
        <v>776</v>
      </c>
      <c r="G110" s="165" t="s">
        <v>1028</v>
      </c>
      <c r="H110" s="165" t="s">
        <v>327</v>
      </c>
      <c r="I110" s="165" t="s">
        <v>382</v>
      </c>
      <c r="J110" s="165" t="s">
        <v>918</v>
      </c>
      <c r="K110" s="165" t="s">
        <v>388</v>
      </c>
      <c r="L110" s="165"/>
      <c r="M110" s="165" t="s">
        <v>541</v>
      </c>
      <c r="N110" s="165" t="s">
        <v>919</v>
      </c>
      <c r="O110" s="165" t="s">
        <v>1068</v>
      </c>
      <c r="P110" s="165" t="s">
        <v>53</v>
      </c>
    </row>
    <row r="111" spans="1:16">
      <c r="A111" s="165" t="s">
        <v>1198</v>
      </c>
      <c r="B111" s="165" t="s">
        <v>1199</v>
      </c>
      <c r="C111" s="165" t="s">
        <v>1014</v>
      </c>
      <c r="D111" s="167">
        <v>60</v>
      </c>
      <c r="E111" s="170">
        <v>6277</v>
      </c>
      <c r="F111" s="165" t="s">
        <v>83</v>
      </c>
      <c r="G111" s="165" t="s">
        <v>1028</v>
      </c>
      <c r="H111" s="165" t="s">
        <v>327</v>
      </c>
      <c r="I111" s="165" t="s">
        <v>382</v>
      </c>
      <c r="J111" s="165" t="s">
        <v>918</v>
      </c>
      <c r="K111" s="165" t="s">
        <v>388</v>
      </c>
      <c r="L111" s="165"/>
      <c r="M111" s="165" t="s">
        <v>541</v>
      </c>
      <c r="N111" s="165" t="s">
        <v>919</v>
      </c>
      <c r="O111" s="165" t="s">
        <v>1121</v>
      </c>
      <c r="P111" s="165" t="s">
        <v>83</v>
      </c>
    </row>
    <row r="112" spans="1:16">
      <c r="A112" s="165" t="s">
        <v>1200</v>
      </c>
      <c r="B112" s="165" t="s">
        <v>1199</v>
      </c>
      <c r="C112" s="165" t="s">
        <v>1009</v>
      </c>
      <c r="D112" s="167">
        <v>56</v>
      </c>
      <c r="E112" s="170">
        <v>6277</v>
      </c>
      <c r="F112" s="165" t="s">
        <v>83</v>
      </c>
      <c r="G112" s="165" t="s">
        <v>1028</v>
      </c>
      <c r="H112" s="165" t="s">
        <v>327</v>
      </c>
      <c r="I112" s="165" t="s">
        <v>382</v>
      </c>
      <c r="J112" s="165" t="s">
        <v>918</v>
      </c>
      <c r="K112" s="165" t="s">
        <v>388</v>
      </c>
      <c r="L112" s="165"/>
      <c r="M112" s="165" t="s">
        <v>541</v>
      </c>
      <c r="N112" s="165" t="s">
        <v>919</v>
      </c>
      <c r="O112" s="165" t="s">
        <v>1121</v>
      </c>
      <c r="P112" s="165" t="s">
        <v>83</v>
      </c>
    </row>
    <row r="113" spans="1:16">
      <c r="A113" s="165" t="s">
        <v>1201</v>
      </c>
      <c r="B113" s="165" t="s">
        <v>1202</v>
      </c>
      <c r="C113" s="165" t="s">
        <v>1014</v>
      </c>
      <c r="D113" s="167">
        <v>60</v>
      </c>
      <c r="E113" s="170">
        <v>6277</v>
      </c>
      <c r="F113" s="165" t="s">
        <v>286</v>
      </c>
      <c r="G113" s="165" t="s">
        <v>1028</v>
      </c>
      <c r="H113" s="165" t="s">
        <v>327</v>
      </c>
      <c r="I113" s="165" t="s">
        <v>382</v>
      </c>
      <c r="J113" s="165" t="s">
        <v>918</v>
      </c>
      <c r="K113" s="165" t="s">
        <v>388</v>
      </c>
      <c r="L113" s="165"/>
      <c r="M113" s="165" t="s">
        <v>541</v>
      </c>
      <c r="N113" s="165" t="s">
        <v>919</v>
      </c>
      <c r="O113" s="165" t="s">
        <v>1011</v>
      </c>
      <c r="P113" s="165" t="s">
        <v>286</v>
      </c>
    </row>
    <row r="114" spans="1:16">
      <c r="A114" s="165" t="s">
        <v>1203</v>
      </c>
      <c r="B114" s="165" t="s">
        <v>1202</v>
      </c>
      <c r="C114" s="165" t="s">
        <v>1009</v>
      </c>
      <c r="D114" s="167">
        <v>56</v>
      </c>
      <c r="E114" s="170">
        <v>6277</v>
      </c>
      <c r="F114" s="165" t="s">
        <v>286</v>
      </c>
      <c r="G114" s="165" t="s">
        <v>1028</v>
      </c>
      <c r="H114" s="165" t="s">
        <v>327</v>
      </c>
      <c r="I114" s="165" t="s">
        <v>382</v>
      </c>
      <c r="J114" s="165" t="s">
        <v>918</v>
      </c>
      <c r="K114" s="165" t="s">
        <v>388</v>
      </c>
      <c r="L114" s="165"/>
      <c r="M114" s="165" t="s">
        <v>541</v>
      </c>
      <c r="N114" s="165" t="s">
        <v>919</v>
      </c>
      <c r="O114" s="165" t="s">
        <v>1011</v>
      </c>
      <c r="P114" s="165" t="s">
        <v>286</v>
      </c>
    </row>
    <row r="115" spans="1:16">
      <c r="A115" s="165" t="s">
        <v>1204</v>
      </c>
      <c r="B115" s="165" t="s">
        <v>1205</v>
      </c>
      <c r="C115" s="165" t="s">
        <v>1014</v>
      </c>
      <c r="D115" s="167">
        <v>60</v>
      </c>
      <c r="E115" s="170">
        <v>6277</v>
      </c>
      <c r="F115" s="165" t="s">
        <v>78</v>
      </c>
      <c r="G115" s="165" t="s">
        <v>1028</v>
      </c>
      <c r="H115" s="165" t="s">
        <v>327</v>
      </c>
      <c r="I115" s="165" t="s">
        <v>382</v>
      </c>
      <c r="J115" s="165" t="s">
        <v>918</v>
      </c>
      <c r="K115" s="165" t="s">
        <v>388</v>
      </c>
      <c r="L115" s="165"/>
      <c r="M115" s="165" t="s">
        <v>541</v>
      </c>
      <c r="N115" s="165" t="s">
        <v>919</v>
      </c>
      <c r="O115" s="165" t="s">
        <v>920</v>
      </c>
      <c r="P115" s="165" t="s">
        <v>78</v>
      </c>
    </row>
    <row r="116" spans="1:16">
      <c r="A116" s="165" t="s">
        <v>1206</v>
      </c>
      <c r="B116" s="165" t="s">
        <v>1205</v>
      </c>
      <c r="C116" s="165" t="s">
        <v>1009</v>
      </c>
      <c r="D116" s="167">
        <v>56</v>
      </c>
      <c r="E116" s="170">
        <v>6277</v>
      </c>
      <c r="F116" s="165" t="s">
        <v>78</v>
      </c>
      <c r="G116" s="165" t="s">
        <v>1028</v>
      </c>
      <c r="H116" s="165" t="s">
        <v>327</v>
      </c>
      <c r="I116" s="165" t="s">
        <v>382</v>
      </c>
      <c r="J116" s="165" t="s">
        <v>918</v>
      </c>
      <c r="K116" s="165" t="s">
        <v>388</v>
      </c>
      <c r="L116" s="165"/>
      <c r="M116" s="165" t="s">
        <v>541</v>
      </c>
      <c r="N116" s="165" t="s">
        <v>919</v>
      </c>
      <c r="O116" s="165" t="s">
        <v>920</v>
      </c>
      <c r="P116" s="165" t="s">
        <v>78</v>
      </c>
    </row>
    <row r="117" spans="1:16">
      <c r="A117" s="165" t="s">
        <v>1207</v>
      </c>
      <c r="B117" s="165" t="s">
        <v>1208</v>
      </c>
      <c r="C117" s="165" t="s">
        <v>1014</v>
      </c>
      <c r="D117" s="167">
        <v>60</v>
      </c>
      <c r="E117" s="170">
        <v>6277</v>
      </c>
      <c r="F117" s="165" t="s">
        <v>55</v>
      </c>
      <c r="G117" s="165" t="s">
        <v>1028</v>
      </c>
      <c r="H117" s="165" t="s">
        <v>327</v>
      </c>
      <c r="I117" s="165" t="s">
        <v>382</v>
      </c>
      <c r="J117" s="165" t="s">
        <v>918</v>
      </c>
      <c r="K117" s="165" t="s">
        <v>388</v>
      </c>
      <c r="L117" s="165"/>
      <c r="M117" s="165" t="s">
        <v>541</v>
      </c>
      <c r="N117" s="165" t="s">
        <v>919</v>
      </c>
      <c r="O117" s="165" t="s">
        <v>923</v>
      </c>
      <c r="P117" s="165" t="s">
        <v>71</v>
      </c>
    </row>
    <row r="118" spans="1:16">
      <c r="A118" s="165" t="s">
        <v>1209</v>
      </c>
      <c r="B118" s="165" t="s">
        <v>1208</v>
      </c>
      <c r="C118" s="165" t="s">
        <v>1009</v>
      </c>
      <c r="D118" s="167">
        <v>56</v>
      </c>
      <c r="E118" s="170">
        <v>6277</v>
      </c>
      <c r="F118" s="165" t="s">
        <v>55</v>
      </c>
      <c r="G118" s="165" t="s">
        <v>1028</v>
      </c>
      <c r="H118" s="165" t="s">
        <v>327</v>
      </c>
      <c r="I118" s="165" t="s">
        <v>382</v>
      </c>
      <c r="J118" s="165" t="s">
        <v>918</v>
      </c>
      <c r="K118" s="165" t="s">
        <v>388</v>
      </c>
      <c r="L118" s="165"/>
      <c r="M118" s="165" t="s">
        <v>541</v>
      </c>
      <c r="N118" s="165" t="s">
        <v>919</v>
      </c>
      <c r="O118" s="165" t="s">
        <v>923</v>
      </c>
      <c r="P118" s="165" t="s">
        <v>71</v>
      </c>
    </row>
    <row r="119" spans="1:16">
      <c r="A119" s="165" t="s">
        <v>1210</v>
      </c>
      <c r="B119" s="165" t="s">
        <v>1211</v>
      </c>
      <c r="C119" s="165" t="s">
        <v>1014</v>
      </c>
      <c r="D119" s="167">
        <v>60</v>
      </c>
      <c r="E119" s="170">
        <v>6277</v>
      </c>
      <c r="F119" s="165" t="s">
        <v>121</v>
      </c>
      <c r="G119" s="165" t="s">
        <v>1028</v>
      </c>
      <c r="H119" s="165" t="s">
        <v>327</v>
      </c>
      <c r="I119" s="165" t="s">
        <v>382</v>
      </c>
      <c r="J119" s="165" t="s">
        <v>918</v>
      </c>
      <c r="K119" s="165" t="s">
        <v>388</v>
      </c>
      <c r="L119" s="165"/>
      <c r="M119" s="165" t="s">
        <v>541</v>
      </c>
      <c r="N119" s="165" t="s">
        <v>919</v>
      </c>
      <c r="O119" s="165" t="s">
        <v>955</v>
      </c>
      <c r="P119" s="165" t="s">
        <v>121</v>
      </c>
    </row>
    <row r="120" spans="1:16">
      <c r="A120" s="165" t="s">
        <v>1212</v>
      </c>
      <c r="B120" s="165" t="s">
        <v>1211</v>
      </c>
      <c r="C120" s="165" t="s">
        <v>1009</v>
      </c>
      <c r="D120" s="167">
        <v>56</v>
      </c>
      <c r="E120" s="170">
        <v>6277</v>
      </c>
      <c r="F120" s="165" t="s">
        <v>121</v>
      </c>
      <c r="G120" s="165" t="s">
        <v>1028</v>
      </c>
      <c r="H120" s="165" t="s">
        <v>327</v>
      </c>
      <c r="I120" s="165" t="s">
        <v>382</v>
      </c>
      <c r="J120" s="165" t="s">
        <v>918</v>
      </c>
      <c r="K120" s="165" t="s">
        <v>388</v>
      </c>
      <c r="L120" s="165"/>
      <c r="M120" s="165" t="s">
        <v>541</v>
      </c>
      <c r="N120" s="165" t="s">
        <v>919</v>
      </c>
      <c r="O120" s="165" t="s">
        <v>955</v>
      </c>
      <c r="P120" s="165" t="s">
        <v>121</v>
      </c>
    </row>
    <row r="121" spans="1:16">
      <c r="A121" s="165" t="s">
        <v>1213</v>
      </c>
      <c r="B121" s="165" t="s">
        <v>1214</v>
      </c>
      <c r="C121" s="165" t="s">
        <v>1215</v>
      </c>
      <c r="D121" s="167">
        <v>62</v>
      </c>
      <c r="E121" s="170">
        <v>6277</v>
      </c>
      <c r="F121" s="165" t="s">
        <v>53</v>
      </c>
      <c r="G121" s="165" t="s">
        <v>1028</v>
      </c>
      <c r="H121" s="165" t="s">
        <v>327</v>
      </c>
      <c r="I121" s="165" t="s">
        <v>382</v>
      </c>
      <c r="J121" s="165" t="s">
        <v>918</v>
      </c>
      <c r="K121" s="165" t="s">
        <v>388</v>
      </c>
      <c r="L121" s="165"/>
      <c r="M121" s="165" t="s">
        <v>541</v>
      </c>
      <c r="N121" s="165" t="s">
        <v>919</v>
      </c>
      <c r="O121" s="165" t="s">
        <v>926</v>
      </c>
      <c r="P121" s="165" t="s">
        <v>53</v>
      </c>
    </row>
    <row r="122" spans="1:16">
      <c r="A122" s="165" t="s">
        <v>1216</v>
      </c>
      <c r="B122" s="165" t="s">
        <v>1214</v>
      </c>
      <c r="C122" s="165" t="s">
        <v>1014</v>
      </c>
      <c r="D122" s="167">
        <v>60</v>
      </c>
      <c r="E122" s="170">
        <v>6277</v>
      </c>
      <c r="F122" s="165" t="s">
        <v>53</v>
      </c>
      <c r="G122" s="165" t="s">
        <v>1028</v>
      </c>
      <c r="H122" s="165" t="s">
        <v>327</v>
      </c>
      <c r="I122" s="165" t="s">
        <v>382</v>
      </c>
      <c r="J122" s="165" t="s">
        <v>918</v>
      </c>
      <c r="K122" s="165" t="s">
        <v>388</v>
      </c>
      <c r="L122" s="165"/>
      <c r="M122" s="165" t="s">
        <v>541</v>
      </c>
      <c r="N122" s="165" t="s">
        <v>919</v>
      </c>
      <c r="O122" s="165" t="s">
        <v>926</v>
      </c>
      <c r="P122" s="165" t="s">
        <v>53</v>
      </c>
    </row>
    <row r="123" spans="1:16">
      <c r="A123" s="165" t="s">
        <v>1217</v>
      </c>
      <c r="B123" s="165" t="s">
        <v>1214</v>
      </c>
      <c r="C123" s="165" t="s">
        <v>1009</v>
      </c>
      <c r="D123" s="167">
        <v>56</v>
      </c>
      <c r="E123" s="170">
        <v>6277</v>
      </c>
      <c r="F123" s="165" t="s">
        <v>53</v>
      </c>
      <c r="G123" s="165" t="s">
        <v>1028</v>
      </c>
      <c r="H123" s="165" t="s">
        <v>327</v>
      </c>
      <c r="I123" s="165" t="s">
        <v>382</v>
      </c>
      <c r="J123" s="165" t="s">
        <v>918</v>
      </c>
      <c r="K123" s="165" t="s">
        <v>388</v>
      </c>
      <c r="L123" s="165"/>
      <c r="M123" s="165" t="s">
        <v>541</v>
      </c>
      <c r="N123" s="165" t="s">
        <v>919</v>
      </c>
      <c r="O123" s="165" t="s">
        <v>926</v>
      </c>
      <c r="P123" s="165" t="s">
        <v>53</v>
      </c>
    </row>
    <row r="124" spans="1:16">
      <c r="A124" s="165" t="s">
        <v>1218</v>
      </c>
      <c r="B124" s="165" t="s">
        <v>1219</v>
      </c>
      <c r="C124" s="165" t="s">
        <v>1014</v>
      </c>
      <c r="D124" s="167">
        <v>60</v>
      </c>
      <c r="E124" s="170">
        <v>6277</v>
      </c>
      <c r="F124" s="165" t="s">
        <v>277</v>
      </c>
      <c r="G124" s="165" t="s">
        <v>1028</v>
      </c>
      <c r="H124" s="165" t="s">
        <v>327</v>
      </c>
      <c r="I124" s="165" t="s">
        <v>382</v>
      </c>
      <c r="J124" s="165" t="s">
        <v>918</v>
      </c>
      <c r="K124" s="165" t="s">
        <v>388</v>
      </c>
      <c r="L124" s="165"/>
      <c r="M124" s="165" t="s">
        <v>541</v>
      </c>
      <c r="N124" s="165" t="s">
        <v>919</v>
      </c>
      <c r="O124" s="165" t="s">
        <v>932</v>
      </c>
      <c r="P124" s="165" t="s">
        <v>83</v>
      </c>
    </row>
    <row r="125" spans="1:16">
      <c r="A125" s="165" t="s">
        <v>1220</v>
      </c>
      <c r="B125" s="165" t="s">
        <v>1219</v>
      </c>
      <c r="C125" s="165" t="s">
        <v>1009</v>
      </c>
      <c r="D125" s="167">
        <v>56</v>
      </c>
      <c r="E125" s="170">
        <v>6277</v>
      </c>
      <c r="F125" s="165" t="s">
        <v>277</v>
      </c>
      <c r="G125" s="165" t="s">
        <v>1028</v>
      </c>
      <c r="H125" s="165" t="s">
        <v>327</v>
      </c>
      <c r="I125" s="165" t="s">
        <v>382</v>
      </c>
      <c r="J125" s="165" t="s">
        <v>918</v>
      </c>
      <c r="K125" s="165" t="s">
        <v>388</v>
      </c>
      <c r="L125" s="165"/>
      <c r="M125" s="165" t="s">
        <v>541</v>
      </c>
      <c r="N125" s="165" t="s">
        <v>919</v>
      </c>
      <c r="O125" s="165" t="s">
        <v>932</v>
      </c>
      <c r="P125" s="165" t="s">
        <v>83</v>
      </c>
    </row>
    <row r="126" spans="1:16">
      <c r="A126" s="165" t="s">
        <v>1221</v>
      </c>
      <c r="B126" s="165" t="s">
        <v>1222</v>
      </c>
      <c r="C126" s="165" t="s">
        <v>909</v>
      </c>
      <c r="D126" s="166">
        <v>0</v>
      </c>
      <c r="E126" s="169" t="s">
        <v>1035</v>
      </c>
      <c r="F126" s="165" t="s">
        <v>690</v>
      </c>
      <c r="G126" s="165" t="s">
        <v>912</v>
      </c>
      <c r="H126" s="165" t="s">
        <v>783</v>
      </c>
      <c r="I126" s="165" t="s">
        <v>382</v>
      </c>
      <c r="J126" s="165" t="s">
        <v>918</v>
      </c>
      <c r="K126" s="165" t="s">
        <v>388</v>
      </c>
      <c r="L126" s="165"/>
      <c r="M126" s="165" t="s">
        <v>541</v>
      </c>
      <c r="N126" s="165" t="s">
        <v>919</v>
      </c>
      <c r="O126" s="165" t="s">
        <v>1223</v>
      </c>
      <c r="P126" s="165" t="s">
        <v>53</v>
      </c>
    </row>
    <row r="127" spans="1:16">
      <c r="A127" s="165" t="s">
        <v>1224</v>
      </c>
      <c r="B127" s="165" t="s">
        <v>1225</v>
      </c>
      <c r="C127" s="165" t="s">
        <v>909</v>
      </c>
      <c r="D127" s="166">
        <v>0</v>
      </c>
      <c r="E127" s="169" t="s">
        <v>1226</v>
      </c>
      <c r="F127" s="165" t="s">
        <v>119</v>
      </c>
      <c r="G127" s="165" t="s">
        <v>912</v>
      </c>
      <c r="H127" s="165" t="s">
        <v>356</v>
      </c>
      <c r="I127" s="165" t="s">
        <v>382</v>
      </c>
      <c r="J127" s="165" t="s">
        <v>918</v>
      </c>
      <c r="K127" s="165" t="s">
        <v>388</v>
      </c>
      <c r="L127" s="165"/>
      <c r="M127" s="165" t="s">
        <v>541</v>
      </c>
      <c r="N127" s="165" t="s">
        <v>919</v>
      </c>
      <c r="O127" s="165" t="s">
        <v>1227</v>
      </c>
      <c r="P127" s="165" t="s">
        <v>57</v>
      </c>
    </row>
    <row r="128" spans="1:16">
      <c r="A128" s="165" t="s">
        <v>1228</v>
      </c>
      <c r="B128" s="165" t="s">
        <v>1229</v>
      </c>
      <c r="C128" s="165" t="s">
        <v>909</v>
      </c>
      <c r="D128" s="166">
        <v>0</v>
      </c>
      <c r="E128" s="169" t="s">
        <v>1226</v>
      </c>
      <c r="F128" s="165" t="s">
        <v>107</v>
      </c>
      <c r="G128" s="165" t="s">
        <v>912</v>
      </c>
      <c r="H128" s="165" t="s">
        <v>356</v>
      </c>
      <c r="I128" s="165" t="s">
        <v>382</v>
      </c>
      <c r="J128" s="165" t="s">
        <v>918</v>
      </c>
      <c r="K128" s="165" t="s">
        <v>388</v>
      </c>
      <c r="L128" s="165"/>
      <c r="M128" s="165" t="s">
        <v>541</v>
      </c>
      <c r="N128" s="165" t="s">
        <v>919</v>
      </c>
      <c r="O128" s="165" t="s">
        <v>1230</v>
      </c>
      <c r="P128" s="165" t="s">
        <v>57</v>
      </c>
    </row>
    <row r="129" spans="1:16">
      <c r="A129" s="165" t="s">
        <v>1231</v>
      </c>
      <c r="B129" s="165" t="s">
        <v>1232</v>
      </c>
      <c r="C129" s="165" t="s">
        <v>909</v>
      </c>
      <c r="D129" s="166">
        <v>0</v>
      </c>
      <c r="E129" s="169" t="s">
        <v>1233</v>
      </c>
      <c r="F129" s="165" t="s">
        <v>158</v>
      </c>
      <c r="G129" s="165" t="s">
        <v>1234</v>
      </c>
      <c r="H129" s="165" t="s">
        <v>356</v>
      </c>
      <c r="I129" s="165" t="s">
        <v>382</v>
      </c>
      <c r="J129" s="165" t="s">
        <v>918</v>
      </c>
      <c r="K129" s="165" t="s">
        <v>388</v>
      </c>
      <c r="L129" s="165"/>
      <c r="M129" s="165" t="s">
        <v>541</v>
      </c>
      <c r="N129" s="165" t="s">
        <v>919</v>
      </c>
      <c r="O129" s="165" t="s">
        <v>1097</v>
      </c>
      <c r="P129" s="165" t="s">
        <v>60</v>
      </c>
    </row>
    <row r="130" spans="1:16">
      <c r="A130" s="165" t="s">
        <v>1235</v>
      </c>
      <c r="B130" s="165" t="s">
        <v>1236</v>
      </c>
      <c r="C130" s="165" t="s">
        <v>1014</v>
      </c>
      <c r="D130" s="167">
        <v>60</v>
      </c>
      <c r="E130" s="169" t="s">
        <v>1237</v>
      </c>
      <c r="F130" s="165" t="s">
        <v>845</v>
      </c>
      <c r="G130" s="165" t="s">
        <v>1063</v>
      </c>
      <c r="H130" s="165" t="s">
        <v>327</v>
      </c>
      <c r="I130" s="165" t="s">
        <v>382</v>
      </c>
      <c r="J130" s="165" t="s">
        <v>918</v>
      </c>
      <c r="K130" s="165" t="s">
        <v>388</v>
      </c>
      <c r="L130" s="165" t="s">
        <v>43</v>
      </c>
      <c r="M130" s="165" t="s">
        <v>541</v>
      </c>
      <c r="N130" s="165" t="s">
        <v>919</v>
      </c>
      <c r="O130" s="165" t="s">
        <v>1238</v>
      </c>
      <c r="P130" s="165" t="s">
        <v>60</v>
      </c>
    </row>
    <row r="131" spans="1:16">
      <c r="A131" s="165" t="s">
        <v>1239</v>
      </c>
      <c r="B131" s="165" t="s">
        <v>1236</v>
      </c>
      <c r="C131" s="165" t="s">
        <v>1009</v>
      </c>
      <c r="D131" s="167">
        <v>56</v>
      </c>
      <c r="E131" s="169" t="s">
        <v>1237</v>
      </c>
      <c r="F131" s="165" t="s">
        <v>845</v>
      </c>
      <c r="G131" s="165" t="s">
        <v>1063</v>
      </c>
      <c r="H131" s="165" t="s">
        <v>327</v>
      </c>
      <c r="I131" s="165" t="s">
        <v>382</v>
      </c>
      <c r="J131" s="165" t="s">
        <v>918</v>
      </c>
      <c r="K131" s="165" t="s">
        <v>388</v>
      </c>
      <c r="L131" s="165" t="s">
        <v>43</v>
      </c>
      <c r="M131" s="165" t="s">
        <v>541</v>
      </c>
      <c r="N131" s="165" t="s">
        <v>919</v>
      </c>
      <c r="O131" s="165" t="s">
        <v>1238</v>
      </c>
      <c r="P131" s="165" t="s">
        <v>60</v>
      </c>
    </row>
    <row r="132" spans="1:16">
      <c r="A132" s="165" t="s">
        <v>1240</v>
      </c>
      <c r="B132" s="165" t="s">
        <v>1241</v>
      </c>
      <c r="C132" s="165" t="s">
        <v>1014</v>
      </c>
      <c r="D132" s="167">
        <v>60</v>
      </c>
      <c r="E132" s="169" t="s">
        <v>1237</v>
      </c>
      <c r="F132" s="165" t="s">
        <v>158</v>
      </c>
      <c r="G132" s="165" t="s">
        <v>1063</v>
      </c>
      <c r="H132" s="165" t="s">
        <v>327</v>
      </c>
      <c r="I132" s="165" t="s">
        <v>382</v>
      </c>
      <c r="J132" s="165" t="s">
        <v>918</v>
      </c>
      <c r="K132" s="165" t="s">
        <v>388</v>
      </c>
      <c r="L132" s="165" t="s">
        <v>43</v>
      </c>
      <c r="M132" s="165" t="s">
        <v>541</v>
      </c>
      <c r="N132" s="165" t="s">
        <v>919</v>
      </c>
      <c r="O132" s="165" t="s">
        <v>1064</v>
      </c>
      <c r="P132" s="165" t="s">
        <v>60</v>
      </c>
    </row>
    <row r="133" spans="1:16">
      <c r="A133" s="165" t="s">
        <v>1242</v>
      </c>
      <c r="B133" s="165" t="s">
        <v>1241</v>
      </c>
      <c r="C133" s="165" t="s">
        <v>1009</v>
      </c>
      <c r="D133" s="167">
        <v>56</v>
      </c>
      <c r="E133" s="169" t="s">
        <v>1237</v>
      </c>
      <c r="F133" s="165" t="s">
        <v>158</v>
      </c>
      <c r="G133" s="165" t="s">
        <v>1063</v>
      </c>
      <c r="H133" s="165" t="s">
        <v>327</v>
      </c>
      <c r="I133" s="165" t="s">
        <v>382</v>
      </c>
      <c r="J133" s="165" t="s">
        <v>918</v>
      </c>
      <c r="K133" s="165" t="s">
        <v>388</v>
      </c>
      <c r="L133" s="165" t="s">
        <v>43</v>
      </c>
      <c r="M133" s="165" t="s">
        <v>541</v>
      </c>
      <c r="N133" s="165" t="s">
        <v>919</v>
      </c>
      <c r="O133" s="165" t="s">
        <v>1064</v>
      </c>
      <c r="P133" s="165" t="s">
        <v>60</v>
      </c>
    </row>
    <row r="134" spans="1:16">
      <c r="A134" s="165" t="s">
        <v>1243</v>
      </c>
      <c r="B134" s="165" t="s">
        <v>1244</v>
      </c>
      <c r="C134" s="165" t="s">
        <v>909</v>
      </c>
      <c r="D134" s="166">
        <v>0</v>
      </c>
      <c r="E134" s="169" t="s">
        <v>1152</v>
      </c>
      <c r="F134" s="165" t="s">
        <v>55</v>
      </c>
      <c r="G134" s="165" t="s">
        <v>1040</v>
      </c>
      <c r="H134" s="165" t="s">
        <v>327</v>
      </c>
      <c r="I134" s="165" t="s">
        <v>382</v>
      </c>
      <c r="J134" s="165" t="s">
        <v>918</v>
      </c>
      <c r="K134" s="165" t="s">
        <v>388</v>
      </c>
      <c r="L134" s="165" t="s">
        <v>46</v>
      </c>
      <c r="M134" s="165" t="s">
        <v>541</v>
      </c>
      <c r="N134" s="165" t="s">
        <v>919</v>
      </c>
      <c r="O134" s="165" t="s">
        <v>923</v>
      </c>
      <c r="P134" s="165" t="s">
        <v>71</v>
      </c>
    </row>
    <row r="135" spans="1:16">
      <c r="A135" s="165" t="s">
        <v>1245</v>
      </c>
      <c r="B135" s="165" t="s">
        <v>1246</v>
      </c>
      <c r="C135" s="165" t="s">
        <v>909</v>
      </c>
      <c r="D135" s="166">
        <v>0</v>
      </c>
      <c r="E135" s="169" t="s">
        <v>1152</v>
      </c>
      <c r="F135" s="165" t="s">
        <v>121</v>
      </c>
      <c r="G135" s="165" t="s">
        <v>1040</v>
      </c>
      <c r="H135" s="165" t="s">
        <v>327</v>
      </c>
      <c r="I135" s="165" t="s">
        <v>382</v>
      </c>
      <c r="J135" s="165" t="s">
        <v>918</v>
      </c>
      <c r="K135" s="165" t="s">
        <v>388</v>
      </c>
      <c r="L135" s="165" t="s">
        <v>46</v>
      </c>
      <c r="M135" s="165" t="s">
        <v>541</v>
      </c>
      <c r="N135" s="165" t="s">
        <v>919</v>
      </c>
      <c r="O135" s="165" t="s">
        <v>955</v>
      </c>
      <c r="P135" s="165" t="s">
        <v>121</v>
      </c>
    </row>
    <row r="136" spans="1:16">
      <c r="A136" s="165" t="s">
        <v>1247</v>
      </c>
      <c r="B136" s="165" t="s">
        <v>1248</v>
      </c>
      <c r="C136" s="165" t="s">
        <v>909</v>
      </c>
      <c r="D136" s="166">
        <v>0</v>
      </c>
      <c r="E136" s="169" t="s">
        <v>1152</v>
      </c>
      <c r="F136" s="165" t="s">
        <v>277</v>
      </c>
      <c r="G136" s="165" t="s">
        <v>1040</v>
      </c>
      <c r="H136" s="165" t="s">
        <v>327</v>
      </c>
      <c r="I136" s="165" t="s">
        <v>382</v>
      </c>
      <c r="J136" s="165" t="s">
        <v>918</v>
      </c>
      <c r="K136" s="165" t="s">
        <v>388</v>
      </c>
      <c r="L136" s="165" t="s">
        <v>46</v>
      </c>
      <c r="M136" s="165" t="s">
        <v>541</v>
      </c>
      <c r="N136" s="165" t="s">
        <v>919</v>
      </c>
      <c r="O136" s="165" t="s">
        <v>932</v>
      </c>
      <c r="P136" s="165" t="s">
        <v>83</v>
      </c>
    </row>
    <row r="137" spans="1:16">
      <c r="A137" s="165" t="s">
        <v>1249</v>
      </c>
      <c r="B137" s="165" t="s">
        <v>1250</v>
      </c>
      <c r="C137" s="165" t="s">
        <v>909</v>
      </c>
      <c r="D137" s="166">
        <v>0</v>
      </c>
      <c r="E137" s="170">
        <v>6606</v>
      </c>
      <c r="F137" s="165" t="s">
        <v>738</v>
      </c>
      <c r="G137" s="165" t="s">
        <v>1003</v>
      </c>
      <c r="H137" s="165" t="s">
        <v>356</v>
      </c>
      <c r="I137" s="165" t="s">
        <v>382</v>
      </c>
      <c r="J137" s="165" t="s">
        <v>918</v>
      </c>
      <c r="K137" s="165" t="s">
        <v>388</v>
      </c>
      <c r="L137" s="165" t="s">
        <v>43</v>
      </c>
      <c r="M137" s="165" t="s">
        <v>541</v>
      </c>
      <c r="N137" s="165" t="s">
        <v>919</v>
      </c>
      <c r="O137" s="165" t="s">
        <v>946</v>
      </c>
      <c r="P137" s="165" t="s">
        <v>199</v>
      </c>
    </row>
    <row r="138" spans="1:16">
      <c r="A138" s="165" t="s">
        <v>1251</v>
      </c>
      <c r="B138" s="165" t="s">
        <v>1252</v>
      </c>
      <c r="C138" s="165" t="s">
        <v>909</v>
      </c>
      <c r="D138" s="166">
        <v>0</v>
      </c>
      <c r="E138" s="170">
        <v>6606</v>
      </c>
      <c r="F138" s="165" t="s">
        <v>57</v>
      </c>
      <c r="G138" s="165" t="s">
        <v>1003</v>
      </c>
      <c r="H138" s="165" t="s">
        <v>356</v>
      </c>
      <c r="I138" s="165" t="s">
        <v>382</v>
      </c>
      <c r="J138" s="165" t="s">
        <v>918</v>
      </c>
      <c r="K138" s="165" t="s">
        <v>388</v>
      </c>
      <c r="L138" s="165" t="s">
        <v>43</v>
      </c>
      <c r="M138" s="165" t="s">
        <v>541</v>
      </c>
      <c r="N138" s="165" t="s">
        <v>919</v>
      </c>
      <c r="O138" s="165" t="s">
        <v>982</v>
      </c>
      <c r="P138" s="165" t="s">
        <v>57</v>
      </c>
    </row>
    <row r="139" spans="1:16">
      <c r="A139" s="165" t="s">
        <v>1253</v>
      </c>
      <c r="B139" s="165" t="s">
        <v>1254</v>
      </c>
      <c r="C139" s="165" t="s">
        <v>909</v>
      </c>
      <c r="D139" s="166">
        <v>0</v>
      </c>
      <c r="E139" s="170">
        <v>6606</v>
      </c>
      <c r="F139" s="165" t="s">
        <v>121</v>
      </c>
      <c r="G139" s="165" t="s">
        <v>1003</v>
      </c>
      <c r="H139" s="165" t="s">
        <v>356</v>
      </c>
      <c r="I139" s="165" t="s">
        <v>382</v>
      </c>
      <c r="J139" s="165" t="s">
        <v>918</v>
      </c>
      <c r="K139" s="165" t="s">
        <v>388</v>
      </c>
      <c r="L139" s="165" t="s">
        <v>43</v>
      </c>
      <c r="M139" s="165" t="s">
        <v>541</v>
      </c>
      <c r="N139" s="165" t="s">
        <v>919</v>
      </c>
      <c r="O139" s="165" t="s">
        <v>1255</v>
      </c>
      <c r="P139" s="165" t="s">
        <v>121</v>
      </c>
    </row>
    <row r="140" spans="1:16">
      <c r="A140" s="165" t="s">
        <v>1256</v>
      </c>
      <c r="B140" s="165" t="s">
        <v>1257</v>
      </c>
      <c r="C140" s="165" t="s">
        <v>1014</v>
      </c>
      <c r="D140" s="167">
        <v>60</v>
      </c>
      <c r="E140" s="170">
        <v>6277</v>
      </c>
      <c r="F140" s="165" t="s">
        <v>91</v>
      </c>
      <c r="G140" s="165" t="s">
        <v>1028</v>
      </c>
      <c r="H140" s="165" t="s">
        <v>327</v>
      </c>
      <c r="I140" s="165" t="s">
        <v>382</v>
      </c>
      <c r="J140" s="165" t="s">
        <v>918</v>
      </c>
      <c r="K140" s="165" t="s">
        <v>388</v>
      </c>
      <c r="L140" s="165"/>
      <c r="M140" s="165" t="s">
        <v>541</v>
      </c>
      <c r="N140" s="165" t="s">
        <v>919</v>
      </c>
      <c r="O140" s="165" t="s">
        <v>939</v>
      </c>
      <c r="P140" s="165" t="s">
        <v>91</v>
      </c>
    </row>
    <row r="141" spans="1:16">
      <c r="A141" s="165" t="s">
        <v>1258</v>
      </c>
      <c r="B141" s="165" t="s">
        <v>1257</v>
      </c>
      <c r="C141" s="165" t="s">
        <v>1009</v>
      </c>
      <c r="D141" s="167">
        <v>56</v>
      </c>
      <c r="E141" s="170">
        <v>6277</v>
      </c>
      <c r="F141" s="165" t="s">
        <v>91</v>
      </c>
      <c r="G141" s="165" t="s">
        <v>1028</v>
      </c>
      <c r="H141" s="165" t="s">
        <v>327</v>
      </c>
      <c r="I141" s="165" t="s">
        <v>382</v>
      </c>
      <c r="J141" s="165" t="s">
        <v>918</v>
      </c>
      <c r="K141" s="165" t="s">
        <v>388</v>
      </c>
      <c r="L141" s="165"/>
      <c r="M141" s="165" t="s">
        <v>541</v>
      </c>
      <c r="N141" s="165" t="s">
        <v>919</v>
      </c>
      <c r="O141" s="165" t="s">
        <v>939</v>
      </c>
      <c r="P141" s="165" t="s">
        <v>91</v>
      </c>
    </row>
    <row r="142" spans="1:16">
      <c r="A142" s="165" t="s">
        <v>1259</v>
      </c>
      <c r="B142" s="165" t="s">
        <v>1260</v>
      </c>
      <c r="C142" s="165" t="s">
        <v>1014</v>
      </c>
      <c r="D142" s="167">
        <v>60</v>
      </c>
      <c r="E142" s="170">
        <v>6277</v>
      </c>
      <c r="F142" s="165" t="s">
        <v>57</v>
      </c>
      <c r="G142" s="165" t="s">
        <v>1028</v>
      </c>
      <c r="H142" s="165" t="s">
        <v>327</v>
      </c>
      <c r="I142" s="165" t="s">
        <v>382</v>
      </c>
      <c r="J142" s="165" t="s">
        <v>918</v>
      </c>
      <c r="K142" s="165" t="s">
        <v>388</v>
      </c>
      <c r="L142" s="165"/>
      <c r="M142" s="165" t="s">
        <v>541</v>
      </c>
      <c r="N142" s="165" t="s">
        <v>919</v>
      </c>
      <c r="O142" s="165" t="s">
        <v>982</v>
      </c>
      <c r="P142" s="165" t="s">
        <v>57</v>
      </c>
    </row>
    <row r="143" spans="1:16">
      <c r="A143" s="165" t="s">
        <v>1261</v>
      </c>
      <c r="B143" s="165" t="s">
        <v>1260</v>
      </c>
      <c r="C143" s="165" t="s">
        <v>1009</v>
      </c>
      <c r="D143" s="167">
        <v>56</v>
      </c>
      <c r="E143" s="170">
        <v>6277</v>
      </c>
      <c r="F143" s="165" t="s">
        <v>57</v>
      </c>
      <c r="G143" s="165" t="s">
        <v>1028</v>
      </c>
      <c r="H143" s="165" t="s">
        <v>327</v>
      </c>
      <c r="I143" s="165" t="s">
        <v>382</v>
      </c>
      <c r="J143" s="165" t="s">
        <v>918</v>
      </c>
      <c r="K143" s="165" t="s">
        <v>388</v>
      </c>
      <c r="L143" s="165"/>
      <c r="M143" s="165" t="s">
        <v>541</v>
      </c>
      <c r="N143" s="165" t="s">
        <v>919</v>
      </c>
      <c r="O143" s="165" t="s">
        <v>982</v>
      </c>
      <c r="P143" s="165" t="s">
        <v>57</v>
      </c>
    </row>
    <row r="144" spans="1:16">
      <c r="A144" s="165" t="s">
        <v>1262</v>
      </c>
      <c r="B144" s="165" t="s">
        <v>1263</v>
      </c>
      <c r="C144" s="165" t="s">
        <v>1014</v>
      </c>
      <c r="D144" s="167">
        <v>60</v>
      </c>
      <c r="E144" s="170">
        <v>6277</v>
      </c>
      <c r="F144" s="165" t="s">
        <v>226</v>
      </c>
      <c r="G144" s="165" t="s">
        <v>1028</v>
      </c>
      <c r="H144" s="165" t="s">
        <v>327</v>
      </c>
      <c r="I144" s="165" t="s">
        <v>382</v>
      </c>
      <c r="J144" s="165" t="s">
        <v>918</v>
      </c>
      <c r="K144" s="165" t="s">
        <v>388</v>
      </c>
      <c r="L144" s="165"/>
      <c r="M144" s="165" t="s">
        <v>541</v>
      </c>
      <c r="N144" s="165" t="s">
        <v>919</v>
      </c>
      <c r="O144" s="165" t="s">
        <v>1264</v>
      </c>
      <c r="P144" s="165" t="s">
        <v>86</v>
      </c>
    </row>
    <row r="145" spans="1:16">
      <c r="A145" s="165" t="s">
        <v>1265</v>
      </c>
      <c r="B145" s="165" t="s">
        <v>1263</v>
      </c>
      <c r="C145" s="165" t="s">
        <v>1009</v>
      </c>
      <c r="D145" s="167">
        <v>56</v>
      </c>
      <c r="E145" s="170">
        <v>6277</v>
      </c>
      <c r="F145" s="165" t="s">
        <v>226</v>
      </c>
      <c r="G145" s="165" t="s">
        <v>1028</v>
      </c>
      <c r="H145" s="165" t="s">
        <v>327</v>
      </c>
      <c r="I145" s="165" t="s">
        <v>382</v>
      </c>
      <c r="J145" s="165" t="s">
        <v>918</v>
      </c>
      <c r="K145" s="165" t="s">
        <v>388</v>
      </c>
      <c r="L145" s="165"/>
      <c r="M145" s="165" t="s">
        <v>541</v>
      </c>
      <c r="N145" s="165" t="s">
        <v>919</v>
      </c>
      <c r="O145" s="165" t="s">
        <v>1264</v>
      </c>
      <c r="P145" s="165" t="s">
        <v>86</v>
      </c>
    </row>
    <row r="146" spans="1:16">
      <c r="A146" s="165" t="s">
        <v>1266</v>
      </c>
      <c r="B146" s="165" t="s">
        <v>1267</v>
      </c>
      <c r="C146" s="165" t="s">
        <v>1014</v>
      </c>
      <c r="D146" s="167">
        <v>60</v>
      </c>
      <c r="E146" s="170">
        <v>6277</v>
      </c>
      <c r="F146" s="165" t="s">
        <v>234</v>
      </c>
      <c r="G146" s="165" t="s">
        <v>1028</v>
      </c>
      <c r="H146" s="165" t="s">
        <v>327</v>
      </c>
      <c r="I146" s="165" t="s">
        <v>382</v>
      </c>
      <c r="J146" s="165" t="s">
        <v>918</v>
      </c>
      <c r="K146" s="165" t="s">
        <v>388</v>
      </c>
      <c r="L146" s="165"/>
      <c r="M146" s="165" t="s">
        <v>541</v>
      </c>
      <c r="N146" s="165" t="s">
        <v>919</v>
      </c>
      <c r="O146" s="165" t="s">
        <v>1086</v>
      </c>
      <c r="P146" s="165" t="s">
        <v>83</v>
      </c>
    </row>
    <row r="147" spans="1:16">
      <c r="A147" s="165" t="s">
        <v>1268</v>
      </c>
      <c r="B147" s="165" t="s">
        <v>1267</v>
      </c>
      <c r="C147" s="165" t="s">
        <v>1009</v>
      </c>
      <c r="D147" s="167">
        <v>56</v>
      </c>
      <c r="E147" s="170">
        <v>6277</v>
      </c>
      <c r="F147" s="165" t="s">
        <v>234</v>
      </c>
      <c r="G147" s="165" t="s">
        <v>1028</v>
      </c>
      <c r="H147" s="165" t="s">
        <v>327</v>
      </c>
      <c r="I147" s="165" t="s">
        <v>382</v>
      </c>
      <c r="J147" s="165" t="s">
        <v>918</v>
      </c>
      <c r="K147" s="165" t="s">
        <v>388</v>
      </c>
      <c r="L147" s="165"/>
      <c r="M147" s="165" t="s">
        <v>541</v>
      </c>
      <c r="N147" s="165" t="s">
        <v>919</v>
      </c>
      <c r="O147" s="165" t="s">
        <v>1086</v>
      </c>
      <c r="P147" s="165" t="s">
        <v>83</v>
      </c>
    </row>
    <row r="148" spans="1:16">
      <c r="A148" s="165" t="s">
        <v>1269</v>
      </c>
      <c r="B148" s="165" t="s">
        <v>1270</v>
      </c>
      <c r="C148" s="165" t="s">
        <v>1014</v>
      </c>
      <c r="D148" s="167">
        <v>60</v>
      </c>
      <c r="E148" s="170">
        <v>6277</v>
      </c>
      <c r="F148" s="165" t="s">
        <v>195</v>
      </c>
      <c r="G148" s="165" t="s">
        <v>1028</v>
      </c>
      <c r="H148" s="165" t="s">
        <v>327</v>
      </c>
      <c r="I148" s="165" t="s">
        <v>382</v>
      </c>
      <c r="J148" s="165" t="s">
        <v>918</v>
      </c>
      <c r="K148" s="165" t="s">
        <v>388</v>
      </c>
      <c r="L148" s="165"/>
      <c r="M148" s="165" t="s">
        <v>541</v>
      </c>
      <c r="N148" s="165" t="s">
        <v>919</v>
      </c>
      <c r="O148" s="165" t="s">
        <v>965</v>
      </c>
      <c r="P148" s="165" t="s">
        <v>195</v>
      </c>
    </row>
    <row r="149" spans="1:16">
      <c r="A149" s="165" t="s">
        <v>1271</v>
      </c>
      <c r="B149" s="165" t="s">
        <v>1270</v>
      </c>
      <c r="C149" s="165" t="s">
        <v>1009</v>
      </c>
      <c r="D149" s="167">
        <v>56</v>
      </c>
      <c r="E149" s="170">
        <v>6277</v>
      </c>
      <c r="F149" s="165" t="s">
        <v>195</v>
      </c>
      <c r="G149" s="165" t="s">
        <v>1028</v>
      </c>
      <c r="H149" s="165" t="s">
        <v>327</v>
      </c>
      <c r="I149" s="165" t="s">
        <v>382</v>
      </c>
      <c r="J149" s="165" t="s">
        <v>918</v>
      </c>
      <c r="K149" s="165" t="s">
        <v>388</v>
      </c>
      <c r="L149" s="165"/>
      <c r="M149" s="165" t="s">
        <v>541</v>
      </c>
      <c r="N149" s="165" t="s">
        <v>919</v>
      </c>
      <c r="O149" s="165" t="s">
        <v>965</v>
      </c>
      <c r="P149" s="165" t="s">
        <v>195</v>
      </c>
    </row>
    <row r="150" spans="1:16">
      <c r="A150" s="165" t="s">
        <v>1272</v>
      </c>
      <c r="B150" s="165" t="s">
        <v>1273</v>
      </c>
      <c r="C150" s="165" t="s">
        <v>909</v>
      </c>
      <c r="D150" s="166">
        <v>0</v>
      </c>
      <c r="E150" s="169" t="s">
        <v>1062</v>
      </c>
      <c r="F150" s="165" t="s">
        <v>845</v>
      </c>
      <c r="G150" s="165" t="s">
        <v>1063</v>
      </c>
      <c r="H150" s="165" t="s">
        <v>783</v>
      </c>
      <c r="I150" s="165" t="s">
        <v>382</v>
      </c>
      <c r="J150" s="165" t="s">
        <v>918</v>
      </c>
      <c r="K150" s="165" t="s">
        <v>388</v>
      </c>
      <c r="L150" s="165" t="s">
        <v>43</v>
      </c>
      <c r="M150" s="165" t="s">
        <v>541</v>
      </c>
      <c r="N150" s="165" t="s">
        <v>919</v>
      </c>
      <c r="O150" s="165" t="s">
        <v>1238</v>
      </c>
      <c r="P150" s="165" t="s">
        <v>60</v>
      </c>
    </row>
    <row r="151" spans="1:16">
      <c r="A151" s="165" t="s">
        <v>1274</v>
      </c>
      <c r="B151" s="165" t="s">
        <v>1275</v>
      </c>
      <c r="C151" s="165" t="s">
        <v>909</v>
      </c>
      <c r="D151" s="166">
        <v>0</v>
      </c>
      <c r="E151" s="169" t="s">
        <v>1067</v>
      </c>
      <c r="F151" s="165" t="s">
        <v>590</v>
      </c>
      <c r="G151" s="165" t="s">
        <v>1040</v>
      </c>
      <c r="H151" s="165" t="s">
        <v>783</v>
      </c>
      <c r="I151" s="165" t="s">
        <v>382</v>
      </c>
      <c r="J151" s="165" t="s">
        <v>918</v>
      </c>
      <c r="K151" s="165" t="s">
        <v>388</v>
      </c>
      <c r="L151" s="165" t="s">
        <v>46</v>
      </c>
      <c r="M151" s="165" t="s">
        <v>541</v>
      </c>
      <c r="N151" s="165" t="s">
        <v>919</v>
      </c>
      <c r="O151" s="165" t="s">
        <v>1276</v>
      </c>
      <c r="P151" s="165" t="s">
        <v>53</v>
      </c>
    </row>
    <row r="152" spans="1:16">
      <c r="A152" s="165" t="s">
        <v>1277</v>
      </c>
      <c r="B152" s="165" t="s">
        <v>1278</v>
      </c>
      <c r="C152" s="165" t="s">
        <v>909</v>
      </c>
      <c r="D152" s="166">
        <v>0</v>
      </c>
      <c r="E152" s="169" t="s">
        <v>1067</v>
      </c>
      <c r="F152" s="165" t="s">
        <v>286</v>
      </c>
      <c r="G152" s="165" t="s">
        <v>1040</v>
      </c>
      <c r="H152" s="165" t="s">
        <v>783</v>
      </c>
      <c r="I152" s="165" t="s">
        <v>382</v>
      </c>
      <c r="J152" s="165" t="s">
        <v>918</v>
      </c>
      <c r="K152" s="165" t="s">
        <v>388</v>
      </c>
      <c r="L152" s="165" t="s">
        <v>46</v>
      </c>
      <c r="M152" s="165" t="s">
        <v>541</v>
      </c>
      <c r="N152" s="165" t="s">
        <v>919</v>
      </c>
      <c r="O152" s="165" t="s">
        <v>1011</v>
      </c>
      <c r="P152" s="165" t="s">
        <v>286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2022-06-15T12:43:56Z</dcterms:modified>
</cp:coreProperties>
</file>