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7.04\"/>
    </mc:Choice>
  </mc:AlternateContent>
  <xr:revisionPtr revIDLastSave="0" documentId="13_ncr:1_{F5737611-D2DA-4528-986F-64E2244EFA3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C3" i="1"/>
  <c r="AZ9" i="1"/>
  <c r="AY21" i="1"/>
  <c r="AY20" i="1"/>
  <c r="BA20" i="1" s="1"/>
  <c r="AY19" i="1"/>
  <c r="AY18" i="1"/>
  <c r="AY17" i="1"/>
  <c r="AY16" i="1"/>
  <c r="AY15" i="1"/>
  <c r="AY14" i="1"/>
  <c r="BA14" i="1" s="1"/>
  <c r="AY13" i="1"/>
  <c r="AY12" i="1"/>
  <c r="BA12" i="1" s="1"/>
  <c r="AY11" i="1"/>
  <c r="AY10" i="1"/>
  <c r="AY9" i="1"/>
  <c r="AY8" i="1"/>
  <c r="AY7" i="1"/>
  <c r="AY6" i="1"/>
  <c r="BA6" i="1" s="1"/>
  <c r="AY5" i="1"/>
  <c r="BA5" i="1" s="1"/>
  <c r="AY4" i="1"/>
  <c r="BA4" i="1" s="1"/>
  <c r="AY3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21" i="1"/>
  <c r="AZ21" i="1" s="1"/>
  <c r="AT20" i="1"/>
  <c r="AZ20" i="1" s="1"/>
  <c r="AT19" i="1"/>
  <c r="AZ19" i="1" s="1"/>
  <c r="AT18" i="1"/>
  <c r="AZ18" i="1" s="1"/>
  <c r="AT17" i="1"/>
  <c r="BC17" i="1" s="1"/>
  <c r="AT16" i="1"/>
  <c r="BC16" i="1" s="1"/>
  <c r="AT15" i="1"/>
  <c r="BC15" i="1" s="1"/>
  <c r="AT14" i="1"/>
  <c r="AZ14" i="1" s="1"/>
  <c r="AT13" i="1"/>
  <c r="AZ13" i="1" s="1"/>
  <c r="AT12" i="1"/>
  <c r="AZ12" i="1" s="1"/>
  <c r="AT11" i="1"/>
  <c r="AZ11" i="1" s="1"/>
  <c r="AT10" i="1"/>
  <c r="AZ10" i="1" s="1"/>
  <c r="AT9" i="1"/>
  <c r="BC9" i="1" s="1"/>
  <c r="AT8" i="1"/>
  <c r="BC8" i="1" s="1"/>
  <c r="AT7" i="1"/>
  <c r="BC7" i="1" s="1"/>
  <c r="AT6" i="1"/>
  <c r="AZ6" i="1" s="1"/>
  <c r="AT5" i="1"/>
  <c r="AZ5" i="1" s="1"/>
  <c r="AT4" i="1"/>
  <c r="AZ4" i="1" s="1"/>
  <c r="AT3" i="1"/>
  <c r="AZ3" i="1" s="1"/>
  <c r="Q7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21" i="1"/>
  <c r="AU21" i="1" s="1"/>
  <c r="A20" i="1"/>
  <c r="BD20" i="1" s="1"/>
  <c r="A19" i="1"/>
  <c r="BD19" i="1" s="1"/>
  <c r="A18" i="1"/>
  <c r="BD18" i="1" s="1"/>
  <c r="A17" i="1"/>
  <c r="BD17" i="1" s="1"/>
  <c r="A16" i="1"/>
  <c r="BD16" i="1" s="1"/>
  <c r="A15" i="1"/>
  <c r="BD15" i="1" s="1"/>
  <c r="A14" i="1"/>
  <c r="BD14" i="1" s="1"/>
  <c r="A13" i="1"/>
  <c r="BD13" i="1" s="1"/>
  <c r="A12" i="1"/>
  <c r="BD12" i="1" s="1"/>
  <c r="A11" i="1"/>
  <c r="BD11" i="1" s="1"/>
  <c r="A10" i="1"/>
  <c r="BD10" i="1" s="1"/>
  <c r="A9" i="1"/>
  <c r="BD9" i="1" s="1"/>
  <c r="A8" i="1"/>
  <c r="BD8" i="1" s="1"/>
  <c r="A7" i="1"/>
  <c r="A6" i="1"/>
  <c r="H6" i="1" s="1"/>
  <c r="A5" i="1"/>
  <c r="H5" i="1" s="1"/>
  <c r="A4" i="1"/>
  <c r="BD4" i="1" s="1"/>
  <c r="G4" i="1" s="1"/>
  <c r="A3" i="1"/>
  <c r="BD3" i="1" s="1"/>
  <c r="AW21" i="1"/>
  <c r="BA3" i="1" l="1"/>
  <c r="BA11" i="1"/>
  <c r="BA19" i="1"/>
  <c r="BA13" i="1"/>
  <c r="AZ8" i="1"/>
  <c r="BA21" i="1"/>
  <c r="BA8" i="1"/>
  <c r="BA16" i="1"/>
  <c r="AZ16" i="1"/>
  <c r="BC11" i="1"/>
  <c r="L5" i="1"/>
  <c r="BA9" i="1"/>
  <c r="BA17" i="1"/>
  <c r="AZ17" i="1"/>
  <c r="BC19" i="1"/>
  <c r="Q6" i="1"/>
  <c r="BA10" i="1"/>
  <c r="BA18" i="1"/>
  <c r="U6" i="1"/>
  <c r="AZ7" i="1"/>
  <c r="AZ15" i="1"/>
  <c r="H21" i="1"/>
  <c r="Q4" i="1"/>
  <c r="U4" i="1"/>
  <c r="BC10" i="1"/>
  <c r="BC18" i="1"/>
  <c r="L4" i="1"/>
  <c r="Q5" i="1"/>
  <c r="U5" i="1"/>
  <c r="BA7" i="1"/>
  <c r="BA15" i="1"/>
  <c r="BC4" i="1"/>
  <c r="BC12" i="1"/>
  <c r="BC20" i="1"/>
  <c r="BD7" i="1"/>
  <c r="G7" i="1" s="1"/>
  <c r="L6" i="1"/>
  <c r="Q21" i="1"/>
  <c r="U21" i="1"/>
  <c r="BC5" i="1"/>
  <c r="BC13" i="1"/>
  <c r="BC21" i="1"/>
  <c r="BD6" i="1"/>
  <c r="G6" i="1" s="1"/>
  <c r="M4" i="1"/>
  <c r="S4" i="1"/>
  <c r="AU4" i="1"/>
  <c r="BC6" i="1"/>
  <c r="BC14" i="1"/>
  <c r="BD21" i="1"/>
  <c r="G21" i="1" s="1"/>
  <c r="BD5" i="1"/>
  <c r="G5" i="1" s="1"/>
  <c r="F4" i="1"/>
  <c r="E4" i="1" s="1"/>
  <c r="H4" i="1"/>
  <c r="M5" i="1"/>
  <c r="S5" i="1"/>
  <c r="AU5" i="1"/>
  <c r="M6" i="1"/>
  <c r="S6" i="1"/>
  <c r="AU6" i="1"/>
  <c r="F6" i="1"/>
  <c r="E6" i="1" s="1"/>
  <c r="M21" i="1"/>
  <c r="S21" i="1"/>
  <c r="H10" i="1"/>
  <c r="Q10" i="1"/>
  <c r="U10" i="1"/>
  <c r="L7" i="1"/>
  <c r="B7" i="1" s="1"/>
  <c r="Q20" i="1"/>
  <c r="AU7" i="1"/>
  <c r="L10" i="1"/>
  <c r="B10" i="1" s="1"/>
  <c r="S20" i="1"/>
  <c r="AU10" i="1"/>
  <c r="BF10" i="1"/>
  <c r="H7" i="1"/>
  <c r="L20" i="1"/>
  <c r="B20" i="1" s="1"/>
  <c r="U7" i="1"/>
  <c r="AU20" i="1"/>
  <c r="BF20" i="1"/>
  <c r="H20" i="1"/>
  <c r="M10" i="1"/>
  <c r="U20" i="1"/>
  <c r="M7" i="1"/>
  <c r="M20" i="1"/>
  <c r="F10" i="1"/>
  <c r="E10" i="1" s="1"/>
  <c r="G10" i="1"/>
  <c r="BF7" i="1"/>
  <c r="F20" i="1"/>
  <c r="E20" i="1" s="1"/>
  <c r="G20" i="1"/>
  <c r="D37" i="4"/>
  <c r="D36" i="4"/>
  <c r="D35" i="4"/>
  <c r="D34" i="4"/>
  <c r="D33" i="4"/>
  <c r="D32" i="4"/>
  <c r="D31" i="4"/>
  <c r="D38" i="4"/>
  <c r="AW6" i="1"/>
  <c r="AW4" i="1"/>
  <c r="AW5" i="1"/>
  <c r="AV21" i="1"/>
  <c r="AV6" i="1"/>
  <c r="AV5" i="1"/>
  <c r="AV4" i="1"/>
  <c r="AV10" i="1"/>
  <c r="AW10" i="1"/>
  <c r="AV7" i="1"/>
  <c r="AW7" i="1"/>
  <c r="AV20" i="1"/>
  <c r="AW20" i="1"/>
  <c r="F7" i="1" l="1"/>
  <c r="E7" i="1" s="1"/>
  <c r="F5" i="1"/>
  <c r="E5" i="1" s="1"/>
  <c r="F21" i="1"/>
  <c r="E21" i="1" s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3" i="8"/>
  <c r="V9945" i="8"/>
  <c r="V9946" i="8"/>
  <c r="V9948" i="8"/>
  <c r="V9950" i="8"/>
  <c r="V9951" i="8"/>
  <c r="V9953" i="8"/>
  <c r="V9954" i="8"/>
  <c r="V9956" i="8"/>
  <c r="V9958" i="8"/>
  <c r="V9959" i="8"/>
  <c r="V9961" i="8"/>
  <c r="V9962" i="8"/>
  <c r="V9964" i="8"/>
  <c r="V9966" i="8"/>
  <c r="V9967" i="8"/>
  <c r="V9969" i="8"/>
  <c r="V9970" i="8"/>
  <c r="V9972" i="8"/>
  <c r="V9974" i="8"/>
  <c r="V9975" i="8"/>
  <c r="V9977" i="8"/>
  <c r="V9978" i="8"/>
  <c r="V9980" i="8"/>
  <c r="V9982" i="8"/>
  <c r="V9983" i="8"/>
  <c r="V9985" i="8"/>
  <c r="V9986" i="8"/>
  <c r="V9988" i="8"/>
  <c r="V9990" i="8"/>
  <c r="V9991" i="8"/>
  <c r="V9993" i="8"/>
  <c r="V9994" i="8"/>
  <c r="V9996" i="8"/>
  <c r="V9998" i="8"/>
  <c r="V9999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6" i="8" l="1"/>
  <c r="AU14" i="1"/>
  <c r="AU3" i="1"/>
  <c r="U16" i="1"/>
  <c r="U8" i="1"/>
  <c r="Q12" i="1"/>
  <c r="L15" i="1"/>
  <c r="B15" i="1" s="1"/>
  <c r="H17" i="1"/>
  <c r="H9" i="1"/>
  <c r="B6" i="1"/>
  <c r="AU13" i="1"/>
  <c r="U15" i="1"/>
  <c r="Q19" i="1"/>
  <c r="Q11" i="1"/>
  <c r="B14" i="1"/>
  <c r="L3" i="1"/>
  <c r="B3" i="1" s="1"/>
  <c r="H16" i="1"/>
  <c r="H8" i="1"/>
  <c r="B5" i="1"/>
  <c r="AU12" i="1"/>
  <c r="U14" i="1"/>
  <c r="U3" i="1"/>
  <c r="Q18" i="1"/>
  <c r="L21" i="1"/>
  <c r="B21" i="1" s="1"/>
  <c r="L13" i="1"/>
  <c r="B13" i="1" s="1"/>
  <c r="H15" i="1"/>
  <c r="B4" i="1"/>
  <c r="AU19" i="1"/>
  <c r="AU11" i="1"/>
  <c r="U13" i="1"/>
  <c r="Q17" i="1"/>
  <c r="Q9" i="1"/>
  <c r="B12" i="1"/>
  <c r="H14" i="1"/>
  <c r="H3" i="1"/>
  <c r="Q13" i="1"/>
  <c r="H18" i="1"/>
  <c r="AU18" i="1"/>
  <c r="U12" i="1"/>
  <c r="Q16" i="1"/>
  <c r="Q8" i="1"/>
  <c r="B19" i="1"/>
  <c r="B11" i="1"/>
  <c r="H13" i="1"/>
  <c r="AU15" i="1"/>
  <c r="S3" i="1"/>
  <c r="B8" i="1"/>
  <c r="AU17" i="1"/>
  <c r="AU9" i="1"/>
  <c r="U19" i="1"/>
  <c r="U11" i="1"/>
  <c r="S19" i="1"/>
  <c r="Q15" i="1"/>
  <c r="L18" i="1"/>
  <c r="B18" i="1" s="1"/>
  <c r="H12" i="1"/>
  <c r="U17" i="1"/>
  <c r="U9" i="1"/>
  <c r="B16" i="1"/>
  <c r="AU16" i="1"/>
  <c r="AU8" i="1"/>
  <c r="U18" i="1"/>
  <c r="S18" i="1"/>
  <c r="Q14" i="1"/>
  <c r="Q3" i="1"/>
  <c r="L17" i="1"/>
  <c r="B17" i="1" s="1"/>
  <c r="L9" i="1"/>
  <c r="B9" i="1" s="1"/>
  <c r="H19" i="1"/>
  <c r="H11" i="1"/>
  <c r="BF5" i="1"/>
  <c r="BF4" i="1"/>
  <c r="BF21" i="1"/>
  <c r="BF6" i="1"/>
  <c r="X10" i="8"/>
  <c r="X18" i="8"/>
  <c r="X8" i="8"/>
  <c r="C24" i="5"/>
  <c r="AV9" i="1"/>
  <c r="AW9" i="1"/>
  <c r="AV14" i="1"/>
  <c r="AW14" i="1"/>
  <c r="AV3" i="1"/>
  <c r="AW3" i="1"/>
  <c r="AV13" i="1"/>
  <c r="AW13" i="1"/>
  <c r="AV16" i="1"/>
  <c r="AW16" i="1"/>
  <c r="AV12" i="1"/>
  <c r="AW12" i="1"/>
  <c r="AV19" i="1"/>
  <c r="AW19" i="1"/>
  <c r="AV8" i="1"/>
  <c r="AW8" i="1"/>
  <c r="AV11" i="1"/>
  <c r="AW11" i="1"/>
  <c r="AV15" i="1"/>
  <c r="AW15" i="1"/>
  <c r="AV18" i="1"/>
  <c r="AW18" i="1"/>
  <c r="AV17" i="1"/>
  <c r="AW17" i="1"/>
  <c r="BF3" i="1" l="1"/>
  <c r="G3" i="1"/>
  <c r="F3" i="1"/>
  <c r="E3" i="1" s="1"/>
  <c r="G9" i="1"/>
  <c r="F9" i="1"/>
  <c r="E9" i="1" s="1"/>
  <c r="BF9" i="1"/>
  <c r="BF19" i="1"/>
  <c r="G19" i="1"/>
  <c r="F19" i="1"/>
  <c r="E19" i="1" s="1"/>
  <c r="G17" i="1"/>
  <c r="F17" i="1"/>
  <c r="E17" i="1" s="1"/>
  <c r="BF17" i="1"/>
  <c r="T3" i="1"/>
  <c r="G14" i="1"/>
  <c r="F14" i="1"/>
  <c r="E14" i="1" s="1"/>
  <c r="BF14" i="1"/>
  <c r="BF11" i="1"/>
  <c r="G11" i="1"/>
  <c r="F11" i="1"/>
  <c r="E11" i="1" s="1"/>
  <c r="G8" i="1"/>
  <c r="F8" i="1"/>
  <c r="E8" i="1" s="1"/>
  <c r="BF8" i="1"/>
  <c r="BF12" i="1"/>
  <c r="G12" i="1"/>
  <c r="F12" i="1"/>
  <c r="E12" i="1" s="1"/>
  <c r="G16" i="1"/>
  <c r="F16" i="1"/>
  <c r="E16" i="1" s="1"/>
  <c r="BF16" i="1"/>
  <c r="G15" i="1"/>
  <c r="F15" i="1"/>
  <c r="E15" i="1" s="1"/>
  <c r="BF15" i="1"/>
  <c r="BF13" i="1"/>
  <c r="G13" i="1"/>
  <c r="F13" i="1"/>
  <c r="E13" i="1" s="1"/>
  <c r="BF18" i="1"/>
  <c r="G18" i="1"/>
  <c r="F18" i="1"/>
  <c r="E18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<sst xmlns="http://schemas.openxmlformats.org/spreadsheetml/2006/main" count="4153" uniqueCount="1193">
  <si>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</si>
  <si>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</si>
  <si>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</si>
  <si>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</si>
  <si>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</si>
  <si>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</si>
  <si>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</si>
  <si>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</si>
  <si>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</si>
  <si>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</si>
  <si>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</si>
  <si>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</si>
  <si>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</si>
  <si>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</si>
  <si>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</si>
  <si>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</si>
  <si>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</si>
  <si>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</si>
  <si>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</si>
  <si>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</si>
  <si>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</si>
  <si>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</si>
  <si>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</si>
  <si>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</si>
  <si>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</si>
  <si>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</si>
  <si>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</si>
  <si>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</si>
  <si>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</si>
  <si>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</si>
  <si>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</si>
  <si>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</si>
  <si>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</si>
  <si>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</si>
  <si>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</si>
  <si>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</si>
  <si>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</si>
  <si>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</si>
  <si>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</si>
  <si>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</si>
  <si>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</si>
  <si>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</si>
  <si>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</si>
  <si>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</si>
  <si>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</si>
  <si>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</si>
  <si>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</si>
  <si>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</si>
  <si>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</si>
  <si>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</si>
  <si>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</si>
  <si>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</si>
  <si>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</si>
  <si>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</si>
  <si>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</si>
  <si>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</si>
  <si>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</si>
  <si>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</si>
  <si>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</si>
  <si>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</si>
  <si>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</si>
  <si>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</si>
  <si>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</si>
  <si>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</si>
  <si>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</si>
  <si>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</si>
  <si>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</si>
  <si>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</si>
  <si>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</si>
  <si>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</si>
  <si>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</si>
  <si>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</si>
  <si>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</si>
  <si>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</si>
  <si>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</si>
  <si>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</si>
  <si>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</si>
  <si>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</si>
  <si>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</si>
  <si>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</si>
  <si>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</si>
  <si>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</si>
  <si>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</si>
  <si>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</si>
  <si>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</si>
  <si>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</si>
  <si>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</si>
  <si>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</si>
  <si>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</si>
  <si>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</si>
  <si>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</si>
  <si>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</si>
  <si>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</si>
  <si>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</si>
  <si>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</si>
  <si>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</si>
  <si>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</si>
  <si>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</si>
  <si>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</si>
  <si>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</si>
  <si>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</si>
  <si>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</si>
  <si>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</si>
  <si>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</si>
  <si>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</si>
  <si>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</si>
  <si>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</si>
  <si>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</si>
  <si>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</si>
  <si>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</si>
  <si>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</si>
  <si>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</si>
  <si>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</si>
  <si>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</si>
  <si>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</si>
  <si>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</si>
  <si>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</si>
  <si>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</si>
  <si>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</si>
  <si>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</si>
  <si>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</si>
  <si>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</si>
  <si>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</si>
  <si>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</si>
  <si>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</si>
  <si>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</si>
  <si>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</si>
  <si>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</si>
  <si>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</si>
  <si>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</si>
  <si>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</si>
  <si>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</si>
  <si>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</si>
  <si>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</si>
  <si>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</si>
  <si>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</si>
  <si>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</si>
  <si>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</si>
  <si>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</si>
  <si>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</si>
  <si>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</si>
  <si>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</si>
  <si>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</si>
  <si>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</si>
  <si>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</si>
  <si>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</si>
  <si>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</si>
  <si>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</si>
  <si>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</si>
  <si>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</si>
  <si>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</si>
  <si>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</si>
  <si>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</si>
  <si>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</si>
  <si>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</si>
  <si>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</si>
  <si>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</si>
  <si>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</si>
  <si>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</si>
  <si>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</si>
  <si>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</si>
  <si>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</si>
  <si>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</si>
  <si>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</si>
  <si>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</si>
  <si>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</si>
  <si>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</si>
  <si>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</si>
  <si>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</si>
  <si>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</si>
  <si>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</si>
  <si>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</si>
  <si>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</si>
  <si>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</si>
  <si>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</si>
  <si>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</si>
  <si>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</si>
  <si>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</si>
  <si>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</si>
  <si>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</si>
  <si>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</si>
  <si>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</si>
  <si>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</si>
  <si>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</si>
  <si>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</si>
  <si>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</si>
  <si>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</si>
  <si>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</si>
  <si>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</si>
  <si>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</si>
  <si>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</si>
  <si>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</si>
  <si>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</si>
  <si>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</si>
  <si>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</si>
  <si>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</si>
  <si>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</si>
  <si>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</si>
  <si>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</si>
  <si>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</si>
  <si>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</si>
  <si>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</si>
  <si>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</si>
  <si>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</si>
  <si>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</si>
  <si>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</si>
  <si>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</si>
  <si>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</si>
  <si>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</si>
  <si>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</si>
  <si>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</si>
  <si>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</si>
  <si>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</si>
  <si>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</si>
  <si>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</si>
  <si>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</si>
  <si>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</si>
  <si>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</si>
  <si>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</si>
  <si>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</si>
  <si>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</si>
  <si>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</si>
  <si>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</si>
  <si>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</si>
  <si>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</si>
  <si>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</si>
  <si>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</si>
  <si>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</si>
  <si>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</si>
  <si>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</si>
  <si>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</si>
  <si>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</si>
  <si>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</si>
  <si>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</si>
  <si>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</si>
  <si>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</si>
  <si>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</si>
  <si>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</si>
  <si>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</si>
  <si>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</si>
  <si>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</si>
  <si>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</si>
  <si>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</si>
  <si>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</si>
  <si>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</si>
  <si>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</si>
  <si>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</si>
  <si>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</si>
  <si>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</si>
  <si>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</si>
  <si>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</si>
  <si>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</si>
  <si>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</si>
  <si>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</si>
  <si>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</si>
  <si>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</si>
  <si>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</si>
  <si>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</si>
  <si>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</si>
  <si>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</si>
  <si>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</si>
  <si>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</si>
  <si>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</si>
  <si>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</si>
  <si>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</si>
  <si>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</si>
  <si>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</si>
  <si>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</si>
  <si>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</si>
  <si>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</si>
  <si>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</si>
  <si>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</si>
  <si>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</si>
  <si>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</si>
  <si>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</si>
  <si>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</si>
  <si>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</si>
  <si>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</si>
  <si>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</si>
  <si>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</si>
  <si>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</si>
  <si>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</si>
  <si>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</si>
  <si>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</si>
  <si>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</si>
  <si>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</si>
  <si>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</si>
  <si>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</si>
  <si>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</si>
  <si>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</si>
  <si>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</si>
  <si>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</si>
  <si>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</si>
  <si>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</si>
  <si>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</si>
  <si>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</si>
  <si>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</si>
  <si>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</si>
  <si>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</si>
  <si>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</si>
  <si>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</si>
  <si>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</si>
  <si>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</si>
  <si>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</si>
  <si>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</si>
  <si>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</si>
  <si>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</si>
  <si>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</si>
  <si>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</si>
  <si>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</si>
  <si>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</si>
  <si>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</si>
  <si>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</si>
  <si>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</si>
  <si>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</si>
  <si>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</si>
  <si>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</si>
  <si>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</si>
  <si>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</si>
  <si>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</si>
  <si>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</si>
  <si>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</si>
  <si>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</si>
  <si>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</si>
  <si>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</si>
  <si>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</si>
  <si>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</si>
  <si>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</si>
  <si>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</si>
  <si>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</si>
  <si>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</si>
  <si>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</si>
  <si>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</si>
  <si>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</si>
  <si>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</si>
  <si>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</si>
  <si>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</si>
  <si>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</si>
  <si>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</si>
  <si>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</si>
  <si>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</si>
  <si>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</si>
  <si>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</si>
  <si>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</si>
  <si>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</si>
  <si>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</si>
  <si>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</si>
  <si>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</si>
  <si>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</si>
  <si>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</si>
  <si>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</si>
  <si>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</si>
  <si>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</si>
  <si>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</si>
  <si>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</si>
  <si>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</si>
  <si>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</si>
  <si>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</si>
  <si>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</si>
  <si>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</si>
  <si>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</si>
  <si>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</si>
  <si>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</si>
  <si>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</si>
  <si>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</si>
  <si>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</si>
  <si>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</si>
  <si>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</si>
  <si>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</si>
  <si>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</si>
  <si>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</si>
  <si>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</si>
  <si>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</si>
  <si>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</si>
  <si>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</si>
  <si>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</si>
  <si>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</si>
  <si>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</si>
  <si>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</si>
  <si>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</si>
  <si>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</si>
  <si>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</si>
  <si>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</si>
  <si>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</si>
  <si>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</si>
  <si>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</si>
  <si>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</si>
  <si>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</si>
  <si>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</si>
  <si>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</si>
  <si>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</si>
  <si>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</si>
  <si>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</si>
  <si>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</si>
  <si>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</si>
  <si>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</si>
  <si>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</si>
  <si>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</si>
  <si>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</si>
  <si>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</si>
  <si>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</si>
  <si>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</si>
  <si>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</si>
  <si>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</si>
  <si>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</si>
  <si>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</si>
  <si>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</si>
  <si>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</si>
  <si>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</si>
  <si>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</si>
  <si>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</si>
  <si>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</si>
  <si>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</si>
  <si>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</si>
  <si>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</si>
  <si>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</si>
  <si>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</si>
  <si>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</si>
  <si>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</si>
  <si>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</si>
  <si>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</si>
  <si>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</si>
  <si>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</si>
  <si>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</si>
  <si>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</si>
  <si>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</si>
  <si>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</si>
  <si>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</si>
  <si>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</si>
  <si>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</si>
  <si>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</si>
  <si>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</si>
  <si>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</si>
  <si>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</si>
  <si>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</si>
  <si>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</si>
  <si>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</si>
  <si>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</si>
  <si>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</si>
  <si>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</si>
  <si>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</si>
  <si>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</si>
  <si>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</si>
  <si>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</si>
  <si>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</si>
  <si>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</si>
  <si>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</si>
  <si>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</si>
  <si>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</si>
  <si>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</si>
  <si>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</si>
  <si>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</si>
  <si>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</si>
  <si>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</si>
  <si>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</si>
  <si>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</si>
  <si>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</si>
  <si>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</si>
  <si>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</si>
  <si>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</si>
  <si>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</si>
  <si>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</si>
  <si>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</si>
  <si>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</si>
  <si>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</si>
  <si>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</si>
  <si>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</si>
  <si>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</si>
  <si>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</si>
  <si>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</si>
  <si>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</si>
  <si>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</si>
  <si>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</si>
  <si>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</si>
  <si>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</si>
  <si>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</si>
  <si>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</si>
  <si>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</si>
  <si>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</si>
  <si>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</si>
  <si>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</si>
  <si>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</si>
  <si>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</si>
  <si>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</si>
  <si>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</si>
  <si>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</si>
  <si>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</si>
  <si>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</si>
  <si>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</si>
  <si>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</si>
  <si>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</si>
  <si>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</si>
  <si>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</si>
  <si>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</si>
  <si>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</si>
  <si>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</si>
  <si>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</si>
  <si>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</si>
  <si>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</si>
  <si>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</si>
  <si>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</si>
  <si>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</si>
  <si>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</si>
  <si>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</si>
  <si>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</si>
  <si>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</si>
  <si>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</si>
  <si>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</si>
  <si>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</si>
  <si>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</si>
  <si>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</si>
  <si>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</si>
  <si>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</si>
  <si>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</si>
  <si>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</si>
  <si>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</si>
  <si>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</si>
  <si>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</si>
  <si>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</si>
  <si>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</si>
  <si>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</si>
  <si>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</si>
  <si>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</si>
  <si>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</si>
  <si>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</si>
  <si>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</si>
  <si>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</si>
  <si>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</si>
  <si>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</si>
  <si>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</si>
  <si>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</si>
  <si>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</si>
  <si>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</si>
  <si>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</si>
  <si>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</si>
  <si>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</si>
  <si>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</si>
  <si>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</si>
  <si>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</si>
  <si>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</si>
  <si>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</si>
  <si>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</si>
  <si>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</si>
  <si>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</si>
  <si>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</si>
  <si>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</si>
  <si>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</si>
  <si>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</si>
  <si>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</si>
  <si>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</si>
  <si>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</si>
  <si>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</si>
  <si>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</si>
  <si>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</si>
  <si>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</si>
  <si>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</si>
  <si>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</si>
  <si>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</si>
  <si>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</si>
  <si>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</si>
  <si>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</si>
  <si>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</si>
  <si>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</si>
  <si>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</si>
  <si>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</si>
  <si>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</si>
  <si>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</si>
  <si>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</si>
  <si>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</si>
  <si>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</si>
  <si>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</si>
  <si>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</si>
  <si>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</si>
  <si>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</si>
  <si>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</si>
  <si>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</si>
  <si>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</si>
  <si>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</si>
  <si>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</si>
  <si>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</si>
  <si>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</si>
  <si>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</si>
  <si>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</si>
  <si>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</si>
  <si>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</si>
  <si>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</si>
  <si>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</si>
  <si>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</si>
  <si>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</si>
  <si>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</si>
  <si>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</si>
  <si>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</si>
  <si>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</si>
  <si>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</si>
  <si>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</si>
  <si>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</si>
  <si>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</si>
  <si>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</si>
  <si>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</si>
  <si>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</si>
  <si>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</si>
  <si>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</si>
  <si>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</si>
  <si>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</si>
  <si>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</si>
  <si>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</si>
  <si>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</si>
  <si>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</si>
  <si>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</si>
  <si>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</si>
  <si>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</si>
  <si>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</si>
  <si>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</si>
  <si>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</si>
  <si>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</si>
  <si>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</si>
  <si>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</si>
  <si>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</si>
  <si>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</si>
  <si>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</si>
  <si>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</si>
  <si>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</si>
  <si>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</si>
  <si>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</si>
  <si>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</si>
  <si>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</si>
  <si>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</si>
  <si>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</si>
  <si>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</si>
  <si>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</si>
  <si>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</si>
  <si>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</si>
  <si>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</si>
  <si>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</si>
  <si>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</si>
  <si>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</si>
  <si>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</si>
  <si>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</si>
  <si>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</si>
  <si>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</si>
  <si>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</si>
  <si>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</si>
  <si>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</si>
  <si>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</si>
  <si>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</si>
  <si>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</si>
  <si>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</si>
  <si>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</si>
  <si>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</si>
  <si>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</si>
  <si>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</si>
  <si>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</si>
  <si>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</si>
  <si>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</si>
  <si>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</si>
  <si>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</si>
  <si>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</si>
  <si>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</si>
  <si>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</si>
  <si>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</si>
  <si>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</si>
  <si>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</si>
  <si>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</si>
  <si>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</si>
  <si>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</si>
  <si>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</si>
  <si>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</si>
  <si>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</si>
  <si>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</si>
  <si>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</si>
  <si>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</si>
  <si>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</si>
  <si>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</si>
  <si>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</si>
  <si>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</si>
  <si>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</si>
  <si>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</si>
  <si>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</si>
  <si>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</si>
  <si>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</si>
  <si>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</si>
  <si>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</si>
  <si>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</si>
  <si>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</si>
  <si>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</si>
  <si>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</si>
  <si>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</si>
  <si>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</si>
  <si>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</si>
  <si>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</si>
  <si>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</si>
  <si>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</si>
  <si>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</si>
  <si>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</si>
  <si>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</si>
  <si>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</si>
  <si>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</si>
  <si>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</si>
  <si>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</si>
  <si>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</si>
  <si>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</si>
  <si>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</si>
  <si>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</si>
  <si>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</si>
  <si>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</si>
  <si>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</si>
  <si>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</si>
  <si>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</si>
  <si>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</si>
  <si>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</si>
  <si>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</si>
  <si>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</si>
  <si>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</si>
  <si>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</si>
  <si>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</si>
  <si>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</si>
  <si>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</si>
  <si>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</si>
  <si>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</si>
  <si>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</si>
  <si>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</si>
  <si>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</si>
  <si>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</si>
  <si>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</si>
  <si>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</si>
  <si>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</si>
  <si>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</si>
  <si>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</si>
  <si>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</si>
  <si>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</si>
  <si>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</si>
  <si>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</si>
  <si>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</si>
  <si>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</si>
  <si>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</si>
  <si>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</si>
  <si>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</si>
  <si>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</si>
  <si>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</si>
  <si>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</si>
  <si>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</si>
  <si>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</si>
  <si>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</si>
  <si>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</si>
  <si>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</si>
  <si>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</si>
  <si>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</si>
  <si>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</si>
  <si>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</si>
  <si>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</si>
  <si>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</si>
  <si>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</si>
  <si>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</si>
  <si>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</si>
  <si>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</si>
  <si>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</si>
  <si>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</si>
  <si>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</si>
  <si>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</si>
  <si>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</si>
  <si>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</si>
  <si>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</si>
  <si>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</si>
  <si>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</si>
  <si>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</si>
  <si>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</si>
  <si>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</si>
  <si>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</si>
  <si>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</si>
  <si>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</si>
  <si>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</si>
  <si>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</si>
  <si>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</si>
  <si>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</si>
  <si>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</si>
  <si>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</si>
  <si>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</si>
  <si>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</si>
  <si>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</si>
  <si>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</si>
  <si>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</si>
  <si>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</si>
  <si>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</si>
  <si>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</si>
  <si>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</si>
  <si>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</si>
  <si>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</si>
  <si>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</si>
  <si>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</si>
  <si>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</si>
  <si>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</si>
  <si>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</si>
  <si>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</si>
  <si>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</si>
  <si>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</si>
  <si>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</si>
  <si>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</si>
  <si>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</si>
  <si>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</si>
  <si>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</si>
  <si>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</si>
  <si>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</si>
  <si>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</si>
  <si>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</si>
  <si>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</si>
  <si>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</si>
  <si>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</si>
  <si>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</si>
  <si>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</si>
  <si>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</si>
  <si>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</si>
  <si>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</si>
  <si>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</si>
  <si>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</si>
  <si>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</si>
  <si>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</si>
  <si>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</si>
  <si>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</si>
  <si>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</si>
  <si>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</si>
  <si>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</si>
  <si>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</si>
  <si>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</si>
  <si>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</si>
  <si>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</si>
  <si>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</si>
  <si>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</si>
  <si>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</si>
  <si>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</si>
  <si>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</si>
  <si>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</si>
  <si>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</si>
  <si>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</si>
  <si>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</si>
  <si>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</si>
  <si>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</si>
  <si>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</si>
  <si>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</si>
  <si>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</si>
  <si>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</si>
  <si>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</si>
  <si>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</si>
  <si>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</si>
  <si>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</si>
  <si>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</si>
  <si>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</si>
  <si>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</si>
  <si>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</si>
  <si>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</si>
  <si>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</si>
  <si>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</si>
  <si>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</si>
  <si>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</si>
  <si>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</si>
  <si>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</si>
  <si>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</si>
  <si>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</si>
  <si>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</si>
  <si>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</si>
  <si>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</si>
  <si>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</si>
  <si>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</si>
  <si>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</si>
  <si>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</si>
  <si>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</si>
  <si>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</si>
  <si>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</si>
  <si>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</si>
  <si>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</si>
  <si>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</si>
  <si>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</si>
  <si>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</si>
  <si>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</si>
  <si>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</si>
  <si>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</si>
  <si>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</si>
  <si>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</si>
  <si>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</si>
  <si>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</si>
  <si>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</si>
  <si>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</si>
  <si>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</si>
  <si>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</si>
  <si>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</si>
  <si>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</si>
  <si>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</si>
  <si>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</si>
  <si>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</si>
  <si>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</si>
  <si>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</si>
  <si>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</si>
  <si>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</si>
  <si>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</si>
  <si>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</si>
  <si>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</si>
  <si>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</si>
  <si>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</si>
  <si>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</si>
  <si>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</si>
  <si>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94-018-18-00</t>
  </si>
  <si>
    <t>Шапка FLEXFIT арт. 1501P (красный) {red}</t>
  </si>
  <si>
    <t>ONE</t>
  </si>
  <si>
    <t>1501P</t>
  </si>
  <si>
    <t>100% гипоаллергенный акрил</t>
  </si>
  <si>
    <t>Flexfit</t>
  </si>
  <si>
    <t>Yupoong Inc; 174, Gurodong-ro, Guro-gu, 08285 Seoul, South Korea</t>
  </si>
  <si>
    <t>red</t>
  </si>
  <si>
    <t>94-018-16-00</t>
  </si>
  <si>
    <t>Шапка FLEXFIT арт. 1501P (темно-синий) {navy}</t>
  </si>
  <si>
    <t>navy</t>
  </si>
  <si>
    <t>94-018-09-00</t>
  </si>
  <si>
    <t>Шапка FLEXFIT арт. 1501P (черный) {black}</t>
  </si>
  <si>
    <t>black</t>
  </si>
  <si>
    <t>94-018-06-00</t>
  </si>
  <si>
    <t>Шапка FLEXFIT арт. 1501P (синий) {royal}</t>
  </si>
  <si>
    <t>royal</t>
  </si>
  <si>
    <t>94-018-05-00</t>
  </si>
  <si>
    <t>Шапка FLEXFIT арт. 1501P (темно-серый) {dark grey}</t>
  </si>
  <si>
    <t>dark grey</t>
  </si>
  <si>
    <t>94-018-01-00</t>
  </si>
  <si>
    <t>Шапка FLEXFIT арт. 1501P (светло-серый) {heather grey}</t>
  </si>
  <si>
    <t>heather grey</t>
  </si>
  <si>
    <t>94-017-19-00</t>
  </si>
  <si>
    <t>Шапка FLEXFIT арт. 1501KC (голубой) {carolina blue}</t>
  </si>
  <si>
    <t>1501KC</t>
  </si>
  <si>
    <t>carolina blue</t>
  </si>
  <si>
    <t>94-017-18-00</t>
  </si>
  <si>
    <t>Шапка FLEXFIT арт. 1501KC (красный) {red}</t>
  </si>
  <si>
    <t>94-017-16-00</t>
  </si>
  <si>
    <t>Шапка FLEXFIT арт. 1501KC (темно-синий) {navy}</t>
  </si>
  <si>
    <t>94-017-15-00</t>
  </si>
  <si>
    <t>Шапка FLEXFIT арт. 1501KC (светло-коричневый) {caramel}</t>
  </si>
  <si>
    <t>caramel</t>
  </si>
  <si>
    <t>94-017-14-00</t>
  </si>
  <si>
    <t>Шапка FLEXFIT арт. 1501KC (коричневый) {brown}</t>
  </si>
  <si>
    <t>brown</t>
  </si>
  <si>
    <t>94-017-13-00</t>
  </si>
  <si>
    <t>Шапка FLEXFIT арт. 1501KC (оранжевый) {blaze orange}</t>
  </si>
  <si>
    <t>blaze orange</t>
  </si>
  <si>
    <t>94-017-12-00</t>
  </si>
  <si>
    <t>Шапка FLEXFIT арт. 1501KC (бордовый) {maroon}</t>
  </si>
  <si>
    <t>maroon</t>
  </si>
  <si>
    <t>94-017-11-00</t>
  </si>
  <si>
    <t>Шапка FLEXFIT арт. 1501KC (зеленый) {spruce}</t>
  </si>
  <si>
    <t>spruce</t>
  </si>
  <si>
    <t>94-017-06-00</t>
  </si>
  <si>
    <t>Шапка FLEXFIT арт. 1501KC (синий) {royal}</t>
  </si>
  <si>
    <t>94-017-05-00</t>
  </si>
  <si>
    <t>Шапка FLEXFIT арт. 1501KC (темно-серый) {dark grey}</t>
  </si>
  <si>
    <t>94-017-03-00</t>
  </si>
  <si>
    <t>Шапка FLEXFIT арт. 1501KC (оливковый) {olive}</t>
  </si>
  <si>
    <t>olive</t>
  </si>
  <si>
    <t>94-017-02-00</t>
  </si>
  <si>
    <t>Шапка FLEXFIT арт. 1501KC (песочный) {sand}</t>
  </si>
  <si>
    <t>sand</t>
  </si>
  <si>
    <t>94-017-01-00</t>
  </si>
  <si>
    <t>Шапка FLEXFIT арт. 1501KC (светло-серый) {heather grey}</t>
  </si>
  <si>
    <t>94-017-00-00</t>
  </si>
  <si>
    <t>Шапка FLEXFIT арт. 1501KC (золотой) {gold}</t>
  </si>
  <si>
    <t>gold</t>
  </si>
  <si>
    <t>94-016-34-00</t>
  </si>
  <si>
    <t>Шапка FLEXFIT арт. 1500KC (розовый) {baby pink}</t>
  </si>
  <si>
    <t>1500KC</t>
  </si>
  <si>
    <t>baby pink</t>
  </si>
  <si>
    <t>94-016-18-00</t>
  </si>
  <si>
    <t>Шапка FLEXFIT арт. 1500KC (красный) {red}</t>
  </si>
  <si>
    <t>94-016-17-00</t>
  </si>
  <si>
    <t>Шапка FLEXFIT арт. 1500KC (белый) {white}</t>
  </si>
  <si>
    <t>white</t>
  </si>
  <si>
    <t>94-016-16-00</t>
  </si>
  <si>
    <t>Шапка FLEXFIT арт. 1500KC (темно-синий) {navy}</t>
  </si>
  <si>
    <t>94-016-14-00</t>
  </si>
  <si>
    <t>Шапка FLEXFIT арт. 1500KC (коричневый) {brown}</t>
  </si>
  <si>
    <t>94-016-12-00</t>
  </si>
  <si>
    <t>Шапка FLEXFIT арт. 1500KC (бордовый) {maroon}</t>
  </si>
  <si>
    <t>94-016-09-00</t>
  </si>
  <si>
    <t>Шапка FLEXFIT арт. 1500KC (черный) {black}</t>
  </si>
  <si>
    <t>94-016-06-00</t>
  </si>
  <si>
    <t>Шапка FLEXFIT арт. 1500KC (синий) {royal}</t>
  </si>
  <si>
    <t>94-016-05-00</t>
  </si>
  <si>
    <t>Шапка FLEXFIT арт. 1500KC (темно-серый) {dark grey}</t>
  </si>
  <si>
    <t>94-016-03-00</t>
  </si>
  <si>
    <t>Шапка FLEXFIT арт. 1500KC (оливковый) {olive}</t>
  </si>
  <si>
    <t>94-016-01-00</t>
  </si>
  <si>
    <t>Шапка FLEXFIT арт. 1500KC (светло-серый) {heather grey}</t>
  </si>
  <si>
    <t>94-016-00-00</t>
  </si>
  <si>
    <t>Шапка FLEXFIT арт. 1500KC (золотой) {gold}</t>
  </si>
  <si>
    <t>94-015-11-00</t>
  </si>
  <si>
    <t>Бейсболка FLEXFIT арт. 6606 (зеленый) {evergreen}</t>
  </si>
  <si>
    <t>60% хлопок - 40% полиэстер</t>
  </si>
  <si>
    <t>evergreen</t>
  </si>
  <si>
    <t>94-015-09-00</t>
  </si>
  <si>
    <t>Бейсболка FLEXFIT арт. 6606 (черный) {black}</t>
  </si>
  <si>
    <t>94-014-41-56</t>
  </si>
  <si>
    <t>Бейсболка FLEXFIT арт. 6533 (фиолетовый) {purple}</t>
  </si>
  <si>
    <t>56 S/M</t>
  </si>
  <si>
    <t>44% полиэстер - 42% нейлон - 7% хлопок - 7% полиуретан</t>
  </si>
  <si>
    <t>purple</t>
  </si>
  <si>
    <t>94-014-12-60</t>
  </si>
  <si>
    <t>Бейсболка FLEXFIT арт. 6533 (бордовый) {maroon}</t>
  </si>
  <si>
    <t>60 L/XL</t>
  </si>
  <si>
    <t>94-014-12-56</t>
  </si>
  <si>
    <t>94-014-05-60</t>
  </si>
  <si>
    <t>Бейсболка FLEXFIT арт. 6533 (темно-серый) {dark grey}</t>
  </si>
  <si>
    <t>94-014-05-56</t>
  </si>
  <si>
    <t>94-013-14-56</t>
  </si>
  <si>
    <t>Бейсболка FLEXFIT арт. 6511 (коричневый) {brown}</t>
  </si>
  <si>
    <t>55% полиэстер - 43% хлопок - 2% полиуретан</t>
  </si>
  <si>
    <t>94-012-18-00</t>
  </si>
  <si>
    <t>Бейсболка FLEXFIT арт. 6320 (красный) {red}</t>
  </si>
  <si>
    <t>100% полиэстер</t>
  </si>
  <si>
    <t>94-012-06-00</t>
  </si>
  <si>
    <t>Бейсболка FLEXFIT арт. 6320 (синий) {royal}</t>
  </si>
  <si>
    <t>94-011-14-60</t>
  </si>
  <si>
    <t>Бейсболка FLEXFIT арт. 6277 (коричневый) {brown}</t>
  </si>
  <si>
    <t>63% полиэстер - 34% хлопок - 3% полиуретан</t>
  </si>
  <si>
    <t>94-011-14-56</t>
  </si>
  <si>
    <t>94-011-00-60</t>
  </si>
  <si>
    <t>Бейсболка FLEXFIT арт. 6277 (золотой) {gold}</t>
  </si>
  <si>
    <t>94-011-00-56</t>
  </si>
  <si>
    <t>94-010-00-00</t>
  </si>
  <si>
    <t>Бейсболка FLEXFIT арт. 6089TC (камуфляж / черный) {camo/black}</t>
  </si>
  <si>
    <t>6089TC</t>
  </si>
  <si>
    <t>65% полиэстер - 35% хлопок</t>
  </si>
  <si>
    <t>camo/black</t>
  </si>
  <si>
    <t>94-009-72-00</t>
  </si>
  <si>
    <t>Бейсболка FLEXFIT арт. 6089MT (черный / красный) {black/red}</t>
  </si>
  <si>
    <t>6089MT</t>
  </si>
  <si>
    <t>80% акрил - 20% шерсть</t>
  </si>
  <si>
    <t>black/red</t>
  </si>
  <si>
    <t>94-009-71-00</t>
  </si>
  <si>
    <t>Бейсболка FLEXFIT арт. 6089MT (темно-синий / красный) {navy/red}</t>
  </si>
  <si>
    <t>navy/red</t>
  </si>
  <si>
    <t>94-009-45-00</t>
  </si>
  <si>
    <t>Бейсболка FLEXFIT арт. 6089MT (синий / оранжевый) {royal/orange}</t>
  </si>
  <si>
    <t>royal/orange</t>
  </si>
  <si>
    <t>94-009-11-00</t>
  </si>
  <si>
    <t>Бейсболка FLEXFIT арт. 6089MT (светло-серый / черный) {heather/black}</t>
  </si>
  <si>
    <t>heather/black</t>
  </si>
  <si>
    <t>94-009-10-00</t>
  </si>
  <si>
    <t>Бейсболка FLEXFIT арт. 6089MT (черный / серый) {black/silver}</t>
  </si>
  <si>
    <t>black/silver</t>
  </si>
  <si>
    <t>94-009-09-00</t>
  </si>
  <si>
    <t>Бейсболка FLEXFIT арт. 6089MT (серый / черный) {dark heather/black}</t>
  </si>
  <si>
    <t>dark heather/black</t>
  </si>
  <si>
    <t>94-009-08-00</t>
  </si>
  <si>
    <t>Бейсболка FLEXFIT арт. 6089MT (серый / красный) {dark heather/red}</t>
  </si>
  <si>
    <t>dark heather/red</t>
  </si>
  <si>
    <t>94-008-00-00</t>
  </si>
  <si>
    <t>Бейсболка FLEXFIT арт. 6089MC (камуфляж) {multicam}</t>
  </si>
  <si>
    <t>6089MC</t>
  </si>
  <si>
    <t>98% хлопок - 2% спандекс</t>
  </si>
  <si>
    <t>multicam</t>
  </si>
  <si>
    <t>94-007-19-00</t>
  </si>
  <si>
    <t>Бейсболка FLEXFIT арт. 6089M (иссиня-черный) {dark navy}</t>
  </si>
  <si>
    <t>6089M</t>
  </si>
  <si>
    <t>dark navy</t>
  </si>
  <si>
    <t>94-007-18-00</t>
  </si>
  <si>
    <t>Бейсболка FLEXFIT арт. 6089M (красный) {red}</t>
  </si>
  <si>
    <t>94-007-17-00</t>
  </si>
  <si>
    <t>Бейсболка FLEXFIT арт. 6089M (белый) {white}</t>
  </si>
  <si>
    <t>94-007-16-00</t>
  </si>
  <si>
    <t>Бейсболка FLEXFIT арт. 6089M (темно-синий) {navy}</t>
  </si>
  <si>
    <t>94-007-13-00</t>
  </si>
  <si>
    <t>Бейсболка FLEXFIT арт. 6089M (оранжевый) {orange}</t>
  </si>
  <si>
    <t>orange</t>
  </si>
  <si>
    <t>94-007-12-00</t>
  </si>
  <si>
    <t>Бейсболка FLEXFIT арт. 6089M (бордовый) {maroon}</t>
  </si>
  <si>
    <t>94-007-11-00</t>
  </si>
  <si>
    <t>Бейсболка FLEXFIT арт. 6089M (зеленый) {spruce}</t>
  </si>
  <si>
    <t>94-007-09-00</t>
  </si>
  <si>
    <t>Бейсболка FLEXFIT арт. 6089M (черный) {black}</t>
  </si>
  <si>
    <t>94-007-08-00</t>
  </si>
  <si>
    <t>Бейсболка FLEXFIT арт. 6089M (серый) {silver}</t>
  </si>
  <si>
    <t>silver</t>
  </si>
  <si>
    <t>94-007-06-00</t>
  </si>
  <si>
    <t>Бейсболка FLEXFIT арт. 6089M (синий) {royal}</t>
  </si>
  <si>
    <t>94-007-05-00</t>
  </si>
  <si>
    <t>Бейсболка FLEXFIT арт. 6089M (темно-серый) {dark grey}</t>
  </si>
  <si>
    <t>94-007-01-00</t>
  </si>
  <si>
    <t>Бейсболка FLEXFIT арт. 6089M (светло-серый) {dark heather}</t>
  </si>
  <si>
    <t>dark heather</t>
  </si>
  <si>
    <t>94-006-00-00</t>
  </si>
  <si>
    <t>Бейсболка FLEXFIT арт. 6089CM (камуфляж) {green camo}</t>
  </si>
  <si>
    <t>6089CM</t>
  </si>
  <si>
    <t>green camo</t>
  </si>
  <si>
    <t>94-005-72-00</t>
  </si>
  <si>
    <t>Бейсболка FLEXFIT арт. 6007T (черный / красный) {black/red}</t>
  </si>
  <si>
    <t>6007T</t>
  </si>
  <si>
    <t>100% хлопок</t>
  </si>
  <si>
    <t>94-005-71-00</t>
  </si>
  <si>
    <t>Бейсболка FLEXFIT арт. 6007T (темно-синий / красный) {navy/red}</t>
  </si>
  <si>
    <t>94-005-33-00</t>
  </si>
  <si>
    <t>Бейсболка FLEXFIT арт. 6007T (черный / синий) {black/teal}</t>
  </si>
  <si>
    <t>black/teal</t>
  </si>
  <si>
    <t>94-005-10-00</t>
  </si>
  <si>
    <t>Бейсболка FLEXFIT арт. 6007T (черный / серый) {black/silver}</t>
  </si>
  <si>
    <t>94-005-09-00</t>
  </si>
  <si>
    <t>Бейсболка FLEXFIT арт. 6007T (черный / фиолетовый) {black/purple}</t>
  </si>
  <si>
    <t>black/purple</t>
  </si>
  <si>
    <t>94-004-18-00</t>
  </si>
  <si>
    <t>Бейсболка FLEXFIT арт. 6007 (красный) {red}</t>
  </si>
  <si>
    <t>94-004-17-00</t>
  </si>
  <si>
    <t>Бейсболка FLEXFIT арт. 6007 (белый) {white}</t>
  </si>
  <si>
    <t>94-004-16-00</t>
  </si>
  <si>
    <t>Бейсболка FLEXFIT арт. 6007 (темно-синий) {navy}</t>
  </si>
  <si>
    <t>94-004-09-00</t>
  </si>
  <si>
    <t>Бейсболка FLEXFIT арт. 6007 (черный) {black}</t>
  </si>
  <si>
    <t>94-004-08-00</t>
  </si>
  <si>
    <t>Бейсболка FLEXFIT арт. 6007 (серый) {grey}</t>
  </si>
  <si>
    <t>grey</t>
  </si>
  <si>
    <t>94-004-05-00</t>
  </si>
  <si>
    <t>Бейсболка FLEXFIT арт. 6007 (темно-серый) {dark grey}</t>
  </si>
  <si>
    <t>94-003-18-00</t>
  </si>
  <si>
    <t>Бейсболка FLEXFIT арт. 6005FF (красный) {red}</t>
  </si>
  <si>
    <t>6005FF</t>
  </si>
  <si>
    <t>94-003-16-00</t>
  </si>
  <si>
    <t>Бейсболка FLEXFIT арт. 6005FF (темно-синий) {navy}</t>
  </si>
  <si>
    <t>94-003-09-00</t>
  </si>
  <si>
    <t>Бейсболка FLEXFIT арт. 6005FF (черный) {black}</t>
  </si>
  <si>
    <t>94-003-06-00</t>
  </si>
  <si>
    <t>Бейсболка FLEXFIT арт. 6005FF (синий) {royal}</t>
  </si>
  <si>
    <t>94-002-18-00</t>
  </si>
  <si>
    <t>Бейсболка FLEXFIT арт. 5089M (красный) {red}</t>
  </si>
  <si>
    <t>5089M</t>
  </si>
  <si>
    <t>94-002-17-00</t>
  </si>
  <si>
    <t>Бейсболка FLEXFIT арт. 5089M (белый) {white}</t>
  </si>
  <si>
    <t>94-002-16-00</t>
  </si>
  <si>
    <t>Бейсболка FLEXFIT арт. 5089M (темно-синий) {navy}</t>
  </si>
  <si>
    <t>94-002-06-00</t>
  </si>
  <si>
    <t>Бейсболка FLEXFIT арт. 5089M (синий) {royal}</t>
  </si>
  <si>
    <t>94-002-05-00</t>
  </si>
  <si>
    <t>Бейсболка FLEXFIT арт. 5089M (темно-серый) {dark grey}</t>
  </si>
  <si>
    <t>94-001-05-00</t>
  </si>
  <si>
    <t>Бейсболка FLEXFIT арт. 110F (темно-серый) {dark grey}</t>
  </si>
  <si>
    <t>110F</t>
  </si>
  <si>
    <t>87% акрил - 11% шерсть - 2% спандекс</t>
  </si>
  <si>
    <t>94-001-01-00</t>
  </si>
  <si>
    <t>Бейсболка FLEXFIT арт. 110F (светло-серый) {heather grey}</t>
  </si>
  <si>
    <t>94-023-18-00</t>
  </si>
  <si>
    <t>Бейсболка FLEXFIT арт. 6789M (красный) {red}</t>
  </si>
  <si>
    <t>6789M</t>
  </si>
  <si>
    <t>94-023-09-00</t>
  </si>
  <si>
    <t>Бейсболка FLEXFIT арт. 6789M (черный) {black}</t>
  </si>
  <si>
    <t>94-023-06-00</t>
  </si>
  <si>
    <t>Бейсболка FLEXFIT арт. 6789M (синий) {royal}</t>
  </si>
  <si>
    <t>94-023-01-00</t>
  </si>
  <si>
    <t>Бейсболка FLEXFIT арт. 6789M (светло-серый) {heather grey}</t>
  </si>
  <si>
    <t>94-022-06-00</t>
  </si>
  <si>
    <t>Бейсболка FLEXFIT арт. 110C (синий) {royal}</t>
  </si>
  <si>
    <t>110C</t>
  </si>
  <si>
    <t>98% полиэстер - 2% спандекс</t>
  </si>
  <si>
    <t>94-020-80-00</t>
  </si>
  <si>
    <t>Бейсболка FLEXFIT арт. 6089CC (серый) {lt. steel grey}</t>
  </si>
  <si>
    <t>6089CC</t>
  </si>
  <si>
    <t>lt. steel grey</t>
  </si>
  <si>
    <t>94-020-12-00</t>
  </si>
  <si>
    <t>Бейсболка FLEXFIT арт. 6089CC (бордовый) {maroon}</t>
  </si>
  <si>
    <t>94-020-05-00</t>
  </si>
  <si>
    <t>Бейсболка FLEXFIT арт. 6089CC (темно-серый) {dark grey}</t>
  </si>
  <si>
    <t>94-019-09-00</t>
  </si>
  <si>
    <t>Бейсболка FLEXFIT арт. 6245CM (черный) {black}</t>
  </si>
  <si>
    <t>6245CM</t>
  </si>
  <si>
    <t>94-015-34-00</t>
  </si>
  <si>
    <t>Бейсболка FLEXFIT арт. 6606 (розовый) {pink}</t>
  </si>
  <si>
    <t>pink</t>
  </si>
  <si>
    <t>94-009-70-00</t>
  </si>
  <si>
    <t>Бейсболка FLEXFIT арт. 6089MT (темно-серый / красный) {heather/red}</t>
  </si>
  <si>
    <t>heather/red</t>
  </si>
  <si>
    <t>94-009-56-00</t>
  </si>
  <si>
    <t>Бейсболка FLEXFIT арт. 6089MT (серый / фиолетовый) {heather/purple}</t>
  </si>
  <si>
    <t>heather/purple</t>
  </si>
  <si>
    <t>94-009-26-00</t>
  </si>
  <si>
    <t>Бейсболка FLEXFIT арт. 6089MT (серый / синий) {heather/royal}</t>
  </si>
  <si>
    <t>heather/royal</t>
  </si>
  <si>
    <t>94-007-80-00</t>
  </si>
  <si>
    <t>Бейсболка FLEXFIT арт. 6089M (серый) {heather grey}</t>
  </si>
  <si>
    <t>BLACK</t>
  </si>
  <si>
    <t>MAROON</t>
  </si>
  <si>
    <t>HEATHER GREY</t>
  </si>
  <si>
    <t>DARK HEATHER</t>
  </si>
  <si>
    <t>CAMO/BLACK</t>
  </si>
  <si>
    <t>BLACK/CAMO</t>
  </si>
  <si>
    <t>BROWN</t>
  </si>
  <si>
    <t>DARK GREY</t>
  </si>
  <si>
    <t>DARK NAVY</t>
  </si>
  <si>
    <t>GREY</t>
  </si>
  <si>
    <t>NAVY</t>
  </si>
  <si>
    <t>PURPLE</t>
  </si>
  <si>
    <t>RED</t>
  </si>
  <si>
    <t>CHARCOAL</t>
  </si>
  <si>
    <t>6277</t>
  </si>
  <si>
    <t>6606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</si>
</sst>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Q1" zoomScale="65" zoomScaleNormal="65" workbookViewId="0">
      <pane ySplit="1" topLeftCell="A14" activePane="bottomLeft" state="frozen"/>
      <selection pane="bottomLeft" activeCell="BB3" sqref="BB3:BB21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30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Flexfit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30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30" ca="1" si="2">IF(AU2&lt;&gt;"",VLOOKUP(AU2,INDIRECT(SUBSTITUTE($J2," ","")&amp;"Manufactures"),3,0),"Требуется код страны")</f>
        <v>Требуется код страны</v>
      </c>
      <c r="AW2" s="56" t="str">
        <f t="shared" ref="AW2:AW30" ca="1" si="3">IF(AU2&lt;&gt;"",VLOOKUP(AU2,INDIRECT(SUBSTITUTE($J2," ","")&amp;"Manufactures"),2,0),"Требуется код страны")</f>
        <v>Требуется код страны</v>
      </c>
      <c r="AX2" s="141">
        <f t="shared" ref="AX2:AX30" si="4">0.05+0.05</f>
        <v>0.1</v>
      </c>
      <c r="AY2" s="56">
        <f t="shared" ref="AY2:AY30" si="5">IF(AX2&lt;&gt;"",AX2*1.5,"Требуется нетто")</f>
        <v>0.15000000000000002</v>
      </c>
      <c r="AZ2" s="56" t="str">
        <f t="shared" ref="AZ2:AZ30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30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30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30" si="9">IFERROR(IF(BE2,"-",IFERROR(IF(BD2&gt;0,0,1),"")),"")</f>
        <v/>
      </c>
      <c r="BG2" s="88"/>
    </row>
    <row r="3" spans="1:59" ht="98.1" customHeight="1">
      <c r="A3" s="43" t="str">
        <f t="shared" si="0"/>
        <v>6089CCBLACK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94-020-09</v>
      </c>
      <c r="C3" s="145" t="s">
        <v>1154</v>
      </c>
      <c r="E3" s="43" t="str">
        <f>IF(F3&lt;&gt;"",IFERROR(VLOOKUP(F3,Категории!A:B,2,0),""),"Требуется категория")</f>
        <v>Бейсболки</v>
      </c>
      <c r="F3" s="43" t="str">
        <f>IF(A3&lt;&gt;"",IF(BD3&gt;0,_xlfn.XLOOKUP(A3,'1C'!A:A,'1C'!J:J,"",0),_xlfn.XLOOKUP(C3,'1C'!W:W,'1C'!J:J,"",0)),"")</f>
        <v>Бейсболка</v>
      </c>
      <c r="G3" s="56" t="str">
        <f>IF(C3&lt;&gt;"",IF(BD3&gt;0,_xlfn.XLOOKUP(A3,'1C'!A:A,'1C'!L:L,"",0),_xlfn.XLOOKUP(C3,'1C'!W:W,'1C'!L:L,"",0)),"")</f>
        <v>Flexfit</v>
      </c>
      <c r="H3" s="43" t="str">
        <f>IF(A3&lt;&gt;"",_xlfn.XLOOKUP(A3,'1C'!A:A,'1C'!M:M,_xlfn.XLOOKUP(C3,'1C'!W:W,'1C'!M:M,"",0),0))</f>
        <v>всесезон</v>
      </c>
      <c r="I3" s="134"/>
      <c r="J3" s="57" t="str">
        <f>'1C'!$AJ$1</f>
        <v>Flexfit</v>
      </c>
      <c r="K3" s="99" t="s">
        <v>1177</v>
      </c>
      <c r="L3" s="166" t="str">
        <f>IF(K3&lt;&gt;"",IFERROR(VLOOKUP(A3,'1C'!A:X,8,0),IFERROR(VLOOKUP(K3,Colors!D:E,2,0),"")),"")</f>
        <v>черный</v>
      </c>
      <c r="M3" s="62"/>
      <c r="N3" s="62"/>
      <c r="O3" s="62"/>
      <c r="P3" s="62"/>
      <c r="Q3" s="168" t="str">
        <f>IF(A3&lt;&gt;"",_xlfn.XLOOKUP(A3,'1C'!A:A,'1C'!I:I,_xlfn.XLOOKUP(C3,'1C'!W:W,'1C'!I:I,"",0),0),"")</f>
        <v>100% хлопок</v>
      </c>
      <c r="R3" s="64"/>
      <c r="S3" s="56" t="str">
        <f>_xlfn.LET(_xlpm.RES,IF(A3&lt;&gt;"",_xlfn.XLOOKUP(A3,'1C'!A:A,'1C'!N:N,_xlfn.XLOOKUP(C3,'1C'!W:W,'1C'!N:N,"",0),0),""),IF(_xlpm.RES=0,"",_xlpm.RES))</f>
        <v>хлопковые</v>
      </c>
      <c r="T3" s="59" t="str">
        <f>IF(S3&lt;&gt;"",IFERROR(VLOOKUP(S3,MaterialsTypes!F:G,2,0),IFERROR(VLOOKUP(Q3,MaterialsTypes100,2,0),"")),IFERROR(VLOOKUP(Q3,MaterialsTypes100,2,0),""))</f>
        <v>Текстиль, ткань</v>
      </c>
      <c r="U3" s="59" t="str">
        <f>IF(A3&lt;&gt;"",_xlfn.XLOOKUP(A3,'1C'!A:A,'1C'!K:K,_xlfn.XLOOKUP(C3,'1C'!W:W,'1C'!K:K,"",0),0),"")</f>
        <v>Унисекс</v>
      </c>
      <c r="V3" s="58">
        <v>80</v>
      </c>
      <c r="Y3" s="58"/>
      <c r="AA3" s="58"/>
      <c r="AC3" s="58"/>
      <c r="AE3" s="58"/>
      <c r="AG3" s="58"/>
      <c r="AT3" s="57">
        <f t="shared" si="1"/>
        <v>80</v>
      </c>
      <c r="AU3" s="169" t="str">
        <f>IF(A3&lt;&gt;"",_xlfn.XLOOKUP(_xlfn.XLOOKUP(A3,'1C'!A:A,'1C'!O:O,_xlfn.XLOOKUP(C3,'1C'!W:W,'1C'!O:O,"",0),0),Settings!N:N,Settings!O:O,"",0),"")</f>
        <v>BD</v>
      </c>
      <c r="AV3" s="56" t="str">
        <f t="shared" ca="1" si="2"/>
        <v>YupoongInc; 174, Gurodong-ro, Guro-gu, 08285 Seoul, South Korea</v>
      </c>
      <c r="AW3" s="43" t="str">
        <f t="shared" ca="1" si="3"/>
        <v>Бангладеш</v>
      </c>
      <c r="AX3" s="74">
        <f t="shared" si="4"/>
        <v>0.1</v>
      </c>
      <c r="AY3" s="43">
        <f t="shared" si="5"/>
        <v>0.15000000000000002</v>
      </c>
      <c r="AZ3" s="43">
        <f t="shared" si="6"/>
        <v>8</v>
      </c>
      <c r="BA3" s="43">
        <f t="shared" si="7"/>
        <v>12.000000000000002</v>
      </c>
      <c r="BB3" s="139">
        <v>609</v>
      </c>
      <c r="BC3" s="170">
        <f t="shared" si="8"/>
        <v>48720</v>
      </c>
      <c r="BD3" s="45">
        <f>IF(A3&lt;&gt;"",IF(_xlfn.XLOOKUP(A3,'1C'!A:A,'1C'!A:A,0,0)&gt;0,1,0),"")</f>
        <v>0</v>
      </c>
      <c r="BE3" s="171">
        <f>IF(C3&lt;&gt;"",IF(_xlfn.XLOOKUP(TEXT(C3,"###"),'1C'!W:W,'1C'!D:D,0,0)&gt;0,0,1),"")</f>
        <v>0</v>
      </c>
      <c r="BF3" s="72">
        <f t="shared" si="9"/>
        <v>1</v>
      </c>
    </row>
    <row r="4" spans="1:59" ht="98.1" customHeight="1">
      <c r="A4" s="43" t="str">
        <f t="shared" si="0"/>
        <v>6089MMAROON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94-007-12</v>
      </c>
      <c r="C4" s="145" t="s">
        <v>1055</v>
      </c>
      <c r="E4" s="43" t="str">
        <f>IF(F4&lt;&gt;"",IFERROR(VLOOKUP(F4,Категории!A:B,2,0),""),"Требуется категория")</f>
        <v>Бейсболки</v>
      </c>
      <c r="F4" s="43" t="str">
        <f>IF(A4&lt;&gt;"",IF(BD4&gt;0,_xlfn.XLOOKUP(A4,'1C'!A:A,'1C'!J:J,"",0),_xlfn.XLOOKUP(C4,'1C'!W:W,'1C'!J:J,"",0)),"")</f>
        <v>Бейсболка с прямым козырьком</v>
      </c>
      <c r="G4" s="56" t="str">
        <f>IF(C4&lt;&gt;"",IF(BD4&gt;0,_xlfn.XLOOKUP(A4,'1C'!A:A,'1C'!L:L,"",0),_xlfn.XLOOKUP(C4,'1C'!W:W,'1C'!L:L,"",0)),"")</f>
        <v>Flexfit</v>
      </c>
      <c r="H4" s="43" t="str">
        <f>IF(A4&lt;&gt;"",_xlfn.XLOOKUP(A4,'1C'!A:A,'1C'!M:M,_xlfn.XLOOKUP(C4,'1C'!W:W,'1C'!M:M,"",0),0))</f>
        <v>всесезон</v>
      </c>
      <c r="J4" s="57" t="str">
        <f>'1C'!$AJ$1</f>
        <v>Flexfit</v>
      </c>
      <c r="K4" s="98" t="s">
        <v>1178</v>
      </c>
      <c r="L4" s="167" t="str">
        <f>IF(K4&lt;&gt;"",IFERROR(VLOOKUP(A4,'1C'!A:X,8,0),IFERROR(VLOOKUP(K4,Colors!D:E,2,0),"")),"")</f>
        <v>бордовый</v>
      </c>
      <c r="M4" s="56" t="str">
        <f>IF(K4&lt;&gt;"",_xlfn.XLOOKUP(A4,'1C'!A:A,'1C'!R:R,"",0),"")</f>
        <v>бордовый</v>
      </c>
      <c r="N4" s="62"/>
      <c r="O4" s="62"/>
      <c r="P4" s="62"/>
      <c r="Q4" s="168" t="str">
        <f>IF(A4&lt;&gt;"",_xlfn.XLOOKUP(A4,'1C'!A:A,'1C'!I:I,_xlfn.XLOOKUP(C4,'1C'!W:W,'1C'!I:I,"",0),0),"")</f>
        <v>80% акрил - 20% шерсть</v>
      </c>
      <c r="R4" s="64"/>
      <c r="S4" s="56" t="str">
        <f>_xlfn.LET(_xlpm.RES,IF(A4&lt;&gt;"",_xlfn.XLOOKUP(A4,'1C'!A:A,'1C'!N:N,_xlfn.XLOOKUP(C4,'1C'!W:W,'1C'!N:N,"",0),0),""),IF(_xlpm.RES=0,"",_xlpm.RES))</f>
        <v>акриловые</v>
      </c>
      <c r="T4" s="58"/>
      <c r="U4" s="59" t="str">
        <f>IF(A4&lt;&gt;"",_xlfn.XLOOKUP(A4,'1C'!A:A,'1C'!K:K,_xlfn.XLOOKUP(C4,'1C'!W:W,'1C'!K:K,"",0),0),"")</f>
        <v>Унисекс</v>
      </c>
      <c r="V4" s="58">
        <v>10</v>
      </c>
      <c r="Y4" s="58"/>
      <c r="AA4" s="58"/>
      <c r="AC4" s="58"/>
      <c r="AE4" s="58"/>
      <c r="AG4" s="58"/>
      <c r="AT4" s="57">
        <f t="shared" si="1"/>
        <v>10</v>
      </c>
      <c r="AU4" s="169" t="str">
        <f>IF(A4&lt;&gt;"",_xlfn.XLOOKUP(_xlfn.XLOOKUP(A4,'1C'!A:A,'1C'!O:O,_xlfn.XLOOKUP(C4,'1C'!W:W,'1C'!O:O,"",0),0),Settings!N:N,Settings!O:O,"",0),"")</f>
        <v>BD</v>
      </c>
      <c r="AV4" s="56" t="str">
        <f t="shared" ca="1" si="2"/>
        <v>YupoongInc; 174, Gurodong-ro, Guro-gu, 08285 Seoul, South Korea</v>
      </c>
      <c r="AW4" s="43" t="str">
        <f t="shared" ca="1" si="3"/>
        <v>Бангладеш</v>
      </c>
      <c r="AX4" s="74">
        <f t="shared" si="4"/>
        <v>0.1</v>
      </c>
      <c r="AY4" s="43">
        <f t="shared" si="5"/>
        <v>0.15000000000000002</v>
      </c>
      <c r="AZ4" s="43">
        <f t="shared" si="6"/>
        <v>1</v>
      </c>
      <c r="BA4" s="43">
        <f t="shared" si="7"/>
        <v>1.5000000000000002</v>
      </c>
      <c r="BB4" s="139">
        <v>609</v>
      </c>
      <c r="BC4" s="170">
        <f t="shared" si="8"/>
        <v>6090</v>
      </c>
      <c r="BD4" s="45">
        <f>IF(A4&lt;&gt;"",IF(_xlfn.XLOOKUP(A4,'1C'!A:A,'1C'!A:A,0,0)&gt;0,1,0),"")</f>
        <v>1</v>
      </c>
      <c r="BE4" s="171">
        <f>IF(C4&lt;&gt;"",IF(_xlfn.XLOOKUP(TEXT(C4,"###"),'1C'!W:W,'1C'!D:D,0,0)&gt;0,0,1),"")</f>
        <v>0</v>
      </c>
      <c r="BF4" s="72">
        <f t="shared" si="9"/>
        <v>0</v>
      </c>
    </row>
    <row r="5" spans="1:59" ht="98.1" customHeight="1">
      <c r="A5" s="43" t="str">
        <f t="shared" si="0"/>
        <v>6089MHEATHER GREY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94-007-80</v>
      </c>
      <c r="C5" s="145" t="s">
        <v>1055</v>
      </c>
      <c r="E5" s="43" t="str">
        <f>IF(F5&lt;&gt;"",IFERROR(VLOOKUP(F5,Категории!A:B,2,0),""),"Требуется категория")</f>
        <v>Бейсболки</v>
      </c>
      <c r="F5" s="43" t="str">
        <f>IF(A5&lt;&gt;"",IF(BD5&gt;0,_xlfn.XLOOKUP(A5,'1C'!A:A,'1C'!J:J,"",0),_xlfn.XLOOKUP(C5,'1C'!W:W,'1C'!J:J,"",0)),"")</f>
        <v>Бейсболка с прямым козырьком</v>
      </c>
      <c r="G5" s="56" t="str">
        <f>IF(C5&lt;&gt;"",IF(BD5&gt;0,_xlfn.XLOOKUP(A5,'1C'!A:A,'1C'!L:L,"",0),_xlfn.XLOOKUP(C5,'1C'!W:W,'1C'!L:L,"",0)),"")</f>
        <v>Flexfit</v>
      </c>
      <c r="H5" s="43" t="str">
        <f>IF(A5&lt;&gt;"",_xlfn.XLOOKUP(A5,'1C'!A:A,'1C'!M:M,_xlfn.XLOOKUP(C5,'1C'!W:W,'1C'!M:M,"",0),0))</f>
        <v>всесезон</v>
      </c>
      <c r="J5" s="57" t="str">
        <f>'1C'!$AJ$1</f>
        <v>Flexfit</v>
      </c>
      <c r="K5" s="98" t="s">
        <v>1179</v>
      </c>
      <c r="L5" s="167" t="str">
        <f>IF(K5&lt;&gt;"",IFERROR(VLOOKUP(A5,'1C'!A:X,8,0),IFERROR(VLOOKUP(K5,Colors!D:E,2,0),"")),"")</f>
        <v>серый</v>
      </c>
      <c r="M5" s="56" t="str">
        <f>IF(K5&lt;&gt;"",_xlfn.XLOOKUP(A5,'1C'!A:A,'1C'!R:R,"",0),"")</f>
        <v>серый</v>
      </c>
      <c r="N5" s="62"/>
      <c r="O5" s="62"/>
      <c r="P5" s="62"/>
      <c r="Q5" s="168" t="str">
        <f>IF(A5&lt;&gt;"",_xlfn.XLOOKUP(A5,'1C'!A:A,'1C'!I:I,_xlfn.XLOOKUP(C5,'1C'!W:W,'1C'!I:I,"",0),0),"")</f>
        <v>80% акрил - 20% шерсть</v>
      </c>
      <c r="R5" s="64"/>
      <c r="S5" s="56" t="str">
        <f>_xlfn.LET(_xlpm.RES,IF(A5&lt;&gt;"",_xlfn.XLOOKUP(A5,'1C'!A:A,'1C'!N:N,_xlfn.XLOOKUP(C5,'1C'!W:W,'1C'!N:N,"",0),0),""),IF(_xlpm.RES=0,"",_xlpm.RES))</f>
        <v>акриловые</v>
      </c>
      <c r="T5" s="58"/>
      <c r="U5" s="59" t="str">
        <f>IF(A5&lt;&gt;"",_xlfn.XLOOKUP(A5,'1C'!A:A,'1C'!K:K,_xlfn.XLOOKUP(C5,'1C'!W:W,'1C'!K:K,"",0),0),"")</f>
        <v>Унисекс</v>
      </c>
      <c r="V5" s="58">
        <v>15</v>
      </c>
      <c r="Y5" s="58"/>
      <c r="AA5" s="58"/>
      <c r="AC5" s="58"/>
      <c r="AE5" s="58"/>
      <c r="AG5" s="58"/>
      <c r="AT5" s="57">
        <f t="shared" si="1"/>
        <v>15</v>
      </c>
      <c r="AU5" s="169" t="str">
        <f>IF(A5&lt;&gt;"",_xlfn.XLOOKUP(_xlfn.XLOOKUP(A5,'1C'!A:A,'1C'!O:O,_xlfn.XLOOKUP(C5,'1C'!W:W,'1C'!O:O,"",0),0),Settings!N:N,Settings!O:O,"",0),"")</f>
        <v>BD</v>
      </c>
      <c r="AV5" s="56" t="str">
        <f t="shared" ca="1" si="2"/>
        <v>YupoongInc; 174, Gurodong-ro, Guro-gu, 08285 Seoul, South Korea</v>
      </c>
      <c r="AW5" s="43" t="str">
        <f t="shared" ca="1" si="3"/>
        <v>Бангладеш</v>
      </c>
      <c r="AX5" s="74">
        <f t="shared" si="4"/>
        <v>0.1</v>
      </c>
      <c r="AY5" s="43">
        <f t="shared" si="5"/>
        <v>0.15000000000000002</v>
      </c>
      <c r="AZ5" s="43">
        <f t="shared" si="6"/>
        <v>1.5</v>
      </c>
      <c r="BA5" s="43">
        <f t="shared" si="7"/>
        <v>2.2500000000000004</v>
      </c>
      <c r="BB5" s="139">
        <v>609</v>
      </c>
      <c r="BC5" s="170">
        <f t="shared" si="8"/>
        <v>9135</v>
      </c>
      <c r="BD5" s="45">
        <f>IF(A5&lt;&gt;"",IF(_xlfn.XLOOKUP(A5,'1C'!A:A,'1C'!A:A,0,0)&gt;0,1,0),"")</f>
        <v>1</v>
      </c>
      <c r="BE5" s="171">
        <f>IF(C5&lt;&gt;"",IF(_xlfn.XLOOKUP(TEXT(C5,"###"),'1C'!W:W,'1C'!D:D,0,0)&gt;0,0,1),"")</f>
        <v>0</v>
      </c>
      <c r="BF5" s="72">
        <f t="shared" si="9"/>
        <v>0</v>
      </c>
    </row>
    <row r="6" spans="1:59" ht="98.1" customHeight="1">
      <c r="A6" s="43" t="str">
        <f t="shared" si="0"/>
        <v>6089MDARK HEATHER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94-007-01</v>
      </c>
      <c r="C6" s="146" t="s">
        <v>1055</v>
      </c>
      <c r="E6" s="43" t="str">
        <f>IF(F6&lt;&gt;"",IFERROR(VLOOKUP(F6,Категории!A:B,2,0),""),"Требуется категория")</f>
        <v>Бейсболки</v>
      </c>
      <c r="F6" s="43" t="str">
        <f>IF(A6&lt;&gt;"",IF(BD6&gt;0,_xlfn.XLOOKUP(A6,'1C'!A:A,'1C'!J:J,"",0),_xlfn.XLOOKUP(C6,'1C'!W:W,'1C'!J:J,"",0)),"")</f>
        <v>Бейсболка с прямым козырьком</v>
      </c>
      <c r="G6" s="56" t="str">
        <f>IF(C6&lt;&gt;"",IF(BD6&gt;0,_xlfn.XLOOKUP(A6,'1C'!A:A,'1C'!L:L,"",0),_xlfn.XLOOKUP(C6,'1C'!W:W,'1C'!L:L,"",0)),"")</f>
        <v>Flexfit</v>
      </c>
      <c r="H6" s="43" t="str">
        <f>IF(A6&lt;&gt;"",_xlfn.XLOOKUP(A6,'1C'!A:A,'1C'!M:M,_xlfn.XLOOKUP(C6,'1C'!W:W,'1C'!M:M,"",0),0))</f>
        <v>всесезон</v>
      </c>
      <c r="J6" s="57" t="str">
        <f>'1C'!$AJ$1</f>
        <v>Flexfit</v>
      </c>
      <c r="K6" s="100" t="s">
        <v>1180</v>
      </c>
      <c r="L6" s="167" t="str">
        <f>IF(K6&lt;&gt;"",IFERROR(VLOOKUP(A6,'1C'!A:X,8,0),IFERROR(VLOOKUP(K6,Colors!D:E,2,0),"")),"")</f>
        <v>светло-серый</v>
      </c>
      <c r="M6" s="56" t="str">
        <f>IF(K6&lt;&gt;"",_xlfn.XLOOKUP(A6,'1C'!A:A,'1C'!R:R,"",0),"")</f>
        <v>серый</v>
      </c>
      <c r="N6" s="62"/>
      <c r="O6" s="62"/>
      <c r="P6" s="62"/>
      <c r="Q6" s="168" t="str">
        <f>IF(A6&lt;&gt;"",_xlfn.XLOOKUP(A6,'1C'!A:A,'1C'!I:I,_xlfn.XLOOKUP(C6,'1C'!W:W,'1C'!I:I,"",0),0),"")</f>
        <v>80% акрил - 20% шерсть</v>
      </c>
      <c r="R6" s="64"/>
      <c r="S6" s="56" t="str">
        <f>_xlfn.LET(_xlpm.RES,IF(A6&lt;&gt;"",_xlfn.XLOOKUP(A6,'1C'!A:A,'1C'!N:N,_xlfn.XLOOKUP(C6,'1C'!W:W,'1C'!N:N,"",0),0),""),IF(_xlpm.RES=0,"",_xlpm.RES))</f>
        <v>акриловые</v>
      </c>
      <c r="T6" s="58"/>
      <c r="U6" s="59" t="str">
        <f>IF(A6&lt;&gt;"",_xlfn.XLOOKUP(A6,'1C'!A:A,'1C'!K:K,_xlfn.XLOOKUP(C6,'1C'!W:W,'1C'!K:K,"",0),0),"")</f>
        <v>Унисекс</v>
      </c>
      <c r="V6" s="58">
        <v>20</v>
      </c>
      <c r="Y6" s="58"/>
      <c r="AA6" s="58"/>
      <c r="AC6" s="58"/>
      <c r="AE6" s="58"/>
      <c r="AG6" s="58"/>
      <c r="AT6" s="57">
        <f t="shared" si="1"/>
        <v>20</v>
      </c>
      <c r="AU6" s="169" t="str">
        <f>IF(A6&lt;&gt;"",_xlfn.XLOOKUP(_xlfn.XLOOKUP(A6,'1C'!A:A,'1C'!O:O,_xlfn.XLOOKUP(C6,'1C'!W:W,'1C'!O:O,"",0),0),Settings!N:N,Settings!O:O,"",0),"")</f>
        <v>BD</v>
      </c>
      <c r="AV6" s="56" t="str">
        <f t="shared" ca="1" si="2"/>
        <v>YupoongInc; 174, Gurodong-ro, Guro-gu, 08285 Seoul, South Korea</v>
      </c>
      <c r="AW6" s="43" t="str">
        <f t="shared" ca="1" si="3"/>
        <v>Бангладеш</v>
      </c>
      <c r="AX6" s="74">
        <f t="shared" si="4"/>
        <v>0.1</v>
      </c>
      <c r="AY6" s="43">
        <f t="shared" si="5"/>
        <v>0.15000000000000002</v>
      </c>
      <c r="AZ6" s="43">
        <f t="shared" si="6"/>
        <v>2</v>
      </c>
      <c r="BA6" s="43">
        <f t="shared" si="7"/>
        <v>3.0000000000000004</v>
      </c>
      <c r="BB6" s="139">
        <v>609</v>
      </c>
      <c r="BC6" s="170">
        <f t="shared" si="8"/>
        <v>12180</v>
      </c>
      <c r="BD6" s="45">
        <f>IF(A6&lt;&gt;"",IF(_xlfn.XLOOKUP(A6,'1C'!A:A,'1C'!A:A,0,0)&gt;0,1,0),"")</f>
        <v>1</v>
      </c>
      <c r="BE6" s="171">
        <f>IF(C6&lt;&gt;"",IF(_xlfn.XLOOKUP(TEXT(C6,"###"),'1C'!W:W,'1C'!D:D,0,0)&gt;0,0,1),"")</f>
        <v>0</v>
      </c>
      <c r="BF6" s="72">
        <f t="shared" si="9"/>
        <v>0</v>
      </c>
    </row>
    <row r="7" spans="1:59" ht="98.1" customHeight="1">
      <c r="A7" s="43" t="str">
        <f t="shared" si="0"/>
        <v>6089TCCAMO/BLACK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94-010-00</v>
      </c>
      <c r="C7" s="146" t="s">
        <v>1022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IF(A7&lt;&gt;"",IF(BD7&gt;0,_xlfn.XLOOKUP(A7,'1C'!A:A,'1C'!J:J,"",0),_xlfn.XLOOKUP(C7,'1C'!W:W,'1C'!J:J,"",0)),"")</f>
        <v>Бейсболка с прямым козырьком</v>
      </c>
      <c r="G7" s="56" t="str">
        <f>IF(C7&lt;&gt;"",IF(BD7&gt;0,_xlfn.XLOOKUP(A7,'1C'!A:A,'1C'!L:L,"",0),_xlfn.XLOOKUP(C7,'1C'!W:W,'1C'!L:L,"",0)),"")</f>
        <v>Flexfit</v>
      </c>
      <c r="H7" s="43" t="str">
        <f>IF(A7&lt;&gt;"",_xlfn.XLOOKUP(A7,'1C'!A:A,'1C'!M:M,_xlfn.XLOOKUP(C7,'1C'!W:W,'1C'!M:M,"",0),0))</f>
        <v>всесезон</v>
      </c>
      <c r="J7" s="57" t="str">
        <f>'1C'!$AJ$1</f>
        <v>Flexfit</v>
      </c>
      <c r="K7" s="100" t="s">
        <v>1181</v>
      </c>
      <c r="L7" s="167" t="str">
        <f>IF(K7&lt;&gt;"",IFERROR(VLOOKUP(A7,'1C'!A:X,8,0),IFERROR(VLOOKUP(K7,Colors!D:E,2,0),"")),"")</f>
        <v>камуфляж / черный</v>
      </c>
      <c r="M7" s="56" t="str">
        <f>IF(K7&lt;&gt;"",_xlfn.XLOOKUP(A7,'1C'!A:A,'1C'!R:R,"",0),"")</f>
        <v>зеленый</v>
      </c>
      <c r="N7" s="62"/>
      <c r="O7" s="62"/>
      <c r="P7" s="62"/>
      <c r="Q7" s="168" t="str">
        <f>IF(A7&lt;&gt;"",_xlfn.XLOOKUP(A7,'1C'!A:A,'1C'!I:I,_xlfn.XLOOKUP(C7,'1C'!W:W,'1C'!I:I,"",0),0),"")</f>
        <v>65% полиэстер - 35% хлопок</v>
      </c>
      <c r="R7" s="64"/>
      <c r="S7" s="62"/>
      <c r="T7" s="58"/>
      <c r="U7" s="59" t="str">
        <f>IF(A7&lt;&gt;"",_xlfn.XLOOKUP(A7,'1C'!A:A,'1C'!K:K,_xlfn.XLOOKUP(C7,'1C'!W:W,'1C'!K:K,"",0),0),"")</f>
        <v>Унисекс</v>
      </c>
      <c r="V7" s="58">
        <v>30</v>
      </c>
      <c r="Y7" s="58"/>
      <c r="AA7" s="58"/>
      <c r="AC7" s="58"/>
      <c r="AE7" s="58"/>
      <c r="AG7" s="58"/>
      <c r="AT7" s="57">
        <f t="shared" si="1"/>
        <v>30</v>
      </c>
      <c r="AU7" s="169" t="str">
        <f>IF(A7&lt;&gt;"",_xlfn.XLOOKUP(_xlfn.XLOOKUP(A7,'1C'!A:A,'1C'!O:O,_xlfn.XLOOKUP(C7,'1C'!W:W,'1C'!O:O,"",0),0),Settings!N:N,Settings!O:O,"",0),"")</f>
        <v>BD</v>
      </c>
      <c r="AV7" s="56" t="str">
        <f t="shared" ca="1" si="2"/>
        <v>YupoongInc; 174, Gurodong-ro, Guro-gu, 08285 Seoul, South Korea</v>
      </c>
      <c r="AW7" s="43" t="str">
        <f t="shared" ca="1" si="3"/>
        <v>Бангладеш</v>
      </c>
      <c r="AX7" s="74">
        <f t="shared" si="4"/>
        <v>0.1</v>
      </c>
      <c r="AY7" s="43">
        <f t="shared" si="5"/>
        <v>0.15000000000000002</v>
      </c>
      <c r="AZ7" s="43">
        <f t="shared" si="6"/>
        <v>3</v>
      </c>
      <c r="BA7" s="43">
        <f t="shared" si="7"/>
        <v>4.5000000000000009</v>
      </c>
      <c r="BB7" s="139">
        <v>609</v>
      </c>
      <c r="BC7" s="170">
        <f t="shared" si="8"/>
        <v>18270</v>
      </c>
      <c r="BD7" s="45">
        <f>IF(A7&lt;&gt;"",IF(_xlfn.XLOOKUP(A7,'1C'!A:A,'1C'!A:A,0,0)&gt;0,1,0),"")</f>
        <v>1</v>
      </c>
      <c r="BE7" s="171">
        <f>IF(C7&lt;&gt;"",IF(_xlfn.XLOOKUP(TEXT(C7,"###"),'1C'!W:W,'1C'!D:D,0,0)&gt;0,0,1),"")</f>
        <v>0</v>
      </c>
      <c r="BF7" s="72">
        <f t="shared" si="9"/>
        <v>0</v>
      </c>
    </row>
    <row r="8" spans="1:59" ht="98.1" customHeight="1">
      <c r="A8" s="43" t="str">
        <f t="shared" si="0"/>
        <v>6089TCBLACK/CAMO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94-010-75</v>
      </c>
      <c r="C8" s="146" t="s">
        <v>1022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 с прямым козырьком</v>
      </c>
      <c r="G8" s="56" t="str">
        <f>IF(C8&lt;&gt;"",IF(BD8&gt;0,_xlfn.XLOOKUP(A8,'1C'!A:A,'1C'!L:L,"",0),_xlfn.XLOOKUP(C8,'1C'!W:W,'1C'!L:L,"",0)),"")</f>
        <v>Flexfit</v>
      </c>
      <c r="H8" s="43" t="str">
        <f>IF(A8&lt;&gt;"",_xlfn.XLOOKUP(A8,'1C'!A:A,'1C'!M:M,_xlfn.XLOOKUP(C8,'1C'!W:W,'1C'!M:M,"",0),0))</f>
        <v>всесезон</v>
      </c>
      <c r="J8" s="57" t="str">
        <f>'1C'!$AJ$1</f>
        <v>Flexfit</v>
      </c>
      <c r="K8" s="100" t="s">
        <v>1182</v>
      </c>
      <c r="L8" s="100" t="s">
        <v>690</v>
      </c>
      <c r="M8" s="62"/>
      <c r="N8" s="62"/>
      <c r="O8" s="62"/>
      <c r="P8" s="62"/>
      <c r="Q8" s="168" t="str">
        <f>IF(A8&lt;&gt;"",_xlfn.XLOOKUP(A8,'1C'!A:A,'1C'!I:I,_xlfn.XLOOKUP(C8,'1C'!W:W,'1C'!I:I,"",0),0),"")</f>
        <v>65% полиэстер - 35% хлопок</v>
      </c>
      <c r="R8" s="64"/>
      <c r="S8" s="62"/>
      <c r="T8" s="58"/>
      <c r="U8" s="59" t="str">
        <f>IF(A8&lt;&gt;"",_xlfn.XLOOKUP(A8,'1C'!A:A,'1C'!K:K,_xlfn.XLOOKUP(C8,'1C'!W:W,'1C'!K:K,"",0),0),"")</f>
        <v>Унисекс</v>
      </c>
      <c r="V8" s="58">
        <v>40</v>
      </c>
      <c r="Y8" s="58"/>
      <c r="AA8" s="58"/>
      <c r="AC8" s="58"/>
      <c r="AE8" s="58"/>
      <c r="AG8" s="58"/>
      <c r="AT8" s="57">
        <f t="shared" si="1"/>
        <v>40</v>
      </c>
      <c r="AU8" s="169" t="str">
        <f>IF(A8&lt;&gt;"",_xlfn.XLOOKUP(_xlfn.XLOOKUP(A8,'1C'!A:A,'1C'!O:O,_xlfn.XLOOKUP(C8,'1C'!W:W,'1C'!O:O,"",0),0),Settings!N:N,Settings!O:O,"",0),"")</f>
        <v>BD</v>
      </c>
      <c r="AV8" s="56" t="str">
        <f t="shared" ca="1" si="2"/>
        <v>YupoongInc; 174, Gurodong-ro, Guro-gu, 08285 Seoul, South Korea</v>
      </c>
      <c r="AW8" s="43" t="str">
        <f t="shared" ca="1" si="3"/>
        <v>Бангладеш</v>
      </c>
      <c r="AX8" s="74">
        <f t="shared" si="4"/>
        <v>0.1</v>
      </c>
      <c r="AY8" s="43">
        <f t="shared" si="5"/>
        <v>0.15000000000000002</v>
      </c>
      <c r="AZ8" s="43">
        <f t="shared" si="6"/>
        <v>4</v>
      </c>
      <c r="BA8" s="43">
        <f t="shared" si="7"/>
        <v>6.0000000000000009</v>
      </c>
      <c r="BB8" s="139">
        <v>609</v>
      </c>
      <c r="BC8" s="170">
        <f t="shared" si="8"/>
        <v>24360</v>
      </c>
      <c r="BD8" s="45">
        <f>IF(A8&lt;&gt;"",IF(_xlfn.XLOOKUP(A8,'1C'!A:A,'1C'!A:A,0,0)&gt;0,1,0),"")</f>
        <v>0</v>
      </c>
      <c r="BE8" s="171">
        <f>IF(C8&lt;&gt;"",IF(_xlfn.XLOOKUP(TEXT(C8,"###"),'1C'!W:W,'1C'!D:D,0,0)&gt;0,0,1),"")</f>
        <v>0</v>
      </c>
      <c r="BF8" s="72">
        <f t="shared" si="9"/>
        <v>1</v>
      </c>
    </row>
    <row r="9" spans="1:59" ht="98.1" customHeight="1">
      <c r="A9" s="43" t="str">
        <f t="shared" si="0"/>
        <v>6277BLACK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94-011-09</v>
      </c>
      <c r="C9" s="146" t="s">
        <v>1191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IF(A9&lt;&gt;"",IF(BD9&gt;0,_xlfn.XLOOKUP(A9,'1C'!A:A,'1C'!J:J,"",0),_xlfn.XLOOKUP(C9,'1C'!W:W,'1C'!J:J,"",0)),"")</f>
        <v>Бейсболка</v>
      </c>
      <c r="G9" s="56" t="str">
        <f>IF(C9&lt;&gt;"",IF(BD9&gt;0,_xlfn.XLOOKUP(A9,'1C'!A:A,'1C'!L:L,"",0),_xlfn.XLOOKUP(C9,'1C'!W:W,'1C'!L:L,"",0)),"")</f>
        <v>Flexfit</v>
      </c>
      <c r="H9" s="43" t="str">
        <f>IF(A9&lt;&gt;"",_xlfn.XLOOKUP(A9,'1C'!A:A,'1C'!M:M,_xlfn.XLOOKUP(C9,'1C'!W:W,'1C'!M:M,"",0),0))</f>
        <v>всесезон</v>
      </c>
      <c r="J9" s="57" t="str">
        <f>'1C'!$AJ$1</f>
        <v>Flexfit</v>
      </c>
      <c r="K9" s="100" t="s">
        <v>1177</v>
      </c>
      <c r="L9" s="167" t="str">
        <f>IF(K9&lt;&gt;"",IFERROR(VLOOKUP(A9,'1C'!A:X,8,0),IFERROR(VLOOKUP(K9,Colors!D:E,2,0),"")),"")</f>
        <v>черный</v>
      </c>
      <c r="M9" s="62"/>
      <c r="N9" s="62"/>
      <c r="O9" s="62"/>
      <c r="P9" s="62"/>
      <c r="Q9" s="168" t="str">
        <f>IF(A9&lt;&gt;"",_xlfn.XLOOKUP(A9,'1C'!A:A,'1C'!I:I,_xlfn.XLOOKUP(C9,'1C'!W:W,'1C'!I:I,"",0),0),"")</f>
        <v>63% полиэстер - 34% хлопок - 3% полиуретан</v>
      </c>
      <c r="R9" s="64"/>
      <c r="S9" s="62"/>
      <c r="T9" s="58"/>
      <c r="U9" s="59" t="str">
        <f>IF(A9&lt;&gt;"",_xlfn.XLOOKUP(A9,'1C'!A:A,'1C'!K:K,_xlfn.XLOOKUP(C9,'1C'!W:W,'1C'!K:K,"",0),0),"")</f>
        <v>Унисекс</v>
      </c>
      <c r="V9" s="58"/>
      <c r="Y9" s="58"/>
      <c r="Z9" s="44">
        <v>90</v>
      </c>
      <c r="AA9" s="58"/>
      <c r="AC9" s="58"/>
      <c r="AD9" s="44">
        <v>130</v>
      </c>
      <c r="AE9" s="58"/>
      <c r="AF9" s="44">
        <v>20</v>
      </c>
      <c r="AG9" s="58"/>
      <c r="AT9" s="57">
        <f t="shared" si="1"/>
        <v>240</v>
      </c>
      <c r="AU9" s="169" t="str">
        <f>IF(A9&lt;&gt;"",_xlfn.XLOOKUP(_xlfn.XLOOKUP(A9,'1C'!A:A,'1C'!O:O,_xlfn.XLOOKUP(C9,'1C'!W:W,'1C'!O:O,"",0),0),Settings!N:N,Settings!O:O,"",0),"")</f>
        <v>BD</v>
      </c>
      <c r="AV9" s="56" t="str">
        <f t="shared" ca="1" si="2"/>
        <v>YupoongInc; 174, Gurodong-ro, Guro-gu, 08285 Seoul, South Korea</v>
      </c>
      <c r="AW9" s="43" t="str">
        <f t="shared" ca="1" si="3"/>
        <v>Бангладеш</v>
      </c>
      <c r="AX9" s="74">
        <f t="shared" si="4"/>
        <v>0.1</v>
      </c>
      <c r="AY9" s="43">
        <f t="shared" si="5"/>
        <v>0.15000000000000002</v>
      </c>
      <c r="AZ9" s="43">
        <f t="shared" si="6"/>
        <v>24</v>
      </c>
      <c r="BA9" s="43">
        <f t="shared" si="7"/>
        <v>36.000000000000007</v>
      </c>
      <c r="BB9" s="139">
        <v>650</v>
      </c>
      <c r="BC9" s="170">
        <f t="shared" si="8"/>
        <v>156000</v>
      </c>
      <c r="BD9" s="45">
        <f>IF(A9&lt;&gt;"",IF(_xlfn.XLOOKUP(A9,'1C'!A:A,'1C'!A:A,0,0)&gt;0,1,0),"")</f>
        <v>0</v>
      </c>
      <c r="BE9" s="171">
        <f>IF(C9&lt;&gt;"",IF(_xlfn.XLOOKUP(TEXT(C9,"###"),'1C'!W:W,'1C'!D:D,0,0)&gt;0,0,1),"")</f>
        <v>0</v>
      </c>
      <c r="BF9" s="72">
        <f t="shared" si="9"/>
        <v>1</v>
      </c>
    </row>
    <row r="10" spans="1:59" ht="98.1" customHeight="1">
      <c r="A10" s="43" t="str">
        <f t="shared" si="0"/>
        <v>6277BROWN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94-011-14</v>
      </c>
      <c r="C10" s="146" t="s">
        <v>1191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IF(A10&lt;&gt;"",IF(BD10&gt;0,_xlfn.XLOOKUP(A10,'1C'!A:A,'1C'!J:J,"",0),_xlfn.XLOOKUP(C10,'1C'!W:W,'1C'!J:J,"",0)),"")</f>
        <v>Бейсболка</v>
      </c>
      <c r="G10" s="56" t="str">
        <f>IF(C10&lt;&gt;"",IF(BD10&gt;0,_xlfn.XLOOKUP(A10,'1C'!A:A,'1C'!L:L,"",0),_xlfn.XLOOKUP(C10,'1C'!W:W,'1C'!L:L,"",0)),"")</f>
        <v>Flexfit</v>
      </c>
      <c r="H10" s="43" t="str">
        <f>IF(A10&lt;&gt;"",_xlfn.XLOOKUP(A10,'1C'!A:A,'1C'!M:M,_xlfn.XLOOKUP(C10,'1C'!W:W,'1C'!M:M,"",0),0))</f>
        <v>всесезон</v>
      </c>
      <c r="J10" s="57" t="str">
        <f>'1C'!$AJ$1</f>
        <v>Flexfit</v>
      </c>
      <c r="K10" s="100" t="s">
        <v>1183</v>
      </c>
      <c r="L10" s="167" t="str">
        <f>IF(K10&lt;&gt;"",IFERROR(VLOOKUP(A10,'1C'!A:X,8,0),IFERROR(VLOOKUP(K10,Colors!D:E,2,0),"")),"")</f>
        <v>коричневый</v>
      </c>
      <c r="M10" s="56" t="str">
        <f>IF(K10&lt;&gt;"",_xlfn.XLOOKUP(A10,'1C'!A:A,'1C'!R:R,"",0),"")</f>
        <v>желтый</v>
      </c>
      <c r="N10" s="62"/>
      <c r="O10" s="62"/>
      <c r="P10" s="62"/>
      <c r="Q10" s="168" t="str">
        <f>IF(A10&lt;&gt;"",_xlfn.XLOOKUP(A10,'1C'!A:A,'1C'!I:I,_xlfn.XLOOKUP(C10,'1C'!W:W,'1C'!I:I,"",0),0),"")</f>
        <v>63% полиэстер - 34% хлопок - 3% полиуретан</v>
      </c>
      <c r="R10" s="64"/>
      <c r="S10" s="62"/>
      <c r="T10" s="58"/>
      <c r="U10" s="59" t="str">
        <f>IF(A10&lt;&gt;"",_xlfn.XLOOKUP(A10,'1C'!A:A,'1C'!K:K,_xlfn.XLOOKUP(C10,'1C'!W:W,'1C'!K:K,"",0),0),"")</f>
        <v>Унисекс</v>
      </c>
      <c r="V10" s="58"/>
      <c r="Y10" s="58"/>
      <c r="Z10" s="44">
        <v>10</v>
      </c>
      <c r="AA10" s="58"/>
      <c r="AC10" s="58"/>
      <c r="AD10" s="44">
        <v>15</v>
      </c>
      <c r="AE10" s="58"/>
      <c r="AG10" s="58"/>
      <c r="AT10" s="57">
        <f t="shared" si="1"/>
        <v>25</v>
      </c>
      <c r="AU10" s="169" t="str">
        <f>IF(A10&lt;&gt;"",_xlfn.XLOOKUP(_xlfn.XLOOKUP(A10,'1C'!A:A,'1C'!O:O,_xlfn.XLOOKUP(C10,'1C'!W:W,'1C'!O:O,"",0),0),Settings!N:N,Settings!O:O,"",0),"")</f>
        <v>BD</v>
      </c>
      <c r="AV10" s="56" t="str">
        <f t="shared" ca="1" si="2"/>
        <v>YupoongInc; 174, Gurodong-ro, Guro-gu, 08285 Seoul, South Korea</v>
      </c>
      <c r="AW10" s="43" t="str">
        <f t="shared" ca="1" si="3"/>
        <v>Бангладеш</v>
      </c>
      <c r="AX10" s="74">
        <f t="shared" si="4"/>
        <v>0.1</v>
      </c>
      <c r="AY10" s="43">
        <f t="shared" si="5"/>
        <v>0.15000000000000002</v>
      </c>
      <c r="AZ10" s="43">
        <f t="shared" si="6"/>
        <v>2.5</v>
      </c>
      <c r="BA10" s="43">
        <f t="shared" si="7"/>
        <v>3.7500000000000004</v>
      </c>
      <c r="BB10" s="139">
        <v>561</v>
      </c>
      <c r="BC10" s="170">
        <f t="shared" si="8"/>
        <v>14025</v>
      </c>
      <c r="BD10" s="45">
        <f>IF(A10&lt;&gt;"",IF(_xlfn.XLOOKUP(A10,'1C'!A:A,'1C'!A:A,0,0)&gt;0,1,0),"")</f>
        <v>1</v>
      </c>
      <c r="BE10" s="171">
        <f>IF(C10&lt;&gt;"",IF(_xlfn.XLOOKUP(TEXT(C10,"###"),'1C'!W:W,'1C'!D:D,0,0)&gt;0,0,1),"")</f>
        <v>0</v>
      </c>
      <c r="BF10" s="72">
        <f t="shared" si="9"/>
        <v>0</v>
      </c>
    </row>
    <row r="11" spans="1:59" ht="98.1" customHeight="1">
      <c r="A11" s="43" t="str">
        <f t="shared" si="0"/>
        <v>6277DARK GREY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94-011-05</v>
      </c>
      <c r="C11" s="146" t="s">
        <v>1191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IF(A11&lt;&gt;"",IF(BD11&gt;0,_xlfn.XLOOKUP(A11,'1C'!A:A,'1C'!J:J,"",0),_xlfn.XLOOKUP(C11,'1C'!W:W,'1C'!J:J,"",0)),"")</f>
        <v>Бейсболка</v>
      </c>
      <c r="G11" s="56" t="str">
        <f>IF(C11&lt;&gt;"",IF(BD11&gt;0,_xlfn.XLOOKUP(A11,'1C'!A:A,'1C'!L:L,"",0),_xlfn.XLOOKUP(C11,'1C'!W:W,'1C'!L:L,"",0)),"")</f>
        <v>Flexfit</v>
      </c>
      <c r="H11" s="43" t="str">
        <f>IF(A11&lt;&gt;"",_xlfn.XLOOKUP(A11,'1C'!A:A,'1C'!M:M,_xlfn.XLOOKUP(C11,'1C'!W:W,'1C'!M:M,"",0),0))</f>
        <v>всесезон</v>
      </c>
      <c r="J11" s="57" t="str">
        <f>'1C'!$AJ$1</f>
        <v>Flexfit</v>
      </c>
      <c r="K11" s="100" t="s">
        <v>1184</v>
      </c>
      <c r="L11" s="100" t="s">
        <v>277</v>
      </c>
      <c r="M11" s="62"/>
      <c r="N11" s="62"/>
      <c r="O11" s="62"/>
      <c r="P11" s="62"/>
      <c r="Q11" s="168" t="str">
        <f>IF(A11&lt;&gt;"",_xlfn.XLOOKUP(A11,'1C'!A:A,'1C'!I:I,_xlfn.XLOOKUP(C11,'1C'!W:W,'1C'!I:I,"",0),0),"")</f>
        <v>63% полиэстер - 34% хлопок - 3% полиуретан</v>
      </c>
      <c r="R11" s="64"/>
      <c r="S11" s="62"/>
      <c r="T11" s="58"/>
      <c r="U11" s="59" t="str">
        <f>IF(A11&lt;&gt;"",_xlfn.XLOOKUP(A11,'1C'!A:A,'1C'!K:K,_xlfn.XLOOKUP(C11,'1C'!W:W,'1C'!K:K,"",0),0),"")</f>
        <v>Унисекс</v>
      </c>
      <c r="V11" s="58"/>
      <c r="Y11" s="58"/>
      <c r="Z11" s="44">
        <v>15</v>
      </c>
      <c r="AA11" s="58"/>
      <c r="AC11" s="58"/>
      <c r="AD11" s="44">
        <v>25</v>
      </c>
      <c r="AE11" s="58"/>
      <c r="AG11" s="58"/>
      <c r="AT11" s="57">
        <f t="shared" si="1"/>
        <v>40</v>
      </c>
      <c r="AU11" s="169" t="str">
        <f>IF(A11&lt;&gt;"",_xlfn.XLOOKUP(_xlfn.XLOOKUP(A11,'1C'!A:A,'1C'!O:O,_xlfn.XLOOKUP(C11,'1C'!W:W,'1C'!O:O,"",0),0),Settings!N:N,Settings!O:O,"",0),"")</f>
        <v>BD</v>
      </c>
      <c r="AV11" s="56" t="str">
        <f t="shared" ca="1" si="2"/>
        <v>YupoongInc; 174, Gurodong-ro, Guro-gu, 08285 Seoul, South Korea</v>
      </c>
      <c r="AW11" s="43" t="str">
        <f t="shared" ca="1" si="3"/>
        <v>Бангладеш</v>
      </c>
      <c r="AX11" s="74">
        <f t="shared" si="4"/>
        <v>0.1</v>
      </c>
      <c r="AY11" s="43">
        <f t="shared" si="5"/>
        <v>0.15000000000000002</v>
      </c>
      <c r="AZ11" s="43">
        <f t="shared" si="6"/>
        <v>4</v>
      </c>
      <c r="BA11" s="43">
        <f t="shared" si="7"/>
        <v>6.0000000000000009</v>
      </c>
      <c r="BB11" s="139">
        <v>650</v>
      </c>
      <c r="BC11" s="170">
        <f t="shared" si="8"/>
        <v>26000</v>
      </c>
      <c r="BD11" s="45">
        <f>IF(A11&lt;&gt;"",IF(_xlfn.XLOOKUP(A11,'1C'!A:A,'1C'!A:A,0,0)&gt;0,1,0),"")</f>
        <v>0</v>
      </c>
      <c r="BE11" s="171">
        <f>IF(C11&lt;&gt;"",IF(_xlfn.XLOOKUP(TEXT(C11,"###"),'1C'!W:W,'1C'!D:D,0,0)&gt;0,0,1),"")</f>
        <v>0</v>
      </c>
      <c r="BF11" s="72">
        <f t="shared" si="9"/>
        <v>1</v>
      </c>
    </row>
    <row r="12" spans="1:59" ht="98.1" customHeight="1">
      <c r="A12" s="43" t="str">
        <f t="shared" si="0"/>
        <v>6277DARK NAVY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94-011-99</v>
      </c>
      <c r="C12" s="146" t="s">
        <v>1191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IF(A12&lt;&gt;"",IF(BD12&gt;0,_xlfn.XLOOKUP(A12,'1C'!A:A,'1C'!J:J,"",0),_xlfn.XLOOKUP(C12,'1C'!W:W,'1C'!J:J,"",0)),"")</f>
        <v>Бейсболка</v>
      </c>
      <c r="G12" s="56" t="str">
        <f>IF(C12&lt;&gt;"",IF(BD12&gt;0,_xlfn.XLOOKUP(A12,'1C'!A:A,'1C'!L:L,"",0),_xlfn.XLOOKUP(C12,'1C'!W:W,'1C'!L:L,"",0)),"")</f>
        <v>Flexfit</v>
      </c>
      <c r="H12" s="43" t="str">
        <f>IF(A12&lt;&gt;"",_xlfn.XLOOKUP(A12,'1C'!A:A,'1C'!M:M,_xlfn.XLOOKUP(C12,'1C'!W:W,'1C'!M:M,"",0),0))</f>
        <v>всесезон</v>
      </c>
      <c r="J12" s="57" t="str">
        <f>'1C'!$AJ$1</f>
        <v>Flexfit</v>
      </c>
      <c r="K12" s="100" t="s">
        <v>1185</v>
      </c>
      <c r="L12" s="100" t="s">
        <v>776</v>
      </c>
      <c r="M12" s="62"/>
      <c r="N12" s="62"/>
      <c r="O12" s="62"/>
      <c r="P12" s="62"/>
      <c r="Q12" s="168" t="str">
        <f>IF(A12&lt;&gt;"",_xlfn.XLOOKUP(A12,'1C'!A:A,'1C'!I:I,_xlfn.XLOOKUP(C12,'1C'!W:W,'1C'!I:I,"",0),0),"")</f>
        <v>63% полиэстер - 34% хлопок - 3% полиуретан</v>
      </c>
      <c r="R12" s="64"/>
      <c r="S12" s="62"/>
      <c r="T12" s="58"/>
      <c r="U12" s="59" t="str">
        <f>IF(A12&lt;&gt;"",_xlfn.XLOOKUP(A12,'1C'!A:A,'1C'!K:K,_xlfn.XLOOKUP(C12,'1C'!W:W,'1C'!K:K,"",0),0),"")</f>
        <v>Унисекс</v>
      </c>
      <c r="V12" s="58"/>
      <c r="Y12" s="58"/>
      <c r="Z12" s="44">
        <v>20</v>
      </c>
      <c r="AA12" s="58"/>
      <c r="AC12" s="58"/>
      <c r="AD12" s="44">
        <v>30</v>
      </c>
      <c r="AE12" s="58"/>
      <c r="AG12" s="58"/>
      <c r="AT12" s="57">
        <f t="shared" si="1"/>
        <v>50</v>
      </c>
      <c r="AU12" s="169" t="str">
        <f>IF(A12&lt;&gt;"",_xlfn.XLOOKUP(_xlfn.XLOOKUP(A12,'1C'!A:A,'1C'!O:O,_xlfn.XLOOKUP(C12,'1C'!W:W,'1C'!O:O,"",0),0),Settings!N:N,Settings!O:O,"",0),"")</f>
        <v>BD</v>
      </c>
      <c r="AV12" s="56" t="str">
        <f t="shared" ca="1" si="2"/>
        <v>YupoongInc; 174, Gurodong-ro, Guro-gu, 08285 Seoul, South Korea</v>
      </c>
      <c r="AW12" s="43" t="str">
        <f t="shared" ca="1" si="3"/>
        <v>Бангладеш</v>
      </c>
      <c r="AX12" s="74">
        <f t="shared" si="4"/>
        <v>0.1</v>
      </c>
      <c r="AY12" s="43">
        <f t="shared" si="5"/>
        <v>0.15000000000000002</v>
      </c>
      <c r="AZ12" s="43">
        <f t="shared" si="6"/>
        <v>5</v>
      </c>
      <c r="BA12" s="43">
        <f t="shared" si="7"/>
        <v>7.5000000000000009</v>
      </c>
      <c r="BB12" s="139">
        <v>650</v>
      </c>
      <c r="BC12" s="170">
        <f t="shared" si="8"/>
        <v>32500</v>
      </c>
      <c r="BD12" s="45">
        <f>IF(A12&lt;&gt;"",IF(_xlfn.XLOOKUP(A12,'1C'!A:A,'1C'!A:A,0,0)&gt;0,1,0),"")</f>
        <v>0</v>
      </c>
      <c r="BE12" s="171">
        <f>IF(C12&lt;&gt;"",IF(_xlfn.XLOOKUP(TEXT(C12,"###"),'1C'!W:W,'1C'!D:D,0,0)&gt;0,0,1),"")</f>
        <v>0</v>
      </c>
      <c r="BF12" s="72">
        <f t="shared" si="9"/>
        <v>1</v>
      </c>
    </row>
    <row r="13" spans="1:59" ht="98.1" customHeight="1">
      <c r="A13" s="43" t="str">
        <f t="shared" si="0"/>
        <v>6277GREY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94-011-80</v>
      </c>
      <c r="C13" s="146" t="s">
        <v>1191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IF(A13&lt;&gt;"",IF(BD13&gt;0,_xlfn.XLOOKUP(A13,'1C'!A:A,'1C'!J:J,"",0),_xlfn.XLOOKUP(C13,'1C'!W:W,'1C'!J:J,"",0)),"")</f>
        <v>Бейсболка</v>
      </c>
      <c r="G13" s="56" t="str">
        <f>IF(C13&lt;&gt;"",IF(BD13&gt;0,_xlfn.XLOOKUP(A13,'1C'!A:A,'1C'!L:L,"",0),_xlfn.XLOOKUP(C13,'1C'!W:W,'1C'!L:L,"",0)),"")</f>
        <v>Flexfit</v>
      </c>
      <c r="H13" s="43" t="str">
        <f>IF(A13&lt;&gt;"",_xlfn.XLOOKUP(A13,'1C'!A:A,'1C'!M:M,_xlfn.XLOOKUP(C13,'1C'!W:W,'1C'!M:M,"",0),0))</f>
        <v>всесезон</v>
      </c>
      <c r="J13" s="57" t="str">
        <f>'1C'!$AJ$1</f>
        <v>Flexfit</v>
      </c>
      <c r="K13" s="100" t="s">
        <v>1186</v>
      </c>
      <c r="L13" s="167" t="str">
        <f>IF(K13&lt;&gt;"",IFERROR(VLOOKUP(A13,'1C'!A:X,8,0),IFERROR(VLOOKUP(K13,Colors!D:E,2,0),"")),"")</f>
        <v>серый</v>
      </c>
      <c r="M13" s="62"/>
      <c r="N13" s="62"/>
      <c r="O13" s="62"/>
      <c r="P13" s="62"/>
      <c r="Q13" s="168" t="str">
        <f>IF(A13&lt;&gt;"",_xlfn.XLOOKUP(A13,'1C'!A:A,'1C'!I:I,_xlfn.XLOOKUP(C13,'1C'!W:W,'1C'!I:I,"",0),0),"")</f>
        <v>63% полиэстер - 34% хлопок - 3% полиуретан</v>
      </c>
      <c r="R13" s="64"/>
      <c r="S13" s="62"/>
      <c r="T13" s="58"/>
      <c r="U13" s="59" t="str">
        <f>IF(A13&lt;&gt;"",_xlfn.XLOOKUP(A13,'1C'!A:A,'1C'!K:K,_xlfn.XLOOKUP(C13,'1C'!W:W,'1C'!K:K,"",0),0),"")</f>
        <v>Унисекс</v>
      </c>
      <c r="V13" s="58"/>
      <c r="Y13" s="58"/>
      <c r="Z13" s="44">
        <v>8</v>
      </c>
      <c r="AA13" s="58"/>
      <c r="AC13" s="58"/>
      <c r="AD13" s="44">
        <v>10</v>
      </c>
      <c r="AE13" s="58"/>
      <c r="AG13" s="58"/>
      <c r="AT13" s="57">
        <f t="shared" si="1"/>
        <v>18</v>
      </c>
      <c r="AU13" s="169" t="str">
        <f>IF(A13&lt;&gt;"",_xlfn.XLOOKUP(_xlfn.XLOOKUP(A13,'1C'!A:A,'1C'!O:O,_xlfn.XLOOKUP(C13,'1C'!W:W,'1C'!O:O,"",0),0),Settings!N:N,Settings!O:O,"",0),"")</f>
        <v>BD</v>
      </c>
      <c r="AV13" s="56" t="str">
        <f t="shared" ca="1" si="2"/>
        <v>YupoongInc; 174, Gurodong-ro, Guro-gu, 08285 Seoul, South Korea</v>
      </c>
      <c r="AW13" s="43" t="str">
        <f t="shared" ca="1" si="3"/>
        <v>Бангладеш</v>
      </c>
      <c r="AX13" s="74">
        <f t="shared" si="4"/>
        <v>0.1</v>
      </c>
      <c r="AY13" s="43">
        <f t="shared" si="5"/>
        <v>0.15000000000000002</v>
      </c>
      <c r="AZ13" s="43">
        <f t="shared" si="6"/>
        <v>1.8</v>
      </c>
      <c r="BA13" s="43">
        <f t="shared" si="7"/>
        <v>2.7</v>
      </c>
      <c r="BB13" s="139">
        <v>650</v>
      </c>
      <c r="BC13" s="170">
        <f t="shared" si="8"/>
        <v>11700</v>
      </c>
      <c r="BD13" s="45">
        <f>IF(A13&lt;&gt;"",IF(_xlfn.XLOOKUP(A13,'1C'!A:A,'1C'!A:A,0,0)&gt;0,1,0),"")</f>
        <v>0</v>
      </c>
      <c r="BE13" s="171">
        <f>IF(C13&lt;&gt;"",IF(_xlfn.XLOOKUP(TEXT(C13,"###"),'1C'!W:W,'1C'!D:D,0,0)&gt;0,0,1),"")</f>
        <v>0</v>
      </c>
      <c r="BF13" s="72">
        <f t="shared" si="9"/>
        <v>1</v>
      </c>
    </row>
    <row r="14" spans="1:59" ht="98.1" customHeight="1">
      <c r="A14" s="43" t="str">
        <f t="shared" si="0"/>
        <v>6277MAROON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94-011-12</v>
      </c>
      <c r="C14" s="146" t="s">
        <v>1191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IF(A14&lt;&gt;"",IF(BD14&gt;0,_xlfn.XLOOKUP(A14,'1C'!A:A,'1C'!J:J,"",0),_xlfn.XLOOKUP(C14,'1C'!W:W,'1C'!J:J,"",0)),"")</f>
        <v>Бейсболка</v>
      </c>
      <c r="G14" s="56" t="str">
        <f>IF(C14&lt;&gt;"",IF(BD14&gt;0,_xlfn.XLOOKUP(A14,'1C'!A:A,'1C'!L:L,"",0),_xlfn.XLOOKUP(C14,'1C'!W:W,'1C'!L:L,"",0)),"")</f>
        <v>Flexfit</v>
      </c>
      <c r="H14" s="43" t="str">
        <f>IF(A14&lt;&gt;"",_xlfn.XLOOKUP(A14,'1C'!A:A,'1C'!M:M,_xlfn.XLOOKUP(C14,'1C'!W:W,'1C'!M:M,"",0),0))</f>
        <v>всесезон</v>
      </c>
      <c r="J14" s="57" t="str">
        <f>'1C'!$AJ$1</f>
        <v>Flexfit</v>
      </c>
      <c r="K14" s="100" t="s">
        <v>1178</v>
      </c>
      <c r="L14" s="100" t="s">
        <v>121</v>
      </c>
      <c r="M14" s="62"/>
      <c r="N14" s="62"/>
      <c r="O14" s="62"/>
      <c r="P14" s="62"/>
      <c r="Q14" s="168" t="str">
        <f>IF(A14&lt;&gt;"",_xlfn.XLOOKUP(A14,'1C'!A:A,'1C'!I:I,_xlfn.XLOOKUP(C14,'1C'!W:W,'1C'!I:I,"",0),0),"")</f>
        <v>63% полиэстер - 34% хлопок - 3% полиуретан</v>
      </c>
      <c r="R14" s="64"/>
      <c r="S14" s="62"/>
      <c r="T14" s="58"/>
      <c r="U14" s="59" t="str">
        <f>IF(A14&lt;&gt;"",_xlfn.XLOOKUP(A14,'1C'!A:A,'1C'!K:K,_xlfn.XLOOKUP(C14,'1C'!W:W,'1C'!K:K,"",0),0),"")</f>
        <v>Унисекс</v>
      </c>
      <c r="V14" s="58"/>
      <c r="Y14" s="58"/>
      <c r="Z14" s="44">
        <v>6</v>
      </c>
      <c r="AA14" s="58"/>
      <c r="AC14" s="58"/>
      <c r="AD14" s="44">
        <v>8</v>
      </c>
      <c r="AE14" s="58"/>
      <c r="AG14" s="58"/>
      <c r="AT14" s="57">
        <f t="shared" si="1"/>
        <v>14</v>
      </c>
      <c r="AU14" s="169" t="str">
        <f>IF(A14&lt;&gt;"",_xlfn.XLOOKUP(_xlfn.XLOOKUP(A14,'1C'!A:A,'1C'!O:O,_xlfn.XLOOKUP(C14,'1C'!W:W,'1C'!O:O,"",0),0),Settings!N:N,Settings!O:O,"",0),"")</f>
        <v>BD</v>
      </c>
      <c r="AV14" s="56" t="str">
        <f t="shared" ca="1" si="2"/>
        <v>YupoongInc; 174, Gurodong-ro, Guro-gu, 08285 Seoul, South Korea</v>
      </c>
      <c r="AW14" s="43" t="str">
        <f t="shared" ca="1" si="3"/>
        <v>Бангладеш</v>
      </c>
      <c r="AX14" s="74">
        <f t="shared" si="4"/>
        <v>0.1</v>
      </c>
      <c r="AY14" s="43">
        <f t="shared" si="5"/>
        <v>0.15000000000000002</v>
      </c>
      <c r="AZ14" s="43">
        <f t="shared" si="6"/>
        <v>1.4000000000000001</v>
      </c>
      <c r="BA14" s="43">
        <f t="shared" si="7"/>
        <v>2.1000000000000005</v>
      </c>
      <c r="BB14" s="139">
        <v>650</v>
      </c>
      <c r="BC14" s="170">
        <f t="shared" si="8"/>
        <v>9100</v>
      </c>
      <c r="BD14" s="45">
        <f>IF(A14&lt;&gt;"",IF(_xlfn.XLOOKUP(A14,'1C'!A:A,'1C'!A:A,0,0)&gt;0,1,0),"")</f>
        <v>0</v>
      </c>
      <c r="BE14" s="171">
        <f>IF(C14&lt;&gt;"",IF(_xlfn.XLOOKUP(TEXT(C14,"###"),'1C'!W:W,'1C'!D:D,0,0)&gt;0,0,1),"")</f>
        <v>0</v>
      </c>
      <c r="BF14" s="72">
        <f t="shared" si="9"/>
        <v>1</v>
      </c>
    </row>
    <row r="15" spans="1:59" ht="98.1" customHeight="1">
      <c r="A15" s="43" t="str">
        <f t="shared" si="0"/>
        <v>6277NAVY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94-011-16</v>
      </c>
      <c r="C15" s="146" t="s">
        <v>1191</v>
      </c>
      <c r="E15" s="43" t="str">
        <f>IF(F15&lt;&gt;"",IFERROR(VLOOKUP(F15,Категории!A:B,2,0),""),"Требуется категория")</f>
        <v>Бейсболки</v>
      </c>
      <c r="F15" s="43" t="str">
        <f>IF(A15&lt;&gt;"",IF(BD15&gt;0,_xlfn.XLOOKUP(A15,'1C'!A:A,'1C'!J:J,"",0),_xlfn.XLOOKUP(C15,'1C'!W:W,'1C'!J:J,"",0)),"")</f>
        <v>Бейсболка</v>
      </c>
      <c r="G15" s="56" t="str">
        <f>IF(C15&lt;&gt;"",IF(BD15&gt;0,_xlfn.XLOOKUP(A15,'1C'!A:A,'1C'!L:L,"",0),_xlfn.XLOOKUP(C15,'1C'!W:W,'1C'!L:L,"",0)),"")</f>
        <v>Flexfit</v>
      </c>
      <c r="H15" s="43" t="str">
        <f>IF(A15&lt;&gt;"",_xlfn.XLOOKUP(A15,'1C'!A:A,'1C'!M:M,_xlfn.XLOOKUP(C15,'1C'!W:W,'1C'!M:M,"",0),0))</f>
        <v>всесезон</v>
      </c>
      <c r="J15" s="57" t="str">
        <f>'1C'!$AJ$1</f>
        <v>Flexfit</v>
      </c>
      <c r="K15" s="100" t="s">
        <v>1187</v>
      </c>
      <c r="L15" s="167" t="str">
        <f>IF(K15&lt;&gt;"",IFERROR(VLOOKUP(A15,'1C'!A:X,8,0),IFERROR(VLOOKUP(K15,Colors!D:E,2,0),"")),"")</f>
        <v>темно-синий</v>
      </c>
      <c r="M15" s="62"/>
      <c r="N15" s="62"/>
      <c r="O15" s="62"/>
      <c r="P15" s="62"/>
      <c r="Q15" s="168" t="str">
        <f>IF(A15&lt;&gt;"",_xlfn.XLOOKUP(A15,'1C'!A:A,'1C'!I:I,_xlfn.XLOOKUP(C15,'1C'!W:W,'1C'!I:I,"",0),0),"")</f>
        <v>63% полиэстер - 34% хлопок - 3% полиуретан</v>
      </c>
      <c r="R15" s="64"/>
      <c r="S15" s="62"/>
      <c r="T15" s="58"/>
      <c r="U15" s="59" t="str">
        <f>IF(A15&lt;&gt;"",_xlfn.XLOOKUP(A15,'1C'!A:A,'1C'!K:K,_xlfn.XLOOKUP(C15,'1C'!W:W,'1C'!K:K,"",0),0),"")</f>
        <v>Унисекс</v>
      </c>
      <c r="V15" s="58"/>
      <c r="Y15" s="58"/>
      <c r="Z15" s="44">
        <v>20</v>
      </c>
      <c r="AA15" s="58"/>
      <c r="AC15" s="58"/>
      <c r="AD15" s="44">
        <v>30</v>
      </c>
      <c r="AE15" s="58"/>
      <c r="AG15" s="58"/>
      <c r="AT15" s="57">
        <f t="shared" si="1"/>
        <v>50</v>
      </c>
      <c r="AU15" s="169" t="str">
        <f>IF(A15&lt;&gt;"",_xlfn.XLOOKUP(_xlfn.XLOOKUP(A15,'1C'!A:A,'1C'!O:O,_xlfn.XLOOKUP(C15,'1C'!W:W,'1C'!O:O,"",0),0),Settings!N:N,Settings!O:O,"",0),"")</f>
        <v>BD</v>
      </c>
      <c r="AV15" s="56" t="str">
        <f t="shared" ca="1" si="2"/>
        <v>YupoongInc; 174, Gurodong-ro, Guro-gu, 08285 Seoul, South Korea</v>
      </c>
      <c r="AW15" s="43" t="str">
        <f t="shared" ca="1" si="3"/>
        <v>Бангладеш</v>
      </c>
      <c r="AX15" s="74">
        <f t="shared" si="4"/>
        <v>0.1</v>
      </c>
      <c r="AY15" s="43">
        <f t="shared" si="5"/>
        <v>0.15000000000000002</v>
      </c>
      <c r="AZ15" s="43">
        <f t="shared" si="6"/>
        <v>5</v>
      </c>
      <c r="BA15" s="43">
        <f t="shared" si="7"/>
        <v>7.5000000000000009</v>
      </c>
      <c r="BB15" s="139">
        <v>650</v>
      </c>
      <c r="BC15" s="170">
        <f t="shared" si="8"/>
        <v>32500</v>
      </c>
      <c r="BD15" s="45">
        <f>IF(A15&lt;&gt;"",IF(_xlfn.XLOOKUP(A15,'1C'!A:A,'1C'!A:A,0,0)&gt;0,1,0),"")</f>
        <v>0</v>
      </c>
      <c r="BE15" s="171">
        <f>IF(C15&lt;&gt;"",IF(_xlfn.XLOOKUP(TEXT(C15,"###"),'1C'!W:W,'1C'!D:D,0,0)&gt;0,0,1),"")</f>
        <v>0</v>
      </c>
      <c r="BF15" s="72">
        <f t="shared" si="9"/>
        <v>1</v>
      </c>
    </row>
    <row r="16" spans="1:59" ht="98.1" customHeight="1">
      <c r="A16" s="43" t="str">
        <f t="shared" si="0"/>
        <v>6277PURPLE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94-011-41</v>
      </c>
      <c r="C16" s="146" t="s">
        <v>1191</v>
      </c>
      <c r="E16" s="43" t="str">
        <f>IF(F16&lt;&gt;"",IFERROR(VLOOKUP(F16,Категории!A:B,2,0),""),"Требуется категория")</f>
        <v>Бейсболки</v>
      </c>
      <c r="F16" s="43" t="str">
        <f>IF(A16&lt;&gt;"",IF(BD16&gt;0,_xlfn.XLOOKUP(A16,'1C'!A:A,'1C'!J:J,"",0),_xlfn.XLOOKUP(C16,'1C'!W:W,'1C'!J:J,"",0)),"")</f>
        <v>Бейсболка</v>
      </c>
      <c r="G16" s="56" t="str">
        <f>IF(C16&lt;&gt;"",IF(BD16&gt;0,_xlfn.XLOOKUP(A16,'1C'!A:A,'1C'!L:L,"",0),_xlfn.XLOOKUP(C16,'1C'!W:W,'1C'!L:L,"",0)),"")</f>
        <v>Flexfit</v>
      </c>
      <c r="H16" s="43" t="str">
        <f>IF(A16&lt;&gt;"",_xlfn.XLOOKUP(A16,'1C'!A:A,'1C'!M:M,_xlfn.XLOOKUP(C16,'1C'!W:W,'1C'!M:M,"",0),0))</f>
        <v>всесезон</v>
      </c>
      <c r="J16" s="57" t="str">
        <f>'1C'!$AJ$1</f>
        <v>Flexfit</v>
      </c>
      <c r="K16" s="100" t="s">
        <v>1188</v>
      </c>
      <c r="L16" s="100" t="s">
        <v>286</v>
      </c>
      <c r="M16" s="62"/>
      <c r="N16" s="62"/>
      <c r="O16" s="62"/>
      <c r="P16" s="62"/>
      <c r="Q16" s="168" t="str">
        <f>IF(A16&lt;&gt;"",_xlfn.XLOOKUP(A16,'1C'!A:A,'1C'!I:I,_xlfn.XLOOKUP(C16,'1C'!W:W,'1C'!I:I,"",0),0),"")</f>
        <v>63% полиэстер - 34% хлопок - 3% полиуретан</v>
      </c>
      <c r="R16" s="64"/>
      <c r="S16" s="62"/>
      <c r="T16" s="58"/>
      <c r="U16" s="59" t="str">
        <f>IF(A16&lt;&gt;"",_xlfn.XLOOKUP(A16,'1C'!A:A,'1C'!K:K,_xlfn.XLOOKUP(C16,'1C'!W:W,'1C'!K:K,"",0),0),"")</f>
        <v>Унисекс</v>
      </c>
      <c r="V16" s="58"/>
      <c r="Y16" s="58"/>
      <c r="AA16" s="58"/>
      <c r="AC16" s="58"/>
      <c r="AD16" s="44">
        <v>2</v>
      </c>
      <c r="AE16" s="58"/>
      <c r="AG16" s="58"/>
      <c r="AT16" s="57">
        <f t="shared" si="1"/>
        <v>2</v>
      </c>
      <c r="AU16" s="169" t="str">
        <f>IF(A16&lt;&gt;"",_xlfn.XLOOKUP(_xlfn.XLOOKUP(A16,'1C'!A:A,'1C'!O:O,_xlfn.XLOOKUP(C16,'1C'!W:W,'1C'!O:O,"",0),0),Settings!N:N,Settings!O:O,"",0),"")</f>
        <v>BD</v>
      </c>
      <c r="AV16" s="56" t="str">
        <f t="shared" ca="1" si="2"/>
        <v>YupoongInc; 174, Gurodong-ro, Guro-gu, 08285 Seoul, South Korea</v>
      </c>
      <c r="AW16" s="43" t="str">
        <f t="shared" ca="1" si="3"/>
        <v>Бангладеш</v>
      </c>
      <c r="AX16" s="74">
        <f t="shared" si="4"/>
        <v>0.1</v>
      </c>
      <c r="AY16" s="43">
        <f t="shared" si="5"/>
        <v>0.15000000000000002</v>
      </c>
      <c r="AZ16" s="43">
        <f t="shared" si="6"/>
        <v>0.2</v>
      </c>
      <c r="BA16" s="43">
        <f t="shared" si="7"/>
        <v>0.30000000000000004</v>
      </c>
      <c r="BB16" s="139">
        <v>561</v>
      </c>
      <c r="BC16" s="170">
        <f t="shared" si="8"/>
        <v>1122</v>
      </c>
      <c r="BD16" s="45">
        <f>IF(A16&lt;&gt;"",IF(_xlfn.XLOOKUP(A16,'1C'!A:A,'1C'!A:A,0,0)&gt;0,1,0),"")</f>
        <v>0</v>
      </c>
      <c r="BE16" s="171">
        <f>IF(C16&lt;&gt;"",IF(_xlfn.XLOOKUP(TEXT(C16,"###"),'1C'!W:W,'1C'!D:D,0,0)&gt;0,0,1),"")</f>
        <v>0</v>
      </c>
      <c r="BF16" s="72">
        <f t="shared" si="9"/>
        <v>1</v>
      </c>
    </row>
    <row r="17" spans="1:58" ht="98.1" customHeight="1">
      <c r="A17" s="43" t="str">
        <f t="shared" si="0"/>
        <v>6277RED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94-011-18</v>
      </c>
      <c r="C17" s="146" t="s">
        <v>1191</v>
      </c>
      <c r="E17" s="43" t="str">
        <f>IF(F17&lt;&gt;"",IFERROR(VLOOKUP(F17,Категории!A:B,2,0),""),"Требуется категория")</f>
        <v>Бейсболки</v>
      </c>
      <c r="F17" s="43" t="str">
        <f>IF(A17&lt;&gt;"",IF(BD17&gt;0,_xlfn.XLOOKUP(A17,'1C'!A:A,'1C'!J:J,"",0),_xlfn.XLOOKUP(C17,'1C'!W:W,'1C'!J:J,"",0)),"")</f>
        <v>Бейсболка</v>
      </c>
      <c r="G17" s="56" t="str">
        <f>IF(C17&lt;&gt;"",IF(BD17&gt;0,_xlfn.XLOOKUP(A17,'1C'!A:A,'1C'!L:L,"",0),_xlfn.XLOOKUP(C17,'1C'!W:W,'1C'!L:L,"",0)),"")</f>
        <v>Flexfit</v>
      </c>
      <c r="H17" s="43" t="str">
        <f>IF(A17&lt;&gt;"",_xlfn.XLOOKUP(A17,'1C'!A:A,'1C'!M:M,_xlfn.XLOOKUP(C17,'1C'!W:W,'1C'!M:M,"",0),0))</f>
        <v>всесезон</v>
      </c>
      <c r="J17" s="57" t="str">
        <f>'1C'!$AJ$1</f>
        <v>Flexfit</v>
      </c>
      <c r="K17" s="100" t="s">
        <v>1189</v>
      </c>
      <c r="L17" s="167" t="str">
        <f>IF(K17&lt;&gt;"",IFERROR(VLOOKUP(A17,'1C'!A:X,8,0),IFERROR(VLOOKUP(K17,Colors!D:E,2,0),"")),"")</f>
        <v>красный</v>
      </c>
      <c r="M17" s="62"/>
      <c r="N17" s="62"/>
      <c r="O17" s="62"/>
      <c r="P17" s="62"/>
      <c r="Q17" s="168" t="str">
        <f>IF(A17&lt;&gt;"",_xlfn.XLOOKUP(A17,'1C'!A:A,'1C'!I:I,_xlfn.XLOOKUP(C17,'1C'!W:W,'1C'!I:I,"",0),0),"")</f>
        <v>63% полиэстер - 34% хлопок - 3% полиуретан</v>
      </c>
      <c r="R17" s="64"/>
      <c r="S17" s="62"/>
      <c r="T17" s="58"/>
      <c r="U17" s="59" t="str">
        <f>IF(A17&lt;&gt;"",_xlfn.XLOOKUP(A17,'1C'!A:A,'1C'!K:K,_xlfn.XLOOKUP(C17,'1C'!W:W,'1C'!K:K,"",0),0),"")</f>
        <v>Унисекс</v>
      </c>
      <c r="V17" s="58"/>
      <c r="Y17" s="58"/>
      <c r="Z17" s="44">
        <v>8</v>
      </c>
      <c r="AA17" s="58"/>
      <c r="AC17" s="58"/>
      <c r="AD17" s="44">
        <v>10</v>
      </c>
      <c r="AE17" s="58"/>
      <c r="AG17" s="58"/>
      <c r="AT17" s="57">
        <f t="shared" si="1"/>
        <v>18</v>
      </c>
      <c r="AU17" s="169" t="str">
        <f>IF(A17&lt;&gt;"",_xlfn.XLOOKUP(_xlfn.XLOOKUP(A17,'1C'!A:A,'1C'!O:O,_xlfn.XLOOKUP(C17,'1C'!W:W,'1C'!O:O,"",0),0),Settings!N:N,Settings!O:O,"",0),"")</f>
        <v>BD</v>
      </c>
      <c r="AV17" s="56" t="str">
        <f t="shared" ca="1" si="2"/>
        <v>YupoongInc; 174, Gurodong-ro, Guro-gu, 08285 Seoul, South Korea</v>
      </c>
      <c r="AW17" s="43" t="str">
        <f t="shared" ca="1" si="3"/>
        <v>Бангладеш</v>
      </c>
      <c r="AX17" s="74">
        <f t="shared" si="4"/>
        <v>0.1</v>
      </c>
      <c r="AY17" s="43">
        <f t="shared" si="5"/>
        <v>0.15000000000000002</v>
      </c>
      <c r="AZ17" s="43">
        <f t="shared" si="6"/>
        <v>1.8</v>
      </c>
      <c r="BA17" s="43">
        <f t="shared" si="7"/>
        <v>2.7</v>
      </c>
      <c r="BB17" s="139">
        <v>650</v>
      </c>
      <c r="BC17" s="170">
        <f t="shared" si="8"/>
        <v>11700</v>
      </c>
      <c r="BD17" s="45">
        <f>IF(A17&lt;&gt;"",IF(_xlfn.XLOOKUP(A17,'1C'!A:A,'1C'!A:A,0,0)&gt;0,1,0),"")</f>
        <v>0</v>
      </c>
      <c r="BE17" s="171">
        <f>IF(C17&lt;&gt;"",IF(_xlfn.XLOOKUP(TEXT(C17,"###"),'1C'!W:W,'1C'!D:D,0,0)&gt;0,0,1),"")</f>
        <v>0</v>
      </c>
      <c r="BF17" s="72">
        <f t="shared" si="9"/>
        <v>1</v>
      </c>
    </row>
    <row r="18" spans="1:58" ht="98.1" customHeight="1">
      <c r="A18" s="43" t="str">
        <f t="shared" si="0"/>
        <v>6606NAVY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94-015-16</v>
      </c>
      <c r="C18" s="146" t="s">
        <v>1192</v>
      </c>
      <c r="E18" s="43" t="str">
        <f>IF(F18&lt;&gt;"",IFERROR(VLOOKUP(F18,Категории!A:B,2,0),""),"Требуется категория")</f>
        <v>Бейсболки</v>
      </c>
      <c r="F18" s="43" t="str">
        <f>IF(A18&lt;&gt;"",IF(BD18&gt;0,_xlfn.XLOOKUP(A18,'1C'!A:A,'1C'!J:J,"",0),_xlfn.XLOOKUP(C18,'1C'!W:W,'1C'!J:J,"",0)),"")</f>
        <v>Бейсболка с сеточкой</v>
      </c>
      <c r="G18" s="56" t="str">
        <f>IF(C18&lt;&gt;"",IF(BD18&gt;0,_xlfn.XLOOKUP(A18,'1C'!A:A,'1C'!L:L,"",0),_xlfn.XLOOKUP(C18,'1C'!W:W,'1C'!L:L,"",0)),"")</f>
        <v>Flexfit</v>
      </c>
      <c r="H18" s="43" t="str">
        <f>IF(A18&lt;&gt;"",_xlfn.XLOOKUP(A18,'1C'!A:A,'1C'!M:M,_xlfn.XLOOKUP(C18,'1C'!W:W,'1C'!M:M,"",0),0))</f>
        <v>всесезон</v>
      </c>
      <c r="J18" s="57" t="str">
        <f>'1C'!$AJ$1</f>
        <v>Flexfit</v>
      </c>
      <c r="K18" s="100" t="s">
        <v>1187</v>
      </c>
      <c r="L18" s="167" t="str">
        <f>IF(K18&lt;&gt;"",IFERROR(VLOOKUP(A18,'1C'!A:X,8,0),IFERROR(VLOOKUP(K18,Colors!D:E,2,0),"")),"")</f>
        <v>темно-синий</v>
      </c>
      <c r="M18" s="62"/>
      <c r="N18" s="62"/>
      <c r="O18" s="62"/>
      <c r="P18" s="62"/>
      <c r="Q18" s="168" t="str">
        <f>IF(A18&lt;&gt;"",_xlfn.XLOOKUP(A18,'1C'!A:A,'1C'!I:I,_xlfn.XLOOKUP(C18,'1C'!W:W,'1C'!I:I,"",0),0),"")</f>
        <v>60% хлопок - 40% полиэстер</v>
      </c>
      <c r="R18" s="64"/>
      <c r="S18" s="56" t="str">
        <f>_xlfn.LET(_xlpm.RES,IF(A18&lt;&gt;"",_xlfn.XLOOKUP(A18,'1C'!A:A,'1C'!N:N,_xlfn.XLOOKUP(C18,'1C'!W:W,'1C'!N:N,"",0),0),""),IF(_xlpm.RES=0,"",_xlpm.RES))</f>
        <v>хлопковые</v>
      </c>
      <c r="T18" s="58"/>
      <c r="U18" s="59" t="str">
        <f>IF(A18&lt;&gt;"",_xlfn.XLOOKUP(A18,'1C'!A:A,'1C'!K:K,_xlfn.XLOOKUP(C18,'1C'!W:W,'1C'!K:K,"",0),0),"")</f>
        <v>Унисекс</v>
      </c>
      <c r="V18" s="58">
        <v>20</v>
      </c>
      <c r="Y18" s="58"/>
      <c r="AA18" s="58"/>
      <c r="AC18" s="58"/>
      <c r="AE18" s="58"/>
      <c r="AG18" s="58"/>
      <c r="AT18" s="57">
        <f t="shared" si="1"/>
        <v>20</v>
      </c>
      <c r="AU18" s="169" t="str">
        <f>IF(A18&lt;&gt;"",_xlfn.XLOOKUP(_xlfn.XLOOKUP(A18,'1C'!A:A,'1C'!O:O,_xlfn.XLOOKUP(C18,'1C'!W:W,'1C'!O:O,"",0),0),Settings!N:N,Settings!O:O,"",0),"")</f>
        <v>BD</v>
      </c>
      <c r="AV18" s="56" t="str">
        <f t="shared" ca="1" si="2"/>
        <v>YupoongInc; 174, Gurodong-ro, Guro-gu, 08285 Seoul, South Korea</v>
      </c>
      <c r="AW18" s="43" t="str">
        <f t="shared" ca="1" si="3"/>
        <v>Бангладеш</v>
      </c>
      <c r="AX18" s="74">
        <f t="shared" si="4"/>
        <v>0.1</v>
      </c>
      <c r="AY18" s="43">
        <f t="shared" si="5"/>
        <v>0.15000000000000002</v>
      </c>
      <c r="AZ18" s="43">
        <f t="shared" si="6"/>
        <v>2</v>
      </c>
      <c r="BA18" s="43">
        <f t="shared" si="7"/>
        <v>3.0000000000000004</v>
      </c>
      <c r="BB18" s="139">
        <v>541</v>
      </c>
      <c r="BC18" s="170">
        <f t="shared" si="8"/>
        <v>10820</v>
      </c>
      <c r="BD18" s="45">
        <f>IF(A18&lt;&gt;"",IF(_xlfn.XLOOKUP(A18,'1C'!A:A,'1C'!A:A,0,0)&gt;0,1,0),"")</f>
        <v>0</v>
      </c>
      <c r="BE18" s="171">
        <f>IF(C18&lt;&gt;"",IF(_xlfn.XLOOKUP(TEXT(C18,"###"),'1C'!W:W,'1C'!D:D,0,0)&gt;0,0,1),"")</f>
        <v>0</v>
      </c>
      <c r="BF18" s="72">
        <f t="shared" si="9"/>
        <v>1</v>
      </c>
    </row>
    <row r="19" spans="1:58" ht="98.1" customHeight="1">
      <c r="A19" s="43" t="str">
        <f t="shared" si="0"/>
        <v>6606CHARCOAL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94-015-51</v>
      </c>
      <c r="C19" s="146" t="s">
        <v>1192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IF(A19&lt;&gt;"",IF(BD19&gt;0,_xlfn.XLOOKUP(A19,'1C'!A:A,'1C'!J:J,"",0),_xlfn.XLOOKUP(C19,'1C'!W:W,'1C'!J:J,"",0)),"")</f>
        <v>Бейсболка с сеточкой</v>
      </c>
      <c r="G19" s="56" t="str">
        <f>IF(C19&lt;&gt;"",IF(BD19&gt;0,_xlfn.XLOOKUP(A19,'1C'!A:A,'1C'!L:L,"",0),_xlfn.XLOOKUP(C19,'1C'!W:W,'1C'!L:L,"",0)),"")</f>
        <v>Flexfit</v>
      </c>
      <c r="H19" s="43" t="str">
        <f>IF(A19&lt;&gt;"",_xlfn.XLOOKUP(A19,'1C'!A:A,'1C'!M:M,_xlfn.XLOOKUP(C19,'1C'!W:W,'1C'!M:M,"",0),0))</f>
        <v>всесезон</v>
      </c>
      <c r="J19" s="57" t="str">
        <f>'1C'!$AJ$1</f>
        <v>Flexfit</v>
      </c>
      <c r="K19" s="100" t="s">
        <v>1190</v>
      </c>
      <c r="L19" s="100" t="s">
        <v>777</v>
      </c>
      <c r="M19" s="62"/>
      <c r="N19" s="62"/>
      <c r="O19" s="62"/>
      <c r="P19" s="62"/>
      <c r="Q19" s="168" t="str">
        <f>IF(A19&lt;&gt;"",_xlfn.XLOOKUP(A19,'1C'!A:A,'1C'!I:I,_xlfn.XLOOKUP(C19,'1C'!W:W,'1C'!I:I,"",0),0),"")</f>
        <v>60% хлопок - 40% полиэстер</v>
      </c>
      <c r="R19" s="64"/>
      <c r="S19" s="56" t="str">
        <f>_xlfn.LET(_xlpm.RES,IF(A19&lt;&gt;"",_xlfn.XLOOKUP(A19,'1C'!A:A,'1C'!N:N,_xlfn.XLOOKUP(C19,'1C'!W:W,'1C'!N:N,"",0),0),""),IF(_xlpm.RES=0,"",_xlpm.RES))</f>
        <v>хлопковые</v>
      </c>
      <c r="T19" s="58"/>
      <c r="U19" s="59" t="str">
        <f>IF(A19&lt;&gt;"",_xlfn.XLOOKUP(A19,'1C'!A:A,'1C'!K:K,_xlfn.XLOOKUP(C19,'1C'!W:W,'1C'!K:K,"",0),0),"")</f>
        <v>Унисекс</v>
      </c>
      <c r="V19" s="58">
        <v>20</v>
      </c>
      <c r="Y19" s="58"/>
      <c r="AA19" s="58"/>
      <c r="AC19" s="58"/>
      <c r="AE19" s="58"/>
      <c r="AG19" s="58"/>
      <c r="AT19" s="57">
        <f t="shared" si="1"/>
        <v>20</v>
      </c>
      <c r="AU19" s="169" t="str">
        <f>IF(A19&lt;&gt;"",_xlfn.XLOOKUP(_xlfn.XLOOKUP(A19,'1C'!A:A,'1C'!O:O,_xlfn.XLOOKUP(C19,'1C'!W:W,'1C'!O:O,"",0),0),Settings!N:N,Settings!O:O,"",0),"")</f>
        <v>BD</v>
      </c>
      <c r="AV19" s="56" t="str">
        <f t="shared" ca="1" si="2"/>
        <v>YupoongInc; 174, Gurodong-ro, Guro-gu, 08285 Seoul, South Korea</v>
      </c>
      <c r="AW19" s="43" t="str">
        <f t="shared" ca="1" si="3"/>
        <v>Бангладеш</v>
      </c>
      <c r="AX19" s="74">
        <f t="shared" si="4"/>
        <v>0.1</v>
      </c>
      <c r="AY19" s="43">
        <f t="shared" si="5"/>
        <v>0.15000000000000002</v>
      </c>
      <c r="AZ19" s="43">
        <f t="shared" si="6"/>
        <v>2</v>
      </c>
      <c r="BA19" s="43">
        <f t="shared" si="7"/>
        <v>3.0000000000000004</v>
      </c>
      <c r="BB19" s="139">
        <v>541</v>
      </c>
      <c r="BC19" s="170">
        <f t="shared" si="8"/>
        <v>10820</v>
      </c>
      <c r="BD19" s="45">
        <f>IF(A19&lt;&gt;"",IF(_xlfn.XLOOKUP(A19,'1C'!A:A,'1C'!A:A,0,0)&gt;0,1,0),"")</f>
        <v>0</v>
      </c>
      <c r="BE19" s="171">
        <f>IF(C19&lt;&gt;"",IF(_xlfn.XLOOKUP(TEXT(C19,"###"),'1C'!W:W,'1C'!D:D,0,0)&gt;0,0,1),"")</f>
        <v>0</v>
      </c>
      <c r="BF19" s="72">
        <f t="shared" si="9"/>
        <v>1</v>
      </c>
    </row>
    <row r="20" spans="1:58" ht="98.1" customHeight="1">
      <c r="A20" s="43" t="str">
        <f t="shared" si="0"/>
        <v>6606BLACK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94-015-09</v>
      </c>
      <c r="C20" s="146" t="s">
        <v>1192</v>
      </c>
      <c r="E20" s="43" t="str">
        <f>IF(F20&lt;&gt;"",IFERROR(VLOOKUP(F20,Категории!A:B,2,0),""),"Требуется категория")</f>
        <v>Бейсболки</v>
      </c>
      <c r="F20" s="43" t="str">
        <f>IF(A20&lt;&gt;"",IF(BD20&gt;0,_xlfn.XLOOKUP(A20,'1C'!A:A,'1C'!J:J,"",0),_xlfn.XLOOKUP(C20,'1C'!W:W,'1C'!J:J,"",0)),"")</f>
        <v>Бейсболка с сеточкой</v>
      </c>
      <c r="G20" s="56" t="str">
        <f>IF(C20&lt;&gt;"",IF(BD20&gt;0,_xlfn.XLOOKUP(A20,'1C'!A:A,'1C'!L:L,"",0),_xlfn.XLOOKUP(C20,'1C'!W:W,'1C'!L:L,"",0)),"")</f>
        <v>Flexfit</v>
      </c>
      <c r="H20" s="43" t="str">
        <f>IF(A20&lt;&gt;"",_xlfn.XLOOKUP(A20,'1C'!A:A,'1C'!M:M,_xlfn.XLOOKUP(C20,'1C'!W:W,'1C'!M:M,"",0),0))</f>
        <v>всесезон</v>
      </c>
      <c r="J20" s="57" t="str">
        <f>'1C'!$AJ$1</f>
        <v>Flexfit</v>
      </c>
      <c r="K20" s="100" t="s">
        <v>1177</v>
      </c>
      <c r="L20" s="167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желтый</v>
      </c>
      <c r="N20" s="62"/>
      <c r="O20" s="62"/>
      <c r="P20" s="62"/>
      <c r="Q20" s="168" t="str">
        <f>IF(A20&lt;&gt;"",_xlfn.XLOOKUP(A20,'1C'!A:A,'1C'!I:I,_xlfn.XLOOKUP(C20,'1C'!W:W,'1C'!I:I,"",0),0),"")</f>
        <v>60% хлопок - 40% полиэстер</v>
      </c>
      <c r="R20" s="64"/>
      <c r="S20" s="56" t="str">
        <f>_xlfn.LET(_xlpm.RES,IF(A20&lt;&gt;"",_xlfn.XLOOKUP(A20,'1C'!A:A,'1C'!N:N,_xlfn.XLOOKUP(C20,'1C'!W:W,'1C'!N:N,"",0),0),""),IF(_xlpm.RES=0,"",_xlpm.RES))</f>
        <v>хлопковые</v>
      </c>
      <c r="T20" s="58"/>
      <c r="U20" s="59" t="str">
        <f>IF(A20&lt;&gt;"",_xlfn.XLOOKUP(A20,'1C'!A:A,'1C'!K:K,_xlfn.XLOOKUP(C20,'1C'!W:W,'1C'!K:K,"",0),0),"")</f>
        <v>Унисекс</v>
      </c>
      <c r="V20" s="58">
        <v>40</v>
      </c>
      <c r="Y20" s="58"/>
      <c r="AA20" s="58"/>
      <c r="AC20" s="58"/>
      <c r="AE20" s="58"/>
      <c r="AG20" s="58"/>
      <c r="AT20" s="57">
        <f t="shared" si="1"/>
        <v>40</v>
      </c>
      <c r="AU20" s="169" t="str">
        <f>IF(A20&lt;&gt;"",_xlfn.XLOOKUP(_xlfn.XLOOKUP(A20,'1C'!A:A,'1C'!O:O,_xlfn.XLOOKUP(C20,'1C'!W:W,'1C'!O:O,"",0),0),Settings!N:N,Settings!O:O,"",0),"")</f>
        <v>BD</v>
      </c>
      <c r="AV20" s="56" t="str">
        <f t="shared" ca="1" si="2"/>
        <v>YupoongInc; 174, Gurodong-ro, Guro-gu, 08285 Seoul, South Korea</v>
      </c>
      <c r="AW20" s="43" t="str">
        <f t="shared" ca="1" si="3"/>
        <v>Бангладеш</v>
      </c>
      <c r="AX20" s="74">
        <f t="shared" si="4"/>
        <v>0.1</v>
      </c>
      <c r="AY20" s="43">
        <f t="shared" si="5"/>
        <v>0.15000000000000002</v>
      </c>
      <c r="AZ20" s="43">
        <f t="shared" si="6"/>
        <v>4</v>
      </c>
      <c r="BA20" s="43">
        <f t="shared" si="7"/>
        <v>6.0000000000000009</v>
      </c>
      <c r="BB20" s="139">
        <v>541</v>
      </c>
      <c r="BC20" s="170">
        <f t="shared" si="8"/>
        <v>21640</v>
      </c>
      <c r="BD20" s="45">
        <f>IF(A20&lt;&gt;"",IF(_xlfn.XLOOKUP(A20,'1C'!A:A,'1C'!A:A,0,0)&gt;0,1,0),"")</f>
        <v>1</v>
      </c>
      <c r="BE20" s="171">
        <f>IF(C20&lt;&gt;"",IF(_xlfn.XLOOKUP(TEXT(C20,"###"),'1C'!W:W,'1C'!D:D,0,0)&gt;0,0,1),"")</f>
        <v>0</v>
      </c>
      <c r="BF20" s="72">
        <f t="shared" si="9"/>
        <v>0</v>
      </c>
    </row>
    <row r="21" spans="1:58" ht="98.1" customHeight="1">
      <c r="A21" s="43" t="str">
        <f t="shared" si="0"/>
        <v>6789MBLACK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94-023-09</v>
      </c>
      <c r="C21" s="146" t="s">
        <v>1141</v>
      </c>
      <c r="E21" s="43" t="str">
        <f>IF(F21&lt;&gt;"",IFERROR(VLOOKUP(F21,Категории!A:B,2,0),""),"Требуется категория")</f>
        <v>Бейсболки</v>
      </c>
      <c r="F21" s="43" t="str">
        <f>IF(A21&lt;&gt;"",IF(BD21&gt;0,_xlfn.XLOOKUP(A21,'1C'!A:A,'1C'!J:J,"",0),_xlfn.XLOOKUP(C21,'1C'!W:W,'1C'!J:J,"",0)),"")</f>
        <v>Бейсболка</v>
      </c>
      <c r="G21" s="56" t="str">
        <f>IF(C21&lt;&gt;"",IF(BD21&gt;0,_xlfn.XLOOKUP(A21,'1C'!A:A,'1C'!L:L,"",0),_xlfn.XLOOKUP(C21,'1C'!W:W,'1C'!L:L,"",0)),"")</f>
        <v>Flexfit</v>
      </c>
      <c r="H21" s="43" t="str">
        <f>IF(A21&lt;&gt;"",_xlfn.XLOOKUP(A21,'1C'!A:A,'1C'!M:M,_xlfn.XLOOKUP(C21,'1C'!W:W,'1C'!M:M,"",0),0))</f>
        <v>всесезон</v>
      </c>
      <c r="J21" s="57" t="str">
        <f>'1C'!$AJ$1</f>
        <v>Flexfit</v>
      </c>
      <c r="K21" s="100" t="s">
        <v>1177</v>
      </c>
      <c r="L21" s="167" t="str">
        <f>IF(K21&lt;&gt;"",IFERROR(VLOOKUP(A21,'1C'!A:X,8,0),IFERROR(VLOOKUP(K21,Colors!D:E,2,0),"")),"")</f>
        <v>черный</v>
      </c>
      <c r="M21" s="56" t="str">
        <f>IF(K21&lt;&gt;"",_xlfn.XLOOKUP(A21,'1C'!A:A,'1C'!R:R,"",0),"")</f>
        <v>черный</v>
      </c>
      <c r="N21" s="62"/>
      <c r="O21" s="62"/>
      <c r="P21" s="62"/>
      <c r="Q21" s="168" t="str">
        <f>IF(A21&lt;&gt;"",_xlfn.XLOOKUP(A21,'1C'!A:A,'1C'!I:I,_xlfn.XLOOKUP(C21,'1C'!W:W,'1C'!I:I,"",0),0),"")</f>
        <v>80% акрил - 20% шерсть</v>
      </c>
      <c r="R21" s="64"/>
      <c r="S21" s="56" t="str">
        <f>_xlfn.LET(_xlpm.RES,IF(A21&lt;&gt;"",_xlfn.XLOOKUP(A21,'1C'!A:A,'1C'!N:N,_xlfn.XLOOKUP(C21,'1C'!W:W,'1C'!N:N,"",0),0),""),IF(_xlpm.RES=0,"",_xlpm.RES))</f>
        <v>акриловые</v>
      </c>
      <c r="T21" s="58"/>
      <c r="U21" s="59" t="str">
        <f>IF(A21&lt;&gt;"",_xlfn.XLOOKUP(A21,'1C'!A:A,'1C'!K:K,_xlfn.XLOOKUP(C21,'1C'!W:W,'1C'!K:K,"",0),0),"")</f>
        <v>Унисекс</v>
      </c>
      <c r="V21" s="58">
        <v>50</v>
      </c>
      <c r="Y21" s="58"/>
      <c r="AA21" s="58"/>
      <c r="AC21" s="58"/>
      <c r="AE21" s="58"/>
      <c r="AG21" s="58"/>
      <c r="AT21" s="57">
        <f t="shared" si="1"/>
        <v>50</v>
      </c>
      <c r="AU21" s="169" t="str">
        <f>IF(A21&lt;&gt;"",_xlfn.XLOOKUP(_xlfn.XLOOKUP(A21,'1C'!A:A,'1C'!O:O,_xlfn.XLOOKUP(C21,'1C'!W:W,'1C'!O:O,"",0),0),Settings!N:N,Settings!O:O,"",0),"")</f>
        <v>BD</v>
      </c>
      <c r="AV21" s="56" t="str">
        <f t="shared" ca="1" si="2"/>
        <v>YupoongInc; 174, Gurodong-ro, Guro-gu, 08285 Seoul, South Korea</v>
      </c>
      <c r="AW21" s="43" t="str">
        <f t="shared" ca="1" si="3"/>
        <v>Бангладеш</v>
      </c>
      <c r="AX21" s="74">
        <f t="shared" si="4"/>
        <v>0.1</v>
      </c>
      <c r="AY21" s="43">
        <f t="shared" si="5"/>
        <v>0.15000000000000002</v>
      </c>
      <c r="AZ21" s="43">
        <f t="shared" si="6"/>
        <v>5</v>
      </c>
      <c r="BA21" s="43">
        <f t="shared" si="7"/>
        <v>7.5000000000000009</v>
      </c>
      <c r="BB21" s="139">
        <v>609</v>
      </c>
      <c r="BC21" s="170">
        <f t="shared" si="8"/>
        <v>30450</v>
      </c>
      <c r="BD21" s="45">
        <f>IF(A21&lt;&gt;"",IF(_xlfn.XLOOKUP(A21,'1C'!A:A,'1C'!A:A,0,0)&gt;0,1,0),"")</f>
        <v>1</v>
      </c>
      <c r="BE21" s="171">
        <f>IF(C21&lt;&gt;"",IF(_xlfn.XLOOKUP(TEXT(C21,"###"),'1C'!W:W,'1C'!D:D,0,0)&gt;0,0,1),"")</f>
        <v>0</v>
      </c>
      <c r="BF21" s="72">
        <f t="shared" si="9"/>
        <v>0</v>
      </c>
    </row>
    <row r="22" spans="1:58" ht="98.1" customHeight="1">
      <c r="C22" s="146" t="s">
        <v>47</v>
      </c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1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1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1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1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1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1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1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1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1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1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0" t="s">
        <v>572</v>
      </c>
      <c r="C9" s="161"/>
      <c r="D9" s="162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810" workbookViewId="0">
      <selection activeCell="A847" sqref="A847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W9" sqref="CW9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41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94</v>
      </c>
      <c r="AD1" s="75"/>
      <c r="AE1" s="75" t="str">
        <f>RIGHT(TEXT(MAX(AE2:AE10000),"###"),3)</f>
        <v>023</v>
      </c>
      <c r="AF1" s="76" t="str">
        <f>RIGHT("000"&amp;AC1,2)&amp;"-"&amp;RIGHT("000"&amp;AE1,3)</f>
        <v>94-023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94-024-</v>
      </c>
      <c r="AI1" s="78" t="s">
        <v>582</v>
      </c>
      <c r="AJ1" s="142" t="s">
        <v>904</v>
      </c>
      <c r="AK1" s="78" t="s">
        <v>852</v>
      </c>
      <c r="AL1" s="143">
        <v>0</v>
      </c>
    </row>
    <row r="2" spans="1:38">
      <c r="A2" s="81" t="str">
        <f>IF(G2&amp;Q2&lt;&gt;"",W2&amp;Q2,"")</f>
        <v>1501Pred</v>
      </c>
      <c r="B2" s="81" t="str">
        <f>IF(C2&lt;&gt;"",LEFT(C2,9),"")</f>
        <v>94-018-18</v>
      </c>
      <c r="C2" s="103" t="s">
        <v>899</v>
      </c>
      <c r="D2" s="103" t="s">
        <v>900</v>
      </c>
      <c r="E2" s="103" t="s">
        <v>901</v>
      </c>
      <c r="F2" s="104" t="s">
        <v>632</v>
      </c>
      <c r="G2" s="103" t="s">
        <v>902</v>
      </c>
      <c r="H2" s="103" t="s">
        <v>78</v>
      </c>
      <c r="I2" s="103" t="s">
        <v>903</v>
      </c>
      <c r="J2" s="103" t="s">
        <v>342</v>
      </c>
      <c r="K2" s="103" t="s">
        <v>382</v>
      </c>
      <c r="L2" s="103" t="s">
        <v>904</v>
      </c>
      <c r="M2" s="103" t="s">
        <v>388</v>
      </c>
      <c r="N2" s="103" t="s">
        <v>46</v>
      </c>
      <c r="O2" s="103" t="s">
        <v>541</v>
      </c>
      <c r="P2" s="103" t="s">
        <v>905</v>
      </c>
      <c r="Q2" s="103" t="s">
        <v>906</v>
      </c>
      <c r="R2" s="103" t="s">
        <v>78</v>
      </c>
      <c r="V2" s="81" t="str">
        <f>W2&amp;H2</f>
        <v>1501Pкрасный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81" t="str">
        <f>IF(A2&lt;&gt;"",IFERROR(IF(FIND(" ",G2)&gt;=1,MID(G2,FIND(" ",G2)+1,LEN(G2)),""),""),"")</f>
        <v/>
      </c>
      <c r="AC2" s="60">
        <f>IFERROR(VALUE(MID($C2,1,2)),0)</f>
        <v>94</v>
      </c>
      <c r="AD2" s="49">
        <f t="shared" ref="AD2:AD66" si="1">IFERROR(VALUE(MID($C2,4,3)),0)</f>
        <v>18</v>
      </c>
      <c r="AE2" s="60">
        <f>VALUE(RIGHT("00"&amp;AC2,2)&amp;RIGHT("000"&amp;AD2,3))</f>
        <v>94018</v>
      </c>
    </row>
    <row r="3" spans="1:38">
      <c r="A3" s="81" t="str">
        <f t="shared" ref="A3:A66" si="2">IF(G3&amp;Q3&lt;&gt;"",W3&amp;Q3,"")</f>
        <v>1501Pnavy</v>
      </c>
      <c r="B3" s="81" t="str">
        <f t="shared" ref="B3:B66" si="3">IF(C3&lt;&gt;"",LEFT(C3,9),"")</f>
        <v>94-018-16</v>
      </c>
      <c r="C3" s="103" t="s">
        <v>907</v>
      </c>
      <c r="D3" s="103" t="s">
        <v>908</v>
      </c>
      <c r="E3" s="103" t="s">
        <v>901</v>
      </c>
      <c r="F3" s="104" t="s">
        <v>632</v>
      </c>
      <c r="G3" s="104" t="s">
        <v>902</v>
      </c>
      <c r="H3" s="103" t="s">
        <v>55</v>
      </c>
      <c r="I3" s="103" t="s">
        <v>903</v>
      </c>
      <c r="J3" s="103" t="s">
        <v>342</v>
      </c>
      <c r="K3" s="103" t="s">
        <v>382</v>
      </c>
      <c r="L3" s="103" t="s">
        <v>904</v>
      </c>
      <c r="M3" s="103" t="s">
        <v>388</v>
      </c>
      <c r="N3" s="103" t="s">
        <v>46</v>
      </c>
      <c r="O3" s="103" t="s">
        <v>541</v>
      </c>
      <c r="P3" s="103" t="s">
        <v>905</v>
      </c>
      <c r="Q3" s="103" t="s">
        <v>909</v>
      </c>
      <c r="R3" s="103" t="s">
        <v>71</v>
      </c>
      <c r="V3" s="81" t="str">
        <f t="shared" ref="V3:V66" si="4">W3&amp;H3</f>
        <v>1501Pтемно-синий</v>
      </c>
      <c r="W3" s="81" t="str">
        <f t="shared" si="0"/>
        <v>1501P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94</v>
      </c>
      <c r="AD3" s="49">
        <f t="shared" si="1"/>
        <v>18</v>
      </c>
      <c r="AE3" s="60">
        <f t="shared" ref="AE3:AE66" si="7">VALUE(RIGHT("00"&amp;AC3,2)&amp;RIGHT("000"&amp;AD3,3))</f>
        <v>94018</v>
      </c>
    </row>
    <row r="4" spans="1:38">
      <c r="A4" s="81" t="str">
        <f t="shared" si="2"/>
        <v>1501Pblack</v>
      </c>
      <c r="B4" s="81" t="str">
        <f t="shared" si="3"/>
        <v>94-018-09</v>
      </c>
      <c r="C4" s="103" t="s">
        <v>910</v>
      </c>
      <c r="D4" s="103" t="s">
        <v>911</v>
      </c>
      <c r="E4" s="103" t="s">
        <v>901</v>
      </c>
      <c r="F4" s="104" t="s">
        <v>632</v>
      </c>
      <c r="G4" s="104" t="s">
        <v>902</v>
      </c>
      <c r="H4" s="103" t="s">
        <v>53</v>
      </c>
      <c r="I4" s="103" t="s">
        <v>903</v>
      </c>
      <c r="J4" s="103" t="s">
        <v>342</v>
      </c>
      <c r="K4" s="103" t="s">
        <v>382</v>
      </c>
      <c r="L4" s="103" t="s">
        <v>904</v>
      </c>
      <c r="M4" s="103" t="s">
        <v>388</v>
      </c>
      <c r="N4" s="103" t="s">
        <v>46</v>
      </c>
      <c r="O4" s="103" t="s">
        <v>541</v>
      </c>
      <c r="P4" s="103" t="s">
        <v>905</v>
      </c>
      <c r="Q4" s="103" t="s">
        <v>912</v>
      </c>
      <c r="R4" s="103" t="s">
        <v>53</v>
      </c>
      <c r="V4" s="81" t="str">
        <f t="shared" si="4"/>
        <v>1501Pчерный</v>
      </c>
      <c r="W4" s="81" t="str">
        <f t="shared" si="0"/>
        <v>1501P</v>
      </c>
      <c r="X4" s="81" t="str">
        <f t="shared" si="5"/>
        <v/>
      </c>
      <c r="AC4" s="60">
        <f t="shared" si="6"/>
        <v>94</v>
      </c>
      <c r="AD4" s="49">
        <f t="shared" si="1"/>
        <v>18</v>
      </c>
      <c r="AE4" s="60">
        <f t="shared" si="7"/>
        <v>94018</v>
      </c>
    </row>
    <row r="5" spans="1:38">
      <c r="A5" s="81" t="str">
        <f t="shared" si="2"/>
        <v>1501Proyal</v>
      </c>
      <c r="B5" s="81" t="str">
        <f t="shared" si="3"/>
        <v>94-018-06</v>
      </c>
      <c r="C5" s="103" t="s">
        <v>913</v>
      </c>
      <c r="D5" s="103" t="s">
        <v>914</v>
      </c>
      <c r="E5" s="103" t="s">
        <v>901</v>
      </c>
      <c r="F5" s="104" t="s">
        <v>632</v>
      </c>
      <c r="G5" s="104" t="s">
        <v>902</v>
      </c>
      <c r="H5" s="103" t="s">
        <v>71</v>
      </c>
      <c r="I5" s="103" t="s">
        <v>903</v>
      </c>
      <c r="J5" s="103" t="s">
        <v>342</v>
      </c>
      <c r="K5" s="103" t="s">
        <v>382</v>
      </c>
      <c r="L5" s="103" t="s">
        <v>904</v>
      </c>
      <c r="M5" s="103" t="s">
        <v>388</v>
      </c>
      <c r="N5" s="103" t="s">
        <v>46</v>
      </c>
      <c r="O5" s="103" t="s">
        <v>541</v>
      </c>
      <c r="P5" s="103" t="s">
        <v>905</v>
      </c>
      <c r="Q5" s="103" t="s">
        <v>915</v>
      </c>
      <c r="R5" s="103" t="s">
        <v>71</v>
      </c>
      <c r="V5" s="81" t="str">
        <f t="shared" si="4"/>
        <v>1501Pсиний</v>
      </c>
      <c r="W5" s="81" t="str">
        <f t="shared" si="0"/>
        <v>1501P</v>
      </c>
      <c r="X5" s="81" t="str">
        <f t="shared" si="5"/>
        <v/>
      </c>
      <c r="AC5" s="60">
        <f t="shared" si="6"/>
        <v>94</v>
      </c>
      <c r="AD5" s="49">
        <f t="shared" si="1"/>
        <v>18</v>
      </c>
      <c r="AE5" s="60">
        <f t="shared" si="7"/>
        <v>94018</v>
      </c>
    </row>
    <row r="6" spans="1:38">
      <c r="A6" s="81" t="str">
        <f t="shared" si="2"/>
        <v>1501Pdark grey</v>
      </c>
      <c r="B6" s="81" t="str">
        <f t="shared" si="3"/>
        <v>94-018-05</v>
      </c>
      <c r="C6" s="103" t="s">
        <v>916</v>
      </c>
      <c r="D6" s="103" t="s">
        <v>917</v>
      </c>
      <c r="E6" s="103" t="s">
        <v>901</v>
      </c>
      <c r="F6" s="104" t="s">
        <v>632</v>
      </c>
      <c r="G6" s="104" t="s">
        <v>902</v>
      </c>
      <c r="H6" s="103" t="s">
        <v>277</v>
      </c>
      <c r="I6" s="103" t="s">
        <v>903</v>
      </c>
      <c r="J6" s="103" t="s">
        <v>342</v>
      </c>
      <c r="K6" s="103" t="s">
        <v>382</v>
      </c>
      <c r="L6" s="103" t="s">
        <v>904</v>
      </c>
      <c r="M6" s="103" t="s">
        <v>388</v>
      </c>
      <c r="N6" s="103" t="s">
        <v>46</v>
      </c>
      <c r="O6" s="103" t="s">
        <v>541</v>
      </c>
      <c r="P6" s="103" t="s">
        <v>905</v>
      </c>
      <c r="Q6" s="103" t="s">
        <v>918</v>
      </c>
      <c r="R6" s="103" t="s">
        <v>83</v>
      </c>
      <c r="V6" s="81" t="str">
        <f t="shared" si="4"/>
        <v>1501Pтемно-серый</v>
      </c>
      <c r="W6" s="81" t="str">
        <f t="shared" si="0"/>
        <v>1501P</v>
      </c>
      <c r="X6" s="81" t="str">
        <f t="shared" si="5"/>
        <v/>
      </c>
      <c r="AC6" s="60">
        <f t="shared" si="6"/>
        <v>94</v>
      </c>
      <c r="AD6" s="49">
        <f t="shared" si="1"/>
        <v>18</v>
      </c>
      <c r="AE6" s="60">
        <f t="shared" si="7"/>
        <v>94018</v>
      </c>
    </row>
    <row r="7" spans="1:38">
      <c r="A7" s="81" t="str">
        <f t="shared" si="2"/>
        <v>1501Pheather grey</v>
      </c>
      <c r="B7" s="81" t="str">
        <f t="shared" si="3"/>
        <v>94-018-01</v>
      </c>
      <c r="C7" s="103" t="s">
        <v>919</v>
      </c>
      <c r="D7" s="103" t="s">
        <v>920</v>
      </c>
      <c r="E7" s="103" t="s">
        <v>901</v>
      </c>
      <c r="F7" s="104" t="s">
        <v>632</v>
      </c>
      <c r="G7" s="104" t="s">
        <v>902</v>
      </c>
      <c r="H7" s="103" t="s">
        <v>231</v>
      </c>
      <c r="I7" s="103" t="s">
        <v>903</v>
      </c>
      <c r="J7" s="103" t="s">
        <v>342</v>
      </c>
      <c r="K7" s="103" t="s">
        <v>382</v>
      </c>
      <c r="L7" s="103" t="s">
        <v>904</v>
      </c>
      <c r="M7" s="103" t="s">
        <v>388</v>
      </c>
      <c r="N7" s="103" t="s">
        <v>46</v>
      </c>
      <c r="O7" s="103" t="s">
        <v>541</v>
      </c>
      <c r="P7" s="103" t="s">
        <v>905</v>
      </c>
      <c r="Q7" s="103" t="s">
        <v>921</v>
      </c>
      <c r="R7" s="103" t="s">
        <v>83</v>
      </c>
      <c r="V7" s="81" t="str">
        <f t="shared" si="4"/>
        <v>1501Pсветло-серый</v>
      </c>
      <c r="W7" s="81" t="str">
        <f t="shared" si="0"/>
        <v>1501P</v>
      </c>
      <c r="X7" s="81" t="str">
        <f t="shared" si="5"/>
        <v/>
      </c>
      <c r="AC7" s="60">
        <f t="shared" si="6"/>
        <v>94</v>
      </c>
      <c r="AD7" s="49">
        <f t="shared" si="1"/>
        <v>18</v>
      </c>
      <c r="AE7" s="60">
        <f t="shared" si="7"/>
        <v>94018</v>
      </c>
    </row>
    <row r="8" spans="1:38">
      <c r="A8" s="81" t="str">
        <f t="shared" si="2"/>
        <v>1501KCcarolina blue</v>
      </c>
      <c r="B8" s="81" t="str">
        <f t="shared" si="3"/>
        <v>94-017-19</v>
      </c>
      <c r="C8" s="103" t="s">
        <v>922</v>
      </c>
      <c r="D8" s="103" t="s">
        <v>923</v>
      </c>
      <c r="E8" s="103" t="s">
        <v>901</v>
      </c>
      <c r="F8" s="104" t="s">
        <v>632</v>
      </c>
      <c r="G8" s="104" t="s">
        <v>924</v>
      </c>
      <c r="H8" s="103" t="s">
        <v>91</v>
      </c>
      <c r="I8" s="103" t="s">
        <v>903</v>
      </c>
      <c r="J8" s="103" t="s">
        <v>340</v>
      </c>
      <c r="K8" s="103" t="s">
        <v>382</v>
      </c>
      <c r="L8" s="103" t="s">
        <v>904</v>
      </c>
      <c r="M8" s="103" t="s">
        <v>388</v>
      </c>
      <c r="N8" s="103" t="s">
        <v>46</v>
      </c>
      <c r="O8" s="103" t="s">
        <v>542</v>
      </c>
      <c r="P8" s="103" t="s">
        <v>905</v>
      </c>
      <c r="Q8" s="103" t="s">
        <v>925</v>
      </c>
      <c r="R8" s="103" t="s">
        <v>91</v>
      </c>
      <c r="V8" s="81" t="str">
        <f t="shared" si="4"/>
        <v>1501KCголубой</v>
      </c>
      <c r="W8" s="81" t="str">
        <f t="shared" si="0"/>
        <v>1501KC</v>
      </c>
      <c r="X8" s="81" t="str">
        <f t="shared" si="5"/>
        <v/>
      </c>
      <c r="AC8" s="60">
        <f t="shared" si="6"/>
        <v>94</v>
      </c>
      <c r="AD8" s="49">
        <f t="shared" si="1"/>
        <v>17</v>
      </c>
      <c r="AE8" s="60">
        <f t="shared" si="7"/>
        <v>94017</v>
      </c>
    </row>
    <row r="9" spans="1:38">
      <c r="A9" s="81" t="str">
        <f t="shared" si="2"/>
        <v>1501KCred</v>
      </c>
      <c r="B9" s="81" t="str">
        <f t="shared" si="3"/>
        <v>94-017-18</v>
      </c>
      <c r="C9" s="103" t="s">
        <v>926</v>
      </c>
      <c r="D9" s="103" t="s">
        <v>927</v>
      </c>
      <c r="E9" s="103" t="s">
        <v>901</v>
      </c>
      <c r="F9" s="104" t="s">
        <v>632</v>
      </c>
      <c r="G9" s="104" t="s">
        <v>924</v>
      </c>
      <c r="H9" s="103" t="s">
        <v>78</v>
      </c>
      <c r="I9" s="103" t="s">
        <v>903</v>
      </c>
      <c r="J9" s="103" t="s">
        <v>340</v>
      </c>
      <c r="K9" s="103" t="s">
        <v>382</v>
      </c>
      <c r="L9" s="103" t="s">
        <v>904</v>
      </c>
      <c r="M9" s="103" t="s">
        <v>388</v>
      </c>
      <c r="N9" s="103" t="s">
        <v>46</v>
      </c>
      <c r="O9" s="103" t="s">
        <v>541</v>
      </c>
      <c r="P9" s="103" t="s">
        <v>905</v>
      </c>
      <c r="Q9" s="103" t="s">
        <v>906</v>
      </c>
      <c r="R9" s="103" t="s">
        <v>78</v>
      </c>
      <c r="V9" s="81" t="str">
        <f t="shared" si="4"/>
        <v>1501KCкрасный</v>
      </c>
      <c r="W9" s="81" t="str">
        <f t="shared" si="0"/>
        <v>1501KC</v>
      </c>
      <c r="X9" s="81" t="str">
        <f t="shared" si="5"/>
        <v/>
      </c>
      <c r="AC9" s="60">
        <f t="shared" si="6"/>
        <v>94</v>
      </c>
      <c r="AD9" s="49">
        <f t="shared" si="1"/>
        <v>17</v>
      </c>
      <c r="AE9" s="60">
        <f t="shared" si="7"/>
        <v>94017</v>
      </c>
    </row>
    <row r="10" spans="1:38">
      <c r="A10" s="81" t="str">
        <f t="shared" si="2"/>
        <v>1501KCnavy</v>
      </c>
      <c r="B10" s="81" t="str">
        <f t="shared" si="3"/>
        <v>94-017-16</v>
      </c>
      <c r="C10" s="103" t="s">
        <v>928</v>
      </c>
      <c r="D10" s="103" t="s">
        <v>929</v>
      </c>
      <c r="E10" s="103" t="s">
        <v>901</v>
      </c>
      <c r="F10" s="104" t="s">
        <v>632</v>
      </c>
      <c r="G10" s="104" t="s">
        <v>924</v>
      </c>
      <c r="H10" s="103" t="s">
        <v>55</v>
      </c>
      <c r="I10" s="103" t="s">
        <v>903</v>
      </c>
      <c r="J10" s="103" t="s">
        <v>340</v>
      </c>
      <c r="K10" s="103" t="s">
        <v>382</v>
      </c>
      <c r="L10" s="103" t="s">
        <v>904</v>
      </c>
      <c r="M10" s="103" t="s">
        <v>388</v>
      </c>
      <c r="N10" s="103" t="s">
        <v>46</v>
      </c>
      <c r="O10" s="103" t="s">
        <v>541</v>
      </c>
      <c r="P10" s="103" t="s">
        <v>905</v>
      </c>
      <c r="Q10" s="103" t="s">
        <v>909</v>
      </c>
      <c r="R10" s="103" t="s">
        <v>71</v>
      </c>
      <c r="V10" s="81" t="str">
        <f t="shared" si="4"/>
        <v>1501KCтемно-синий</v>
      </c>
      <c r="W10" s="81" t="str">
        <f t="shared" si="0"/>
        <v>1501KC</v>
      </c>
      <c r="X10" s="81" t="str">
        <f t="shared" si="5"/>
        <v/>
      </c>
      <c r="AC10" s="60">
        <f t="shared" si="6"/>
        <v>94</v>
      </c>
      <c r="AD10" s="49">
        <f t="shared" si="1"/>
        <v>17</v>
      </c>
      <c r="AE10" s="60">
        <f t="shared" si="7"/>
        <v>94017</v>
      </c>
    </row>
    <row r="11" spans="1:38">
      <c r="A11" s="81" t="str">
        <f t="shared" si="2"/>
        <v>1501KCcaramel</v>
      </c>
      <c r="B11" s="81" t="str">
        <f t="shared" si="3"/>
        <v>94-017-15</v>
      </c>
      <c r="C11" s="103" t="s">
        <v>930</v>
      </c>
      <c r="D11" s="103" t="s">
        <v>931</v>
      </c>
      <c r="E11" s="103" t="s">
        <v>901</v>
      </c>
      <c r="F11" s="104" t="s">
        <v>632</v>
      </c>
      <c r="G11" s="104" t="s">
        <v>924</v>
      </c>
      <c r="H11" s="103" t="s">
        <v>226</v>
      </c>
      <c r="I11" s="103" t="s">
        <v>903</v>
      </c>
      <c r="J11" s="103" t="s">
        <v>340</v>
      </c>
      <c r="K11" s="103" t="s">
        <v>382</v>
      </c>
      <c r="L11" s="103" t="s">
        <v>904</v>
      </c>
      <c r="M11" s="103" t="s">
        <v>388</v>
      </c>
      <c r="N11" s="103" t="s">
        <v>46</v>
      </c>
      <c r="O11" s="103" t="s">
        <v>541</v>
      </c>
      <c r="P11" s="103" t="s">
        <v>905</v>
      </c>
      <c r="Q11" s="103" t="s">
        <v>932</v>
      </c>
      <c r="R11" s="103" t="s">
        <v>86</v>
      </c>
      <c r="V11" s="81" t="str">
        <f t="shared" si="4"/>
        <v>1501KCсветло-коричневый</v>
      </c>
      <c r="W11" s="81" t="str">
        <f t="shared" si="0"/>
        <v>1501KC</v>
      </c>
      <c r="X11" s="81" t="str">
        <f t="shared" si="5"/>
        <v/>
      </c>
      <c r="AC11" s="60">
        <f t="shared" si="6"/>
        <v>94</v>
      </c>
      <c r="AD11" s="49">
        <f t="shared" si="1"/>
        <v>17</v>
      </c>
      <c r="AE11" s="60">
        <f t="shared" si="7"/>
        <v>94017</v>
      </c>
    </row>
    <row r="12" spans="1:38">
      <c r="A12" s="81" t="str">
        <f t="shared" si="2"/>
        <v>1501KCbrown</v>
      </c>
      <c r="B12" s="81" t="str">
        <f t="shared" si="3"/>
        <v>94-017-14</v>
      </c>
      <c r="C12" s="103" t="s">
        <v>933</v>
      </c>
      <c r="D12" s="103" t="s">
        <v>934</v>
      </c>
      <c r="E12" s="103" t="s">
        <v>901</v>
      </c>
      <c r="F12" s="104" t="s">
        <v>632</v>
      </c>
      <c r="G12" s="104" t="s">
        <v>924</v>
      </c>
      <c r="H12" s="103" t="s">
        <v>86</v>
      </c>
      <c r="I12" s="103" t="s">
        <v>903</v>
      </c>
      <c r="J12" s="103" t="s">
        <v>340</v>
      </c>
      <c r="K12" s="103" t="s">
        <v>382</v>
      </c>
      <c r="L12" s="103" t="s">
        <v>904</v>
      </c>
      <c r="M12" s="103" t="s">
        <v>388</v>
      </c>
      <c r="N12" s="103" t="s">
        <v>46</v>
      </c>
      <c r="O12" s="103" t="s">
        <v>541</v>
      </c>
      <c r="P12" s="103" t="s">
        <v>905</v>
      </c>
      <c r="Q12" s="103" t="s">
        <v>935</v>
      </c>
      <c r="R12" s="103" t="s">
        <v>86</v>
      </c>
      <c r="V12" s="81" t="str">
        <f t="shared" si="4"/>
        <v>1501KCкоричневый</v>
      </c>
      <c r="W12" s="81" t="str">
        <f t="shared" si="0"/>
        <v>1501KC</v>
      </c>
      <c r="X12" s="81" t="str">
        <f t="shared" si="5"/>
        <v/>
      </c>
      <c r="AC12" s="60">
        <f t="shared" si="6"/>
        <v>94</v>
      </c>
      <c r="AD12" s="49">
        <f t="shared" si="1"/>
        <v>17</v>
      </c>
      <c r="AE12" s="60">
        <f t="shared" si="7"/>
        <v>94017</v>
      </c>
    </row>
    <row r="13" spans="1:38">
      <c r="A13" s="81" t="str">
        <f t="shared" si="2"/>
        <v>1501KCblaze orange</v>
      </c>
      <c r="B13" s="81" t="str">
        <f t="shared" si="3"/>
        <v>94-017-13</v>
      </c>
      <c r="C13" s="103" t="s">
        <v>936</v>
      </c>
      <c r="D13" s="103" t="s">
        <v>937</v>
      </c>
      <c r="E13" s="103" t="s">
        <v>901</v>
      </c>
      <c r="F13" s="104" t="s">
        <v>632</v>
      </c>
      <c r="G13" s="104" t="s">
        <v>924</v>
      </c>
      <c r="H13" s="103" t="s">
        <v>199</v>
      </c>
      <c r="I13" s="103" t="s">
        <v>903</v>
      </c>
      <c r="J13" s="103" t="s">
        <v>340</v>
      </c>
      <c r="K13" s="103" t="s">
        <v>382</v>
      </c>
      <c r="L13" s="103" t="s">
        <v>904</v>
      </c>
      <c r="M13" s="103" t="s">
        <v>388</v>
      </c>
      <c r="N13" s="103" t="s">
        <v>46</v>
      </c>
      <c r="O13" s="103" t="s">
        <v>541</v>
      </c>
      <c r="P13" s="103" t="s">
        <v>905</v>
      </c>
      <c r="Q13" s="103" t="s">
        <v>938</v>
      </c>
      <c r="R13" s="103" t="s">
        <v>199</v>
      </c>
      <c r="V13" s="81" t="str">
        <f t="shared" si="4"/>
        <v>1501KCоранжевый</v>
      </c>
      <c r="W13" s="81" t="str">
        <f t="shared" si="0"/>
        <v>1501KC</v>
      </c>
      <c r="X13" s="81" t="str">
        <f t="shared" si="5"/>
        <v/>
      </c>
      <c r="AC13" s="60">
        <f t="shared" si="6"/>
        <v>94</v>
      </c>
      <c r="AD13" s="49">
        <f t="shared" si="1"/>
        <v>17</v>
      </c>
      <c r="AE13" s="60">
        <f t="shared" si="7"/>
        <v>94017</v>
      </c>
    </row>
    <row r="14" spans="1:38">
      <c r="A14" s="81" t="str">
        <f t="shared" si="2"/>
        <v>1501KCmaroon</v>
      </c>
      <c r="B14" s="81" t="str">
        <f t="shared" si="3"/>
        <v>94-017-12</v>
      </c>
      <c r="C14" s="103" t="s">
        <v>939</v>
      </c>
      <c r="D14" s="103" t="s">
        <v>940</v>
      </c>
      <c r="E14" s="103" t="s">
        <v>901</v>
      </c>
      <c r="F14" s="104" t="s">
        <v>632</v>
      </c>
      <c r="G14" s="104" t="s">
        <v>924</v>
      </c>
      <c r="H14" s="103" t="s">
        <v>121</v>
      </c>
      <c r="I14" s="103" t="s">
        <v>903</v>
      </c>
      <c r="J14" s="103" t="s">
        <v>340</v>
      </c>
      <c r="K14" s="103" t="s">
        <v>382</v>
      </c>
      <c r="L14" s="103" t="s">
        <v>904</v>
      </c>
      <c r="M14" s="103" t="s">
        <v>388</v>
      </c>
      <c r="N14" s="103" t="s">
        <v>46</v>
      </c>
      <c r="O14" s="103" t="s">
        <v>541</v>
      </c>
      <c r="P14" s="103" t="s">
        <v>905</v>
      </c>
      <c r="Q14" s="103" t="s">
        <v>941</v>
      </c>
      <c r="R14" s="103" t="s">
        <v>121</v>
      </c>
      <c r="V14" s="81" t="str">
        <f t="shared" si="4"/>
        <v>1501KCбордовый</v>
      </c>
      <c r="W14" s="81" t="str">
        <f t="shared" si="0"/>
        <v>1501KC</v>
      </c>
      <c r="X14" s="81" t="str">
        <f t="shared" si="5"/>
        <v/>
      </c>
      <c r="AC14" s="60">
        <f t="shared" si="6"/>
        <v>94</v>
      </c>
      <c r="AD14" s="49">
        <f t="shared" si="1"/>
        <v>17</v>
      </c>
      <c r="AE14" s="60">
        <f t="shared" si="7"/>
        <v>94017</v>
      </c>
    </row>
    <row r="15" spans="1:38">
      <c r="A15" s="81" t="str">
        <f t="shared" si="2"/>
        <v>1501KCspruce</v>
      </c>
      <c r="B15" s="81" t="str">
        <f t="shared" si="3"/>
        <v>94-017-11</v>
      </c>
      <c r="C15" s="103" t="s">
        <v>942</v>
      </c>
      <c r="D15" s="103" t="s">
        <v>943</v>
      </c>
      <c r="E15" s="103" t="s">
        <v>901</v>
      </c>
      <c r="F15" s="104" t="s">
        <v>632</v>
      </c>
      <c r="G15" s="104" t="s">
        <v>924</v>
      </c>
      <c r="H15" s="103" t="s">
        <v>60</v>
      </c>
      <c r="I15" s="103" t="s">
        <v>903</v>
      </c>
      <c r="J15" s="103" t="s">
        <v>340</v>
      </c>
      <c r="K15" s="103" t="s">
        <v>382</v>
      </c>
      <c r="L15" s="103" t="s">
        <v>904</v>
      </c>
      <c r="M15" s="103" t="s">
        <v>388</v>
      </c>
      <c r="N15" s="103" t="s">
        <v>46</v>
      </c>
      <c r="O15" s="103" t="s">
        <v>541</v>
      </c>
      <c r="P15" s="103" t="s">
        <v>905</v>
      </c>
      <c r="Q15" s="103" t="s">
        <v>944</v>
      </c>
      <c r="R15" s="103" t="s">
        <v>60</v>
      </c>
      <c r="V15" s="81" t="str">
        <f t="shared" si="4"/>
        <v>1501KCзеленый</v>
      </c>
      <c r="W15" s="81" t="str">
        <f t="shared" si="0"/>
        <v>1501KC</v>
      </c>
      <c r="X15" s="81" t="str">
        <f t="shared" si="5"/>
        <v/>
      </c>
      <c r="AC15" s="60">
        <f t="shared" si="6"/>
        <v>94</v>
      </c>
      <c r="AD15" s="49">
        <f t="shared" si="1"/>
        <v>17</v>
      </c>
      <c r="AE15" s="60">
        <f t="shared" si="7"/>
        <v>94017</v>
      </c>
    </row>
    <row r="16" spans="1:38">
      <c r="A16" s="81" t="str">
        <f t="shared" si="2"/>
        <v>1501KCroyal</v>
      </c>
      <c r="B16" s="81" t="str">
        <f t="shared" si="3"/>
        <v>94-017-06</v>
      </c>
      <c r="C16" s="103" t="s">
        <v>945</v>
      </c>
      <c r="D16" s="103" t="s">
        <v>946</v>
      </c>
      <c r="E16" s="103" t="s">
        <v>901</v>
      </c>
      <c r="F16" s="104" t="s">
        <v>632</v>
      </c>
      <c r="G16" s="104" t="s">
        <v>924</v>
      </c>
      <c r="H16" s="103" t="s">
        <v>71</v>
      </c>
      <c r="I16" s="103" t="s">
        <v>903</v>
      </c>
      <c r="J16" s="103" t="s">
        <v>340</v>
      </c>
      <c r="K16" s="103" t="s">
        <v>382</v>
      </c>
      <c r="L16" s="103" t="s">
        <v>904</v>
      </c>
      <c r="M16" s="103" t="s">
        <v>388</v>
      </c>
      <c r="N16" s="103" t="s">
        <v>46</v>
      </c>
      <c r="O16" s="103" t="s">
        <v>541</v>
      </c>
      <c r="P16" s="103" t="s">
        <v>905</v>
      </c>
      <c r="Q16" s="103" t="s">
        <v>915</v>
      </c>
      <c r="R16" s="103" t="s">
        <v>71</v>
      </c>
      <c r="V16" s="81" t="str">
        <f t="shared" si="4"/>
        <v>1501KCсиний</v>
      </c>
      <c r="W16" s="81" t="str">
        <f t="shared" si="0"/>
        <v>1501KC</v>
      </c>
      <c r="X16" s="81" t="str">
        <f t="shared" si="5"/>
        <v/>
      </c>
      <c r="AC16" s="60">
        <f t="shared" si="6"/>
        <v>94</v>
      </c>
      <c r="AD16" s="49">
        <f t="shared" si="1"/>
        <v>17</v>
      </c>
      <c r="AE16" s="60">
        <f t="shared" si="7"/>
        <v>94017</v>
      </c>
    </row>
    <row r="17" spans="1:31">
      <c r="A17" s="81" t="str">
        <f t="shared" si="2"/>
        <v>1501KCdark grey</v>
      </c>
      <c r="B17" s="81" t="str">
        <f t="shared" si="3"/>
        <v>94-017-05</v>
      </c>
      <c r="C17" s="103" t="s">
        <v>947</v>
      </c>
      <c r="D17" s="103" t="s">
        <v>948</v>
      </c>
      <c r="E17" s="103" t="s">
        <v>901</v>
      </c>
      <c r="F17" s="104" t="s">
        <v>632</v>
      </c>
      <c r="G17" s="104" t="s">
        <v>924</v>
      </c>
      <c r="H17" s="103" t="s">
        <v>277</v>
      </c>
      <c r="I17" s="103" t="s">
        <v>903</v>
      </c>
      <c r="J17" s="103" t="s">
        <v>340</v>
      </c>
      <c r="K17" s="103" t="s">
        <v>382</v>
      </c>
      <c r="L17" s="103" t="s">
        <v>904</v>
      </c>
      <c r="M17" s="103" t="s">
        <v>388</v>
      </c>
      <c r="N17" s="103" t="s">
        <v>46</v>
      </c>
      <c r="O17" s="103" t="s">
        <v>541</v>
      </c>
      <c r="P17" s="103" t="s">
        <v>905</v>
      </c>
      <c r="Q17" s="103" t="s">
        <v>918</v>
      </c>
      <c r="R17" s="103" t="s">
        <v>83</v>
      </c>
      <c r="V17" s="81" t="str">
        <f t="shared" si="4"/>
        <v>1501KCтемно-серый</v>
      </c>
      <c r="W17" s="81" t="str">
        <f t="shared" si="0"/>
        <v>1501KC</v>
      </c>
      <c r="X17" s="81" t="str">
        <f t="shared" si="5"/>
        <v/>
      </c>
      <c r="AC17" s="60">
        <f t="shared" si="6"/>
        <v>94</v>
      </c>
      <c r="AD17" s="49">
        <f t="shared" si="1"/>
        <v>17</v>
      </c>
      <c r="AE17" s="60">
        <f t="shared" si="7"/>
        <v>94017</v>
      </c>
    </row>
    <row r="18" spans="1:31">
      <c r="A18" s="81" t="str">
        <f t="shared" si="2"/>
        <v>1501KColive</v>
      </c>
      <c r="B18" s="81" t="str">
        <f t="shared" si="3"/>
        <v>94-017-03</v>
      </c>
      <c r="C18" s="103" t="s">
        <v>949</v>
      </c>
      <c r="D18" s="103" t="s">
        <v>950</v>
      </c>
      <c r="E18" s="103" t="s">
        <v>901</v>
      </c>
      <c r="F18" s="104" t="s">
        <v>632</v>
      </c>
      <c r="G18" s="104" t="s">
        <v>924</v>
      </c>
      <c r="H18" s="103" t="s">
        <v>195</v>
      </c>
      <c r="I18" s="103" t="s">
        <v>903</v>
      </c>
      <c r="J18" s="103" t="s">
        <v>340</v>
      </c>
      <c r="K18" s="103" t="s">
        <v>382</v>
      </c>
      <c r="L18" s="103" t="s">
        <v>904</v>
      </c>
      <c r="M18" s="103" t="s">
        <v>388</v>
      </c>
      <c r="N18" s="103" t="s">
        <v>46</v>
      </c>
      <c r="O18" s="103" t="s">
        <v>541</v>
      </c>
      <c r="P18" s="103" t="s">
        <v>905</v>
      </c>
      <c r="Q18" s="103" t="s">
        <v>951</v>
      </c>
      <c r="R18" s="103" t="s">
        <v>195</v>
      </c>
      <c r="V18" s="81" t="str">
        <f t="shared" si="4"/>
        <v>1501KCоливковый</v>
      </c>
      <c r="W18" s="81" t="str">
        <f t="shared" si="0"/>
        <v>1501KC</v>
      </c>
      <c r="X18" s="81" t="str">
        <f t="shared" si="5"/>
        <v/>
      </c>
      <c r="AC18" s="60">
        <f t="shared" si="6"/>
        <v>94</v>
      </c>
      <c r="AD18" s="49">
        <f t="shared" si="1"/>
        <v>17</v>
      </c>
      <c r="AE18" s="60">
        <f t="shared" si="7"/>
        <v>94017</v>
      </c>
    </row>
    <row r="19" spans="1:31">
      <c r="A19" s="81" t="str">
        <f t="shared" si="2"/>
        <v>1501KCsand</v>
      </c>
      <c r="B19" s="81" t="str">
        <f t="shared" si="3"/>
        <v>94-017-02</v>
      </c>
      <c r="C19" s="103" t="s">
        <v>952</v>
      </c>
      <c r="D19" s="103" t="s">
        <v>953</v>
      </c>
      <c r="E19" s="103" t="s">
        <v>901</v>
      </c>
      <c r="F19" s="104" t="s">
        <v>632</v>
      </c>
      <c r="G19" s="104" t="s">
        <v>924</v>
      </c>
      <c r="H19" s="103" t="s">
        <v>205</v>
      </c>
      <c r="I19" s="103" t="s">
        <v>903</v>
      </c>
      <c r="J19" s="103" t="s">
        <v>340</v>
      </c>
      <c r="K19" s="103" t="s">
        <v>382</v>
      </c>
      <c r="L19" s="103" t="s">
        <v>904</v>
      </c>
      <c r="M19" s="103" t="s">
        <v>388</v>
      </c>
      <c r="N19" s="103" t="s">
        <v>46</v>
      </c>
      <c r="O19" s="103" t="s">
        <v>541</v>
      </c>
      <c r="P19" s="103" t="s">
        <v>905</v>
      </c>
      <c r="Q19" s="103" t="s">
        <v>954</v>
      </c>
      <c r="R19" s="103" t="s">
        <v>63</v>
      </c>
      <c r="V19" s="81" t="str">
        <f t="shared" si="4"/>
        <v>1501KCпесочный</v>
      </c>
      <c r="W19" s="81" t="str">
        <f t="shared" si="0"/>
        <v>1501KC</v>
      </c>
      <c r="X19" s="81" t="str">
        <f t="shared" si="5"/>
        <v/>
      </c>
      <c r="AC19" s="60">
        <f t="shared" si="6"/>
        <v>94</v>
      </c>
      <c r="AD19" s="49">
        <f t="shared" si="1"/>
        <v>17</v>
      </c>
      <c r="AE19" s="60">
        <f t="shared" si="7"/>
        <v>94017</v>
      </c>
    </row>
    <row r="20" spans="1:31">
      <c r="A20" s="81" t="str">
        <f t="shared" si="2"/>
        <v>1501KCheather grey</v>
      </c>
      <c r="B20" s="81" t="str">
        <f t="shared" si="3"/>
        <v>94-017-01</v>
      </c>
      <c r="C20" s="103" t="s">
        <v>955</v>
      </c>
      <c r="D20" s="103" t="s">
        <v>956</v>
      </c>
      <c r="E20" s="103" t="s">
        <v>901</v>
      </c>
      <c r="F20" s="104" t="s">
        <v>632</v>
      </c>
      <c r="G20" s="104" t="s">
        <v>924</v>
      </c>
      <c r="H20" s="103" t="s">
        <v>231</v>
      </c>
      <c r="I20" s="103" t="s">
        <v>903</v>
      </c>
      <c r="J20" s="103" t="s">
        <v>340</v>
      </c>
      <c r="K20" s="103" t="s">
        <v>382</v>
      </c>
      <c r="L20" s="103" t="s">
        <v>904</v>
      </c>
      <c r="M20" s="103" t="s">
        <v>388</v>
      </c>
      <c r="N20" s="103" t="s">
        <v>46</v>
      </c>
      <c r="O20" s="103" t="s">
        <v>541</v>
      </c>
      <c r="P20" s="103" t="s">
        <v>905</v>
      </c>
      <c r="Q20" s="103" t="s">
        <v>921</v>
      </c>
      <c r="R20" s="103" t="s">
        <v>83</v>
      </c>
      <c r="V20" s="81" t="str">
        <f t="shared" si="4"/>
        <v>1501KCсветло-серый</v>
      </c>
      <c r="W20" s="81" t="str">
        <f t="shared" si="0"/>
        <v>1501KC</v>
      </c>
      <c r="X20" s="81" t="str">
        <f t="shared" si="5"/>
        <v/>
      </c>
      <c r="AC20" s="60">
        <f t="shared" si="6"/>
        <v>94</v>
      </c>
      <c r="AD20" s="49">
        <f t="shared" si="1"/>
        <v>17</v>
      </c>
      <c r="AE20" s="60">
        <f t="shared" si="7"/>
        <v>94017</v>
      </c>
    </row>
    <row r="21" spans="1:31">
      <c r="A21" s="81" t="str">
        <f t="shared" si="2"/>
        <v>1501KCgold</v>
      </c>
      <c r="B21" s="81" t="str">
        <f t="shared" si="3"/>
        <v>94-017-00</v>
      </c>
      <c r="C21" s="103" t="s">
        <v>957</v>
      </c>
      <c r="D21" s="103" t="s">
        <v>958</v>
      </c>
      <c r="E21" s="103" t="s">
        <v>901</v>
      </c>
      <c r="F21" s="104" t="s">
        <v>632</v>
      </c>
      <c r="G21" s="104" t="s">
        <v>924</v>
      </c>
      <c r="H21" s="103" t="s">
        <v>157</v>
      </c>
      <c r="I21" s="103" t="s">
        <v>903</v>
      </c>
      <c r="J21" s="103" t="s">
        <v>340</v>
      </c>
      <c r="K21" s="103" t="s">
        <v>382</v>
      </c>
      <c r="L21" s="103" t="s">
        <v>904</v>
      </c>
      <c r="M21" s="103" t="s">
        <v>388</v>
      </c>
      <c r="N21" s="103" t="s">
        <v>46</v>
      </c>
      <c r="O21" s="103" t="s">
        <v>541</v>
      </c>
      <c r="P21" s="103" t="s">
        <v>905</v>
      </c>
      <c r="Q21" s="103" t="s">
        <v>959</v>
      </c>
      <c r="R21" s="103" t="s">
        <v>65</v>
      </c>
      <c r="V21" s="81" t="str">
        <f t="shared" si="4"/>
        <v>1501KCзолотой</v>
      </c>
      <c r="W21" s="81" t="str">
        <f t="shared" si="0"/>
        <v>1501KC</v>
      </c>
      <c r="X21" s="81" t="str">
        <f t="shared" si="5"/>
        <v/>
      </c>
      <c r="AC21" s="60">
        <f t="shared" si="6"/>
        <v>94</v>
      </c>
      <c r="AD21" s="49">
        <f t="shared" si="1"/>
        <v>17</v>
      </c>
      <c r="AE21" s="60">
        <f t="shared" si="7"/>
        <v>94017</v>
      </c>
    </row>
    <row r="22" spans="1:31">
      <c r="A22" s="81" t="str">
        <f t="shared" si="2"/>
        <v>1500KCbaby pink</v>
      </c>
      <c r="B22" s="81" t="str">
        <f t="shared" si="3"/>
        <v>94-016-34</v>
      </c>
      <c r="C22" s="103" t="s">
        <v>960</v>
      </c>
      <c r="D22" s="103" t="s">
        <v>961</v>
      </c>
      <c r="E22" s="103" t="s">
        <v>901</v>
      </c>
      <c r="F22" s="104" t="s">
        <v>632</v>
      </c>
      <c r="G22" s="104" t="s">
        <v>962</v>
      </c>
      <c r="H22" s="103" t="s">
        <v>68</v>
      </c>
      <c r="I22" s="103" t="s">
        <v>903</v>
      </c>
      <c r="J22" s="103" t="s">
        <v>340</v>
      </c>
      <c r="K22" s="103" t="s">
        <v>387</v>
      </c>
      <c r="L22" s="103" t="s">
        <v>904</v>
      </c>
      <c r="M22" s="103" t="s">
        <v>388</v>
      </c>
      <c r="N22" s="103" t="s">
        <v>46</v>
      </c>
      <c r="O22" s="103" t="s">
        <v>542</v>
      </c>
      <c r="P22" s="103" t="s">
        <v>905</v>
      </c>
      <c r="Q22" s="103" t="s">
        <v>963</v>
      </c>
      <c r="R22" s="103" t="s">
        <v>68</v>
      </c>
      <c r="V22" s="81" t="str">
        <f t="shared" si="4"/>
        <v>1500KCрозовый</v>
      </c>
      <c r="W22" s="81" t="str">
        <f t="shared" si="0"/>
        <v>1500KC</v>
      </c>
      <c r="X22" s="81" t="str">
        <f t="shared" si="5"/>
        <v/>
      </c>
      <c r="AC22" s="60">
        <f t="shared" si="6"/>
        <v>94</v>
      </c>
      <c r="AD22" s="49">
        <f t="shared" si="1"/>
        <v>16</v>
      </c>
      <c r="AE22" s="60">
        <f t="shared" si="7"/>
        <v>94016</v>
      </c>
    </row>
    <row r="23" spans="1:31">
      <c r="A23" s="81" t="str">
        <f t="shared" si="2"/>
        <v>1500KCred</v>
      </c>
      <c r="B23" s="81" t="str">
        <f t="shared" si="3"/>
        <v>94-016-18</v>
      </c>
      <c r="C23" s="103" t="s">
        <v>964</v>
      </c>
      <c r="D23" s="103" t="s">
        <v>965</v>
      </c>
      <c r="E23" s="103" t="s">
        <v>901</v>
      </c>
      <c r="F23" s="104" t="s">
        <v>632</v>
      </c>
      <c r="G23" s="104" t="s">
        <v>962</v>
      </c>
      <c r="H23" s="103" t="s">
        <v>78</v>
      </c>
      <c r="I23" s="103" t="s">
        <v>903</v>
      </c>
      <c r="J23" s="103" t="s">
        <v>340</v>
      </c>
      <c r="K23" s="103" t="s">
        <v>382</v>
      </c>
      <c r="L23" s="103" t="s">
        <v>904</v>
      </c>
      <c r="M23" s="103" t="s">
        <v>388</v>
      </c>
      <c r="N23" s="103" t="s">
        <v>46</v>
      </c>
      <c r="O23" s="103" t="s">
        <v>541</v>
      </c>
      <c r="P23" s="103" t="s">
        <v>905</v>
      </c>
      <c r="Q23" s="103" t="s">
        <v>906</v>
      </c>
      <c r="R23" s="103" t="s">
        <v>78</v>
      </c>
      <c r="V23" s="81" t="str">
        <f t="shared" si="4"/>
        <v>1500KCкрасный</v>
      </c>
      <c r="W23" s="81" t="str">
        <f t="shared" si="0"/>
        <v>1500KC</v>
      </c>
      <c r="X23" s="81" t="str">
        <f t="shared" si="5"/>
        <v/>
      </c>
      <c r="AC23" s="60">
        <f t="shared" si="6"/>
        <v>94</v>
      </c>
      <c r="AD23" s="49">
        <f t="shared" si="1"/>
        <v>16</v>
      </c>
      <c r="AE23" s="60">
        <f t="shared" si="7"/>
        <v>94016</v>
      </c>
    </row>
    <row r="24" spans="1:31">
      <c r="A24" s="81" t="str">
        <f t="shared" si="2"/>
        <v>1500KCwhite</v>
      </c>
      <c r="B24" s="81" t="str">
        <f t="shared" si="3"/>
        <v>94-016-17</v>
      </c>
      <c r="C24" s="103" t="s">
        <v>966</v>
      </c>
      <c r="D24" s="103" t="s">
        <v>967</v>
      </c>
      <c r="E24" s="103" t="s">
        <v>901</v>
      </c>
      <c r="F24" s="104" t="s">
        <v>632</v>
      </c>
      <c r="G24" s="104" t="s">
        <v>962</v>
      </c>
      <c r="H24" s="103" t="s">
        <v>57</v>
      </c>
      <c r="I24" s="103" t="s">
        <v>903</v>
      </c>
      <c r="J24" s="103" t="s">
        <v>340</v>
      </c>
      <c r="K24" s="103" t="s">
        <v>382</v>
      </c>
      <c r="L24" s="103" t="s">
        <v>904</v>
      </c>
      <c r="M24" s="103" t="s">
        <v>388</v>
      </c>
      <c r="N24" s="103" t="s">
        <v>46</v>
      </c>
      <c r="O24" s="103" t="s">
        <v>541</v>
      </c>
      <c r="P24" s="103" t="s">
        <v>905</v>
      </c>
      <c r="Q24" s="103" t="s">
        <v>968</v>
      </c>
      <c r="R24" s="103" t="s">
        <v>57</v>
      </c>
      <c r="V24" s="81" t="str">
        <f t="shared" si="4"/>
        <v>1500KCбелый</v>
      </c>
      <c r="W24" s="81" t="str">
        <f t="shared" si="0"/>
        <v>1500KC</v>
      </c>
      <c r="X24" s="81" t="str">
        <f t="shared" si="5"/>
        <v/>
      </c>
      <c r="AC24" s="60">
        <f t="shared" si="6"/>
        <v>94</v>
      </c>
      <c r="AD24" s="49">
        <f t="shared" si="1"/>
        <v>16</v>
      </c>
      <c r="AE24" s="60">
        <f t="shared" si="7"/>
        <v>94016</v>
      </c>
    </row>
    <row r="25" spans="1:31">
      <c r="A25" s="81" t="str">
        <f t="shared" si="2"/>
        <v>1500KCnavy</v>
      </c>
      <c r="B25" s="81" t="str">
        <f t="shared" si="3"/>
        <v>94-016-16</v>
      </c>
      <c r="C25" s="103" t="s">
        <v>969</v>
      </c>
      <c r="D25" s="103" t="s">
        <v>970</v>
      </c>
      <c r="E25" s="103" t="s">
        <v>901</v>
      </c>
      <c r="F25" s="104" t="s">
        <v>632</v>
      </c>
      <c r="G25" s="104" t="s">
        <v>962</v>
      </c>
      <c r="H25" s="103" t="s">
        <v>55</v>
      </c>
      <c r="I25" s="103" t="s">
        <v>903</v>
      </c>
      <c r="J25" s="103" t="s">
        <v>340</v>
      </c>
      <c r="K25" s="103" t="s">
        <v>382</v>
      </c>
      <c r="L25" s="103" t="s">
        <v>904</v>
      </c>
      <c r="M25" s="103" t="s">
        <v>388</v>
      </c>
      <c r="N25" s="103" t="s">
        <v>46</v>
      </c>
      <c r="O25" s="103" t="s">
        <v>541</v>
      </c>
      <c r="P25" s="103" t="s">
        <v>905</v>
      </c>
      <c r="Q25" s="103" t="s">
        <v>909</v>
      </c>
      <c r="R25" s="103" t="s">
        <v>71</v>
      </c>
      <c r="V25" s="81" t="str">
        <f t="shared" si="4"/>
        <v>1500KCтемно-синий</v>
      </c>
      <c r="W25" s="81" t="str">
        <f t="shared" si="0"/>
        <v>1500KC</v>
      </c>
      <c r="X25" s="81" t="str">
        <f t="shared" si="5"/>
        <v/>
      </c>
      <c r="AC25" s="60">
        <f t="shared" si="6"/>
        <v>94</v>
      </c>
      <c r="AD25" s="49">
        <f t="shared" si="1"/>
        <v>16</v>
      </c>
      <c r="AE25" s="60">
        <f t="shared" si="7"/>
        <v>94016</v>
      </c>
    </row>
    <row r="26" spans="1:31">
      <c r="A26" s="81" t="str">
        <f t="shared" si="2"/>
        <v>1500KCbrown</v>
      </c>
      <c r="B26" s="81" t="str">
        <f t="shared" si="3"/>
        <v>94-016-14</v>
      </c>
      <c r="C26" s="103" t="s">
        <v>971</v>
      </c>
      <c r="D26" s="103" t="s">
        <v>972</v>
      </c>
      <c r="E26" s="103" t="s">
        <v>901</v>
      </c>
      <c r="F26" s="104" t="s">
        <v>632</v>
      </c>
      <c r="G26" s="104" t="s">
        <v>962</v>
      </c>
      <c r="H26" s="103" t="s">
        <v>86</v>
      </c>
      <c r="I26" s="103" t="s">
        <v>903</v>
      </c>
      <c r="J26" s="103" t="s">
        <v>340</v>
      </c>
      <c r="K26" s="103" t="s">
        <v>382</v>
      </c>
      <c r="L26" s="103" t="s">
        <v>904</v>
      </c>
      <c r="M26" s="103" t="s">
        <v>388</v>
      </c>
      <c r="N26" s="103" t="s">
        <v>46</v>
      </c>
      <c r="O26" s="103" t="s">
        <v>541</v>
      </c>
      <c r="P26" s="103" t="s">
        <v>905</v>
      </c>
      <c r="Q26" s="103" t="s">
        <v>935</v>
      </c>
      <c r="R26" s="103" t="s">
        <v>86</v>
      </c>
      <c r="V26" s="81" t="str">
        <f t="shared" si="4"/>
        <v>1500KCкоричневый</v>
      </c>
      <c r="W26" s="81" t="str">
        <f t="shared" si="0"/>
        <v>1500KC</v>
      </c>
      <c r="X26" s="81" t="str">
        <f t="shared" si="5"/>
        <v/>
      </c>
      <c r="AC26" s="60">
        <f t="shared" si="6"/>
        <v>94</v>
      </c>
      <c r="AD26" s="49">
        <f t="shared" si="1"/>
        <v>16</v>
      </c>
      <c r="AE26" s="60">
        <f t="shared" si="7"/>
        <v>94016</v>
      </c>
    </row>
    <row r="27" spans="1:31">
      <c r="A27" s="81" t="str">
        <f t="shared" si="2"/>
        <v>1500KCmaroon</v>
      </c>
      <c r="B27" s="81" t="str">
        <f t="shared" si="3"/>
        <v>94-016-12</v>
      </c>
      <c r="C27" s="103" t="s">
        <v>973</v>
      </c>
      <c r="D27" s="103" t="s">
        <v>974</v>
      </c>
      <c r="E27" s="103" t="s">
        <v>901</v>
      </c>
      <c r="F27" s="104" t="s">
        <v>632</v>
      </c>
      <c r="G27" s="104" t="s">
        <v>962</v>
      </c>
      <c r="H27" s="103" t="s">
        <v>121</v>
      </c>
      <c r="I27" s="103" t="s">
        <v>903</v>
      </c>
      <c r="J27" s="103" t="s">
        <v>340</v>
      </c>
      <c r="K27" s="103" t="s">
        <v>382</v>
      </c>
      <c r="L27" s="103" t="s">
        <v>904</v>
      </c>
      <c r="M27" s="103" t="s">
        <v>388</v>
      </c>
      <c r="N27" s="103" t="s">
        <v>46</v>
      </c>
      <c r="O27" s="103" t="s">
        <v>541</v>
      </c>
      <c r="P27" s="103" t="s">
        <v>905</v>
      </c>
      <c r="Q27" s="103" t="s">
        <v>941</v>
      </c>
      <c r="R27" s="103" t="s">
        <v>121</v>
      </c>
      <c r="V27" s="81" t="str">
        <f t="shared" si="4"/>
        <v>1500KCбордовый</v>
      </c>
      <c r="W27" s="81" t="str">
        <f t="shared" si="0"/>
        <v>1500KC</v>
      </c>
      <c r="X27" s="81" t="str">
        <f t="shared" si="5"/>
        <v/>
      </c>
      <c r="AC27" s="60">
        <f t="shared" si="6"/>
        <v>94</v>
      </c>
      <c r="AD27" s="49">
        <f t="shared" si="1"/>
        <v>16</v>
      </c>
      <c r="AE27" s="60">
        <f t="shared" si="7"/>
        <v>94016</v>
      </c>
    </row>
    <row r="28" spans="1:31">
      <c r="A28" s="81" t="str">
        <f t="shared" si="2"/>
        <v>1500KCblack</v>
      </c>
      <c r="B28" s="81" t="str">
        <f t="shared" si="3"/>
        <v>94-016-09</v>
      </c>
      <c r="C28" s="103" t="s">
        <v>975</v>
      </c>
      <c r="D28" s="103" t="s">
        <v>976</v>
      </c>
      <c r="E28" s="103" t="s">
        <v>901</v>
      </c>
      <c r="F28" s="104" t="s">
        <v>632</v>
      </c>
      <c r="G28" s="104" t="s">
        <v>962</v>
      </c>
      <c r="H28" s="103" t="s">
        <v>53</v>
      </c>
      <c r="I28" s="103" t="s">
        <v>903</v>
      </c>
      <c r="J28" s="103" t="s">
        <v>340</v>
      </c>
      <c r="K28" s="103" t="s">
        <v>382</v>
      </c>
      <c r="L28" s="103" t="s">
        <v>904</v>
      </c>
      <c r="M28" s="103" t="s">
        <v>388</v>
      </c>
      <c r="N28" s="103" t="s">
        <v>46</v>
      </c>
      <c r="O28" s="103" t="s">
        <v>541</v>
      </c>
      <c r="P28" s="103" t="s">
        <v>905</v>
      </c>
      <c r="Q28" s="103" t="s">
        <v>912</v>
      </c>
      <c r="R28" s="103" t="s">
        <v>53</v>
      </c>
      <c r="V28" s="81" t="str">
        <f t="shared" si="4"/>
        <v>1500KCчерный</v>
      </c>
      <c r="W28" s="81" t="str">
        <f t="shared" si="0"/>
        <v>1500KC</v>
      </c>
      <c r="X28" s="81" t="str">
        <f t="shared" si="5"/>
        <v/>
      </c>
      <c r="AC28" s="60">
        <f t="shared" si="6"/>
        <v>94</v>
      </c>
      <c r="AD28" s="49">
        <f t="shared" si="1"/>
        <v>16</v>
      </c>
      <c r="AE28" s="60">
        <f t="shared" si="7"/>
        <v>94016</v>
      </c>
    </row>
    <row r="29" spans="1:31">
      <c r="A29" s="81" t="str">
        <f t="shared" si="2"/>
        <v>1500KCroyal</v>
      </c>
      <c r="B29" s="81" t="str">
        <f t="shared" si="3"/>
        <v>94-016-06</v>
      </c>
      <c r="C29" s="103" t="s">
        <v>977</v>
      </c>
      <c r="D29" s="103" t="s">
        <v>978</v>
      </c>
      <c r="E29" s="103" t="s">
        <v>901</v>
      </c>
      <c r="F29" s="104" t="s">
        <v>632</v>
      </c>
      <c r="G29" s="104" t="s">
        <v>962</v>
      </c>
      <c r="H29" s="103" t="s">
        <v>71</v>
      </c>
      <c r="I29" s="103" t="s">
        <v>903</v>
      </c>
      <c r="J29" s="103" t="s">
        <v>340</v>
      </c>
      <c r="K29" s="103" t="s">
        <v>382</v>
      </c>
      <c r="L29" s="103" t="s">
        <v>904</v>
      </c>
      <c r="M29" s="103" t="s">
        <v>388</v>
      </c>
      <c r="N29" s="103" t="s">
        <v>46</v>
      </c>
      <c r="O29" s="103" t="s">
        <v>541</v>
      </c>
      <c r="P29" s="103" t="s">
        <v>905</v>
      </c>
      <c r="Q29" s="103" t="s">
        <v>915</v>
      </c>
      <c r="R29" s="103" t="s">
        <v>71</v>
      </c>
      <c r="V29" s="81" t="str">
        <f t="shared" si="4"/>
        <v>1500KCсиний</v>
      </c>
      <c r="W29" s="81" t="str">
        <f t="shared" si="0"/>
        <v>1500KC</v>
      </c>
      <c r="X29" s="81" t="str">
        <f t="shared" si="5"/>
        <v/>
      </c>
      <c r="AC29" s="60">
        <f t="shared" si="6"/>
        <v>94</v>
      </c>
      <c r="AD29" s="49">
        <f t="shared" si="1"/>
        <v>16</v>
      </c>
      <c r="AE29" s="60">
        <f t="shared" si="7"/>
        <v>94016</v>
      </c>
    </row>
    <row r="30" spans="1:31">
      <c r="A30" s="81" t="str">
        <f t="shared" si="2"/>
        <v>1500KCdark grey</v>
      </c>
      <c r="B30" s="81" t="str">
        <f t="shared" si="3"/>
        <v>94-016-05</v>
      </c>
      <c r="C30" s="103" t="s">
        <v>979</v>
      </c>
      <c r="D30" s="103" t="s">
        <v>980</v>
      </c>
      <c r="E30" s="103" t="s">
        <v>901</v>
      </c>
      <c r="F30" s="104" t="s">
        <v>632</v>
      </c>
      <c r="G30" s="104" t="s">
        <v>962</v>
      </c>
      <c r="H30" s="103" t="s">
        <v>277</v>
      </c>
      <c r="I30" s="103" t="s">
        <v>903</v>
      </c>
      <c r="J30" s="103" t="s">
        <v>340</v>
      </c>
      <c r="K30" s="103" t="s">
        <v>382</v>
      </c>
      <c r="L30" s="103" t="s">
        <v>904</v>
      </c>
      <c r="M30" s="103" t="s">
        <v>388</v>
      </c>
      <c r="N30" s="103" t="s">
        <v>46</v>
      </c>
      <c r="O30" s="103" t="s">
        <v>541</v>
      </c>
      <c r="P30" s="103" t="s">
        <v>905</v>
      </c>
      <c r="Q30" s="103" t="s">
        <v>918</v>
      </c>
      <c r="R30" s="103" t="s">
        <v>83</v>
      </c>
      <c r="V30" s="81" t="str">
        <f t="shared" si="4"/>
        <v>1500KCтемно-серый</v>
      </c>
      <c r="W30" s="81" t="str">
        <f t="shared" si="0"/>
        <v>1500KC</v>
      </c>
      <c r="X30" s="81" t="str">
        <f t="shared" si="5"/>
        <v/>
      </c>
      <c r="AC30" s="60">
        <f t="shared" si="6"/>
        <v>94</v>
      </c>
      <c r="AD30" s="49">
        <f t="shared" si="1"/>
        <v>16</v>
      </c>
      <c r="AE30" s="60">
        <f t="shared" si="7"/>
        <v>94016</v>
      </c>
    </row>
    <row r="31" spans="1:31">
      <c r="A31" s="81" t="str">
        <f t="shared" si="2"/>
        <v>1500KColive</v>
      </c>
      <c r="B31" s="81" t="str">
        <f t="shared" si="3"/>
        <v>94-016-03</v>
      </c>
      <c r="C31" s="103" t="s">
        <v>981</v>
      </c>
      <c r="D31" s="103" t="s">
        <v>982</v>
      </c>
      <c r="E31" s="103" t="s">
        <v>901</v>
      </c>
      <c r="F31" s="104" t="s">
        <v>632</v>
      </c>
      <c r="G31" s="104" t="s">
        <v>962</v>
      </c>
      <c r="H31" s="103" t="s">
        <v>195</v>
      </c>
      <c r="I31" s="103" t="s">
        <v>903</v>
      </c>
      <c r="J31" s="103" t="s">
        <v>340</v>
      </c>
      <c r="K31" s="103" t="s">
        <v>382</v>
      </c>
      <c r="L31" s="103" t="s">
        <v>904</v>
      </c>
      <c r="M31" s="103" t="s">
        <v>388</v>
      </c>
      <c r="N31" s="103" t="s">
        <v>46</v>
      </c>
      <c r="O31" s="103" t="s">
        <v>541</v>
      </c>
      <c r="P31" s="103" t="s">
        <v>905</v>
      </c>
      <c r="Q31" s="103" t="s">
        <v>951</v>
      </c>
      <c r="R31" s="103" t="s">
        <v>195</v>
      </c>
      <c r="V31" s="81" t="str">
        <f t="shared" si="4"/>
        <v>1500KCоливковый</v>
      </c>
      <c r="W31" s="81" t="str">
        <f t="shared" si="0"/>
        <v>1500KC</v>
      </c>
      <c r="X31" s="81" t="str">
        <f t="shared" si="5"/>
        <v/>
      </c>
      <c r="AC31" s="60">
        <f t="shared" si="6"/>
        <v>94</v>
      </c>
      <c r="AD31" s="49">
        <f t="shared" si="1"/>
        <v>16</v>
      </c>
      <c r="AE31" s="60">
        <f t="shared" si="7"/>
        <v>94016</v>
      </c>
    </row>
    <row r="32" spans="1:31">
      <c r="A32" s="81" t="str">
        <f t="shared" si="2"/>
        <v>1500KCheather grey</v>
      </c>
      <c r="B32" s="81" t="str">
        <f t="shared" si="3"/>
        <v>94-016-01</v>
      </c>
      <c r="C32" s="103" t="s">
        <v>983</v>
      </c>
      <c r="D32" s="103" t="s">
        <v>984</v>
      </c>
      <c r="E32" s="103" t="s">
        <v>901</v>
      </c>
      <c r="F32" s="104" t="s">
        <v>632</v>
      </c>
      <c r="G32" s="104" t="s">
        <v>962</v>
      </c>
      <c r="H32" s="103" t="s">
        <v>231</v>
      </c>
      <c r="I32" s="103" t="s">
        <v>903</v>
      </c>
      <c r="J32" s="103" t="s">
        <v>340</v>
      </c>
      <c r="K32" s="103" t="s">
        <v>382</v>
      </c>
      <c r="L32" s="103" t="s">
        <v>904</v>
      </c>
      <c r="M32" s="103" t="s">
        <v>388</v>
      </c>
      <c r="N32" s="103" t="s">
        <v>46</v>
      </c>
      <c r="O32" s="103" t="s">
        <v>541</v>
      </c>
      <c r="P32" s="103" t="s">
        <v>905</v>
      </c>
      <c r="Q32" s="103" t="s">
        <v>921</v>
      </c>
      <c r="R32" s="103" t="s">
        <v>83</v>
      </c>
      <c r="V32" s="81" t="str">
        <f t="shared" si="4"/>
        <v>1500KCсветло-серый</v>
      </c>
      <c r="W32" s="81" t="str">
        <f t="shared" si="0"/>
        <v>1500KC</v>
      </c>
      <c r="X32" s="81" t="str">
        <f t="shared" si="5"/>
        <v/>
      </c>
      <c r="AC32" s="60">
        <f t="shared" si="6"/>
        <v>94</v>
      </c>
      <c r="AD32" s="49">
        <f t="shared" si="1"/>
        <v>16</v>
      </c>
      <c r="AE32" s="60">
        <f t="shared" si="7"/>
        <v>94016</v>
      </c>
    </row>
    <row r="33" spans="1:31">
      <c r="A33" s="81" t="str">
        <f t="shared" si="2"/>
        <v>1500KCgold</v>
      </c>
      <c r="B33" s="81" t="str">
        <f t="shared" si="3"/>
        <v>94-016-00</v>
      </c>
      <c r="C33" s="103" t="s">
        <v>985</v>
      </c>
      <c r="D33" s="103" t="s">
        <v>986</v>
      </c>
      <c r="E33" s="103" t="s">
        <v>901</v>
      </c>
      <c r="F33" s="104" t="s">
        <v>632</v>
      </c>
      <c r="G33" s="104" t="s">
        <v>962</v>
      </c>
      <c r="H33" s="103" t="s">
        <v>157</v>
      </c>
      <c r="I33" s="103" t="s">
        <v>903</v>
      </c>
      <c r="J33" s="103" t="s">
        <v>340</v>
      </c>
      <c r="K33" s="103" t="s">
        <v>382</v>
      </c>
      <c r="L33" s="103" t="s">
        <v>904</v>
      </c>
      <c r="M33" s="103" t="s">
        <v>388</v>
      </c>
      <c r="N33" s="103" t="s">
        <v>46</v>
      </c>
      <c r="O33" s="103" t="s">
        <v>542</v>
      </c>
      <c r="P33" s="103" t="s">
        <v>905</v>
      </c>
      <c r="Q33" s="103" t="s">
        <v>959</v>
      </c>
      <c r="R33" s="103" t="s">
        <v>65</v>
      </c>
      <c r="V33" s="81" t="str">
        <f t="shared" si="4"/>
        <v>1500KCзолотой</v>
      </c>
      <c r="W33" s="81" t="str">
        <f t="shared" si="0"/>
        <v>1500KC</v>
      </c>
      <c r="X33" s="81" t="str">
        <f t="shared" si="5"/>
        <v/>
      </c>
      <c r="AC33" s="60">
        <f t="shared" si="6"/>
        <v>94</v>
      </c>
      <c r="AD33" s="49">
        <f t="shared" si="1"/>
        <v>16</v>
      </c>
      <c r="AE33" s="60">
        <f t="shared" si="7"/>
        <v>94016</v>
      </c>
    </row>
    <row r="34" spans="1:31">
      <c r="A34" s="81" t="str">
        <f t="shared" si="2"/>
        <v>6606evergreen</v>
      </c>
      <c r="B34" s="81" t="str">
        <f t="shared" si="3"/>
        <v>94-015-11</v>
      </c>
      <c r="C34" s="103" t="s">
        <v>987</v>
      </c>
      <c r="D34" s="103" t="s">
        <v>988</v>
      </c>
      <c r="E34" s="103" t="s">
        <v>901</v>
      </c>
      <c r="F34" s="104" t="s">
        <v>632</v>
      </c>
      <c r="G34" s="104">
        <v>6606</v>
      </c>
      <c r="H34" s="103" t="s">
        <v>60</v>
      </c>
      <c r="I34" s="103" t="s">
        <v>989</v>
      </c>
      <c r="J34" s="103" t="s">
        <v>356</v>
      </c>
      <c r="K34" s="103" t="s">
        <v>382</v>
      </c>
      <c r="L34" s="103" t="s">
        <v>904</v>
      </c>
      <c r="M34" s="103" t="s">
        <v>388</v>
      </c>
      <c r="N34" s="103" t="s">
        <v>43</v>
      </c>
      <c r="O34" s="103" t="s">
        <v>541</v>
      </c>
      <c r="P34" s="103" t="s">
        <v>905</v>
      </c>
      <c r="Q34" s="103" t="s">
        <v>990</v>
      </c>
      <c r="R34" s="103" t="s">
        <v>65</v>
      </c>
      <c r="V34" s="81" t="str">
        <f t="shared" si="4"/>
        <v>6606зеленый</v>
      </c>
      <c r="W34" s="81" t="str">
        <f t="shared" si="0"/>
        <v>6606</v>
      </c>
      <c r="X34" s="81" t="str">
        <f t="shared" si="5"/>
        <v/>
      </c>
      <c r="AC34" s="60">
        <f t="shared" si="6"/>
        <v>94</v>
      </c>
      <c r="AD34" s="49">
        <f t="shared" si="1"/>
        <v>15</v>
      </c>
      <c r="AE34" s="60">
        <f t="shared" si="7"/>
        <v>94015</v>
      </c>
    </row>
    <row r="35" spans="1:31">
      <c r="A35" s="81" t="str">
        <f t="shared" si="2"/>
        <v>6606black</v>
      </c>
      <c r="B35" s="81" t="str">
        <f t="shared" si="3"/>
        <v>94-015-09</v>
      </c>
      <c r="C35" s="103" t="s">
        <v>991</v>
      </c>
      <c r="D35" s="103" t="s">
        <v>992</v>
      </c>
      <c r="E35" s="103" t="s">
        <v>901</v>
      </c>
      <c r="F35" s="104" t="s">
        <v>632</v>
      </c>
      <c r="G35" s="104">
        <v>6606</v>
      </c>
      <c r="H35" s="103" t="s">
        <v>53</v>
      </c>
      <c r="I35" s="103" t="s">
        <v>989</v>
      </c>
      <c r="J35" s="103" t="s">
        <v>356</v>
      </c>
      <c r="K35" s="103" t="s">
        <v>382</v>
      </c>
      <c r="L35" s="103" t="s">
        <v>904</v>
      </c>
      <c r="M35" s="103" t="s">
        <v>388</v>
      </c>
      <c r="N35" s="103" t="s">
        <v>43</v>
      </c>
      <c r="O35" s="103" t="s">
        <v>541</v>
      </c>
      <c r="P35" s="103" t="s">
        <v>905</v>
      </c>
      <c r="Q35" s="103" t="s">
        <v>912</v>
      </c>
      <c r="R35" s="103" t="s">
        <v>65</v>
      </c>
      <c r="V35" s="81" t="str">
        <f t="shared" si="4"/>
        <v>6606черный</v>
      </c>
      <c r="W35" s="81" t="str">
        <f t="shared" si="0"/>
        <v>6606</v>
      </c>
      <c r="X35" s="81" t="str">
        <f t="shared" si="5"/>
        <v/>
      </c>
      <c r="AC35" s="60">
        <f t="shared" si="6"/>
        <v>94</v>
      </c>
      <c r="AD35" s="49">
        <f t="shared" si="1"/>
        <v>15</v>
      </c>
      <c r="AE35" s="60">
        <f t="shared" si="7"/>
        <v>94015</v>
      </c>
    </row>
    <row r="36" spans="1:31">
      <c r="A36" s="81" t="str">
        <f t="shared" si="2"/>
        <v>6533purple</v>
      </c>
      <c r="B36" s="81" t="str">
        <f t="shared" si="3"/>
        <v>94-014-41</v>
      </c>
      <c r="C36" s="103" t="s">
        <v>993</v>
      </c>
      <c r="D36" s="103" t="s">
        <v>994</v>
      </c>
      <c r="E36" s="103" t="s">
        <v>995</v>
      </c>
      <c r="F36" s="104" t="s">
        <v>604</v>
      </c>
      <c r="G36" s="104">
        <v>6533</v>
      </c>
      <c r="H36" s="103" t="s">
        <v>286</v>
      </c>
      <c r="I36" s="103" t="s">
        <v>996</v>
      </c>
      <c r="J36" s="103" t="s">
        <v>356</v>
      </c>
      <c r="K36" s="103" t="s">
        <v>382</v>
      </c>
      <c r="L36" s="103" t="s">
        <v>904</v>
      </c>
      <c r="M36" s="103" t="s">
        <v>388</v>
      </c>
      <c r="O36" s="103" t="s">
        <v>541</v>
      </c>
      <c r="P36" s="103" t="s">
        <v>905</v>
      </c>
      <c r="Q36" s="103" t="s">
        <v>997</v>
      </c>
      <c r="R36" s="103" t="s">
        <v>65</v>
      </c>
      <c r="V36" s="81" t="str">
        <f t="shared" si="4"/>
        <v>6533фиолетовый</v>
      </c>
      <c r="W36" s="81" t="str">
        <f t="shared" si="0"/>
        <v>6533</v>
      </c>
      <c r="X36" s="81" t="str">
        <f t="shared" si="5"/>
        <v/>
      </c>
      <c r="AC36" s="60">
        <f t="shared" si="6"/>
        <v>94</v>
      </c>
      <c r="AD36" s="49">
        <f t="shared" si="1"/>
        <v>14</v>
      </c>
      <c r="AE36" s="60">
        <f t="shared" si="7"/>
        <v>94014</v>
      </c>
    </row>
    <row r="37" spans="1:31">
      <c r="A37" s="81" t="str">
        <f t="shared" si="2"/>
        <v>6533maroon</v>
      </c>
      <c r="B37" s="81" t="str">
        <f t="shared" si="3"/>
        <v>94-014-12</v>
      </c>
      <c r="C37" s="103" t="s">
        <v>998</v>
      </c>
      <c r="D37" s="103" t="s">
        <v>999</v>
      </c>
      <c r="E37" s="103" t="s">
        <v>1000</v>
      </c>
      <c r="F37" s="104" t="s">
        <v>600</v>
      </c>
      <c r="G37" s="104">
        <v>6533</v>
      </c>
      <c r="H37" s="103" t="s">
        <v>121</v>
      </c>
      <c r="I37" s="103" t="s">
        <v>996</v>
      </c>
      <c r="J37" s="103" t="s">
        <v>356</v>
      </c>
      <c r="K37" s="103" t="s">
        <v>382</v>
      </c>
      <c r="L37" s="103" t="s">
        <v>904</v>
      </c>
      <c r="M37" s="103" t="s">
        <v>388</v>
      </c>
      <c r="O37" s="103" t="s">
        <v>541</v>
      </c>
      <c r="P37" s="103" t="s">
        <v>905</v>
      </c>
      <c r="Q37" s="103" t="s">
        <v>941</v>
      </c>
      <c r="R37" s="103" t="s">
        <v>65</v>
      </c>
      <c r="V37" s="81" t="str">
        <f t="shared" si="4"/>
        <v>6533бордовый</v>
      </c>
      <c r="W37" s="81" t="str">
        <f t="shared" si="0"/>
        <v>6533</v>
      </c>
      <c r="X37" s="81" t="str">
        <f t="shared" si="5"/>
        <v/>
      </c>
      <c r="AC37" s="60">
        <f t="shared" si="6"/>
        <v>94</v>
      </c>
      <c r="AD37" s="49">
        <f t="shared" si="1"/>
        <v>14</v>
      </c>
      <c r="AE37" s="60">
        <f t="shared" si="7"/>
        <v>94014</v>
      </c>
    </row>
    <row r="38" spans="1:31">
      <c r="A38" s="81" t="str">
        <f t="shared" si="2"/>
        <v>6533maroon</v>
      </c>
      <c r="B38" s="81" t="str">
        <f t="shared" si="3"/>
        <v>94-014-12</v>
      </c>
      <c r="C38" s="103" t="s">
        <v>1001</v>
      </c>
      <c r="D38" s="103" t="s">
        <v>999</v>
      </c>
      <c r="E38" s="103" t="s">
        <v>995</v>
      </c>
      <c r="F38" s="104" t="s">
        <v>604</v>
      </c>
      <c r="G38" s="104">
        <v>6533</v>
      </c>
      <c r="H38" s="103" t="s">
        <v>121</v>
      </c>
      <c r="I38" s="103" t="s">
        <v>996</v>
      </c>
      <c r="J38" s="103" t="s">
        <v>356</v>
      </c>
      <c r="K38" s="103" t="s">
        <v>382</v>
      </c>
      <c r="L38" s="103" t="s">
        <v>904</v>
      </c>
      <c r="M38" s="103" t="s">
        <v>388</v>
      </c>
      <c r="O38" s="103" t="s">
        <v>541</v>
      </c>
      <c r="P38" s="103" t="s">
        <v>905</v>
      </c>
      <c r="Q38" s="103" t="s">
        <v>941</v>
      </c>
      <c r="R38" s="103" t="s">
        <v>65</v>
      </c>
      <c r="V38" s="81" t="str">
        <f t="shared" si="4"/>
        <v>6533бордовый</v>
      </c>
      <c r="W38" s="81" t="str">
        <f t="shared" si="0"/>
        <v>6533</v>
      </c>
      <c r="X38" s="81" t="str">
        <f t="shared" si="5"/>
        <v/>
      </c>
      <c r="AC38" s="60">
        <f t="shared" si="6"/>
        <v>94</v>
      </c>
      <c r="AD38" s="49">
        <f t="shared" si="1"/>
        <v>14</v>
      </c>
      <c r="AE38" s="60">
        <f t="shared" si="7"/>
        <v>94014</v>
      </c>
    </row>
    <row r="39" spans="1:31">
      <c r="A39" s="81" t="str">
        <f t="shared" si="2"/>
        <v>6533dark grey</v>
      </c>
      <c r="B39" s="81" t="str">
        <f t="shared" si="3"/>
        <v>94-014-05</v>
      </c>
      <c r="C39" s="103" t="s">
        <v>1002</v>
      </c>
      <c r="D39" s="103" t="s">
        <v>1003</v>
      </c>
      <c r="E39" s="103" t="s">
        <v>1000</v>
      </c>
      <c r="F39" s="104" t="s">
        <v>600</v>
      </c>
      <c r="G39" s="104">
        <v>6533</v>
      </c>
      <c r="H39" s="103" t="s">
        <v>277</v>
      </c>
      <c r="I39" s="103" t="s">
        <v>996</v>
      </c>
      <c r="J39" s="103" t="s">
        <v>356</v>
      </c>
      <c r="K39" s="103" t="s">
        <v>382</v>
      </c>
      <c r="L39" s="103" t="s">
        <v>904</v>
      </c>
      <c r="M39" s="103" t="s">
        <v>388</v>
      </c>
      <c r="O39" s="103" t="s">
        <v>541</v>
      </c>
      <c r="P39" s="103" t="s">
        <v>905</v>
      </c>
      <c r="Q39" s="103" t="s">
        <v>918</v>
      </c>
      <c r="R39" s="103" t="s">
        <v>65</v>
      </c>
      <c r="V39" s="81" t="str">
        <f t="shared" si="4"/>
        <v>6533темно-серый</v>
      </c>
      <c r="W39" s="81" t="str">
        <f t="shared" si="0"/>
        <v>6533</v>
      </c>
      <c r="X39" s="81" t="str">
        <f t="shared" si="5"/>
        <v/>
      </c>
      <c r="AC39" s="60">
        <f t="shared" si="6"/>
        <v>94</v>
      </c>
      <c r="AD39" s="49">
        <f t="shared" si="1"/>
        <v>14</v>
      </c>
      <c r="AE39" s="60">
        <f t="shared" si="7"/>
        <v>94014</v>
      </c>
    </row>
    <row r="40" spans="1:31">
      <c r="A40" s="81" t="str">
        <f t="shared" si="2"/>
        <v>6533dark grey</v>
      </c>
      <c r="B40" s="81" t="str">
        <f t="shared" si="3"/>
        <v>94-014-05</v>
      </c>
      <c r="C40" s="103" t="s">
        <v>1004</v>
      </c>
      <c r="D40" s="103" t="s">
        <v>1003</v>
      </c>
      <c r="E40" s="103" t="s">
        <v>995</v>
      </c>
      <c r="F40" s="104" t="s">
        <v>604</v>
      </c>
      <c r="G40" s="104">
        <v>6533</v>
      </c>
      <c r="H40" s="103" t="s">
        <v>277</v>
      </c>
      <c r="I40" s="103" t="s">
        <v>996</v>
      </c>
      <c r="J40" s="103" t="s">
        <v>356</v>
      </c>
      <c r="K40" s="103" t="s">
        <v>382</v>
      </c>
      <c r="L40" s="103" t="s">
        <v>904</v>
      </c>
      <c r="M40" s="103" t="s">
        <v>388</v>
      </c>
      <c r="O40" s="103" t="s">
        <v>541</v>
      </c>
      <c r="P40" s="103" t="s">
        <v>905</v>
      </c>
      <c r="Q40" s="103" t="s">
        <v>918</v>
      </c>
      <c r="R40" s="103" t="s">
        <v>65</v>
      </c>
      <c r="V40" s="81" t="str">
        <f t="shared" si="4"/>
        <v>6533темно-серый</v>
      </c>
      <c r="W40" s="81" t="str">
        <f t="shared" si="0"/>
        <v>6533</v>
      </c>
      <c r="X40" s="81" t="str">
        <f t="shared" si="5"/>
        <v/>
      </c>
      <c r="AC40" s="60">
        <f t="shared" si="6"/>
        <v>94</v>
      </c>
      <c r="AD40" s="49">
        <f t="shared" si="1"/>
        <v>14</v>
      </c>
      <c r="AE40" s="60">
        <f t="shared" si="7"/>
        <v>94014</v>
      </c>
    </row>
    <row r="41" spans="1:31">
      <c r="A41" s="81" t="str">
        <f t="shared" si="2"/>
        <v>6511brown</v>
      </c>
      <c r="B41" s="81" t="str">
        <f t="shared" si="3"/>
        <v>94-013-14</v>
      </c>
      <c r="C41" s="103" t="s">
        <v>1005</v>
      </c>
      <c r="D41" s="103" t="s">
        <v>1006</v>
      </c>
      <c r="E41" s="103" t="s">
        <v>995</v>
      </c>
      <c r="F41" s="104" t="s">
        <v>604</v>
      </c>
      <c r="G41" s="104">
        <v>6511</v>
      </c>
      <c r="H41" s="103" t="s">
        <v>86</v>
      </c>
      <c r="I41" s="103" t="s">
        <v>1007</v>
      </c>
      <c r="J41" s="103" t="s">
        <v>356</v>
      </c>
      <c r="K41" s="103" t="s">
        <v>382</v>
      </c>
      <c r="L41" s="103" t="s">
        <v>904</v>
      </c>
      <c r="M41" s="103" t="s">
        <v>388</v>
      </c>
      <c r="O41" s="103" t="s">
        <v>541</v>
      </c>
      <c r="P41" s="103" t="s">
        <v>905</v>
      </c>
      <c r="Q41" s="103" t="s">
        <v>935</v>
      </c>
      <c r="R41" s="103" t="s">
        <v>65</v>
      </c>
      <c r="V41" s="81" t="str">
        <f t="shared" si="4"/>
        <v>6511коричневый</v>
      </c>
      <c r="W41" s="81" t="str">
        <f t="shared" si="0"/>
        <v>6511</v>
      </c>
      <c r="X41" s="81" t="str">
        <f t="shared" si="5"/>
        <v/>
      </c>
      <c r="AC41" s="60">
        <f t="shared" si="6"/>
        <v>94</v>
      </c>
      <c r="AD41" s="49">
        <f t="shared" si="1"/>
        <v>13</v>
      </c>
      <c r="AE41" s="60">
        <f t="shared" si="7"/>
        <v>94013</v>
      </c>
    </row>
    <row r="42" spans="1:31">
      <c r="A42" s="81" t="str">
        <f t="shared" si="2"/>
        <v>6320red</v>
      </c>
      <c r="B42" s="81" t="str">
        <f t="shared" si="3"/>
        <v>94-012-18</v>
      </c>
      <c r="C42" s="103" t="s">
        <v>1008</v>
      </c>
      <c r="D42" s="103" t="s">
        <v>1009</v>
      </c>
      <c r="E42" s="103" t="s">
        <v>901</v>
      </c>
      <c r="F42" s="104" t="s">
        <v>632</v>
      </c>
      <c r="G42" s="104">
        <v>6320</v>
      </c>
      <c r="H42" s="103" t="s">
        <v>78</v>
      </c>
      <c r="I42" s="103" t="s">
        <v>1010</v>
      </c>
      <c r="J42" s="103" t="s">
        <v>356</v>
      </c>
      <c r="K42" s="103" t="s">
        <v>382</v>
      </c>
      <c r="L42" s="103" t="s">
        <v>904</v>
      </c>
      <c r="M42" s="103" t="s">
        <v>388</v>
      </c>
      <c r="O42" s="103" t="s">
        <v>541</v>
      </c>
      <c r="P42" s="103" t="s">
        <v>905</v>
      </c>
      <c r="Q42" s="103" t="s">
        <v>906</v>
      </c>
      <c r="R42" s="103" t="s">
        <v>65</v>
      </c>
      <c r="V42" s="81" t="str">
        <f t="shared" si="4"/>
        <v>6320красный</v>
      </c>
      <c r="W42" s="81" t="str">
        <f t="shared" si="0"/>
        <v>6320</v>
      </c>
      <c r="X42" s="81" t="str">
        <f t="shared" si="5"/>
        <v/>
      </c>
      <c r="AC42" s="60">
        <f t="shared" si="6"/>
        <v>94</v>
      </c>
      <c r="AD42" s="49">
        <f t="shared" si="1"/>
        <v>12</v>
      </c>
      <c r="AE42" s="60">
        <f t="shared" si="7"/>
        <v>94012</v>
      </c>
    </row>
    <row r="43" spans="1:31">
      <c r="A43" s="81" t="str">
        <f t="shared" si="2"/>
        <v>6320royal</v>
      </c>
      <c r="B43" s="81" t="str">
        <f t="shared" si="3"/>
        <v>94-012-06</v>
      </c>
      <c r="C43" s="103" t="s">
        <v>1011</v>
      </c>
      <c r="D43" s="103" t="s">
        <v>1012</v>
      </c>
      <c r="E43" s="103" t="s">
        <v>901</v>
      </c>
      <c r="F43" s="104" t="s">
        <v>632</v>
      </c>
      <c r="G43" s="104">
        <v>6320</v>
      </c>
      <c r="H43" s="103" t="s">
        <v>71</v>
      </c>
      <c r="I43" s="103" t="s">
        <v>1010</v>
      </c>
      <c r="J43" s="103" t="s">
        <v>356</v>
      </c>
      <c r="K43" s="103" t="s">
        <v>382</v>
      </c>
      <c r="L43" s="103" t="s">
        <v>904</v>
      </c>
      <c r="M43" s="103" t="s">
        <v>388</v>
      </c>
      <c r="O43" s="103" t="s">
        <v>541</v>
      </c>
      <c r="P43" s="103" t="s">
        <v>905</v>
      </c>
      <c r="Q43" s="103" t="s">
        <v>915</v>
      </c>
      <c r="R43" s="103" t="s">
        <v>65</v>
      </c>
      <c r="V43" s="81" t="str">
        <f t="shared" si="4"/>
        <v>6320синий</v>
      </c>
      <c r="W43" s="81" t="str">
        <f t="shared" si="0"/>
        <v>6320</v>
      </c>
      <c r="X43" s="81" t="str">
        <f t="shared" si="5"/>
        <v/>
      </c>
      <c r="AC43" s="60">
        <f t="shared" si="6"/>
        <v>94</v>
      </c>
      <c r="AD43" s="49">
        <f t="shared" si="1"/>
        <v>12</v>
      </c>
      <c r="AE43" s="60">
        <f t="shared" si="7"/>
        <v>94012</v>
      </c>
    </row>
    <row r="44" spans="1:31">
      <c r="A44" s="81" t="str">
        <f t="shared" si="2"/>
        <v>6277brown</v>
      </c>
      <c r="B44" s="81" t="str">
        <f t="shared" si="3"/>
        <v>94-011-14</v>
      </c>
      <c r="C44" s="103" t="s">
        <v>1013</v>
      </c>
      <c r="D44" s="103" t="s">
        <v>1014</v>
      </c>
      <c r="E44" s="103" t="s">
        <v>1000</v>
      </c>
      <c r="F44" s="104" t="s">
        <v>600</v>
      </c>
      <c r="G44" s="104">
        <v>6277</v>
      </c>
      <c r="H44" s="103" t="s">
        <v>86</v>
      </c>
      <c r="I44" s="103" t="s">
        <v>1015</v>
      </c>
      <c r="J44" s="103" t="s">
        <v>327</v>
      </c>
      <c r="K44" s="103" t="s">
        <v>382</v>
      </c>
      <c r="L44" s="103" t="s">
        <v>904</v>
      </c>
      <c r="M44" s="103" t="s">
        <v>388</v>
      </c>
      <c r="O44" s="103" t="s">
        <v>541</v>
      </c>
      <c r="P44" s="103" t="s">
        <v>905</v>
      </c>
      <c r="Q44" s="103" t="s">
        <v>935</v>
      </c>
      <c r="R44" s="103" t="s">
        <v>65</v>
      </c>
      <c r="V44" s="81" t="str">
        <f t="shared" si="4"/>
        <v>6277коричневый</v>
      </c>
      <c r="W44" s="81" t="str">
        <f t="shared" si="0"/>
        <v>6277</v>
      </c>
      <c r="X44" s="81" t="str">
        <f t="shared" si="5"/>
        <v/>
      </c>
      <c r="AC44" s="60">
        <f t="shared" si="6"/>
        <v>94</v>
      </c>
      <c r="AD44" s="49">
        <f t="shared" si="1"/>
        <v>11</v>
      </c>
      <c r="AE44" s="60">
        <f t="shared" si="7"/>
        <v>94011</v>
      </c>
    </row>
    <row r="45" spans="1:31">
      <c r="A45" s="81" t="str">
        <f t="shared" si="2"/>
        <v>6277brown</v>
      </c>
      <c r="B45" s="81" t="str">
        <f t="shared" si="3"/>
        <v>94-011-14</v>
      </c>
      <c r="C45" s="103" t="s">
        <v>1016</v>
      </c>
      <c r="D45" s="103" t="s">
        <v>1014</v>
      </c>
      <c r="E45" s="103" t="s">
        <v>995</v>
      </c>
      <c r="F45" s="104" t="s">
        <v>604</v>
      </c>
      <c r="G45" s="104">
        <v>6277</v>
      </c>
      <c r="H45" s="103" t="s">
        <v>86</v>
      </c>
      <c r="I45" s="103" t="s">
        <v>1015</v>
      </c>
      <c r="J45" s="103" t="s">
        <v>327</v>
      </c>
      <c r="K45" s="103" t="s">
        <v>382</v>
      </c>
      <c r="L45" s="103" t="s">
        <v>904</v>
      </c>
      <c r="M45" s="103" t="s">
        <v>388</v>
      </c>
      <c r="O45" s="103" t="s">
        <v>541</v>
      </c>
      <c r="P45" s="103" t="s">
        <v>905</v>
      </c>
      <c r="Q45" s="103" t="s">
        <v>935</v>
      </c>
      <c r="R45" s="103" t="s">
        <v>65</v>
      </c>
      <c r="V45" s="81" t="str">
        <f t="shared" si="4"/>
        <v>6277коричневый</v>
      </c>
      <c r="W45" s="81" t="str">
        <f t="shared" si="0"/>
        <v>6277</v>
      </c>
      <c r="X45" s="81" t="str">
        <f t="shared" si="5"/>
        <v/>
      </c>
      <c r="AC45" s="60">
        <f t="shared" si="6"/>
        <v>94</v>
      </c>
      <c r="AD45" s="49">
        <f t="shared" si="1"/>
        <v>11</v>
      </c>
      <c r="AE45" s="60">
        <f t="shared" si="7"/>
        <v>94011</v>
      </c>
    </row>
    <row r="46" spans="1:31">
      <c r="A46" s="81" t="str">
        <f t="shared" si="2"/>
        <v>6277gold</v>
      </c>
      <c r="B46" s="81" t="str">
        <f t="shared" si="3"/>
        <v>94-011-00</v>
      </c>
      <c r="C46" s="103" t="s">
        <v>1017</v>
      </c>
      <c r="D46" s="103" t="s">
        <v>1018</v>
      </c>
      <c r="E46" s="103" t="s">
        <v>1000</v>
      </c>
      <c r="F46" s="104" t="s">
        <v>600</v>
      </c>
      <c r="G46" s="104">
        <v>6277</v>
      </c>
      <c r="H46" s="103" t="s">
        <v>157</v>
      </c>
      <c r="I46" s="103" t="s">
        <v>1015</v>
      </c>
      <c r="J46" s="103" t="s">
        <v>327</v>
      </c>
      <c r="K46" s="103" t="s">
        <v>382</v>
      </c>
      <c r="L46" s="103" t="s">
        <v>904</v>
      </c>
      <c r="M46" s="103" t="s">
        <v>388</v>
      </c>
      <c r="O46" s="103" t="s">
        <v>541</v>
      </c>
      <c r="P46" s="103" t="s">
        <v>905</v>
      </c>
      <c r="Q46" s="103" t="s">
        <v>959</v>
      </c>
      <c r="R46" s="103" t="s">
        <v>65</v>
      </c>
      <c r="V46" s="81" t="str">
        <f t="shared" si="4"/>
        <v>6277золотой</v>
      </c>
      <c r="W46" s="81" t="str">
        <f t="shared" si="0"/>
        <v>6277</v>
      </c>
      <c r="X46" s="81" t="str">
        <f t="shared" si="5"/>
        <v/>
      </c>
      <c r="AC46" s="60">
        <f t="shared" si="6"/>
        <v>94</v>
      </c>
      <c r="AD46" s="49">
        <f t="shared" si="1"/>
        <v>11</v>
      </c>
      <c r="AE46" s="60">
        <f t="shared" si="7"/>
        <v>94011</v>
      </c>
    </row>
    <row r="47" spans="1:31">
      <c r="A47" s="81" t="str">
        <f t="shared" si="2"/>
        <v>6277gold</v>
      </c>
      <c r="B47" s="81" t="str">
        <f t="shared" si="3"/>
        <v>94-011-00</v>
      </c>
      <c r="C47" s="103" t="s">
        <v>1019</v>
      </c>
      <c r="D47" s="103" t="s">
        <v>1018</v>
      </c>
      <c r="E47" s="103" t="s">
        <v>995</v>
      </c>
      <c r="F47" s="104" t="s">
        <v>604</v>
      </c>
      <c r="G47" s="104">
        <v>6277</v>
      </c>
      <c r="H47" s="103" t="s">
        <v>157</v>
      </c>
      <c r="I47" s="103" t="s">
        <v>1015</v>
      </c>
      <c r="J47" s="103" t="s">
        <v>327</v>
      </c>
      <c r="K47" s="103" t="s">
        <v>382</v>
      </c>
      <c r="L47" s="103" t="s">
        <v>904</v>
      </c>
      <c r="M47" s="103" t="s">
        <v>388</v>
      </c>
      <c r="O47" s="103" t="s">
        <v>541</v>
      </c>
      <c r="P47" s="103" t="s">
        <v>905</v>
      </c>
      <c r="Q47" s="103" t="s">
        <v>959</v>
      </c>
      <c r="R47" s="103" t="s">
        <v>65</v>
      </c>
      <c r="V47" s="81" t="str">
        <f t="shared" si="4"/>
        <v>6277золотой</v>
      </c>
      <c r="W47" s="81" t="str">
        <f t="shared" si="0"/>
        <v>6277</v>
      </c>
      <c r="X47" s="81" t="str">
        <f t="shared" si="5"/>
        <v/>
      </c>
      <c r="AC47" s="60">
        <f t="shared" si="6"/>
        <v>94</v>
      </c>
      <c r="AD47" s="49">
        <f t="shared" si="1"/>
        <v>11</v>
      </c>
      <c r="AE47" s="60">
        <f t="shared" si="7"/>
        <v>94011</v>
      </c>
    </row>
    <row r="48" spans="1:31">
      <c r="A48" s="81" t="str">
        <f t="shared" si="2"/>
        <v>6089TCcamo/black</v>
      </c>
      <c r="B48" s="81" t="str">
        <f t="shared" si="3"/>
        <v>94-010-00</v>
      </c>
      <c r="C48" s="103" t="s">
        <v>1020</v>
      </c>
      <c r="D48" s="103" t="s">
        <v>1021</v>
      </c>
      <c r="E48" s="103" t="s">
        <v>901</v>
      </c>
      <c r="F48" s="104" t="s">
        <v>632</v>
      </c>
      <c r="G48" s="104" t="s">
        <v>1022</v>
      </c>
      <c r="H48" s="103" t="s">
        <v>845</v>
      </c>
      <c r="I48" s="103" t="s">
        <v>1023</v>
      </c>
      <c r="J48" s="103" t="s">
        <v>783</v>
      </c>
      <c r="K48" s="103" t="s">
        <v>382</v>
      </c>
      <c r="L48" s="103" t="s">
        <v>904</v>
      </c>
      <c r="M48" s="103" t="s">
        <v>388</v>
      </c>
      <c r="O48" s="103" t="s">
        <v>541</v>
      </c>
      <c r="P48" s="103" t="s">
        <v>905</v>
      </c>
      <c r="Q48" s="103" t="s">
        <v>1024</v>
      </c>
      <c r="R48" s="103" t="s">
        <v>60</v>
      </c>
      <c r="V48" s="81" t="str">
        <f t="shared" si="4"/>
        <v>6089TCкамуфляж / черный</v>
      </c>
      <c r="W48" s="81" t="str">
        <f t="shared" si="0"/>
        <v>6089TC</v>
      </c>
      <c r="X48" s="81" t="str">
        <f t="shared" si="5"/>
        <v/>
      </c>
      <c r="AC48" s="60">
        <f t="shared" si="6"/>
        <v>94</v>
      </c>
      <c r="AD48" s="49">
        <f t="shared" si="1"/>
        <v>10</v>
      </c>
      <c r="AE48" s="60">
        <f t="shared" si="7"/>
        <v>94010</v>
      </c>
    </row>
    <row r="49" spans="1:31">
      <c r="A49" s="81" t="str">
        <f t="shared" si="2"/>
        <v>6089MTblack/red</v>
      </c>
      <c r="B49" s="81" t="str">
        <f t="shared" si="3"/>
        <v>94-009-72</v>
      </c>
      <c r="C49" s="103" t="s">
        <v>1025</v>
      </c>
      <c r="D49" s="103" t="s">
        <v>1026</v>
      </c>
      <c r="E49" s="103" t="s">
        <v>901</v>
      </c>
      <c r="F49" s="104" t="s">
        <v>632</v>
      </c>
      <c r="G49" s="104" t="s">
        <v>1027</v>
      </c>
      <c r="H49" s="103" t="s">
        <v>302</v>
      </c>
      <c r="I49" s="103" t="s">
        <v>1028</v>
      </c>
      <c r="J49" s="103" t="s">
        <v>783</v>
      </c>
      <c r="K49" s="103" t="s">
        <v>382</v>
      </c>
      <c r="L49" s="103" t="s">
        <v>904</v>
      </c>
      <c r="M49" s="103" t="s">
        <v>388</v>
      </c>
      <c r="N49" s="103" t="s">
        <v>46</v>
      </c>
      <c r="O49" s="103" t="s">
        <v>541</v>
      </c>
      <c r="P49" s="103" t="s">
        <v>905</v>
      </c>
      <c r="Q49" s="103" t="s">
        <v>1029</v>
      </c>
      <c r="R49" s="103" t="s">
        <v>53</v>
      </c>
      <c r="V49" s="81" t="str">
        <f t="shared" si="4"/>
        <v>6089MTчерный / красный</v>
      </c>
      <c r="W49" s="81" t="str">
        <f t="shared" si="0"/>
        <v>6089MT</v>
      </c>
      <c r="X49" s="81" t="str">
        <f t="shared" si="5"/>
        <v/>
      </c>
      <c r="AC49" s="60">
        <f t="shared" si="6"/>
        <v>94</v>
      </c>
      <c r="AD49" s="49">
        <f t="shared" si="1"/>
        <v>9</v>
      </c>
      <c r="AE49" s="60">
        <f t="shared" si="7"/>
        <v>94009</v>
      </c>
    </row>
    <row r="50" spans="1:31">
      <c r="A50" s="81" t="str">
        <f t="shared" si="2"/>
        <v>6089MTnavy/red</v>
      </c>
      <c r="B50" s="81" t="str">
        <f t="shared" si="3"/>
        <v>94-009-71</v>
      </c>
      <c r="C50" s="103" t="s">
        <v>1030</v>
      </c>
      <c r="D50" s="103" t="s">
        <v>1031</v>
      </c>
      <c r="E50" s="103" t="s">
        <v>901</v>
      </c>
      <c r="F50" s="104" t="s">
        <v>632</v>
      </c>
      <c r="G50" s="104" t="s">
        <v>1027</v>
      </c>
      <c r="H50" s="103" t="s">
        <v>592</v>
      </c>
      <c r="I50" s="103" t="s">
        <v>1028</v>
      </c>
      <c r="J50" s="103" t="s">
        <v>783</v>
      </c>
      <c r="K50" s="103" t="s">
        <v>382</v>
      </c>
      <c r="L50" s="103" t="s">
        <v>904</v>
      </c>
      <c r="M50" s="103" t="s">
        <v>388</v>
      </c>
      <c r="N50" s="103" t="s">
        <v>46</v>
      </c>
      <c r="O50" s="103" t="s">
        <v>541</v>
      </c>
      <c r="P50" s="103" t="s">
        <v>855</v>
      </c>
      <c r="Q50" s="103" t="s">
        <v>1032</v>
      </c>
      <c r="R50" s="103" t="s">
        <v>71</v>
      </c>
      <c r="V50" s="81" t="str">
        <f t="shared" si="4"/>
        <v>6089MTтемно-синий / красный</v>
      </c>
      <c r="W50" s="81" t="str">
        <f t="shared" si="0"/>
        <v>6089MT</v>
      </c>
      <c r="X50" s="81" t="str">
        <f t="shared" si="5"/>
        <v/>
      </c>
      <c r="AC50" s="60">
        <f t="shared" si="6"/>
        <v>94</v>
      </c>
      <c r="AD50" s="49">
        <f t="shared" si="1"/>
        <v>9</v>
      </c>
      <c r="AE50" s="60">
        <f t="shared" si="7"/>
        <v>94009</v>
      </c>
    </row>
    <row r="51" spans="1:31">
      <c r="A51" s="81" t="str">
        <f t="shared" si="2"/>
        <v>6089MTroyal/orange</v>
      </c>
      <c r="B51" s="81" t="str">
        <f t="shared" si="3"/>
        <v>94-009-45</v>
      </c>
      <c r="C51" s="103" t="s">
        <v>1033</v>
      </c>
      <c r="D51" s="103" t="s">
        <v>1034</v>
      </c>
      <c r="E51" s="103" t="s">
        <v>901</v>
      </c>
      <c r="F51" s="104" t="s">
        <v>632</v>
      </c>
      <c r="G51" s="104" t="s">
        <v>1027</v>
      </c>
      <c r="H51" s="103" t="s">
        <v>254</v>
      </c>
      <c r="I51" s="103" t="s">
        <v>1028</v>
      </c>
      <c r="J51" s="103" t="s">
        <v>783</v>
      </c>
      <c r="K51" s="103" t="s">
        <v>382</v>
      </c>
      <c r="L51" s="103" t="s">
        <v>904</v>
      </c>
      <c r="M51" s="103" t="s">
        <v>388</v>
      </c>
      <c r="N51" s="103" t="s">
        <v>46</v>
      </c>
      <c r="O51" s="103" t="s">
        <v>541</v>
      </c>
      <c r="P51" s="103" t="s">
        <v>905</v>
      </c>
      <c r="Q51" s="103" t="s">
        <v>1035</v>
      </c>
      <c r="R51" s="103" t="s">
        <v>71</v>
      </c>
      <c r="V51" s="81" t="str">
        <f t="shared" si="4"/>
        <v>6089MTсиний / оранжевый</v>
      </c>
      <c r="W51" s="81" t="str">
        <f t="shared" si="0"/>
        <v>6089MT</v>
      </c>
      <c r="X51" s="81" t="str">
        <f t="shared" si="5"/>
        <v/>
      </c>
      <c r="AC51" s="60">
        <f t="shared" si="6"/>
        <v>94</v>
      </c>
      <c r="AD51" s="49">
        <f t="shared" si="1"/>
        <v>9</v>
      </c>
      <c r="AE51" s="60">
        <f t="shared" si="7"/>
        <v>94009</v>
      </c>
    </row>
    <row r="52" spans="1:31">
      <c r="A52" s="81" t="str">
        <f t="shared" si="2"/>
        <v>6089MTheather/black</v>
      </c>
      <c r="B52" s="81" t="str">
        <f t="shared" si="3"/>
        <v>94-009-11</v>
      </c>
      <c r="C52" s="103" t="s">
        <v>1036</v>
      </c>
      <c r="D52" s="103" t="s">
        <v>1037</v>
      </c>
      <c r="E52" s="103" t="s">
        <v>901</v>
      </c>
      <c r="F52" s="104" t="s">
        <v>632</v>
      </c>
      <c r="G52" s="104" t="s">
        <v>1027</v>
      </c>
      <c r="H52" s="103" t="s">
        <v>853</v>
      </c>
      <c r="I52" s="103" t="s">
        <v>1028</v>
      </c>
      <c r="J52" s="103" t="s">
        <v>783</v>
      </c>
      <c r="K52" s="103" t="s">
        <v>382</v>
      </c>
      <c r="L52" s="103" t="s">
        <v>904</v>
      </c>
      <c r="M52" s="103" t="s">
        <v>388</v>
      </c>
      <c r="N52" s="103" t="s">
        <v>46</v>
      </c>
      <c r="O52" s="103" t="s">
        <v>541</v>
      </c>
      <c r="P52" s="103" t="s">
        <v>905</v>
      </c>
      <c r="Q52" s="103" t="s">
        <v>1038</v>
      </c>
      <c r="R52" s="103" t="s">
        <v>83</v>
      </c>
      <c r="V52" s="81" t="str">
        <f t="shared" si="4"/>
        <v>6089MTсветло-серый / черный</v>
      </c>
      <c r="W52" s="81" t="str">
        <f t="shared" si="0"/>
        <v>6089MT</v>
      </c>
      <c r="X52" s="81" t="str">
        <f t="shared" si="5"/>
        <v/>
      </c>
      <c r="AC52" s="60">
        <f t="shared" si="6"/>
        <v>94</v>
      </c>
      <c r="AD52" s="49">
        <f t="shared" si="1"/>
        <v>9</v>
      </c>
      <c r="AE52" s="60">
        <f t="shared" si="7"/>
        <v>94009</v>
      </c>
    </row>
    <row r="53" spans="1:31">
      <c r="A53" s="81" t="str">
        <f t="shared" si="2"/>
        <v>6089MTblack/silver</v>
      </c>
      <c r="B53" s="81" t="str">
        <f t="shared" si="3"/>
        <v>94-009-10</v>
      </c>
      <c r="C53" s="103" t="s">
        <v>1039</v>
      </c>
      <c r="D53" s="103" t="s">
        <v>1040</v>
      </c>
      <c r="E53" s="103" t="s">
        <v>901</v>
      </c>
      <c r="F53" s="104" t="s">
        <v>632</v>
      </c>
      <c r="G53" s="104" t="s">
        <v>1027</v>
      </c>
      <c r="H53" s="103" t="s">
        <v>308</v>
      </c>
      <c r="I53" s="103" t="s">
        <v>1028</v>
      </c>
      <c r="J53" s="103" t="s">
        <v>783</v>
      </c>
      <c r="K53" s="103" t="s">
        <v>382</v>
      </c>
      <c r="L53" s="103" t="s">
        <v>904</v>
      </c>
      <c r="M53" s="103" t="s">
        <v>388</v>
      </c>
      <c r="N53" s="103" t="s">
        <v>46</v>
      </c>
      <c r="O53" s="103" t="s">
        <v>541</v>
      </c>
      <c r="P53" s="103" t="s">
        <v>905</v>
      </c>
      <c r="Q53" s="103" t="s">
        <v>1041</v>
      </c>
      <c r="R53" s="103" t="s">
        <v>53</v>
      </c>
      <c r="V53" s="81" t="str">
        <f t="shared" si="4"/>
        <v>6089MTчерный / серый</v>
      </c>
      <c r="W53" s="81" t="str">
        <f t="shared" si="0"/>
        <v>6089MT</v>
      </c>
      <c r="X53" s="81" t="str">
        <f t="shared" si="5"/>
        <v/>
      </c>
      <c r="AC53" s="60">
        <f t="shared" si="6"/>
        <v>94</v>
      </c>
      <c r="AD53" s="49">
        <f t="shared" si="1"/>
        <v>9</v>
      </c>
      <c r="AE53" s="60">
        <f t="shared" si="7"/>
        <v>94009</v>
      </c>
    </row>
    <row r="54" spans="1:31">
      <c r="A54" s="81" t="str">
        <f t="shared" si="2"/>
        <v>6089MTdark heather/black</v>
      </c>
      <c r="B54" s="81" t="str">
        <f t="shared" si="3"/>
        <v>94-009-09</v>
      </c>
      <c r="C54" s="103" t="s">
        <v>1042</v>
      </c>
      <c r="D54" s="103" t="s">
        <v>1043</v>
      </c>
      <c r="E54" s="103" t="s">
        <v>901</v>
      </c>
      <c r="F54" s="104" t="s">
        <v>632</v>
      </c>
      <c r="G54" s="104" t="s">
        <v>1027</v>
      </c>
      <c r="H54" s="103" t="s">
        <v>246</v>
      </c>
      <c r="I54" s="103" t="s">
        <v>1028</v>
      </c>
      <c r="J54" s="103" t="s">
        <v>783</v>
      </c>
      <c r="K54" s="103" t="s">
        <v>382</v>
      </c>
      <c r="L54" s="103" t="s">
        <v>904</v>
      </c>
      <c r="M54" s="103" t="s">
        <v>388</v>
      </c>
      <c r="N54" s="103" t="s">
        <v>46</v>
      </c>
      <c r="O54" s="103" t="s">
        <v>541</v>
      </c>
      <c r="P54" s="103" t="s">
        <v>905</v>
      </c>
      <c r="Q54" s="103" t="s">
        <v>1044</v>
      </c>
      <c r="R54" s="103" t="s">
        <v>83</v>
      </c>
      <c r="V54" s="81" t="str">
        <f t="shared" si="4"/>
        <v>6089MTсерый / черный</v>
      </c>
      <c r="W54" s="81" t="str">
        <f t="shared" si="0"/>
        <v>6089MT</v>
      </c>
      <c r="X54" s="81" t="str">
        <f t="shared" si="5"/>
        <v/>
      </c>
      <c r="AC54" s="60">
        <f t="shared" si="6"/>
        <v>94</v>
      </c>
      <c r="AD54" s="49">
        <f t="shared" si="1"/>
        <v>9</v>
      </c>
      <c r="AE54" s="60">
        <f t="shared" si="7"/>
        <v>94009</v>
      </c>
    </row>
    <row r="55" spans="1:31">
      <c r="A55" s="81" t="str">
        <f t="shared" si="2"/>
        <v>6089MTdark heather/red</v>
      </c>
      <c r="B55" s="81" t="str">
        <f t="shared" si="3"/>
        <v>94-009-08</v>
      </c>
      <c r="C55" s="103" t="s">
        <v>1045</v>
      </c>
      <c r="D55" s="103" t="s">
        <v>1046</v>
      </c>
      <c r="E55" s="103" t="s">
        <v>901</v>
      </c>
      <c r="F55" s="104" t="s">
        <v>632</v>
      </c>
      <c r="G55" s="104" t="s">
        <v>1027</v>
      </c>
      <c r="H55" s="103" t="s">
        <v>241</v>
      </c>
      <c r="I55" s="103" t="s">
        <v>1028</v>
      </c>
      <c r="J55" s="103" t="s">
        <v>783</v>
      </c>
      <c r="K55" s="103" t="s">
        <v>382</v>
      </c>
      <c r="L55" s="103" t="s">
        <v>904</v>
      </c>
      <c r="M55" s="103" t="s">
        <v>388</v>
      </c>
      <c r="N55" s="103" t="s">
        <v>46</v>
      </c>
      <c r="O55" s="103" t="s">
        <v>541</v>
      </c>
      <c r="P55" s="103" t="s">
        <v>855</v>
      </c>
      <c r="Q55" s="103" t="s">
        <v>1047</v>
      </c>
      <c r="R55" s="103" t="s">
        <v>83</v>
      </c>
      <c r="V55" s="81" t="str">
        <f t="shared" si="4"/>
        <v>6089MTсерый / красный</v>
      </c>
      <c r="W55" s="81" t="str">
        <f t="shared" si="0"/>
        <v>6089MT</v>
      </c>
      <c r="X55" s="81" t="str">
        <f t="shared" si="5"/>
        <v/>
      </c>
      <c r="AC55" s="60">
        <f t="shared" si="6"/>
        <v>94</v>
      </c>
      <c r="AD55" s="49">
        <f t="shared" si="1"/>
        <v>9</v>
      </c>
      <c r="AE55" s="60">
        <f t="shared" si="7"/>
        <v>94009</v>
      </c>
    </row>
    <row r="56" spans="1:31">
      <c r="A56" s="81" t="str">
        <f t="shared" si="2"/>
        <v>6089MCmulticam</v>
      </c>
      <c r="B56" s="81" t="str">
        <f t="shared" si="3"/>
        <v>94-008-00</v>
      </c>
      <c r="C56" s="103" t="s">
        <v>1048</v>
      </c>
      <c r="D56" s="103" t="s">
        <v>1049</v>
      </c>
      <c r="E56" s="103" t="s">
        <v>901</v>
      </c>
      <c r="F56" s="104" t="s">
        <v>632</v>
      </c>
      <c r="G56" s="104" t="s">
        <v>1050</v>
      </c>
      <c r="H56" s="103" t="s">
        <v>158</v>
      </c>
      <c r="I56" s="103" t="s">
        <v>1051</v>
      </c>
      <c r="J56" s="103" t="s">
        <v>783</v>
      </c>
      <c r="K56" s="103" t="s">
        <v>382</v>
      </c>
      <c r="L56" s="103" t="s">
        <v>904</v>
      </c>
      <c r="M56" s="103" t="s">
        <v>388</v>
      </c>
      <c r="N56" s="103" t="s">
        <v>43</v>
      </c>
      <c r="O56" s="103" t="s">
        <v>541</v>
      </c>
      <c r="P56" s="103" t="s">
        <v>905</v>
      </c>
      <c r="Q56" s="103" t="s">
        <v>1052</v>
      </c>
      <c r="R56" s="103" t="s">
        <v>60</v>
      </c>
      <c r="V56" s="81" t="str">
        <f t="shared" si="4"/>
        <v>6089MCкамуфляж</v>
      </c>
      <c r="W56" s="81" t="str">
        <f t="shared" si="0"/>
        <v>6089MC</v>
      </c>
      <c r="X56" s="81" t="str">
        <f t="shared" si="5"/>
        <v/>
      </c>
      <c r="AC56" s="60">
        <f t="shared" si="6"/>
        <v>94</v>
      </c>
      <c r="AD56" s="49">
        <f t="shared" si="1"/>
        <v>8</v>
      </c>
      <c r="AE56" s="60">
        <f t="shared" si="7"/>
        <v>94008</v>
      </c>
    </row>
    <row r="57" spans="1:31">
      <c r="A57" s="81" t="str">
        <f t="shared" si="2"/>
        <v>6089Mdark navy</v>
      </c>
      <c r="B57" s="81" t="str">
        <f t="shared" si="3"/>
        <v>94-007-19</v>
      </c>
      <c r="C57" s="103" t="s">
        <v>1053</v>
      </c>
      <c r="D57" s="103" t="s">
        <v>1054</v>
      </c>
      <c r="E57" s="103" t="s">
        <v>901</v>
      </c>
      <c r="F57" s="104" t="s">
        <v>632</v>
      </c>
      <c r="G57" s="104" t="s">
        <v>1055</v>
      </c>
      <c r="H57" s="103" t="s">
        <v>776</v>
      </c>
      <c r="I57" s="103" t="s">
        <v>1028</v>
      </c>
      <c r="J57" s="103" t="s">
        <v>783</v>
      </c>
      <c r="K57" s="103" t="s">
        <v>382</v>
      </c>
      <c r="L57" s="103" t="s">
        <v>904</v>
      </c>
      <c r="M57" s="103" t="s">
        <v>388</v>
      </c>
      <c r="N57" s="103" t="s">
        <v>46</v>
      </c>
      <c r="O57" s="103" t="s">
        <v>541</v>
      </c>
      <c r="P57" s="103" t="s">
        <v>905</v>
      </c>
      <c r="Q57" s="103" t="s">
        <v>1056</v>
      </c>
      <c r="R57" s="103" t="s">
        <v>71</v>
      </c>
      <c r="V57" s="81" t="str">
        <f t="shared" si="4"/>
        <v>6089Mиссиня-черный</v>
      </c>
      <c r="W57" s="81" t="str">
        <f t="shared" si="0"/>
        <v>6089M</v>
      </c>
      <c r="X57" s="81" t="str">
        <f t="shared" si="5"/>
        <v/>
      </c>
      <c r="AC57" s="60">
        <f t="shared" si="6"/>
        <v>94</v>
      </c>
      <c r="AD57" s="49">
        <f t="shared" si="1"/>
        <v>7</v>
      </c>
      <c r="AE57" s="60">
        <f t="shared" si="7"/>
        <v>94007</v>
      </c>
    </row>
    <row r="58" spans="1:31">
      <c r="A58" s="81" t="str">
        <f t="shared" si="2"/>
        <v>6089Mred</v>
      </c>
      <c r="B58" s="81" t="str">
        <f t="shared" si="3"/>
        <v>94-007-18</v>
      </c>
      <c r="C58" s="103" t="s">
        <v>1057</v>
      </c>
      <c r="D58" s="103" t="s">
        <v>1058</v>
      </c>
      <c r="E58" s="103" t="s">
        <v>901</v>
      </c>
      <c r="F58" s="104" t="s">
        <v>632</v>
      </c>
      <c r="G58" s="104" t="s">
        <v>1055</v>
      </c>
      <c r="H58" s="103" t="s">
        <v>78</v>
      </c>
      <c r="I58" s="103" t="s">
        <v>1028</v>
      </c>
      <c r="J58" s="103" t="s">
        <v>783</v>
      </c>
      <c r="K58" s="103" t="s">
        <v>382</v>
      </c>
      <c r="L58" s="103" t="s">
        <v>904</v>
      </c>
      <c r="M58" s="103" t="s">
        <v>388</v>
      </c>
      <c r="N58" s="103" t="s">
        <v>46</v>
      </c>
      <c r="O58" s="103" t="s">
        <v>541</v>
      </c>
      <c r="P58" s="103" t="s">
        <v>905</v>
      </c>
      <c r="Q58" s="103" t="s">
        <v>906</v>
      </c>
      <c r="R58" s="103" t="s">
        <v>78</v>
      </c>
      <c r="V58" s="81" t="str">
        <f t="shared" si="4"/>
        <v>6089Mкрасный</v>
      </c>
      <c r="W58" s="81" t="str">
        <f t="shared" si="0"/>
        <v>6089M</v>
      </c>
      <c r="X58" s="81" t="str">
        <f t="shared" si="5"/>
        <v/>
      </c>
      <c r="AC58" s="60">
        <f t="shared" si="6"/>
        <v>94</v>
      </c>
      <c r="AD58" s="49">
        <f t="shared" si="1"/>
        <v>7</v>
      </c>
      <c r="AE58" s="60">
        <f t="shared" si="7"/>
        <v>94007</v>
      </c>
    </row>
    <row r="59" spans="1:31">
      <c r="A59" s="81" t="str">
        <f t="shared" si="2"/>
        <v>6089Mwhite</v>
      </c>
      <c r="B59" s="81" t="str">
        <f t="shared" si="3"/>
        <v>94-007-17</v>
      </c>
      <c r="C59" s="103" t="s">
        <v>1059</v>
      </c>
      <c r="D59" s="103" t="s">
        <v>1060</v>
      </c>
      <c r="E59" s="103" t="s">
        <v>901</v>
      </c>
      <c r="F59" s="104" t="s">
        <v>632</v>
      </c>
      <c r="G59" s="104" t="s">
        <v>1055</v>
      </c>
      <c r="H59" s="103" t="s">
        <v>57</v>
      </c>
      <c r="I59" s="103" t="s">
        <v>1028</v>
      </c>
      <c r="J59" s="103" t="s">
        <v>783</v>
      </c>
      <c r="K59" s="103" t="s">
        <v>382</v>
      </c>
      <c r="L59" s="103" t="s">
        <v>904</v>
      </c>
      <c r="M59" s="103" t="s">
        <v>388</v>
      </c>
      <c r="N59" s="103" t="s">
        <v>46</v>
      </c>
      <c r="O59" s="103" t="s">
        <v>541</v>
      </c>
      <c r="P59" s="103" t="s">
        <v>905</v>
      </c>
      <c r="Q59" s="103" t="s">
        <v>968</v>
      </c>
      <c r="R59" s="103" t="s">
        <v>57</v>
      </c>
      <c r="V59" s="81" t="str">
        <f t="shared" si="4"/>
        <v>6089Mбелый</v>
      </c>
      <c r="W59" s="81" t="str">
        <f t="shared" si="0"/>
        <v>6089M</v>
      </c>
      <c r="X59" s="81" t="str">
        <f t="shared" si="5"/>
        <v/>
      </c>
      <c r="AC59" s="60">
        <f t="shared" si="6"/>
        <v>94</v>
      </c>
      <c r="AD59" s="49">
        <f t="shared" si="1"/>
        <v>7</v>
      </c>
      <c r="AE59" s="60">
        <f t="shared" si="7"/>
        <v>94007</v>
      </c>
    </row>
    <row r="60" spans="1:31">
      <c r="A60" s="81" t="str">
        <f t="shared" si="2"/>
        <v>6089Mnavy</v>
      </c>
      <c r="B60" s="81" t="str">
        <f t="shared" si="3"/>
        <v>94-007-16</v>
      </c>
      <c r="C60" s="103" t="s">
        <v>1061</v>
      </c>
      <c r="D60" s="103" t="s">
        <v>1062</v>
      </c>
      <c r="E60" s="103" t="s">
        <v>901</v>
      </c>
      <c r="F60" s="104" t="s">
        <v>632</v>
      </c>
      <c r="G60" s="104" t="s">
        <v>1055</v>
      </c>
      <c r="H60" s="103" t="s">
        <v>55</v>
      </c>
      <c r="I60" s="103" t="s">
        <v>1028</v>
      </c>
      <c r="J60" s="103" t="s">
        <v>783</v>
      </c>
      <c r="K60" s="103" t="s">
        <v>382</v>
      </c>
      <c r="L60" s="103" t="s">
        <v>904</v>
      </c>
      <c r="M60" s="103" t="s">
        <v>388</v>
      </c>
      <c r="N60" s="103" t="s">
        <v>46</v>
      </c>
      <c r="O60" s="103" t="s">
        <v>541</v>
      </c>
      <c r="P60" s="103" t="s">
        <v>905</v>
      </c>
      <c r="Q60" s="103" t="s">
        <v>909</v>
      </c>
      <c r="R60" s="103" t="s">
        <v>71</v>
      </c>
      <c r="V60" s="81" t="str">
        <f t="shared" si="4"/>
        <v>6089Mтемно-синий</v>
      </c>
      <c r="W60" s="81" t="str">
        <f t="shared" si="0"/>
        <v>6089M</v>
      </c>
      <c r="X60" s="81" t="str">
        <f t="shared" si="5"/>
        <v/>
      </c>
      <c r="AC60" s="60">
        <f t="shared" si="6"/>
        <v>94</v>
      </c>
      <c r="AD60" s="49">
        <f t="shared" si="1"/>
        <v>7</v>
      </c>
      <c r="AE60" s="60">
        <f t="shared" si="7"/>
        <v>94007</v>
      </c>
    </row>
    <row r="61" spans="1:31">
      <c r="A61" s="81" t="str">
        <f t="shared" si="2"/>
        <v>6089Morange</v>
      </c>
      <c r="B61" s="81" t="str">
        <f t="shared" si="3"/>
        <v>94-007-13</v>
      </c>
      <c r="C61" s="103" t="s">
        <v>1063</v>
      </c>
      <c r="D61" s="103" t="s">
        <v>1064</v>
      </c>
      <c r="E61" s="103" t="s">
        <v>901</v>
      </c>
      <c r="F61" s="104" t="s">
        <v>632</v>
      </c>
      <c r="G61" s="104" t="s">
        <v>1055</v>
      </c>
      <c r="H61" s="103" t="s">
        <v>199</v>
      </c>
      <c r="I61" s="103" t="s">
        <v>1028</v>
      </c>
      <c r="J61" s="103" t="s">
        <v>783</v>
      </c>
      <c r="K61" s="103" t="s">
        <v>382</v>
      </c>
      <c r="L61" s="103" t="s">
        <v>904</v>
      </c>
      <c r="M61" s="103" t="s">
        <v>388</v>
      </c>
      <c r="N61" s="103" t="s">
        <v>46</v>
      </c>
      <c r="O61" s="103" t="s">
        <v>541</v>
      </c>
      <c r="P61" s="103" t="s">
        <v>905</v>
      </c>
      <c r="Q61" s="103" t="s">
        <v>1065</v>
      </c>
      <c r="R61" s="103" t="s">
        <v>199</v>
      </c>
      <c r="V61" s="81" t="str">
        <f t="shared" si="4"/>
        <v>6089Mоранжевый</v>
      </c>
      <c r="W61" s="81" t="str">
        <f t="shared" si="0"/>
        <v>6089M</v>
      </c>
      <c r="X61" s="81" t="str">
        <f t="shared" si="5"/>
        <v/>
      </c>
      <c r="AC61" s="60">
        <f t="shared" si="6"/>
        <v>94</v>
      </c>
      <c r="AD61" s="49">
        <f t="shared" si="1"/>
        <v>7</v>
      </c>
      <c r="AE61" s="60">
        <f t="shared" si="7"/>
        <v>94007</v>
      </c>
    </row>
    <row r="62" spans="1:31">
      <c r="A62" s="81" t="str">
        <f t="shared" si="2"/>
        <v>6089Mmaroon</v>
      </c>
      <c r="B62" s="81" t="str">
        <f t="shared" si="3"/>
        <v>94-007-12</v>
      </c>
      <c r="C62" s="103" t="s">
        <v>1066</v>
      </c>
      <c r="D62" s="103" t="s">
        <v>1067</v>
      </c>
      <c r="E62" s="103" t="s">
        <v>901</v>
      </c>
      <c r="F62" s="104" t="s">
        <v>632</v>
      </c>
      <c r="G62" s="104" t="s">
        <v>1055</v>
      </c>
      <c r="H62" s="103" t="s">
        <v>121</v>
      </c>
      <c r="I62" s="103" t="s">
        <v>1028</v>
      </c>
      <c r="J62" s="103" t="s">
        <v>783</v>
      </c>
      <c r="K62" s="103" t="s">
        <v>382</v>
      </c>
      <c r="L62" s="103" t="s">
        <v>904</v>
      </c>
      <c r="M62" s="103" t="s">
        <v>388</v>
      </c>
      <c r="N62" s="103" t="s">
        <v>46</v>
      </c>
      <c r="O62" s="103" t="s">
        <v>541</v>
      </c>
      <c r="P62" s="103" t="s">
        <v>905</v>
      </c>
      <c r="Q62" s="103" t="s">
        <v>941</v>
      </c>
      <c r="R62" s="103" t="s">
        <v>121</v>
      </c>
      <c r="V62" s="81" t="str">
        <f t="shared" si="4"/>
        <v>6089Mбордовый</v>
      </c>
      <c r="W62" s="81" t="str">
        <f t="shared" si="0"/>
        <v>6089M</v>
      </c>
      <c r="X62" s="81" t="str">
        <f t="shared" si="5"/>
        <v/>
      </c>
      <c r="AC62" s="60">
        <f t="shared" si="6"/>
        <v>94</v>
      </c>
      <c r="AD62" s="49">
        <f t="shared" si="1"/>
        <v>7</v>
      </c>
      <c r="AE62" s="60">
        <f t="shared" si="7"/>
        <v>94007</v>
      </c>
    </row>
    <row r="63" spans="1:31">
      <c r="A63" s="81" t="str">
        <f t="shared" si="2"/>
        <v>6089Mspruce</v>
      </c>
      <c r="B63" s="81" t="str">
        <f t="shared" si="3"/>
        <v>94-007-11</v>
      </c>
      <c r="C63" s="103" t="s">
        <v>1068</v>
      </c>
      <c r="D63" s="103" t="s">
        <v>1069</v>
      </c>
      <c r="E63" s="103" t="s">
        <v>901</v>
      </c>
      <c r="F63" s="104" t="s">
        <v>632</v>
      </c>
      <c r="G63" s="104" t="s">
        <v>1055</v>
      </c>
      <c r="H63" s="103" t="s">
        <v>60</v>
      </c>
      <c r="I63" s="103" t="s">
        <v>1028</v>
      </c>
      <c r="J63" s="103" t="s">
        <v>783</v>
      </c>
      <c r="K63" s="103" t="s">
        <v>382</v>
      </c>
      <c r="L63" s="103" t="s">
        <v>904</v>
      </c>
      <c r="M63" s="103" t="s">
        <v>388</v>
      </c>
      <c r="N63" s="103" t="s">
        <v>46</v>
      </c>
      <c r="O63" s="103" t="s">
        <v>541</v>
      </c>
      <c r="P63" s="103" t="s">
        <v>905</v>
      </c>
      <c r="Q63" s="103" t="s">
        <v>944</v>
      </c>
      <c r="R63" s="103" t="s">
        <v>60</v>
      </c>
      <c r="V63" s="81" t="str">
        <f t="shared" si="4"/>
        <v>6089Mзеленый</v>
      </c>
      <c r="W63" s="81" t="str">
        <f t="shared" si="0"/>
        <v>6089M</v>
      </c>
      <c r="X63" s="81" t="str">
        <f t="shared" si="5"/>
        <v/>
      </c>
      <c r="AC63" s="60">
        <f t="shared" si="6"/>
        <v>94</v>
      </c>
      <c r="AD63" s="49">
        <f t="shared" si="1"/>
        <v>7</v>
      </c>
      <c r="AE63" s="60">
        <f t="shared" si="7"/>
        <v>94007</v>
      </c>
    </row>
    <row r="64" spans="1:31">
      <c r="A64" s="81" t="str">
        <f t="shared" si="2"/>
        <v>6089Mblack</v>
      </c>
      <c r="B64" s="81" t="str">
        <f t="shared" si="3"/>
        <v>94-007-09</v>
      </c>
      <c r="C64" s="103" t="s">
        <v>1070</v>
      </c>
      <c r="D64" s="103" t="s">
        <v>1071</v>
      </c>
      <c r="E64" s="103" t="s">
        <v>901</v>
      </c>
      <c r="F64" s="104" t="s">
        <v>632</v>
      </c>
      <c r="G64" s="104" t="s">
        <v>1055</v>
      </c>
      <c r="H64" s="103" t="s">
        <v>53</v>
      </c>
      <c r="I64" s="103" t="s">
        <v>1028</v>
      </c>
      <c r="J64" s="103" t="s">
        <v>783</v>
      </c>
      <c r="K64" s="103" t="s">
        <v>382</v>
      </c>
      <c r="L64" s="103" t="s">
        <v>904</v>
      </c>
      <c r="M64" s="103" t="s">
        <v>388</v>
      </c>
      <c r="N64" s="103" t="s">
        <v>46</v>
      </c>
      <c r="O64" s="103" t="s">
        <v>541</v>
      </c>
      <c r="P64" s="103" t="s">
        <v>905</v>
      </c>
      <c r="Q64" s="103" t="s">
        <v>912</v>
      </c>
      <c r="R64" s="103" t="s">
        <v>53</v>
      </c>
      <c r="V64" s="81" t="str">
        <f t="shared" si="4"/>
        <v>6089Mчерный</v>
      </c>
      <c r="W64" s="81" t="str">
        <f t="shared" si="0"/>
        <v>6089M</v>
      </c>
      <c r="X64" s="81" t="str">
        <f t="shared" si="5"/>
        <v/>
      </c>
      <c r="AC64" s="60">
        <f t="shared" si="6"/>
        <v>94</v>
      </c>
      <c r="AD64" s="49">
        <f t="shared" si="1"/>
        <v>7</v>
      </c>
      <c r="AE64" s="60">
        <f t="shared" si="7"/>
        <v>94007</v>
      </c>
    </row>
    <row r="65" spans="1:31">
      <c r="A65" s="81" t="str">
        <f t="shared" si="2"/>
        <v>6089Msilver</v>
      </c>
      <c r="B65" s="81" t="str">
        <f t="shared" si="3"/>
        <v>94-007-08</v>
      </c>
      <c r="C65" s="103" t="s">
        <v>1072</v>
      </c>
      <c r="D65" s="103" t="s">
        <v>1073</v>
      </c>
      <c r="E65" s="103" t="s">
        <v>901</v>
      </c>
      <c r="F65" s="104" t="s">
        <v>632</v>
      </c>
      <c r="G65" s="104" t="s">
        <v>1055</v>
      </c>
      <c r="H65" s="103" t="s">
        <v>83</v>
      </c>
      <c r="I65" s="103" t="s">
        <v>1028</v>
      </c>
      <c r="J65" s="103" t="s">
        <v>783</v>
      </c>
      <c r="K65" s="103" t="s">
        <v>382</v>
      </c>
      <c r="L65" s="103" t="s">
        <v>904</v>
      </c>
      <c r="M65" s="103" t="s">
        <v>388</v>
      </c>
      <c r="N65" s="103" t="s">
        <v>46</v>
      </c>
      <c r="O65" s="103" t="s">
        <v>541</v>
      </c>
      <c r="P65" s="103" t="s">
        <v>905</v>
      </c>
      <c r="Q65" s="103" t="s">
        <v>1074</v>
      </c>
      <c r="R65" s="103" t="s">
        <v>83</v>
      </c>
      <c r="V65" s="81" t="str">
        <f t="shared" si="4"/>
        <v>6089Mсерый</v>
      </c>
      <c r="W65" s="81" t="str">
        <f t="shared" si="0"/>
        <v>6089M</v>
      </c>
      <c r="X65" s="81" t="str">
        <f t="shared" si="5"/>
        <v/>
      </c>
      <c r="AC65" s="60">
        <f t="shared" si="6"/>
        <v>94</v>
      </c>
      <c r="AD65" s="49">
        <f t="shared" si="1"/>
        <v>7</v>
      </c>
      <c r="AE65" s="60">
        <f t="shared" si="7"/>
        <v>94007</v>
      </c>
    </row>
    <row r="66" spans="1:31">
      <c r="A66" s="81" t="str">
        <f t="shared" si="2"/>
        <v>6089Mroyal</v>
      </c>
      <c r="B66" s="81" t="str">
        <f t="shared" si="3"/>
        <v>94-007-06</v>
      </c>
      <c r="C66" s="103" t="s">
        <v>1075</v>
      </c>
      <c r="D66" s="103" t="s">
        <v>1076</v>
      </c>
      <c r="E66" s="103" t="s">
        <v>901</v>
      </c>
      <c r="F66" s="104" t="s">
        <v>632</v>
      </c>
      <c r="G66" s="104" t="s">
        <v>1055</v>
      </c>
      <c r="H66" s="103" t="s">
        <v>71</v>
      </c>
      <c r="I66" s="103" t="s">
        <v>1028</v>
      </c>
      <c r="J66" s="103" t="s">
        <v>783</v>
      </c>
      <c r="K66" s="103" t="s">
        <v>382</v>
      </c>
      <c r="L66" s="103" t="s">
        <v>904</v>
      </c>
      <c r="M66" s="103" t="s">
        <v>388</v>
      </c>
      <c r="N66" s="103" t="s">
        <v>46</v>
      </c>
      <c r="O66" s="103" t="s">
        <v>541</v>
      </c>
      <c r="P66" s="103" t="s">
        <v>855</v>
      </c>
      <c r="Q66" s="103" t="s">
        <v>915</v>
      </c>
      <c r="R66" s="103" t="s">
        <v>71</v>
      </c>
      <c r="V66" s="81" t="str">
        <f t="shared" si="4"/>
        <v>6089Mсиний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81" t="str">
        <f t="shared" si="5"/>
        <v/>
      </c>
      <c r="AC66" s="60">
        <f t="shared" si="6"/>
        <v>94</v>
      </c>
      <c r="AD66" s="49">
        <f t="shared" si="1"/>
        <v>7</v>
      </c>
      <c r="AE66" s="60">
        <f t="shared" si="7"/>
        <v>94007</v>
      </c>
    </row>
    <row r="67" spans="1:31">
      <c r="A67" s="81" t="str">
        <f t="shared" ref="A67:A130" si="9">IF(G67&amp;Q67&lt;&gt;"",W67&amp;Q67,"")</f>
        <v>6089Mdark grey</v>
      </c>
      <c r="B67" s="81" t="str">
        <f t="shared" ref="B67:B130" si="10">IF(C67&lt;&gt;"",LEFT(C67,9),"")</f>
        <v>94-007-05</v>
      </c>
      <c r="C67" s="103" t="s">
        <v>1077</v>
      </c>
      <c r="D67" s="103" t="s">
        <v>1078</v>
      </c>
      <c r="E67" s="103" t="s">
        <v>901</v>
      </c>
      <c r="F67" s="104" t="s">
        <v>632</v>
      </c>
      <c r="G67" s="104" t="s">
        <v>1055</v>
      </c>
      <c r="H67" s="103" t="s">
        <v>277</v>
      </c>
      <c r="I67" s="103" t="s">
        <v>1028</v>
      </c>
      <c r="J67" s="103" t="s">
        <v>783</v>
      </c>
      <c r="K67" s="103" t="s">
        <v>382</v>
      </c>
      <c r="L67" s="103" t="s">
        <v>904</v>
      </c>
      <c r="M67" s="103" t="s">
        <v>388</v>
      </c>
      <c r="N67" s="103" t="s">
        <v>46</v>
      </c>
      <c r="O67" s="103" t="s">
        <v>541</v>
      </c>
      <c r="P67" s="103" t="s">
        <v>905</v>
      </c>
      <c r="Q67" s="103" t="s">
        <v>918</v>
      </c>
      <c r="R67" s="103" t="s">
        <v>83</v>
      </c>
      <c r="V67" s="81" t="str">
        <f t="shared" ref="V67:V130" si="11">W67&amp;H67</f>
        <v>6089Mтемно-серый</v>
      </c>
      <c r="W67" s="81" t="str">
        <f t="shared" si="8"/>
        <v>6089M</v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94</v>
      </c>
      <c r="AD67" s="49">
        <f t="shared" ref="AD67:AD130" si="14">IFERROR(VALUE(MID($C67,4,3)),0)</f>
        <v>7</v>
      </c>
      <c r="AE67" s="60">
        <f t="shared" ref="AE67:AE130" si="15">VALUE(RIGHT("00"&amp;AC67,2)&amp;RIGHT("000"&amp;AD67,3))</f>
        <v>94007</v>
      </c>
    </row>
    <row r="68" spans="1:31">
      <c r="A68" s="81" t="str">
        <f t="shared" si="9"/>
        <v>6089Mdark heather</v>
      </c>
      <c r="B68" s="81" t="str">
        <f t="shared" si="10"/>
        <v>94-007-01</v>
      </c>
      <c r="C68" s="103" t="s">
        <v>1079</v>
      </c>
      <c r="D68" s="103" t="s">
        <v>1080</v>
      </c>
      <c r="E68" s="103" t="s">
        <v>901</v>
      </c>
      <c r="F68" s="104" t="s">
        <v>632</v>
      </c>
      <c r="G68" s="104" t="s">
        <v>1055</v>
      </c>
      <c r="H68" s="103" t="s">
        <v>231</v>
      </c>
      <c r="I68" s="103" t="s">
        <v>1028</v>
      </c>
      <c r="J68" s="103" t="s">
        <v>783</v>
      </c>
      <c r="K68" s="103" t="s">
        <v>382</v>
      </c>
      <c r="L68" s="103" t="s">
        <v>904</v>
      </c>
      <c r="M68" s="103" t="s">
        <v>388</v>
      </c>
      <c r="N68" s="103" t="s">
        <v>46</v>
      </c>
      <c r="O68" s="103" t="s">
        <v>541</v>
      </c>
      <c r="P68" s="103" t="s">
        <v>905</v>
      </c>
      <c r="Q68" s="103" t="s">
        <v>1081</v>
      </c>
      <c r="R68" s="103" t="s">
        <v>83</v>
      </c>
      <c r="V68" s="81" t="str">
        <f t="shared" si="11"/>
        <v>6089Mсветло-серый</v>
      </c>
      <c r="W68" s="81" t="str">
        <f t="shared" si="8"/>
        <v>6089M</v>
      </c>
      <c r="X68" s="81" t="str">
        <f t="shared" si="12"/>
        <v/>
      </c>
      <c r="AC68" s="60">
        <f t="shared" si="13"/>
        <v>94</v>
      </c>
      <c r="AD68" s="49">
        <f t="shared" si="14"/>
        <v>7</v>
      </c>
      <c r="AE68" s="60">
        <f t="shared" si="15"/>
        <v>94007</v>
      </c>
    </row>
    <row r="69" spans="1:31">
      <c r="A69" s="81" t="str">
        <f t="shared" si="9"/>
        <v>6089CMgreen camo</v>
      </c>
      <c r="B69" s="81" t="str">
        <f t="shared" si="10"/>
        <v>94-006-00</v>
      </c>
      <c r="C69" s="103" t="s">
        <v>1082</v>
      </c>
      <c r="D69" s="103" t="s">
        <v>1083</v>
      </c>
      <c r="E69" s="103" t="s">
        <v>901</v>
      </c>
      <c r="F69" s="104" t="s">
        <v>632</v>
      </c>
      <c r="G69" s="104" t="s">
        <v>1084</v>
      </c>
      <c r="H69" s="103" t="s">
        <v>158</v>
      </c>
      <c r="I69" s="103" t="s">
        <v>1023</v>
      </c>
      <c r="J69" s="103" t="s">
        <v>783</v>
      </c>
      <c r="K69" s="103" t="s">
        <v>382</v>
      </c>
      <c r="L69" s="103" t="s">
        <v>904</v>
      </c>
      <c r="M69" s="103" t="s">
        <v>388</v>
      </c>
      <c r="O69" s="103" t="s">
        <v>541</v>
      </c>
      <c r="P69" s="103" t="s">
        <v>905</v>
      </c>
      <c r="Q69" s="103" t="s">
        <v>1085</v>
      </c>
      <c r="R69" s="103" t="s">
        <v>60</v>
      </c>
      <c r="V69" s="81" t="str">
        <f t="shared" si="11"/>
        <v>6089CMкамуфляж</v>
      </c>
      <c r="W69" s="81" t="str">
        <f t="shared" si="8"/>
        <v>6089CM</v>
      </c>
      <c r="X69" s="81" t="str">
        <f t="shared" si="12"/>
        <v/>
      </c>
      <c r="AC69" s="60">
        <f t="shared" si="13"/>
        <v>94</v>
      </c>
      <c r="AD69" s="49">
        <f t="shared" si="14"/>
        <v>6</v>
      </c>
      <c r="AE69" s="60">
        <f t="shared" si="15"/>
        <v>94006</v>
      </c>
    </row>
    <row r="70" spans="1:31">
      <c r="A70" s="81" t="str">
        <f t="shared" si="9"/>
        <v>6007Tblack/red</v>
      </c>
      <c r="B70" s="81" t="str">
        <f t="shared" si="10"/>
        <v>94-005-72</v>
      </c>
      <c r="C70" s="103" t="s">
        <v>1086</v>
      </c>
      <c r="D70" s="103" t="s">
        <v>1087</v>
      </c>
      <c r="E70" s="103" t="s">
        <v>901</v>
      </c>
      <c r="F70" s="104" t="s">
        <v>632</v>
      </c>
      <c r="G70" s="104" t="s">
        <v>1088</v>
      </c>
      <c r="H70" s="103" t="s">
        <v>302</v>
      </c>
      <c r="I70" s="103" t="s">
        <v>1089</v>
      </c>
      <c r="J70" s="103" t="s">
        <v>783</v>
      </c>
      <c r="K70" s="103" t="s">
        <v>382</v>
      </c>
      <c r="L70" s="103" t="s">
        <v>904</v>
      </c>
      <c r="M70" s="103" t="s">
        <v>388</v>
      </c>
      <c r="N70" s="103" t="s">
        <v>43</v>
      </c>
      <c r="O70" s="103" t="s">
        <v>541</v>
      </c>
      <c r="P70" s="103" t="s">
        <v>905</v>
      </c>
      <c r="Q70" s="103" t="s">
        <v>1029</v>
      </c>
      <c r="R70" s="103" t="s">
        <v>53</v>
      </c>
      <c r="V70" s="81" t="str">
        <f t="shared" si="11"/>
        <v>6007Tчерный / красный</v>
      </c>
      <c r="W70" s="81" t="str">
        <f t="shared" si="8"/>
        <v>6007T</v>
      </c>
      <c r="X70" s="81" t="str">
        <f t="shared" si="12"/>
        <v/>
      </c>
      <c r="AC70" s="60">
        <f t="shared" si="13"/>
        <v>94</v>
      </c>
      <c r="AD70" s="49">
        <f t="shared" si="14"/>
        <v>5</v>
      </c>
      <c r="AE70" s="60">
        <f t="shared" si="15"/>
        <v>94005</v>
      </c>
    </row>
    <row r="71" spans="1:31">
      <c r="A71" s="81" t="str">
        <f t="shared" si="9"/>
        <v>6007Tnavy/red</v>
      </c>
      <c r="B71" s="81" t="str">
        <f t="shared" si="10"/>
        <v>94-005-71</v>
      </c>
      <c r="C71" s="103" t="s">
        <v>1090</v>
      </c>
      <c r="D71" s="103" t="s">
        <v>1091</v>
      </c>
      <c r="E71" s="103" t="s">
        <v>901</v>
      </c>
      <c r="F71" s="104" t="s">
        <v>632</v>
      </c>
      <c r="G71" s="104" t="s">
        <v>1088</v>
      </c>
      <c r="H71" s="103" t="s">
        <v>592</v>
      </c>
      <c r="I71" s="103" t="s">
        <v>1089</v>
      </c>
      <c r="J71" s="103" t="s">
        <v>783</v>
      </c>
      <c r="K71" s="103" t="s">
        <v>382</v>
      </c>
      <c r="L71" s="103" t="s">
        <v>904</v>
      </c>
      <c r="M71" s="103" t="s">
        <v>388</v>
      </c>
      <c r="N71" s="103" t="s">
        <v>43</v>
      </c>
      <c r="O71" s="103" t="s">
        <v>541</v>
      </c>
      <c r="P71" s="103" t="s">
        <v>905</v>
      </c>
      <c r="Q71" s="103" t="s">
        <v>1032</v>
      </c>
      <c r="R71" s="103" t="s">
        <v>71</v>
      </c>
      <c r="V71" s="81" t="str">
        <f t="shared" si="11"/>
        <v>6007Tтемно-синий / красный</v>
      </c>
      <c r="W71" s="81" t="str">
        <f t="shared" si="8"/>
        <v>6007T</v>
      </c>
      <c r="X71" s="81" t="str">
        <f t="shared" si="12"/>
        <v/>
      </c>
      <c r="AC71" s="60">
        <f t="shared" si="13"/>
        <v>94</v>
      </c>
      <c r="AD71" s="49">
        <f t="shared" si="14"/>
        <v>5</v>
      </c>
      <c r="AE71" s="60">
        <f t="shared" si="15"/>
        <v>94005</v>
      </c>
    </row>
    <row r="72" spans="1:31">
      <c r="A72" s="81" t="str">
        <f t="shared" si="9"/>
        <v>6007Tblack/teal</v>
      </c>
      <c r="B72" s="81" t="str">
        <f t="shared" si="10"/>
        <v>94-005-33</v>
      </c>
      <c r="C72" s="103" t="s">
        <v>1092</v>
      </c>
      <c r="D72" s="103" t="s">
        <v>1093</v>
      </c>
      <c r="E72" s="103" t="s">
        <v>901</v>
      </c>
      <c r="F72" s="104" t="s">
        <v>632</v>
      </c>
      <c r="G72" s="104" t="s">
        <v>1088</v>
      </c>
      <c r="H72" s="103" t="s">
        <v>309</v>
      </c>
      <c r="I72" s="103" t="s">
        <v>1089</v>
      </c>
      <c r="J72" s="103" t="s">
        <v>783</v>
      </c>
      <c r="K72" s="103" t="s">
        <v>382</v>
      </c>
      <c r="L72" s="103" t="s">
        <v>904</v>
      </c>
      <c r="M72" s="103" t="s">
        <v>388</v>
      </c>
      <c r="N72" s="103" t="s">
        <v>43</v>
      </c>
      <c r="O72" s="103" t="s">
        <v>541</v>
      </c>
      <c r="P72" s="103" t="s">
        <v>905</v>
      </c>
      <c r="Q72" s="103" t="s">
        <v>1094</v>
      </c>
      <c r="R72" s="103" t="s">
        <v>53</v>
      </c>
      <c r="V72" s="81" t="str">
        <f t="shared" si="11"/>
        <v>6007Tчерный / синий</v>
      </c>
      <c r="W72" s="81" t="str">
        <f t="shared" si="8"/>
        <v>6007T</v>
      </c>
      <c r="X72" s="81" t="str">
        <f t="shared" si="12"/>
        <v/>
      </c>
      <c r="AC72" s="60">
        <f t="shared" si="13"/>
        <v>94</v>
      </c>
      <c r="AD72" s="49">
        <f t="shared" si="14"/>
        <v>5</v>
      </c>
      <c r="AE72" s="60">
        <f t="shared" si="15"/>
        <v>94005</v>
      </c>
    </row>
    <row r="73" spans="1:31">
      <c r="A73" s="81" t="str">
        <f t="shared" si="9"/>
        <v>6007Tblack/silver</v>
      </c>
      <c r="B73" s="81" t="str">
        <f t="shared" si="10"/>
        <v>94-005-10</v>
      </c>
      <c r="C73" s="103" t="s">
        <v>1095</v>
      </c>
      <c r="D73" s="103" t="s">
        <v>1096</v>
      </c>
      <c r="E73" s="103" t="s">
        <v>901</v>
      </c>
      <c r="F73" s="104" t="s">
        <v>632</v>
      </c>
      <c r="G73" s="104" t="s">
        <v>1088</v>
      </c>
      <c r="H73" s="103" t="s">
        <v>308</v>
      </c>
      <c r="I73" s="103" t="s">
        <v>1089</v>
      </c>
      <c r="J73" s="103" t="s">
        <v>783</v>
      </c>
      <c r="K73" s="103" t="s">
        <v>382</v>
      </c>
      <c r="L73" s="103" t="s">
        <v>904</v>
      </c>
      <c r="M73" s="103" t="s">
        <v>388</v>
      </c>
      <c r="N73" s="103" t="s">
        <v>43</v>
      </c>
      <c r="O73" s="103" t="s">
        <v>541</v>
      </c>
      <c r="P73" s="103" t="s">
        <v>905</v>
      </c>
      <c r="Q73" s="103" t="s">
        <v>1041</v>
      </c>
      <c r="R73" s="103" t="s">
        <v>53</v>
      </c>
      <c r="V73" s="81" t="str">
        <f t="shared" si="11"/>
        <v>6007Tчерный / серый</v>
      </c>
      <c r="W73" s="81" t="str">
        <f t="shared" si="8"/>
        <v>6007T</v>
      </c>
      <c r="X73" s="81" t="str">
        <f t="shared" si="12"/>
        <v/>
      </c>
      <c r="AC73" s="60">
        <f t="shared" si="13"/>
        <v>94</v>
      </c>
      <c r="AD73" s="49">
        <f t="shared" si="14"/>
        <v>5</v>
      </c>
      <c r="AE73" s="60">
        <f t="shared" si="15"/>
        <v>94005</v>
      </c>
    </row>
    <row r="74" spans="1:31">
      <c r="A74" s="81" t="str">
        <f t="shared" si="9"/>
        <v>6007Tblack/purple</v>
      </c>
      <c r="B74" s="81" t="str">
        <f t="shared" si="10"/>
        <v>94-005-09</v>
      </c>
      <c r="C74" s="103" t="s">
        <v>1097</v>
      </c>
      <c r="D74" s="103" t="s">
        <v>1098</v>
      </c>
      <c r="E74" s="103" t="s">
        <v>901</v>
      </c>
      <c r="F74" s="104" t="s">
        <v>632</v>
      </c>
      <c r="G74" s="104" t="s">
        <v>1088</v>
      </c>
      <c r="H74" s="103" t="s">
        <v>595</v>
      </c>
      <c r="I74" s="103" t="s">
        <v>1089</v>
      </c>
      <c r="J74" s="103" t="s">
        <v>783</v>
      </c>
      <c r="K74" s="103" t="s">
        <v>382</v>
      </c>
      <c r="L74" s="103" t="s">
        <v>904</v>
      </c>
      <c r="M74" s="103" t="s">
        <v>388</v>
      </c>
      <c r="N74" s="103" t="s">
        <v>43</v>
      </c>
      <c r="O74" s="103" t="s">
        <v>541</v>
      </c>
      <c r="P74" s="103" t="s">
        <v>905</v>
      </c>
      <c r="Q74" s="103" t="s">
        <v>1099</v>
      </c>
      <c r="R74" s="103" t="s">
        <v>53</v>
      </c>
      <c r="V74" s="81" t="str">
        <f t="shared" si="11"/>
        <v>6007Tчерный / фиолетовый</v>
      </c>
      <c r="W74" s="81" t="str">
        <f t="shared" si="8"/>
        <v>6007T</v>
      </c>
      <c r="X74" s="81" t="str">
        <f t="shared" si="12"/>
        <v/>
      </c>
      <c r="AC74" s="60">
        <f t="shared" si="13"/>
        <v>94</v>
      </c>
      <c r="AD74" s="49">
        <f t="shared" si="14"/>
        <v>5</v>
      </c>
      <c r="AE74" s="60">
        <f t="shared" si="15"/>
        <v>94005</v>
      </c>
    </row>
    <row r="75" spans="1:31">
      <c r="A75" s="81" t="str">
        <f t="shared" si="9"/>
        <v>6007red</v>
      </c>
      <c r="B75" s="81" t="str">
        <f t="shared" si="10"/>
        <v>94-004-18</v>
      </c>
      <c r="C75" s="103" t="s">
        <v>1100</v>
      </c>
      <c r="D75" s="103" t="s">
        <v>1101</v>
      </c>
      <c r="E75" s="103" t="s">
        <v>901</v>
      </c>
      <c r="F75" s="104" t="s">
        <v>632</v>
      </c>
      <c r="G75" s="104">
        <v>6007</v>
      </c>
      <c r="H75" s="103" t="s">
        <v>78</v>
      </c>
      <c r="I75" s="103" t="s">
        <v>1089</v>
      </c>
      <c r="J75" s="103" t="s">
        <v>783</v>
      </c>
      <c r="K75" s="103" t="s">
        <v>382</v>
      </c>
      <c r="L75" s="103" t="s">
        <v>904</v>
      </c>
      <c r="M75" s="103" t="s">
        <v>388</v>
      </c>
      <c r="N75" s="103" t="s">
        <v>43</v>
      </c>
      <c r="O75" s="103" t="s">
        <v>541</v>
      </c>
      <c r="P75" s="103" t="s">
        <v>905</v>
      </c>
      <c r="Q75" s="103" t="s">
        <v>906</v>
      </c>
      <c r="R75" s="103" t="s">
        <v>78</v>
      </c>
      <c r="V75" s="81" t="str">
        <f t="shared" si="11"/>
        <v>6007красный</v>
      </c>
      <c r="W75" s="81" t="str">
        <f t="shared" si="8"/>
        <v>6007</v>
      </c>
      <c r="X75" s="81" t="str">
        <f t="shared" si="12"/>
        <v/>
      </c>
      <c r="AC75" s="60">
        <f t="shared" si="13"/>
        <v>94</v>
      </c>
      <c r="AD75" s="49">
        <f t="shared" si="14"/>
        <v>4</v>
      </c>
      <c r="AE75" s="60">
        <f t="shared" si="15"/>
        <v>94004</v>
      </c>
    </row>
    <row r="76" spans="1:31">
      <c r="A76" s="81" t="str">
        <f t="shared" si="9"/>
        <v>6007white</v>
      </c>
      <c r="B76" s="81" t="str">
        <f t="shared" si="10"/>
        <v>94-004-17</v>
      </c>
      <c r="C76" s="103" t="s">
        <v>1102</v>
      </c>
      <c r="D76" s="103" t="s">
        <v>1103</v>
      </c>
      <c r="E76" s="103" t="s">
        <v>901</v>
      </c>
      <c r="F76" s="104" t="s">
        <v>632</v>
      </c>
      <c r="G76" s="104">
        <v>6007</v>
      </c>
      <c r="H76" s="103" t="s">
        <v>57</v>
      </c>
      <c r="I76" s="103" t="s">
        <v>1089</v>
      </c>
      <c r="J76" s="103" t="s">
        <v>783</v>
      </c>
      <c r="K76" s="103" t="s">
        <v>382</v>
      </c>
      <c r="L76" s="103" t="s">
        <v>904</v>
      </c>
      <c r="M76" s="103" t="s">
        <v>388</v>
      </c>
      <c r="N76" s="103" t="s">
        <v>43</v>
      </c>
      <c r="O76" s="103" t="s">
        <v>541</v>
      </c>
      <c r="P76" s="103" t="s">
        <v>905</v>
      </c>
      <c r="Q76" s="103" t="s">
        <v>968</v>
      </c>
      <c r="R76" s="103" t="s">
        <v>57</v>
      </c>
      <c r="V76" s="81" t="str">
        <f t="shared" si="11"/>
        <v>6007белый</v>
      </c>
      <c r="W76" s="81" t="str">
        <f t="shared" si="8"/>
        <v>6007</v>
      </c>
      <c r="X76" s="81" t="str">
        <f t="shared" si="12"/>
        <v/>
      </c>
      <c r="AC76" s="60">
        <f t="shared" si="13"/>
        <v>94</v>
      </c>
      <c r="AD76" s="49">
        <f t="shared" si="14"/>
        <v>4</v>
      </c>
      <c r="AE76" s="60">
        <f t="shared" si="15"/>
        <v>94004</v>
      </c>
    </row>
    <row r="77" spans="1:31">
      <c r="A77" s="81" t="str">
        <f t="shared" si="9"/>
        <v>6007navy</v>
      </c>
      <c r="B77" s="81" t="str">
        <f t="shared" si="10"/>
        <v>94-004-16</v>
      </c>
      <c r="C77" s="103" t="s">
        <v>1104</v>
      </c>
      <c r="D77" s="103" t="s">
        <v>1105</v>
      </c>
      <c r="E77" s="103" t="s">
        <v>901</v>
      </c>
      <c r="F77" s="104" t="s">
        <v>632</v>
      </c>
      <c r="G77" s="104">
        <v>6007</v>
      </c>
      <c r="H77" s="103" t="s">
        <v>55</v>
      </c>
      <c r="I77" s="103" t="s">
        <v>1089</v>
      </c>
      <c r="J77" s="103" t="s">
        <v>783</v>
      </c>
      <c r="K77" s="103" t="s">
        <v>382</v>
      </c>
      <c r="L77" s="103" t="s">
        <v>904</v>
      </c>
      <c r="M77" s="103" t="s">
        <v>388</v>
      </c>
      <c r="N77" s="103" t="s">
        <v>43</v>
      </c>
      <c r="O77" s="103" t="s">
        <v>541</v>
      </c>
      <c r="P77" s="103" t="s">
        <v>905</v>
      </c>
      <c r="Q77" s="103" t="s">
        <v>909</v>
      </c>
      <c r="R77" s="103" t="s">
        <v>71</v>
      </c>
      <c r="V77" s="81" t="str">
        <f t="shared" si="11"/>
        <v>6007темно-синий</v>
      </c>
      <c r="W77" s="81" t="str">
        <f t="shared" si="8"/>
        <v>6007</v>
      </c>
      <c r="X77" s="81" t="str">
        <f t="shared" si="12"/>
        <v/>
      </c>
      <c r="AC77" s="60">
        <f t="shared" si="13"/>
        <v>94</v>
      </c>
      <c r="AD77" s="49">
        <f t="shared" si="14"/>
        <v>4</v>
      </c>
      <c r="AE77" s="60">
        <f t="shared" si="15"/>
        <v>94004</v>
      </c>
    </row>
    <row r="78" spans="1:31">
      <c r="A78" s="81" t="str">
        <f t="shared" si="9"/>
        <v>6007black</v>
      </c>
      <c r="B78" s="81" t="str">
        <f t="shared" si="10"/>
        <v>94-004-09</v>
      </c>
      <c r="C78" s="103" t="s">
        <v>1106</v>
      </c>
      <c r="D78" s="103" t="s">
        <v>1107</v>
      </c>
      <c r="E78" s="103" t="s">
        <v>901</v>
      </c>
      <c r="F78" s="104" t="s">
        <v>632</v>
      </c>
      <c r="G78" s="104">
        <v>6007</v>
      </c>
      <c r="H78" s="103" t="s">
        <v>53</v>
      </c>
      <c r="I78" s="103" t="s">
        <v>1089</v>
      </c>
      <c r="J78" s="103" t="s">
        <v>783</v>
      </c>
      <c r="K78" s="103" t="s">
        <v>382</v>
      </c>
      <c r="L78" s="103" t="s">
        <v>904</v>
      </c>
      <c r="M78" s="103" t="s">
        <v>388</v>
      </c>
      <c r="N78" s="103" t="s">
        <v>43</v>
      </c>
      <c r="O78" s="103" t="s">
        <v>541</v>
      </c>
      <c r="P78" s="103" t="s">
        <v>905</v>
      </c>
      <c r="Q78" s="103" t="s">
        <v>912</v>
      </c>
      <c r="R78" s="103" t="s">
        <v>53</v>
      </c>
      <c r="V78" s="81" t="str">
        <f t="shared" si="11"/>
        <v>6007черный</v>
      </c>
      <c r="W78" s="81" t="str">
        <f t="shared" si="8"/>
        <v>6007</v>
      </c>
      <c r="X78" s="81" t="str">
        <f t="shared" si="12"/>
        <v/>
      </c>
      <c r="AC78" s="60">
        <f t="shared" si="13"/>
        <v>94</v>
      </c>
      <c r="AD78" s="49">
        <f t="shared" si="14"/>
        <v>4</v>
      </c>
      <c r="AE78" s="60">
        <f t="shared" si="15"/>
        <v>94004</v>
      </c>
    </row>
    <row r="79" spans="1:31">
      <c r="A79" s="81" t="str">
        <f t="shared" si="9"/>
        <v>6007grey</v>
      </c>
      <c r="B79" s="81" t="str">
        <f t="shared" si="10"/>
        <v>94-004-08</v>
      </c>
      <c r="C79" s="103" t="s">
        <v>1108</v>
      </c>
      <c r="D79" s="103" t="s">
        <v>1109</v>
      </c>
      <c r="E79" s="103" t="s">
        <v>901</v>
      </c>
      <c r="F79" s="104" t="s">
        <v>632</v>
      </c>
      <c r="G79" s="104">
        <v>6007</v>
      </c>
      <c r="H79" s="103" t="s">
        <v>83</v>
      </c>
      <c r="I79" s="103" t="s">
        <v>1089</v>
      </c>
      <c r="J79" s="103" t="s">
        <v>783</v>
      </c>
      <c r="K79" s="103" t="s">
        <v>382</v>
      </c>
      <c r="L79" s="103" t="s">
        <v>904</v>
      </c>
      <c r="M79" s="103" t="s">
        <v>388</v>
      </c>
      <c r="N79" s="103" t="s">
        <v>43</v>
      </c>
      <c r="O79" s="103" t="s">
        <v>541</v>
      </c>
      <c r="P79" s="103" t="s">
        <v>905</v>
      </c>
      <c r="Q79" s="103" t="s">
        <v>1110</v>
      </c>
      <c r="R79" s="103" t="s">
        <v>83</v>
      </c>
      <c r="V79" s="81" t="str">
        <f t="shared" si="11"/>
        <v>6007серый</v>
      </c>
      <c r="W79" s="81" t="str">
        <f t="shared" si="8"/>
        <v>6007</v>
      </c>
      <c r="X79" s="81" t="str">
        <f t="shared" si="12"/>
        <v/>
      </c>
      <c r="AC79" s="60">
        <f t="shared" si="13"/>
        <v>94</v>
      </c>
      <c r="AD79" s="49">
        <f t="shared" si="14"/>
        <v>4</v>
      </c>
      <c r="AE79" s="60">
        <f t="shared" si="15"/>
        <v>94004</v>
      </c>
    </row>
    <row r="80" spans="1:31">
      <c r="A80" s="81" t="str">
        <f t="shared" si="9"/>
        <v>6007dark grey</v>
      </c>
      <c r="B80" s="81" t="str">
        <f t="shared" si="10"/>
        <v>94-004-05</v>
      </c>
      <c r="C80" s="103" t="s">
        <v>1111</v>
      </c>
      <c r="D80" s="103" t="s">
        <v>1112</v>
      </c>
      <c r="E80" s="103" t="s">
        <v>901</v>
      </c>
      <c r="F80" s="104" t="s">
        <v>632</v>
      </c>
      <c r="G80" s="104">
        <v>6007</v>
      </c>
      <c r="H80" s="103" t="s">
        <v>277</v>
      </c>
      <c r="I80" s="103" t="s">
        <v>1089</v>
      </c>
      <c r="J80" s="103" t="s">
        <v>783</v>
      </c>
      <c r="K80" s="103" t="s">
        <v>382</v>
      </c>
      <c r="L80" s="103" t="s">
        <v>904</v>
      </c>
      <c r="M80" s="103" t="s">
        <v>388</v>
      </c>
      <c r="N80" s="103" t="s">
        <v>43</v>
      </c>
      <c r="O80" s="103" t="s">
        <v>541</v>
      </c>
      <c r="P80" s="103" t="s">
        <v>905</v>
      </c>
      <c r="Q80" s="103" t="s">
        <v>918</v>
      </c>
      <c r="R80" s="103" t="s">
        <v>83</v>
      </c>
      <c r="V80" s="81" t="str">
        <f t="shared" si="11"/>
        <v>6007темно-серый</v>
      </c>
      <c r="W80" s="81" t="str">
        <f t="shared" si="8"/>
        <v>6007</v>
      </c>
      <c r="X80" s="81" t="str">
        <f t="shared" si="12"/>
        <v/>
      </c>
      <c r="AC80" s="60">
        <f t="shared" si="13"/>
        <v>94</v>
      </c>
      <c r="AD80" s="49">
        <f t="shared" si="14"/>
        <v>4</v>
      </c>
      <c r="AE80" s="60">
        <f t="shared" si="15"/>
        <v>94004</v>
      </c>
    </row>
    <row r="81" spans="1:31">
      <c r="A81" s="81" t="str">
        <f t="shared" si="9"/>
        <v>6005FFred</v>
      </c>
      <c r="B81" s="81" t="str">
        <f t="shared" si="10"/>
        <v>94-003-18</v>
      </c>
      <c r="C81" s="103" t="s">
        <v>1113</v>
      </c>
      <c r="D81" s="103" t="s">
        <v>1114</v>
      </c>
      <c r="E81" s="103" t="s">
        <v>901</v>
      </c>
      <c r="F81" s="104" t="s">
        <v>632</v>
      </c>
      <c r="G81" s="104" t="s">
        <v>1115</v>
      </c>
      <c r="H81" s="103" t="s">
        <v>78</v>
      </c>
      <c r="I81" s="103" t="s">
        <v>989</v>
      </c>
      <c r="J81" s="103" t="s">
        <v>783</v>
      </c>
      <c r="K81" s="103" t="s">
        <v>382</v>
      </c>
      <c r="L81" s="103" t="s">
        <v>904</v>
      </c>
      <c r="M81" s="103" t="s">
        <v>388</v>
      </c>
      <c r="N81" s="103" t="s">
        <v>43</v>
      </c>
      <c r="O81" s="103" t="s">
        <v>541</v>
      </c>
      <c r="P81" s="103" t="s">
        <v>905</v>
      </c>
      <c r="Q81" s="103" t="s">
        <v>906</v>
      </c>
      <c r="R81" s="103" t="s">
        <v>78</v>
      </c>
      <c r="V81" s="81" t="str">
        <f t="shared" si="11"/>
        <v>6005FFкрасный</v>
      </c>
      <c r="W81" s="81" t="str">
        <f t="shared" si="8"/>
        <v>6005FF</v>
      </c>
      <c r="X81" s="81" t="str">
        <f t="shared" si="12"/>
        <v/>
      </c>
      <c r="AC81" s="60">
        <f t="shared" si="13"/>
        <v>94</v>
      </c>
      <c r="AD81" s="49">
        <f t="shared" si="14"/>
        <v>3</v>
      </c>
      <c r="AE81" s="60">
        <f t="shared" si="15"/>
        <v>94003</v>
      </c>
    </row>
    <row r="82" spans="1:31">
      <c r="A82" s="81" t="str">
        <f t="shared" si="9"/>
        <v>6005FFnavy</v>
      </c>
      <c r="B82" s="81" t="str">
        <f t="shared" si="10"/>
        <v>94-003-16</v>
      </c>
      <c r="C82" s="103" t="s">
        <v>1116</v>
      </c>
      <c r="D82" s="103" t="s">
        <v>1117</v>
      </c>
      <c r="E82" s="103" t="s">
        <v>901</v>
      </c>
      <c r="F82" s="104" t="s">
        <v>632</v>
      </c>
      <c r="G82" s="104" t="s">
        <v>1115</v>
      </c>
      <c r="H82" s="103" t="s">
        <v>55</v>
      </c>
      <c r="I82" s="103" t="s">
        <v>989</v>
      </c>
      <c r="J82" s="103" t="s">
        <v>783</v>
      </c>
      <c r="K82" s="103" t="s">
        <v>382</v>
      </c>
      <c r="L82" s="103" t="s">
        <v>904</v>
      </c>
      <c r="M82" s="103" t="s">
        <v>388</v>
      </c>
      <c r="N82" s="103" t="s">
        <v>43</v>
      </c>
      <c r="O82" s="103" t="s">
        <v>541</v>
      </c>
      <c r="P82" s="103" t="s">
        <v>905</v>
      </c>
      <c r="Q82" s="103" t="s">
        <v>909</v>
      </c>
      <c r="R82" s="103" t="s">
        <v>71</v>
      </c>
      <c r="V82" s="81" t="str">
        <f t="shared" si="11"/>
        <v>6005FFтемно-синий</v>
      </c>
      <c r="W82" s="81" t="str">
        <f t="shared" si="8"/>
        <v>6005FF</v>
      </c>
      <c r="X82" s="81" t="str">
        <f t="shared" si="12"/>
        <v/>
      </c>
      <c r="AC82" s="60">
        <f t="shared" si="13"/>
        <v>94</v>
      </c>
      <c r="AD82" s="49">
        <f t="shared" si="14"/>
        <v>3</v>
      </c>
      <c r="AE82" s="60">
        <f t="shared" si="15"/>
        <v>94003</v>
      </c>
    </row>
    <row r="83" spans="1:31">
      <c r="A83" s="81" t="str">
        <f t="shared" si="9"/>
        <v>6005FFblack</v>
      </c>
      <c r="B83" s="81" t="str">
        <f t="shared" si="10"/>
        <v>94-003-09</v>
      </c>
      <c r="C83" s="103" t="s">
        <v>1118</v>
      </c>
      <c r="D83" s="103" t="s">
        <v>1119</v>
      </c>
      <c r="E83" s="103" t="s">
        <v>901</v>
      </c>
      <c r="F83" s="104" t="s">
        <v>632</v>
      </c>
      <c r="G83" s="104" t="s">
        <v>1115</v>
      </c>
      <c r="H83" s="103" t="s">
        <v>53</v>
      </c>
      <c r="I83" s="103" t="s">
        <v>989</v>
      </c>
      <c r="J83" s="103" t="s">
        <v>783</v>
      </c>
      <c r="K83" s="103" t="s">
        <v>382</v>
      </c>
      <c r="L83" s="103" t="s">
        <v>904</v>
      </c>
      <c r="M83" s="103" t="s">
        <v>388</v>
      </c>
      <c r="N83" s="103" t="s">
        <v>43</v>
      </c>
      <c r="O83" s="103" t="s">
        <v>541</v>
      </c>
      <c r="P83" s="103" t="s">
        <v>905</v>
      </c>
      <c r="Q83" s="103" t="s">
        <v>912</v>
      </c>
      <c r="R83" s="103" t="s">
        <v>53</v>
      </c>
      <c r="V83" s="81" t="str">
        <f t="shared" si="11"/>
        <v>6005FFчерный</v>
      </c>
      <c r="W83" s="81" t="str">
        <f t="shared" si="8"/>
        <v>6005FF</v>
      </c>
      <c r="X83" s="81" t="str">
        <f t="shared" si="12"/>
        <v/>
      </c>
      <c r="AC83" s="60">
        <f t="shared" si="13"/>
        <v>94</v>
      </c>
      <c r="AD83" s="49">
        <f t="shared" si="14"/>
        <v>3</v>
      </c>
      <c r="AE83" s="60">
        <f t="shared" si="15"/>
        <v>94003</v>
      </c>
    </row>
    <row r="84" spans="1:31">
      <c r="A84" s="81" t="str">
        <f t="shared" si="9"/>
        <v>6005FFroyal</v>
      </c>
      <c r="B84" s="81" t="str">
        <f t="shared" si="10"/>
        <v>94-003-06</v>
      </c>
      <c r="C84" s="103" t="s">
        <v>1120</v>
      </c>
      <c r="D84" s="103" t="s">
        <v>1121</v>
      </c>
      <c r="E84" s="103" t="s">
        <v>901</v>
      </c>
      <c r="F84" s="104" t="s">
        <v>632</v>
      </c>
      <c r="G84" s="104" t="s">
        <v>1115</v>
      </c>
      <c r="H84" s="103" t="s">
        <v>71</v>
      </c>
      <c r="I84" s="103" t="s">
        <v>989</v>
      </c>
      <c r="J84" s="103" t="s">
        <v>783</v>
      </c>
      <c r="K84" s="103" t="s">
        <v>382</v>
      </c>
      <c r="L84" s="103" t="s">
        <v>904</v>
      </c>
      <c r="M84" s="103" t="s">
        <v>388</v>
      </c>
      <c r="N84" s="103" t="s">
        <v>43</v>
      </c>
      <c r="O84" s="103" t="s">
        <v>541</v>
      </c>
      <c r="P84" s="103" t="s">
        <v>905</v>
      </c>
      <c r="Q84" s="103" t="s">
        <v>915</v>
      </c>
      <c r="R84" s="103" t="s">
        <v>71</v>
      </c>
      <c r="V84" s="81" t="str">
        <f t="shared" si="11"/>
        <v>6005FFсиний</v>
      </c>
      <c r="W84" s="81" t="str">
        <f t="shared" si="8"/>
        <v>6005FF</v>
      </c>
      <c r="X84" s="81" t="str">
        <f t="shared" si="12"/>
        <v/>
      </c>
      <c r="AC84" s="60">
        <f t="shared" si="13"/>
        <v>94</v>
      </c>
      <c r="AD84" s="49">
        <f t="shared" si="14"/>
        <v>3</v>
      </c>
      <c r="AE84" s="60">
        <f t="shared" si="15"/>
        <v>94003</v>
      </c>
    </row>
    <row r="85" spans="1:31">
      <c r="A85" s="81" t="str">
        <f t="shared" si="9"/>
        <v>5089Mred</v>
      </c>
      <c r="B85" s="81" t="str">
        <f t="shared" si="10"/>
        <v>94-002-18</v>
      </c>
      <c r="C85" s="103" t="s">
        <v>1122</v>
      </c>
      <c r="D85" s="103" t="s">
        <v>1123</v>
      </c>
      <c r="E85" s="103" t="s">
        <v>901</v>
      </c>
      <c r="F85" s="104" t="s">
        <v>632</v>
      </c>
      <c r="G85" s="104" t="s">
        <v>1124</v>
      </c>
      <c r="H85" s="103" t="s">
        <v>78</v>
      </c>
      <c r="I85" s="103" t="s">
        <v>1028</v>
      </c>
      <c r="J85" s="103" t="s">
        <v>783</v>
      </c>
      <c r="K85" s="103" t="s">
        <v>382</v>
      </c>
      <c r="L85" s="103" t="s">
        <v>904</v>
      </c>
      <c r="M85" s="103" t="s">
        <v>388</v>
      </c>
      <c r="N85" s="103" t="s">
        <v>46</v>
      </c>
      <c r="O85" s="103" t="s">
        <v>541</v>
      </c>
      <c r="P85" s="103" t="s">
        <v>905</v>
      </c>
      <c r="Q85" s="103" t="s">
        <v>906</v>
      </c>
      <c r="R85" s="103" t="s">
        <v>78</v>
      </c>
      <c r="V85" s="81" t="str">
        <f t="shared" si="11"/>
        <v>5089Mкрасный</v>
      </c>
      <c r="W85" s="81" t="str">
        <f t="shared" si="8"/>
        <v>5089M</v>
      </c>
      <c r="X85" s="81" t="str">
        <f t="shared" si="12"/>
        <v/>
      </c>
      <c r="AC85" s="60">
        <f t="shared" si="13"/>
        <v>94</v>
      </c>
      <c r="AD85" s="49">
        <f t="shared" si="14"/>
        <v>2</v>
      </c>
      <c r="AE85" s="60">
        <f t="shared" si="15"/>
        <v>94002</v>
      </c>
    </row>
    <row r="86" spans="1:31">
      <c r="A86" s="81" t="str">
        <f t="shared" si="9"/>
        <v>5089Mwhite</v>
      </c>
      <c r="B86" s="81" t="str">
        <f t="shared" si="10"/>
        <v>94-002-17</v>
      </c>
      <c r="C86" s="103" t="s">
        <v>1125</v>
      </c>
      <c r="D86" s="103" t="s">
        <v>1126</v>
      </c>
      <c r="E86" s="103" t="s">
        <v>901</v>
      </c>
      <c r="F86" s="104" t="s">
        <v>632</v>
      </c>
      <c r="G86" s="104" t="s">
        <v>1124</v>
      </c>
      <c r="H86" s="103" t="s">
        <v>57</v>
      </c>
      <c r="I86" s="103" t="s">
        <v>1028</v>
      </c>
      <c r="J86" s="103" t="s">
        <v>783</v>
      </c>
      <c r="K86" s="103" t="s">
        <v>382</v>
      </c>
      <c r="L86" s="103" t="s">
        <v>904</v>
      </c>
      <c r="M86" s="103" t="s">
        <v>388</v>
      </c>
      <c r="N86" s="103" t="s">
        <v>46</v>
      </c>
      <c r="O86" s="103" t="s">
        <v>541</v>
      </c>
      <c r="P86" s="103" t="s">
        <v>905</v>
      </c>
      <c r="Q86" s="103" t="s">
        <v>968</v>
      </c>
      <c r="R86" s="103" t="s">
        <v>57</v>
      </c>
      <c r="V86" s="81" t="str">
        <f t="shared" si="11"/>
        <v>5089Mбелый</v>
      </c>
      <c r="W86" s="81" t="str">
        <f t="shared" si="8"/>
        <v>5089M</v>
      </c>
      <c r="X86" s="81" t="str">
        <f t="shared" si="12"/>
        <v/>
      </c>
      <c r="AC86" s="60">
        <f t="shared" si="13"/>
        <v>94</v>
      </c>
      <c r="AD86" s="49">
        <f t="shared" si="14"/>
        <v>2</v>
      </c>
      <c r="AE86" s="60">
        <f t="shared" si="15"/>
        <v>94002</v>
      </c>
    </row>
    <row r="87" spans="1:31">
      <c r="A87" s="81" t="str">
        <f t="shared" si="9"/>
        <v>5089Mnavy</v>
      </c>
      <c r="B87" s="81" t="str">
        <f t="shared" si="10"/>
        <v>94-002-16</v>
      </c>
      <c r="C87" s="103" t="s">
        <v>1127</v>
      </c>
      <c r="D87" s="103" t="s">
        <v>1128</v>
      </c>
      <c r="E87" s="103" t="s">
        <v>901</v>
      </c>
      <c r="F87" s="104" t="s">
        <v>632</v>
      </c>
      <c r="G87" s="104" t="s">
        <v>1124</v>
      </c>
      <c r="H87" s="103" t="s">
        <v>55</v>
      </c>
      <c r="I87" s="103" t="s">
        <v>1028</v>
      </c>
      <c r="J87" s="103" t="s">
        <v>783</v>
      </c>
      <c r="K87" s="103" t="s">
        <v>382</v>
      </c>
      <c r="L87" s="103" t="s">
        <v>904</v>
      </c>
      <c r="M87" s="103" t="s">
        <v>388</v>
      </c>
      <c r="N87" s="103" t="s">
        <v>46</v>
      </c>
      <c r="O87" s="103" t="s">
        <v>541</v>
      </c>
      <c r="P87" s="103" t="s">
        <v>905</v>
      </c>
      <c r="Q87" s="103" t="s">
        <v>909</v>
      </c>
      <c r="R87" s="103" t="s">
        <v>71</v>
      </c>
      <c r="V87" s="81" t="str">
        <f t="shared" si="11"/>
        <v>5089Mтемно-синий</v>
      </c>
      <c r="W87" s="81" t="str">
        <f t="shared" si="8"/>
        <v>5089M</v>
      </c>
      <c r="X87" s="81" t="str">
        <f t="shared" si="12"/>
        <v/>
      </c>
      <c r="AC87" s="60">
        <f t="shared" si="13"/>
        <v>94</v>
      </c>
      <c r="AD87" s="49">
        <f t="shared" si="14"/>
        <v>2</v>
      </c>
      <c r="AE87" s="60">
        <f t="shared" si="15"/>
        <v>94002</v>
      </c>
    </row>
    <row r="88" spans="1:31">
      <c r="A88" s="81" t="str">
        <f t="shared" si="9"/>
        <v>5089Mroyal</v>
      </c>
      <c r="B88" s="81" t="str">
        <f t="shared" si="10"/>
        <v>94-002-06</v>
      </c>
      <c r="C88" s="103" t="s">
        <v>1129</v>
      </c>
      <c r="D88" s="103" t="s">
        <v>1130</v>
      </c>
      <c r="E88" s="103" t="s">
        <v>901</v>
      </c>
      <c r="F88" s="104" t="s">
        <v>632</v>
      </c>
      <c r="G88" s="104" t="s">
        <v>1124</v>
      </c>
      <c r="H88" s="103" t="s">
        <v>71</v>
      </c>
      <c r="I88" s="103" t="s">
        <v>1028</v>
      </c>
      <c r="J88" s="103" t="s">
        <v>783</v>
      </c>
      <c r="K88" s="103" t="s">
        <v>382</v>
      </c>
      <c r="L88" s="103" t="s">
        <v>904</v>
      </c>
      <c r="M88" s="103" t="s">
        <v>388</v>
      </c>
      <c r="N88" s="103" t="s">
        <v>46</v>
      </c>
      <c r="O88" s="103" t="s">
        <v>541</v>
      </c>
      <c r="P88" s="103" t="s">
        <v>905</v>
      </c>
      <c r="Q88" s="103" t="s">
        <v>915</v>
      </c>
      <c r="R88" s="103" t="s">
        <v>71</v>
      </c>
      <c r="V88" s="81" t="str">
        <f t="shared" si="11"/>
        <v>5089Mсиний</v>
      </c>
      <c r="W88" s="81" t="str">
        <f t="shared" si="8"/>
        <v>5089M</v>
      </c>
      <c r="X88" s="81" t="str">
        <f t="shared" si="12"/>
        <v/>
      </c>
      <c r="AC88" s="60">
        <f t="shared" si="13"/>
        <v>94</v>
      </c>
      <c r="AD88" s="49">
        <f t="shared" si="14"/>
        <v>2</v>
      </c>
      <c r="AE88" s="60">
        <f t="shared" si="15"/>
        <v>94002</v>
      </c>
    </row>
    <row r="89" spans="1:31">
      <c r="A89" s="81" t="str">
        <f t="shared" si="9"/>
        <v>5089Mdark grey</v>
      </c>
      <c r="B89" s="81" t="str">
        <f t="shared" si="10"/>
        <v>94-002-05</v>
      </c>
      <c r="C89" s="103" t="s">
        <v>1131</v>
      </c>
      <c r="D89" s="103" t="s">
        <v>1132</v>
      </c>
      <c r="E89" s="103" t="s">
        <v>901</v>
      </c>
      <c r="F89" s="104" t="s">
        <v>632</v>
      </c>
      <c r="G89" s="104" t="s">
        <v>1124</v>
      </c>
      <c r="H89" s="103" t="s">
        <v>277</v>
      </c>
      <c r="I89" s="103" t="s">
        <v>1028</v>
      </c>
      <c r="J89" s="103" t="s">
        <v>783</v>
      </c>
      <c r="K89" s="103" t="s">
        <v>382</v>
      </c>
      <c r="L89" s="103" t="s">
        <v>904</v>
      </c>
      <c r="M89" s="103" t="s">
        <v>388</v>
      </c>
      <c r="N89" s="103" t="s">
        <v>46</v>
      </c>
      <c r="O89" s="103" t="s">
        <v>541</v>
      </c>
      <c r="P89" s="103" t="s">
        <v>905</v>
      </c>
      <c r="Q89" s="103" t="s">
        <v>918</v>
      </c>
      <c r="R89" s="103" t="s">
        <v>83</v>
      </c>
      <c r="V89" s="81" t="str">
        <f t="shared" si="11"/>
        <v>5089Mтемно-серый</v>
      </c>
      <c r="W89" s="81" t="str">
        <f t="shared" si="8"/>
        <v>5089M</v>
      </c>
      <c r="X89" s="81" t="str">
        <f t="shared" si="12"/>
        <v/>
      </c>
      <c r="AC89" s="60">
        <f t="shared" si="13"/>
        <v>94</v>
      </c>
      <c r="AD89" s="49">
        <f t="shared" si="14"/>
        <v>2</v>
      </c>
      <c r="AE89" s="60">
        <f t="shared" si="15"/>
        <v>94002</v>
      </c>
    </row>
    <row r="90" spans="1:31">
      <c r="A90" s="81" t="str">
        <f t="shared" si="9"/>
        <v>110Fdark grey</v>
      </c>
      <c r="B90" s="81" t="str">
        <f t="shared" si="10"/>
        <v>94-001-05</v>
      </c>
      <c r="C90" s="103" t="s">
        <v>1133</v>
      </c>
      <c r="D90" s="103" t="s">
        <v>1134</v>
      </c>
      <c r="E90" s="103" t="s">
        <v>901</v>
      </c>
      <c r="F90" s="104" t="s">
        <v>632</v>
      </c>
      <c r="G90" s="104" t="s">
        <v>1135</v>
      </c>
      <c r="H90" s="103" t="s">
        <v>277</v>
      </c>
      <c r="I90" s="103" t="s">
        <v>1136</v>
      </c>
      <c r="J90" s="103" t="s">
        <v>783</v>
      </c>
      <c r="K90" s="103" t="s">
        <v>382</v>
      </c>
      <c r="L90" s="103" t="s">
        <v>904</v>
      </c>
      <c r="M90" s="103" t="s">
        <v>388</v>
      </c>
      <c r="N90" s="103" t="s">
        <v>46</v>
      </c>
      <c r="O90" s="103" t="s">
        <v>541</v>
      </c>
      <c r="P90" s="103" t="s">
        <v>855</v>
      </c>
      <c r="Q90" s="103" t="s">
        <v>918</v>
      </c>
      <c r="R90" s="103" t="s">
        <v>83</v>
      </c>
      <c r="V90" s="81" t="str">
        <f t="shared" si="11"/>
        <v>110Fтемно-серый</v>
      </c>
      <c r="W90" s="81" t="str">
        <f t="shared" si="8"/>
        <v>110F</v>
      </c>
      <c r="X90" s="81" t="str">
        <f t="shared" si="12"/>
        <v/>
      </c>
      <c r="AC90" s="60">
        <f t="shared" si="13"/>
        <v>94</v>
      </c>
      <c r="AD90" s="49">
        <f t="shared" si="14"/>
        <v>1</v>
      </c>
      <c r="AE90" s="60">
        <f t="shared" si="15"/>
        <v>94001</v>
      </c>
    </row>
    <row r="91" spans="1:31">
      <c r="A91" s="81" t="str">
        <f t="shared" si="9"/>
        <v>110Fheather grey</v>
      </c>
      <c r="B91" s="81" t="str">
        <f t="shared" si="10"/>
        <v>94-001-01</v>
      </c>
      <c r="C91" s="103" t="s">
        <v>1137</v>
      </c>
      <c r="D91" s="103" t="s">
        <v>1138</v>
      </c>
      <c r="E91" s="103" t="s">
        <v>901</v>
      </c>
      <c r="F91" s="104" t="s">
        <v>632</v>
      </c>
      <c r="G91" s="104" t="s">
        <v>1135</v>
      </c>
      <c r="H91" s="103" t="s">
        <v>231</v>
      </c>
      <c r="I91" s="103" t="s">
        <v>1136</v>
      </c>
      <c r="J91" s="103" t="s">
        <v>783</v>
      </c>
      <c r="K91" s="103" t="s">
        <v>382</v>
      </c>
      <c r="L91" s="103" t="s">
        <v>904</v>
      </c>
      <c r="M91" s="103" t="s">
        <v>388</v>
      </c>
      <c r="N91" s="103" t="s">
        <v>46</v>
      </c>
      <c r="O91" s="103" t="s">
        <v>541</v>
      </c>
      <c r="P91" s="103" t="s">
        <v>855</v>
      </c>
      <c r="Q91" s="103" t="s">
        <v>921</v>
      </c>
      <c r="R91" s="103" t="s">
        <v>83</v>
      </c>
      <c r="V91" s="81" t="str">
        <f t="shared" si="11"/>
        <v>110Fсветло-серый</v>
      </c>
      <c r="W91" s="81" t="str">
        <f t="shared" si="8"/>
        <v>110F</v>
      </c>
      <c r="X91" s="81" t="str">
        <f t="shared" si="12"/>
        <v/>
      </c>
      <c r="AC91" s="60">
        <f t="shared" si="13"/>
        <v>94</v>
      </c>
      <c r="AD91" s="49">
        <f t="shared" si="14"/>
        <v>1</v>
      </c>
      <c r="AE91" s="60">
        <f t="shared" si="15"/>
        <v>94001</v>
      </c>
    </row>
    <row r="92" spans="1:31">
      <c r="A92" s="81" t="str">
        <f t="shared" si="9"/>
        <v>6789Mred</v>
      </c>
      <c r="B92" s="81" t="str">
        <f t="shared" si="10"/>
        <v>94-023-18</v>
      </c>
      <c r="C92" s="103" t="s">
        <v>1139</v>
      </c>
      <c r="D92" s="103" t="s">
        <v>1140</v>
      </c>
      <c r="E92" s="103" t="s">
        <v>901</v>
      </c>
      <c r="F92" s="104" t="s">
        <v>632</v>
      </c>
      <c r="G92" s="103" t="s">
        <v>1141</v>
      </c>
      <c r="H92" s="103" t="s">
        <v>78</v>
      </c>
      <c r="I92" s="103" t="s">
        <v>1028</v>
      </c>
      <c r="J92" s="103" t="s">
        <v>327</v>
      </c>
      <c r="K92" s="103" t="s">
        <v>382</v>
      </c>
      <c r="L92" s="103" t="s">
        <v>904</v>
      </c>
      <c r="M92" s="103" t="s">
        <v>388</v>
      </c>
      <c r="N92" s="103" t="s">
        <v>46</v>
      </c>
      <c r="O92" s="103" t="s">
        <v>541</v>
      </c>
      <c r="P92" s="103" t="s">
        <v>855</v>
      </c>
      <c r="Q92" s="103" t="s">
        <v>906</v>
      </c>
      <c r="R92" s="103" t="s">
        <v>78</v>
      </c>
      <c r="V92" s="81" t="str">
        <f t="shared" si="11"/>
        <v>6789Mкрасный</v>
      </c>
      <c r="W92" s="81" t="str">
        <f t="shared" si="8"/>
        <v>6789M</v>
      </c>
      <c r="X92" s="81" t="str">
        <f t="shared" si="12"/>
        <v/>
      </c>
      <c r="AC92" s="60">
        <f t="shared" si="13"/>
        <v>94</v>
      </c>
      <c r="AD92" s="49">
        <f t="shared" si="14"/>
        <v>23</v>
      </c>
      <c r="AE92" s="60">
        <f t="shared" si="15"/>
        <v>94023</v>
      </c>
    </row>
    <row r="93" spans="1:31">
      <c r="A93" s="81" t="str">
        <f t="shared" si="9"/>
        <v>6789Mblack</v>
      </c>
      <c r="B93" s="81" t="str">
        <f t="shared" si="10"/>
        <v>94-023-09</v>
      </c>
      <c r="C93" s="103" t="s">
        <v>1142</v>
      </c>
      <c r="D93" s="103" t="s">
        <v>1143</v>
      </c>
      <c r="E93" s="103" t="s">
        <v>901</v>
      </c>
      <c r="F93" s="104" t="s">
        <v>632</v>
      </c>
      <c r="G93" s="103" t="s">
        <v>1141</v>
      </c>
      <c r="H93" s="103" t="s">
        <v>53</v>
      </c>
      <c r="I93" s="103" t="s">
        <v>1028</v>
      </c>
      <c r="J93" s="103" t="s">
        <v>327</v>
      </c>
      <c r="K93" s="103" t="s">
        <v>382</v>
      </c>
      <c r="L93" s="103" t="s">
        <v>904</v>
      </c>
      <c r="M93" s="103" t="s">
        <v>388</v>
      </c>
      <c r="N93" s="103" t="s">
        <v>46</v>
      </c>
      <c r="O93" s="103" t="s">
        <v>541</v>
      </c>
      <c r="P93" s="103" t="s">
        <v>855</v>
      </c>
      <c r="Q93" s="103" t="s">
        <v>912</v>
      </c>
      <c r="R93" s="103" t="s">
        <v>53</v>
      </c>
      <c r="V93" s="81" t="str">
        <f t="shared" si="11"/>
        <v>6789Mчерный</v>
      </c>
      <c r="W93" s="81" t="str">
        <f t="shared" si="8"/>
        <v>6789M</v>
      </c>
      <c r="X93" s="81" t="str">
        <f t="shared" si="12"/>
        <v/>
      </c>
      <c r="AC93" s="60">
        <f t="shared" si="13"/>
        <v>94</v>
      </c>
      <c r="AD93" s="49">
        <f t="shared" si="14"/>
        <v>23</v>
      </c>
      <c r="AE93" s="60">
        <f t="shared" si="15"/>
        <v>94023</v>
      </c>
    </row>
    <row r="94" spans="1:31">
      <c r="A94" s="81" t="str">
        <f t="shared" si="9"/>
        <v>6789Mroyal</v>
      </c>
      <c r="B94" s="81" t="str">
        <f t="shared" si="10"/>
        <v>94-023-06</v>
      </c>
      <c r="C94" s="103" t="s">
        <v>1144</v>
      </c>
      <c r="D94" s="103" t="s">
        <v>1145</v>
      </c>
      <c r="E94" s="103" t="s">
        <v>901</v>
      </c>
      <c r="F94" s="104" t="s">
        <v>632</v>
      </c>
      <c r="G94" s="103" t="s">
        <v>1141</v>
      </c>
      <c r="H94" s="103" t="s">
        <v>71</v>
      </c>
      <c r="I94" s="103" t="s">
        <v>1028</v>
      </c>
      <c r="J94" s="103" t="s">
        <v>327</v>
      </c>
      <c r="K94" s="103" t="s">
        <v>382</v>
      </c>
      <c r="L94" s="103" t="s">
        <v>904</v>
      </c>
      <c r="M94" s="103" t="s">
        <v>388</v>
      </c>
      <c r="N94" s="103" t="s">
        <v>46</v>
      </c>
      <c r="O94" s="103" t="s">
        <v>541</v>
      </c>
      <c r="P94" s="103" t="s">
        <v>855</v>
      </c>
      <c r="Q94" s="103" t="s">
        <v>915</v>
      </c>
      <c r="R94" s="103" t="s">
        <v>71</v>
      </c>
      <c r="V94" s="81" t="str">
        <f t="shared" si="11"/>
        <v>6789Mсиний</v>
      </c>
      <c r="W94" s="81" t="str">
        <f t="shared" si="8"/>
        <v>6789M</v>
      </c>
      <c r="X94" s="81" t="str">
        <f t="shared" si="12"/>
        <v/>
      </c>
      <c r="AC94" s="60">
        <f t="shared" si="13"/>
        <v>94</v>
      </c>
      <c r="AD94" s="49">
        <f t="shared" si="14"/>
        <v>23</v>
      </c>
      <c r="AE94" s="60">
        <f t="shared" si="15"/>
        <v>94023</v>
      </c>
    </row>
    <row r="95" spans="1:31">
      <c r="A95" s="81" t="str">
        <f t="shared" si="9"/>
        <v>6789Mheather grey</v>
      </c>
      <c r="B95" s="81" t="str">
        <f t="shared" si="10"/>
        <v>94-023-01</v>
      </c>
      <c r="C95" s="103" t="s">
        <v>1146</v>
      </c>
      <c r="D95" s="103" t="s">
        <v>1147</v>
      </c>
      <c r="E95" s="103" t="s">
        <v>901</v>
      </c>
      <c r="F95" s="104" t="s">
        <v>632</v>
      </c>
      <c r="G95" s="103" t="s">
        <v>1141</v>
      </c>
      <c r="H95" s="103" t="s">
        <v>231</v>
      </c>
      <c r="I95" s="103" t="s">
        <v>1028</v>
      </c>
      <c r="J95" s="103" t="s">
        <v>327</v>
      </c>
      <c r="K95" s="103" t="s">
        <v>382</v>
      </c>
      <c r="L95" s="103" t="s">
        <v>904</v>
      </c>
      <c r="M95" s="103" t="s">
        <v>388</v>
      </c>
      <c r="N95" s="103" t="s">
        <v>46</v>
      </c>
      <c r="O95" s="103" t="s">
        <v>541</v>
      </c>
      <c r="P95" s="103" t="s">
        <v>855</v>
      </c>
      <c r="Q95" s="103" t="s">
        <v>921</v>
      </c>
      <c r="R95" s="103" t="s">
        <v>83</v>
      </c>
      <c r="V95" s="81" t="str">
        <f t="shared" si="11"/>
        <v>6789Mсветло-серый</v>
      </c>
      <c r="W95" s="81" t="str">
        <f t="shared" si="8"/>
        <v>6789M</v>
      </c>
      <c r="X95" s="81" t="str">
        <f t="shared" si="12"/>
        <v/>
      </c>
      <c r="AC95" s="60">
        <f t="shared" si="13"/>
        <v>94</v>
      </c>
      <c r="AD95" s="49">
        <f t="shared" si="14"/>
        <v>23</v>
      </c>
      <c r="AE95" s="60">
        <f t="shared" si="15"/>
        <v>94023</v>
      </c>
    </row>
    <row r="96" spans="1:31">
      <c r="A96" s="81" t="str">
        <f t="shared" si="9"/>
        <v>110Croyal</v>
      </c>
      <c r="B96" s="81" t="str">
        <f t="shared" si="10"/>
        <v>94-022-06</v>
      </c>
      <c r="C96" s="103" t="s">
        <v>1148</v>
      </c>
      <c r="D96" s="103" t="s">
        <v>1149</v>
      </c>
      <c r="E96" s="103" t="s">
        <v>901</v>
      </c>
      <c r="F96" s="104" t="s">
        <v>632</v>
      </c>
      <c r="G96" s="103" t="s">
        <v>1150</v>
      </c>
      <c r="H96" s="103" t="s">
        <v>71</v>
      </c>
      <c r="I96" s="103" t="s">
        <v>1151</v>
      </c>
      <c r="J96" s="103" t="s">
        <v>327</v>
      </c>
      <c r="K96" s="103" t="s">
        <v>382</v>
      </c>
      <c r="L96" s="103" t="s">
        <v>904</v>
      </c>
      <c r="M96" s="103" t="s">
        <v>388</v>
      </c>
      <c r="O96" s="103" t="s">
        <v>541</v>
      </c>
      <c r="P96" s="103" t="s">
        <v>855</v>
      </c>
      <c r="Q96" s="103" t="s">
        <v>915</v>
      </c>
      <c r="R96" s="103" t="s">
        <v>71</v>
      </c>
      <c r="V96" s="81" t="str">
        <f t="shared" si="11"/>
        <v>110Cсиний</v>
      </c>
      <c r="W96" s="81" t="str">
        <f t="shared" si="8"/>
        <v>110C</v>
      </c>
      <c r="X96" s="81" t="str">
        <f t="shared" si="12"/>
        <v/>
      </c>
      <c r="AC96" s="60">
        <f t="shared" si="13"/>
        <v>94</v>
      </c>
      <c r="AD96" s="49">
        <f t="shared" si="14"/>
        <v>22</v>
      </c>
      <c r="AE96" s="60">
        <f t="shared" si="15"/>
        <v>94022</v>
      </c>
    </row>
    <row r="97" spans="1:31">
      <c r="A97" s="81" t="str">
        <f t="shared" si="9"/>
        <v>6089CClt. steel grey</v>
      </c>
      <c r="B97" s="81" t="str">
        <f t="shared" si="10"/>
        <v>94-020-80</v>
      </c>
      <c r="C97" s="103" t="s">
        <v>1152</v>
      </c>
      <c r="D97" s="103" t="s">
        <v>1153</v>
      </c>
      <c r="E97" s="103" t="s">
        <v>901</v>
      </c>
      <c r="F97" s="104" t="s">
        <v>632</v>
      </c>
      <c r="G97" s="103" t="s">
        <v>1154</v>
      </c>
      <c r="H97" s="103" t="s">
        <v>83</v>
      </c>
      <c r="I97" s="103" t="s">
        <v>1089</v>
      </c>
      <c r="J97" s="103" t="s">
        <v>327</v>
      </c>
      <c r="K97" s="103" t="s">
        <v>382</v>
      </c>
      <c r="L97" s="103" t="s">
        <v>904</v>
      </c>
      <c r="M97" s="103" t="s">
        <v>388</v>
      </c>
      <c r="N97" s="103" t="s">
        <v>43</v>
      </c>
      <c r="O97" s="103" t="s">
        <v>541</v>
      </c>
      <c r="P97" s="103" t="s">
        <v>855</v>
      </c>
      <c r="Q97" s="103" t="s">
        <v>1155</v>
      </c>
      <c r="R97" s="103" t="s">
        <v>83</v>
      </c>
      <c r="V97" s="81" t="str">
        <f t="shared" si="11"/>
        <v>6089CCсерый</v>
      </c>
      <c r="W97" s="81" t="str">
        <f t="shared" si="8"/>
        <v>6089CC</v>
      </c>
      <c r="X97" s="81" t="str">
        <f t="shared" si="12"/>
        <v/>
      </c>
      <c r="AC97" s="60">
        <f t="shared" si="13"/>
        <v>94</v>
      </c>
      <c r="AD97" s="49">
        <f t="shared" si="14"/>
        <v>20</v>
      </c>
      <c r="AE97" s="60">
        <f t="shared" si="15"/>
        <v>94020</v>
      </c>
    </row>
    <row r="98" spans="1:31">
      <c r="A98" s="81" t="str">
        <f t="shared" si="9"/>
        <v>6089CCmaroon</v>
      </c>
      <c r="B98" s="81" t="str">
        <f t="shared" si="10"/>
        <v>94-020-12</v>
      </c>
      <c r="C98" s="103" t="s">
        <v>1156</v>
      </c>
      <c r="D98" s="103" t="s">
        <v>1157</v>
      </c>
      <c r="E98" s="103" t="s">
        <v>901</v>
      </c>
      <c r="F98" s="104" t="s">
        <v>632</v>
      </c>
      <c r="G98" s="103" t="s">
        <v>1154</v>
      </c>
      <c r="H98" s="103" t="s">
        <v>121</v>
      </c>
      <c r="I98" s="103" t="s">
        <v>1089</v>
      </c>
      <c r="J98" s="103" t="s">
        <v>327</v>
      </c>
      <c r="K98" s="103" t="s">
        <v>382</v>
      </c>
      <c r="L98" s="103" t="s">
        <v>904</v>
      </c>
      <c r="M98" s="103" t="s">
        <v>388</v>
      </c>
      <c r="N98" s="103" t="s">
        <v>43</v>
      </c>
      <c r="O98" s="103" t="s">
        <v>541</v>
      </c>
      <c r="P98" s="103" t="s">
        <v>855</v>
      </c>
      <c r="Q98" s="103" t="s">
        <v>941</v>
      </c>
      <c r="R98" s="103" t="s">
        <v>121</v>
      </c>
      <c r="V98" s="81" t="str">
        <f t="shared" si="11"/>
        <v>6089CCбордовый</v>
      </c>
      <c r="W98" s="81" t="str">
        <f t="shared" si="8"/>
        <v>6089CC</v>
      </c>
      <c r="X98" s="81" t="str">
        <f t="shared" si="12"/>
        <v/>
      </c>
      <c r="AC98" s="60">
        <f t="shared" si="13"/>
        <v>94</v>
      </c>
      <c r="AD98" s="49">
        <f t="shared" si="14"/>
        <v>20</v>
      </c>
      <c r="AE98" s="60">
        <f t="shared" si="15"/>
        <v>94020</v>
      </c>
    </row>
    <row r="99" spans="1:31">
      <c r="A99" s="81" t="str">
        <f t="shared" si="9"/>
        <v>6089CCdark grey</v>
      </c>
      <c r="B99" s="81" t="str">
        <f t="shared" si="10"/>
        <v>94-020-05</v>
      </c>
      <c r="C99" s="103" t="s">
        <v>1158</v>
      </c>
      <c r="D99" s="103" t="s">
        <v>1159</v>
      </c>
      <c r="E99" s="103" t="s">
        <v>901</v>
      </c>
      <c r="F99" s="104" t="s">
        <v>632</v>
      </c>
      <c r="G99" s="103" t="s">
        <v>1154</v>
      </c>
      <c r="H99" s="103" t="s">
        <v>277</v>
      </c>
      <c r="I99" s="103" t="s">
        <v>1089</v>
      </c>
      <c r="J99" s="103" t="s">
        <v>327</v>
      </c>
      <c r="K99" s="103" t="s">
        <v>382</v>
      </c>
      <c r="L99" s="103" t="s">
        <v>904</v>
      </c>
      <c r="M99" s="103" t="s">
        <v>388</v>
      </c>
      <c r="N99" s="103" t="s">
        <v>43</v>
      </c>
      <c r="O99" s="103" t="s">
        <v>541</v>
      </c>
      <c r="P99" s="103" t="s">
        <v>855</v>
      </c>
      <c r="Q99" s="103" t="s">
        <v>918</v>
      </c>
      <c r="R99" s="103" t="s">
        <v>83</v>
      </c>
      <c r="V99" s="81" t="str">
        <f t="shared" si="11"/>
        <v>6089CCтемно-серый</v>
      </c>
      <c r="W99" s="81" t="str">
        <f t="shared" si="8"/>
        <v>6089CC</v>
      </c>
      <c r="X99" s="81" t="str">
        <f t="shared" si="12"/>
        <v/>
      </c>
      <c r="AC99" s="60">
        <f t="shared" si="13"/>
        <v>94</v>
      </c>
      <c r="AD99" s="49">
        <f t="shared" si="14"/>
        <v>20</v>
      </c>
      <c r="AE99" s="60">
        <f t="shared" si="15"/>
        <v>94020</v>
      </c>
    </row>
    <row r="100" spans="1:31">
      <c r="A100" s="81" t="str">
        <f t="shared" si="9"/>
        <v>6245CMblack</v>
      </c>
      <c r="B100" s="81" t="str">
        <f t="shared" si="10"/>
        <v>94-019-09</v>
      </c>
      <c r="C100" s="103" t="s">
        <v>1160</v>
      </c>
      <c r="D100" s="103" t="s">
        <v>1161</v>
      </c>
      <c r="E100" s="103" t="s">
        <v>901</v>
      </c>
      <c r="F100" s="104" t="s">
        <v>632</v>
      </c>
      <c r="G100" s="103" t="s">
        <v>1162</v>
      </c>
      <c r="H100" s="103" t="s">
        <v>53</v>
      </c>
      <c r="I100" s="103" t="s">
        <v>1089</v>
      </c>
      <c r="J100" s="103" t="s">
        <v>327</v>
      </c>
      <c r="K100" s="103" t="s">
        <v>382</v>
      </c>
      <c r="L100" s="103" t="s">
        <v>904</v>
      </c>
      <c r="M100" s="103" t="s">
        <v>388</v>
      </c>
      <c r="N100" s="103" t="s">
        <v>43</v>
      </c>
      <c r="O100" s="103" t="s">
        <v>541</v>
      </c>
      <c r="P100" s="103" t="s">
        <v>855</v>
      </c>
      <c r="Q100" s="103" t="s">
        <v>912</v>
      </c>
      <c r="R100" s="103" t="s">
        <v>53</v>
      </c>
      <c r="V100" s="81" t="str">
        <f t="shared" si="11"/>
        <v>6245CMчерный</v>
      </c>
      <c r="W100" s="81" t="str">
        <f t="shared" si="8"/>
        <v>6245CM</v>
      </c>
      <c r="X100" s="81" t="str">
        <f t="shared" si="12"/>
        <v/>
      </c>
      <c r="AC100" s="60">
        <f t="shared" si="13"/>
        <v>94</v>
      </c>
      <c r="AD100" s="49">
        <f t="shared" si="14"/>
        <v>19</v>
      </c>
      <c r="AE100" s="60">
        <f t="shared" si="15"/>
        <v>94019</v>
      </c>
    </row>
    <row r="101" spans="1:31">
      <c r="A101" s="81" t="str">
        <f t="shared" si="9"/>
        <v>6606pink</v>
      </c>
      <c r="B101" s="81" t="str">
        <f t="shared" si="10"/>
        <v>94-015-34</v>
      </c>
      <c r="C101" s="103" t="s">
        <v>1163</v>
      </c>
      <c r="D101" s="103" t="s">
        <v>1164</v>
      </c>
      <c r="E101" s="103" t="s">
        <v>901</v>
      </c>
      <c r="F101" s="104" t="s">
        <v>632</v>
      </c>
      <c r="G101" s="103">
        <v>6606</v>
      </c>
      <c r="H101" s="103" t="s">
        <v>68</v>
      </c>
      <c r="I101" s="103" t="s">
        <v>989</v>
      </c>
      <c r="J101" s="103" t="s">
        <v>356</v>
      </c>
      <c r="K101" s="103" t="s">
        <v>382</v>
      </c>
      <c r="L101" s="103" t="s">
        <v>904</v>
      </c>
      <c r="M101" s="103" t="s">
        <v>388</v>
      </c>
      <c r="O101" s="103" t="s">
        <v>541</v>
      </c>
      <c r="P101" s="103" t="s">
        <v>855</v>
      </c>
      <c r="Q101" s="103" t="s">
        <v>1165</v>
      </c>
      <c r="R101" s="103" t="s">
        <v>68</v>
      </c>
      <c r="V101" s="81" t="str">
        <f t="shared" si="11"/>
        <v>6606розовый</v>
      </c>
      <c r="W101" s="81" t="str">
        <f t="shared" si="8"/>
        <v>6606</v>
      </c>
      <c r="X101" s="81" t="str">
        <f t="shared" si="12"/>
        <v/>
      </c>
      <c r="AC101" s="60">
        <f t="shared" si="13"/>
        <v>94</v>
      </c>
      <c r="AD101" s="49">
        <f t="shared" si="14"/>
        <v>15</v>
      </c>
      <c r="AE101" s="60">
        <f t="shared" si="15"/>
        <v>94015</v>
      </c>
    </row>
    <row r="102" spans="1:31">
      <c r="A102" s="81" t="str">
        <f t="shared" si="9"/>
        <v>6089MTheather/red</v>
      </c>
      <c r="B102" s="81" t="str">
        <f t="shared" si="10"/>
        <v>94-009-70</v>
      </c>
      <c r="C102" s="103" t="s">
        <v>1166</v>
      </c>
      <c r="D102" s="103" t="s">
        <v>1167</v>
      </c>
      <c r="E102" s="103" t="s">
        <v>901</v>
      </c>
      <c r="F102" s="104" t="s">
        <v>632</v>
      </c>
      <c r="G102" s="103" t="s">
        <v>1027</v>
      </c>
      <c r="H102" s="103" t="s">
        <v>870</v>
      </c>
      <c r="I102" s="103" t="s">
        <v>1028</v>
      </c>
      <c r="J102" s="103" t="s">
        <v>783</v>
      </c>
      <c r="K102" s="103" t="s">
        <v>382</v>
      </c>
      <c r="L102" s="103" t="s">
        <v>904</v>
      </c>
      <c r="M102" s="103" t="s">
        <v>388</v>
      </c>
      <c r="N102" s="103" t="s">
        <v>46</v>
      </c>
      <c r="O102" s="103" t="s">
        <v>541</v>
      </c>
      <c r="P102" s="103" t="s">
        <v>855</v>
      </c>
      <c r="Q102" s="103" t="s">
        <v>1168</v>
      </c>
      <c r="R102" s="103" t="s">
        <v>83</v>
      </c>
      <c r="V102" s="81" t="str">
        <f t="shared" si="11"/>
        <v>6089MTтемно-серый / красный</v>
      </c>
      <c r="W102" s="81" t="str">
        <f t="shared" si="8"/>
        <v>6089MT</v>
      </c>
      <c r="X102" s="81" t="str">
        <f t="shared" si="12"/>
        <v/>
      </c>
      <c r="AC102" s="60">
        <f t="shared" si="13"/>
        <v>94</v>
      </c>
      <c r="AD102" s="49">
        <f t="shared" si="14"/>
        <v>9</v>
      </c>
      <c r="AE102" s="60">
        <f t="shared" si="15"/>
        <v>94009</v>
      </c>
    </row>
    <row r="103" spans="1:31">
      <c r="A103" s="81" t="str">
        <f t="shared" si="9"/>
        <v>6089MTheather/purple</v>
      </c>
      <c r="B103" s="81" t="str">
        <f t="shared" si="10"/>
        <v>94-009-56</v>
      </c>
      <c r="C103" s="103" t="s">
        <v>1169</v>
      </c>
      <c r="D103" s="103" t="s">
        <v>1170</v>
      </c>
      <c r="E103" s="103" t="s">
        <v>901</v>
      </c>
      <c r="F103" s="104" t="s">
        <v>632</v>
      </c>
      <c r="G103" s="103" t="s">
        <v>1027</v>
      </c>
      <c r="H103" s="103" t="s">
        <v>869</v>
      </c>
      <c r="I103" s="103" t="s">
        <v>1028</v>
      </c>
      <c r="J103" s="103" t="s">
        <v>783</v>
      </c>
      <c r="K103" s="103" t="s">
        <v>382</v>
      </c>
      <c r="L103" s="103" t="s">
        <v>904</v>
      </c>
      <c r="M103" s="103" t="s">
        <v>388</v>
      </c>
      <c r="N103" s="103" t="s">
        <v>46</v>
      </c>
      <c r="O103" s="103" t="s">
        <v>541</v>
      </c>
      <c r="P103" s="103" t="s">
        <v>855</v>
      </c>
      <c r="Q103" s="103" t="s">
        <v>1171</v>
      </c>
      <c r="R103" s="103" t="s">
        <v>83</v>
      </c>
      <c r="V103" s="81" t="str">
        <f t="shared" si="11"/>
        <v>6089MTсерый / фиолетовый</v>
      </c>
      <c r="W103" s="81" t="str">
        <f t="shared" si="8"/>
        <v>6089MT</v>
      </c>
      <c r="X103" s="81" t="str">
        <f t="shared" si="12"/>
        <v/>
      </c>
      <c r="AC103" s="60">
        <f t="shared" si="13"/>
        <v>94</v>
      </c>
      <c r="AD103" s="49">
        <f t="shared" si="14"/>
        <v>9</v>
      </c>
      <c r="AE103" s="60">
        <f t="shared" si="15"/>
        <v>94009</v>
      </c>
    </row>
    <row r="104" spans="1:31">
      <c r="A104" s="81" t="str">
        <f t="shared" si="9"/>
        <v>6089MTheather/royal</v>
      </c>
      <c r="B104" s="81" t="str">
        <f t="shared" si="10"/>
        <v>94-009-26</v>
      </c>
      <c r="C104" s="103" t="s">
        <v>1172</v>
      </c>
      <c r="D104" s="103" t="s">
        <v>1173</v>
      </c>
      <c r="E104" s="103" t="s">
        <v>901</v>
      </c>
      <c r="F104" s="104" t="s">
        <v>632</v>
      </c>
      <c r="G104" s="103" t="s">
        <v>1027</v>
      </c>
      <c r="H104" s="103" t="s">
        <v>245</v>
      </c>
      <c r="I104" s="103" t="s">
        <v>1028</v>
      </c>
      <c r="J104" s="103" t="s">
        <v>783</v>
      </c>
      <c r="K104" s="103" t="s">
        <v>382</v>
      </c>
      <c r="L104" s="103" t="s">
        <v>904</v>
      </c>
      <c r="M104" s="103" t="s">
        <v>388</v>
      </c>
      <c r="N104" s="103" t="s">
        <v>46</v>
      </c>
      <c r="O104" s="103" t="s">
        <v>541</v>
      </c>
      <c r="P104" s="103" t="s">
        <v>855</v>
      </c>
      <c r="Q104" s="103" t="s">
        <v>1174</v>
      </c>
      <c r="R104" s="103" t="s">
        <v>83</v>
      </c>
      <c r="V104" s="81" t="str">
        <f t="shared" si="11"/>
        <v>6089MTсерый / синий</v>
      </c>
      <c r="W104" s="81" t="str">
        <f t="shared" si="8"/>
        <v>6089MT</v>
      </c>
      <c r="X104" s="81" t="str">
        <f t="shared" si="12"/>
        <v/>
      </c>
      <c r="AC104" s="60">
        <f t="shared" si="13"/>
        <v>94</v>
      </c>
      <c r="AD104" s="49">
        <f t="shared" si="14"/>
        <v>9</v>
      </c>
      <c r="AE104" s="60">
        <f t="shared" si="15"/>
        <v>94009</v>
      </c>
    </row>
    <row r="105" spans="1:31">
      <c r="A105" s="81" t="str">
        <f t="shared" si="9"/>
        <v>6089Mheather grey</v>
      </c>
      <c r="B105" s="81" t="str">
        <f t="shared" si="10"/>
        <v>94-007-80</v>
      </c>
      <c r="C105" s="103" t="s">
        <v>1175</v>
      </c>
      <c r="D105" s="103" t="s">
        <v>1176</v>
      </c>
      <c r="E105" s="103" t="s">
        <v>901</v>
      </c>
      <c r="F105" s="104" t="s">
        <v>632</v>
      </c>
      <c r="G105" s="103" t="s">
        <v>1055</v>
      </c>
      <c r="H105" s="103" t="s">
        <v>83</v>
      </c>
      <c r="I105" s="103" t="s">
        <v>1028</v>
      </c>
      <c r="J105" s="103" t="s">
        <v>783</v>
      </c>
      <c r="K105" s="103" t="s">
        <v>382</v>
      </c>
      <c r="L105" s="103" t="s">
        <v>904</v>
      </c>
      <c r="M105" s="103" t="s">
        <v>388</v>
      </c>
      <c r="N105" s="103" t="s">
        <v>46</v>
      </c>
      <c r="O105" s="103" t="s">
        <v>541</v>
      </c>
      <c r="P105" s="103" t="s">
        <v>855</v>
      </c>
      <c r="Q105" s="103" t="s">
        <v>921</v>
      </c>
      <c r="R105" s="103" t="s">
        <v>83</v>
      </c>
      <c r="V105" s="81" t="str">
        <f t="shared" si="11"/>
        <v>6089Mсерый</v>
      </c>
      <c r="W105" s="81" t="str">
        <f t="shared" si="8"/>
        <v>6089M</v>
      </c>
      <c r="X105" s="81" t="str">
        <f t="shared" si="12"/>
        <v/>
      </c>
      <c r="AC105" s="60">
        <f t="shared" si="13"/>
        <v>94</v>
      </c>
      <c r="AD105" s="49">
        <f t="shared" si="14"/>
        <v>7</v>
      </c>
      <c r="AE105" s="60">
        <f t="shared" si="15"/>
        <v>94007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85</vt:i4>
      </vt:variant>
    </vt:vector>
  </HeadingPairs>
  <TitlesOfParts>
    <vt:vector size="9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2022-04-27T12:39:37Z</dcterms:modified>
</cp:coreProperties>
</file>