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03.06\"/>
    </mc:Choice>
  </mc:AlternateContent>
  <xr:revisionPtr revIDLastSave="0" documentId="13_ncr:1_{03240AFE-CB5F-416A-ADD3-D08F5BFF2139}" xr6:coauthVersionLast="47" xr6:coauthVersionMax="47" xr10:uidLastSave="{00000000-0000-0000-0000-000000000000}"/>
  <bookViews>
    <workbookView xWindow="-120" yWindow="-120" windowWidth="29040" windowHeight="15840" xr2:uid="{3A48B2BB-835E-4247-BB6E-D08F5B3ED053}"/>
  </bookViews>
  <sheets>
    <sheet name="Транспонирование" sheetId="1" r:id="rId1"/>
    <sheet name="Лист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7" i="2" l="1"/>
  <c r="J3" i="1" l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2" i="1"/>
  <c r="K2" i="1" s="1"/>
  <c r="A27" i="1"/>
  <c r="A28" i="1"/>
  <c r="A29" i="1"/>
  <c r="A30" i="1"/>
  <c r="A31" i="1"/>
  <c r="A32" i="1"/>
  <c r="A33" i="1"/>
  <c r="A34" i="1"/>
  <c r="K9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" i="1"/>
</calcChain>
</file>

<file path=xl/sharedStrings.xml><?xml version="1.0" encoding="utf-8"?>
<sst xmlns="http://schemas.openxmlformats.org/spreadsheetml/2006/main" count="257" uniqueCount="82">
  <si>
    <t>Style/Color</t>
  </si>
  <si>
    <t>Size</t>
  </si>
  <si>
    <t>Count</t>
  </si>
  <si>
    <t>Color</t>
  </si>
  <si>
    <t>BLACK</t>
  </si>
  <si>
    <t>WHITE</t>
  </si>
  <si>
    <t>NAVY</t>
  </si>
  <si>
    <t>RED</t>
  </si>
  <si>
    <t>DARK GREY</t>
  </si>
  <si>
    <t>OSFA</t>
  </si>
  <si>
    <t>L/XL</t>
  </si>
  <si>
    <t>S/M</t>
  </si>
  <si>
    <t>Style</t>
  </si>
  <si>
    <t>6089CC</t>
  </si>
  <si>
    <t>6089M</t>
  </si>
  <si>
    <t>PURPLE</t>
  </si>
  <si>
    <t>6277</t>
  </si>
  <si>
    <t>COYOTE BROWN</t>
  </si>
  <si>
    <t>6606</t>
  </si>
  <si>
    <t>CRANBERRY</t>
  </si>
  <si>
    <t>BLACK/WHITE/BLACK</t>
  </si>
  <si>
    <t>NAVY/WHITE/NAVY</t>
  </si>
  <si>
    <t>MAROON</t>
  </si>
  <si>
    <t>Цена</t>
  </si>
  <si>
    <t>Сумма</t>
  </si>
  <si>
    <t>Итого</t>
  </si>
  <si>
    <t>Кепка, FlexFit/Yupoong, 6089TC (Цвет BLACK/CAMO, Размер Универсальный (OSFA))</t>
  </si>
  <si>
    <t>Кепка, FlexFit/Yupoong, 110X (Цвет NAVY, Размер Универсальный (OSFA))</t>
  </si>
  <si>
    <t>Кепка, FlexFit/Yupoong, 6277 (Цвет BLACK, Размер S/M)</t>
  </si>
  <si>
    <t>Кепка, FlexFit/Yupoong, 6277 (Цвет BLACK, Размер L/LX)</t>
  </si>
  <si>
    <t>Кепка, FlexFit/Yupoong, 6277 (Цвет COYOTE BROWN, Размер L/XL)</t>
  </si>
  <si>
    <t>Кепка, FlexFit/Yupoong, 6277 (Цвет GREY, Размер L/XL)</t>
  </si>
  <si>
    <t>Кепка, FlexFit/Yupoong, 6277 (Цвет GREY, Размер S/M)</t>
  </si>
  <si>
    <t>Кепка, FlexFit/Yupoong, 6277 (Цвет PURPLE, Размер L/LX)</t>
  </si>
  <si>
    <t>Кепка, FlexFit/Yupoong, 6089CC RUS (Цвет DARK GREY, Размер Универсальный (OSFA))</t>
  </si>
  <si>
    <t>Кепка, FlexFit/Yupoong, 6089CC RUS (Цвет LT.STEEL GREY, Размер Универсальный (OSFA))</t>
  </si>
  <si>
    <t>Кепка, FlexFit/Yupoong, 6089CC RUS (Цвет MAROON, Размер Универсальный (OSFA))</t>
  </si>
  <si>
    <t>Кепка, FlexFit/Yupoong, 6089CC RUS (Цвет NAVY, Размер Универсальный (OSFA))</t>
  </si>
  <si>
    <t>Кепка, FlexFit/Yupoong, 6089CC RUS (Цвет RED, Размер Универсальный (OSFA))</t>
  </si>
  <si>
    <t>Кепка, FlexFit/Yupoong, 6089CC RUS (Цвет WHITE, Размер Универсальный (OSFA))</t>
  </si>
  <si>
    <t>Кепка, FlexFit/Yupoong, 6606 (Цвет CRANBERRY, Размер Универсальный (OSFA))</t>
  </si>
  <si>
    <t>Кепка, FlexFit/Yupoong, 6606 (Цвет EVERGREEN, Размер Универсальный (OSFA))</t>
  </si>
  <si>
    <t>Кепка, FlexFit/Yupoong, 6606 (Цвет PINK, Размер Универсальный (OSFA))</t>
  </si>
  <si>
    <t>Кепка, FlexFit/Yupoong, 6606 (Цвет WHITE, Размер Универсальный (OSFA))</t>
  </si>
  <si>
    <t>Кепка, FlexFit/Yupoong, 6245CM (Цвет BLACK, Размер Универсальный (OSFA))</t>
  </si>
  <si>
    <t>Кепка, FlexFit/Yupoong, 6245CM (Цвет DARK GREY, Размер Универсальный (OSFA))</t>
  </si>
  <si>
    <t>Кепка, FlexFit/Yupoong, 6245CM (Цвет KHAKI, Размер Универсальный (OSFA))</t>
  </si>
  <si>
    <t>Кепка, FlexFit/Yupoong, 6245CM (Цвет NAVY, Размер Универсальный (OSFA))</t>
  </si>
  <si>
    <t>Кепка, FlexFit/Yupoong, 6245CM (Цвет STONE, Размер Универсальный (OSFA))</t>
  </si>
  <si>
    <t>Кепка, FlexFit/Yupoong, 6245CM (Цвет WHITE, Размер Универсальный (OSFA))</t>
  </si>
  <si>
    <t>Кепка, FlexFit/Yupoong, 6089M (Цвет WHITE, Размер Универсальный (OSFA))</t>
  </si>
  <si>
    <t>Кепка, FlexFit/Yupoong, 6089MT (Цвет BLACK/PURPLE, Размер Универсальный (OSFA))</t>
  </si>
  <si>
    <t>Кепка, FlexFit/Yupoong, 6089MT (Цвет HEATHER/NAVY, Размер Универсальный (OSFA))</t>
  </si>
  <si>
    <t>Кепка, FlexFit/Yupoong, 6089MT (Цвет NATURAL/BLACK, Размер Универсальный (OSFA))</t>
  </si>
  <si>
    <t>Кепка, FlexFit/Yupoong, 6005FF NO FOAM (Цвет BLACK, Размер Универсальный (OSFA))</t>
  </si>
  <si>
    <t>Кепка, FlexFit/Yupoong, 6005FF NO FOAM (Цвет NAVY, Размер Универсальный (OSFA))</t>
  </si>
  <si>
    <t>Кепка, FlexFit/Yupoong, 6005FF NO FOAM (Цвет RED, Размер Универсальный (OSFA))</t>
  </si>
  <si>
    <t>Кепка, FlexFit/Yupoong, 6005FF NO FOAM (Цвет ROYAL, Размер Универсальный (OSFA))</t>
  </si>
  <si>
    <t>Кепка, FlexFit/Yupoong, 6005FW NO FOAM (Цвет BLACK/WHITE/BLACK, Размер Универсальный (OSFA))</t>
  </si>
  <si>
    <t>Кепка, FlexFit/Yupoong, 6005FW NO FOAM (Цвет NAVY/WHITE/NAVY, Размер Универсальный (OSFA))</t>
  </si>
  <si>
    <t>Кепка, FlexFit/Yupoong, 6005FW NO FOAM (Цвет ROYAL/WHITE/ROYAL, Размер Универсальный (OSFA))</t>
  </si>
  <si>
    <t>Price</t>
  </si>
  <si>
    <t>Sum</t>
  </si>
  <si>
    <t>6089TC</t>
  </si>
  <si>
    <t>110X</t>
  </si>
  <si>
    <t>6245CM</t>
  </si>
  <si>
    <t>6089MT</t>
  </si>
  <si>
    <t>6005FF</t>
  </si>
  <si>
    <t>6005FW</t>
  </si>
  <si>
    <t>BLACK/CAMO</t>
  </si>
  <si>
    <t>GREY</t>
  </si>
  <si>
    <t>LT.STEEL GREY</t>
  </si>
  <si>
    <t>EVERGREEN</t>
  </si>
  <si>
    <t>PINK</t>
  </si>
  <si>
    <t>KHAKI</t>
  </si>
  <si>
    <t>STONE</t>
  </si>
  <si>
    <t>BLACK/PURPLE</t>
  </si>
  <si>
    <t>HEATHER/NAVY</t>
  </si>
  <si>
    <t>NATURAL/BLACK</t>
  </si>
  <si>
    <t>ROYAL</t>
  </si>
  <si>
    <t>ROYAL/WHITE/ROYAL</t>
  </si>
  <si>
    <t>Full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</si>
</sst>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\ [$₽-419]_-;\-* #,##0\ [$₽-419]_-;_-* &quot;-&quot;??\ [$₽-419]_-;_-@_-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9"/>
      <name val="Arial"/>
      <family val="2"/>
      <charset val="204"/>
    </font>
    <font>
      <b/>
      <sz val="9"/>
      <name val="Arial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2" borderId="1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1" xfId="1" applyNumberFormat="1" applyBorder="1" applyAlignment="1">
      <alignment horizontal="center" vertical="top"/>
    </xf>
    <xf numFmtId="164" fontId="4" fillId="0" borderId="1" xfId="1" applyNumberFormat="1" applyFont="1" applyBorder="1" applyAlignment="1">
      <alignment horizontal="center" vertical="center"/>
    </xf>
    <xf numFmtId="164" fontId="2" fillId="0" borderId="1" xfId="1" applyNumberFormat="1" applyBorder="1" applyAlignment="1">
      <alignment horizontal="center" vertical="top"/>
    </xf>
    <xf numFmtId="0" fontId="4" fillId="0" borderId="1" xfId="1" applyFont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NumberFormat="1" applyFill="1" applyAlignment="1">
      <alignment horizontal="center" vertical="center"/>
    </xf>
  </cellXfs>
  <cellStyles count="2">
    <cellStyle name="Обычный" xfId="0" builtinId="0"/>
    <cellStyle name="Обычный 2" xfId="1" xr:uid="{9A3219A0-66C4-4839-A7C1-B23F6D0374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0</xdr:rowOff>
        </xdr:from>
        <xdr:to>
          <xdr:col>24</xdr:col>
          <xdr:colOff>476250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Обратное трансп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6EA8-1ED9-4A2E-8811-B0FC1DEB83D7}">
  <sheetPr codeName="Лист1"/>
  <dimension ref="A1:R34"/>
  <sheetViews>
    <sheetView showGridLines="0" tabSelected="1" workbookViewId="0">
      <pane ySplit="1" topLeftCell="A2" activePane="bottomLeft" state="frozen"/>
      <selection pane="bottomLeft" activeCell="D7" sqref="D7"/>
    </sheetView>
  </sheetViews>
  <sheetFormatPr defaultRowHeight="15" x14ac:dyDescent="0.25"/>
  <cols>
    <col min="1" max="1" width="38.85546875" style="2" bestFit="1" customWidth="1"/>
    <col min="2" max="2" width="5.7109375" style="9" bestFit="1" customWidth="1"/>
    <col min="3" max="3" width="6.28515625" style="11" bestFit="1" customWidth="1"/>
    <col min="4" max="4" width="8.85546875" bestFit="1" customWidth="1"/>
    <col min="5" max="5" width="16.42578125" bestFit="1" customWidth="1"/>
    <col min="6" max="9" width="6.42578125" bestFit="1" customWidth="1"/>
    <col min="10" max="10" width="6.42578125" customWidth="1"/>
    <col min="11" max="11" width="9" bestFit="1" customWidth="1"/>
    <col min="12" max="12" width="3" style="6" bestFit="1" customWidth="1"/>
    <col min="13" max="13" width="26" style="6" bestFit="1" customWidth="1"/>
    <col min="14" max="14" width="6.5703125" style="6" bestFit="1" customWidth="1"/>
    <col min="15" max="15" width="3" style="6" bestFit="1" customWidth="1"/>
    <col min="16" max="16" width="4" style="7" bestFit="1" customWidth="1"/>
    <col min="17" max="18" width="3" style="7" bestFit="1" customWidth="1"/>
    <col min="19" max="19" width="3" bestFit="1" customWidth="1"/>
  </cols>
  <sheetData>
    <row r="1" spans="1:18" s="1" customFormat="1" x14ac:dyDescent="0.25">
      <c r="A1" s="3" t="s">
        <v>0</v>
      </c>
      <c r="B1" s="8" t="s">
        <v>1</v>
      </c>
      <c r="C1" s="10" t="s">
        <v>2</v>
      </c>
      <c r="D1" s="15" t="s">
        <v>12</v>
      </c>
      <c r="E1" s="15" t="s">
        <v>3</v>
      </c>
      <c r="F1" s="13" t="s">
        <v>23</v>
      </c>
      <c r="G1" s="16" t="s">
        <v>9</v>
      </c>
      <c r="H1" s="16" t="s">
        <v>11</v>
      </c>
      <c r="I1" s="13" t="s">
        <v>10</v>
      </c>
      <c r="J1" s="16" t="s">
        <v>24</v>
      </c>
      <c r="K1" s="16" t="s">
        <v>25</v>
      </c>
      <c r="L1" s="4"/>
      <c r="M1" s="4"/>
      <c r="N1" s="4"/>
      <c r="O1" s="4"/>
      <c r="P1" s="5"/>
      <c r="Q1" s="5"/>
      <c r="R1" s="5"/>
    </row>
    <row r="2" spans="1:18" x14ac:dyDescent="0.25">
      <c r="A2" s="11" t="str">
        <f>D2&amp;E2</f>
        <v>6089TCBLACK/CAMO</v>
      </c>
      <c r="B2" s="19" t="s">
        <v>9</v>
      </c>
      <c r="C2" s="11">
        <v>6</v>
      </c>
      <c r="D2" s="12" t="s">
        <v>63</v>
      </c>
      <c r="E2" s="12" t="s">
        <v>69</v>
      </c>
      <c r="F2" s="14">
        <v>609</v>
      </c>
      <c r="G2" s="12">
        <v>6</v>
      </c>
      <c r="H2" s="12"/>
      <c r="I2" s="12"/>
      <c r="J2" s="12">
        <f>SUM(G2:I2)</f>
        <v>6</v>
      </c>
      <c r="K2" s="14">
        <f t="shared" ref="K2:K26" si="0">J2*F2</f>
        <v>3654</v>
      </c>
    </row>
    <row r="3" spans="1:18" x14ac:dyDescent="0.25">
      <c r="A3" s="11" t="str">
        <f t="shared" ref="A3:A34" si="1">D3&amp;E3</f>
        <v>110XNAVY</v>
      </c>
      <c r="B3" s="19" t="s">
        <v>9</v>
      </c>
      <c r="C3" s="11">
        <v>10</v>
      </c>
      <c r="D3" s="12" t="s">
        <v>64</v>
      </c>
      <c r="E3" s="12" t="s">
        <v>6</v>
      </c>
      <c r="F3" s="14">
        <v>711</v>
      </c>
      <c r="G3" s="12">
        <v>10</v>
      </c>
      <c r="H3" s="12"/>
      <c r="I3" s="12"/>
      <c r="J3" s="12">
        <f t="shared" ref="J3:J34" si="2">SUM(G3:I3)</f>
        <v>10</v>
      </c>
      <c r="K3" s="14">
        <f t="shared" si="0"/>
        <v>7110</v>
      </c>
    </row>
    <row r="4" spans="1:18" x14ac:dyDescent="0.25">
      <c r="A4" s="11" t="str">
        <f t="shared" si="1"/>
        <v>6277BLACK</v>
      </c>
      <c r="B4" s="19" t="s">
        <v>11</v>
      </c>
      <c r="C4" s="11">
        <v>40</v>
      </c>
      <c r="D4" s="12" t="s">
        <v>16</v>
      </c>
      <c r="E4" s="12" t="s">
        <v>4</v>
      </c>
      <c r="F4" s="14">
        <v>650</v>
      </c>
      <c r="G4" s="12"/>
      <c r="H4" s="12">
        <v>40</v>
      </c>
      <c r="I4" s="12">
        <v>40</v>
      </c>
      <c r="J4" s="12">
        <f t="shared" si="2"/>
        <v>80</v>
      </c>
      <c r="K4" s="14">
        <f t="shared" si="0"/>
        <v>52000</v>
      </c>
    </row>
    <row r="5" spans="1:18" x14ac:dyDescent="0.25">
      <c r="A5" s="11" t="str">
        <f t="shared" si="1"/>
        <v>6277COYOTE BROWN</v>
      </c>
      <c r="B5" s="19" t="s">
        <v>10</v>
      </c>
      <c r="C5" s="11">
        <v>2</v>
      </c>
      <c r="D5" s="12" t="s">
        <v>16</v>
      </c>
      <c r="E5" s="12" t="s">
        <v>17</v>
      </c>
      <c r="F5" s="14">
        <v>650</v>
      </c>
      <c r="G5" s="12"/>
      <c r="H5" s="12"/>
      <c r="I5" s="12">
        <v>2</v>
      </c>
      <c r="J5" s="12">
        <f t="shared" si="2"/>
        <v>2</v>
      </c>
      <c r="K5" s="14">
        <f t="shared" si="0"/>
        <v>1300</v>
      </c>
    </row>
    <row r="6" spans="1:18" x14ac:dyDescent="0.25">
      <c r="A6" s="11" t="str">
        <f t="shared" si="1"/>
        <v>6277GREY</v>
      </c>
      <c r="B6" s="19" t="s">
        <v>10</v>
      </c>
      <c r="C6" s="11">
        <v>11</v>
      </c>
      <c r="D6" s="12" t="s">
        <v>16</v>
      </c>
      <c r="E6" s="12" t="s">
        <v>70</v>
      </c>
      <c r="F6" s="14">
        <v>650</v>
      </c>
      <c r="G6" s="12"/>
      <c r="H6" s="12">
        <v>6</v>
      </c>
      <c r="I6" s="12">
        <v>11</v>
      </c>
      <c r="J6" s="12">
        <f t="shared" si="2"/>
        <v>17</v>
      </c>
      <c r="K6" s="14">
        <f t="shared" si="0"/>
        <v>11050</v>
      </c>
    </row>
    <row r="7" spans="1:18" x14ac:dyDescent="0.25">
      <c r="A7" s="11" t="str">
        <f t="shared" si="1"/>
        <v>6277PURPLE</v>
      </c>
      <c r="B7" s="19" t="s">
        <v>10</v>
      </c>
      <c r="C7" s="11">
        <v>8</v>
      </c>
      <c r="D7" s="12" t="s">
        <v>16</v>
      </c>
      <c r="E7" s="12" t="s">
        <v>15</v>
      </c>
      <c r="F7" s="14">
        <v>650</v>
      </c>
      <c r="G7" s="12"/>
      <c r="H7" s="12"/>
      <c r="I7" s="12">
        <v>8</v>
      </c>
      <c r="J7" s="12">
        <f t="shared" si="2"/>
        <v>8</v>
      </c>
      <c r="K7" s="14">
        <f t="shared" si="0"/>
        <v>5200</v>
      </c>
    </row>
    <row r="8" spans="1:18" x14ac:dyDescent="0.25">
      <c r="A8" s="11" t="str">
        <f t="shared" si="1"/>
        <v>6089CCDARK GREY</v>
      </c>
      <c r="B8" s="19" t="s">
        <v>9</v>
      </c>
      <c r="C8" s="11">
        <v>20</v>
      </c>
      <c r="D8" s="12" t="s">
        <v>13</v>
      </c>
      <c r="E8" s="12" t="s">
        <v>8</v>
      </c>
      <c r="F8" s="14">
        <v>609</v>
      </c>
      <c r="G8" s="12">
        <v>20</v>
      </c>
      <c r="H8" s="12"/>
      <c r="I8" s="12"/>
      <c r="J8" s="12">
        <f t="shared" si="2"/>
        <v>20</v>
      </c>
      <c r="K8" s="14">
        <f t="shared" si="0"/>
        <v>12180</v>
      </c>
    </row>
    <row r="9" spans="1:18" x14ac:dyDescent="0.25">
      <c r="A9" s="11" t="str">
        <f t="shared" si="1"/>
        <v>6089CCLT.STEEL GREY</v>
      </c>
      <c r="B9" s="19" t="s">
        <v>9</v>
      </c>
      <c r="C9" s="11">
        <v>20</v>
      </c>
      <c r="D9" s="12" t="s">
        <v>13</v>
      </c>
      <c r="E9" s="12" t="s">
        <v>71</v>
      </c>
      <c r="F9" s="14">
        <v>609</v>
      </c>
      <c r="G9" s="12">
        <v>20</v>
      </c>
      <c r="H9" s="12"/>
      <c r="I9" s="12"/>
      <c r="J9" s="12">
        <f t="shared" si="2"/>
        <v>20</v>
      </c>
      <c r="K9" s="14">
        <f t="shared" si="0"/>
        <v>12180</v>
      </c>
    </row>
    <row r="10" spans="1:18" x14ac:dyDescent="0.25">
      <c r="A10" s="11" t="str">
        <f t="shared" si="1"/>
        <v>6089CCMAROON</v>
      </c>
      <c r="B10" s="19" t="s">
        <v>9</v>
      </c>
      <c r="C10" s="11">
        <v>16</v>
      </c>
      <c r="D10" s="12" t="s">
        <v>13</v>
      </c>
      <c r="E10" s="12" t="s">
        <v>22</v>
      </c>
      <c r="F10" s="14">
        <v>609</v>
      </c>
      <c r="G10" s="12">
        <v>16</v>
      </c>
      <c r="H10" s="12"/>
      <c r="I10" s="12"/>
      <c r="J10" s="12">
        <f t="shared" si="2"/>
        <v>16</v>
      </c>
      <c r="K10" s="14">
        <f t="shared" si="0"/>
        <v>9744</v>
      </c>
    </row>
    <row r="11" spans="1:18" x14ac:dyDescent="0.25">
      <c r="A11" s="11" t="str">
        <f t="shared" si="1"/>
        <v>6089CCNAVY</v>
      </c>
      <c r="B11" s="19" t="s">
        <v>9</v>
      </c>
      <c r="C11" s="11">
        <v>40</v>
      </c>
      <c r="D11" s="12" t="s">
        <v>13</v>
      </c>
      <c r="E11" s="12" t="s">
        <v>6</v>
      </c>
      <c r="F11" s="14">
        <v>609</v>
      </c>
      <c r="G11" s="12">
        <v>40</v>
      </c>
      <c r="H11" s="12"/>
      <c r="I11" s="12"/>
      <c r="J11" s="12">
        <f t="shared" si="2"/>
        <v>40</v>
      </c>
      <c r="K11" s="14">
        <f t="shared" si="0"/>
        <v>24360</v>
      </c>
    </row>
    <row r="12" spans="1:18" x14ac:dyDescent="0.25">
      <c r="A12" s="11" t="str">
        <f t="shared" si="1"/>
        <v>6089CCRED</v>
      </c>
      <c r="B12" s="19" t="s">
        <v>9</v>
      </c>
      <c r="C12" s="11">
        <v>6</v>
      </c>
      <c r="D12" s="12" t="s">
        <v>13</v>
      </c>
      <c r="E12" s="12" t="s">
        <v>7</v>
      </c>
      <c r="F12" s="14">
        <v>609</v>
      </c>
      <c r="G12" s="12">
        <v>6</v>
      </c>
      <c r="H12" s="12"/>
      <c r="I12" s="12"/>
      <c r="J12" s="12">
        <f t="shared" si="2"/>
        <v>6</v>
      </c>
      <c r="K12" s="14">
        <f t="shared" si="0"/>
        <v>3654</v>
      </c>
    </row>
    <row r="13" spans="1:18" x14ac:dyDescent="0.25">
      <c r="A13" s="11" t="str">
        <f t="shared" si="1"/>
        <v>6089CCWHITE</v>
      </c>
      <c r="B13" s="19" t="s">
        <v>9</v>
      </c>
      <c r="C13" s="11">
        <v>10</v>
      </c>
      <c r="D13" s="12" t="s">
        <v>13</v>
      </c>
      <c r="E13" s="12" t="s">
        <v>5</v>
      </c>
      <c r="F13" s="14">
        <v>609</v>
      </c>
      <c r="G13" s="12">
        <v>10</v>
      </c>
      <c r="H13" s="12"/>
      <c r="I13" s="12"/>
      <c r="J13" s="12">
        <f t="shared" si="2"/>
        <v>10</v>
      </c>
      <c r="K13" s="14">
        <f t="shared" si="0"/>
        <v>6090</v>
      </c>
    </row>
    <row r="14" spans="1:18" x14ac:dyDescent="0.25">
      <c r="A14" s="11" t="str">
        <f t="shared" si="1"/>
        <v>6606CRANBERRY</v>
      </c>
      <c r="B14" s="19" t="s">
        <v>9</v>
      </c>
      <c r="C14" s="11">
        <v>5</v>
      </c>
      <c r="D14" s="12" t="s">
        <v>18</v>
      </c>
      <c r="E14" s="12" t="s">
        <v>19</v>
      </c>
      <c r="F14" s="14">
        <v>541</v>
      </c>
      <c r="G14" s="12">
        <v>5</v>
      </c>
      <c r="H14" s="12"/>
      <c r="I14" s="12"/>
      <c r="J14" s="12">
        <f t="shared" si="2"/>
        <v>5</v>
      </c>
      <c r="K14" s="14">
        <f t="shared" si="0"/>
        <v>2705</v>
      </c>
    </row>
    <row r="15" spans="1:18" x14ac:dyDescent="0.25">
      <c r="A15" s="11" t="str">
        <f t="shared" si="1"/>
        <v>6606EVERGREEN</v>
      </c>
      <c r="B15" s="19" t="s">
        <v>9</v>
      </c>
      <c r="C15" s="11">
        <v>11</v>
      </c>
      <c r="D15" s="12" t="s">
        <v>18</v>
      </c>
      <c r="E15" s="12" t="s">
        <v>72</v>
      </c>
      <c r="F15" s="14">
        <v>541</v>
      </c>
      <c r="G15" s="12">
        <v>11</v>
      </c>
      <c r="H15" s="12"/>
      <c r="I15" s="12"/>
      <c r="J15" s="12">
        <f t="shared" si="2"/>
        <v>11</v>
      </c>
      <c r="K15" s="14">
        <f t="shared" si="0"/>
        <v>5951</v>
      </c>
    </row>
    <row r="16" spans="1:18" x14ac:dyDescent="0.25">
      <c r="A16" s="11" t="str">
        <f t="shared" si="1"/>
        <v>6606PINK</v>
      </c>
      <c r="B16" s="19" t="s">
        <v>9</v>
      </c>
      <c r="C16" s="11">
        <v>20</v>
      </c>
      <c r="D16" s="12" t="s">
        <v>18</v>
      </c>
      <c r="E16" s="12" t="s">
        <v>73</v>
      </c>
      <c r="F16" s="14">
        <v>541</v>
      </c>
      <c r="G16" s="12">
        <v>20</v>
      </c>
      <c r="H16" s="12"/>
      <c r="I16" s="12"/>
      <c r="J16" s="12">
        <f t="shared" si="2"/>
        <v>20</v>
      </c>
      <c r="K16" s="14">
        <f t="shared" si="0"/>
        <v>10820</v>
      </c>
    </row>
    <row r="17" spans="1:11" x14ac:dyDescent="0.25">
      <c r="A17" s="11" t="str">
        <f t="shared" si="1"/>
        <v>6606WHITE</v>
      </c>
      <c r="B17" s="19" t="s">
        <v>9</v>
      </c>
      <c r="C17" s="11">
        <v>10</v>
      </c>
      <c r="D17" s="12" t="s">
        <v>18</v>
      </c>
      <c r="E17" s="12" t="s">
        <v>5</v>
      </c>
      <c r="F17" s="14">
        <v>541</v>
      </c>
      <c r="G17" s="12">
        <v>10</v>
      </c>
      <c r="H17" s="12"/>
      <c r="I17" s="12"/>
      <c r="J17" s="12">
        <f t="shared" si="2"/>
        <v>10</v>
      </c>
      <c r="K17" s="14">
        <f t="shared" si="0"/>
        <v>5410</v>
      </c>
    </row>
    <row r="18" spans="1:11" x14ac:dyDescent="0.25">
      <c r="A18" s="11" t="str">
        <f t="shared" si="1"/>
        <v>6245CMBLACK</v>
      </c>
      <c r="B18" s="19" t="s">
        <v>9</v>
      </c>
      <c r="C18" s="11">
        <v>15</v>
      </c>
      <c r="D18" s="12" t="s">
        <v>65</v>
      </c>
      <c r="E18" s="12" t="s">
        <v>4</v>
      </c>
      <c r="F18" s="14">
        <v>650</v>
      </c>
      <c r="G18" s="12">
        <v>15</v>
      </c>
      <c r="H18" s="12"/>
      <c r="I18" s="12"/>
      <c r="J18" s="12">
        <f t="shared" si="2"/>
        <v>15</v>
      </c>
      <c r="K18" s="14">
        <f t="shared" si="0"/>
        <v>9750</v>
      </c>
    </row>
    <row r="19" spans="1:11" x14ac:dyDescent="0.25">
      <c r="A19" s="11" t="str">
        <f t="shared" si="1"/>
        <v>6245CMDARK GREY</v>
      </c>
      <c r="B19" s="19" t="s">
        <v>9</v>
      </c>
      <c r="C19" s="11">
        <v>15</v>
      </c>
      <c r="D19" s="12" t="s">
        <v>65</v>
      </c>
      <c r="E19" s="12" t="s">
        <v>8</v>
      </c>
      <c r="F19" s="14">
        <v>650</v>
      </c>
      <c r="G19" s="12">
        <v>15</v>
      </c>
      <c r="H19" s="12"/>
      <c r="I19" s="12"/>
      <c r="J19" s="12">
        <f t="shared" si="2"/>
        <v>15</v>
      </c>
      <c r="K19" s="14">
        <f t="shared" si="0"/>
        <v>9750</v>
      </c>
    </row>
    <row r="20" spans="1:11" x14ac:dyDescent="0.25">
      <c r="A20" s="11" t="str">
        <f t="shared" si="1"/>
        <v>6245CMKHAKI</v>
      </c>
      <c r="B20" s="19" t="s">
        <v>9</v>
      </c>
      <c r="C20" s="11">
        <v>15</v>
      </c>
      <c r="D20" s="12" t="s">
        <v>65</v>
      </c>
      <c r="E20" s="12" t="s">
        <v>74</v>
      </c>
      <c r="F20" s="14">
        <v>650</v>
      </c>
      <c r="G20" s="12">
        <v>15</v>
      </c>
      <c r="H20" s="12"/>
      <c r="I20" s="12"/>
      <c r="J20" s="12">
        <f t="shared" si="2"/>
        <v>15</v>
      </c>
      <c r="K20" s="14">
        <f t="shared" si="0"/>
        <v>9750</v>
      </c>
    </row>
    <row r="21" spans="1:11" x14ac:dyDescent="0.25">
      <c r="A21" s="11" t="str">
        <f t="shared" si="1"/>
        <v>6245CMNAVY</v>
      </c>
      <c r="B21" s="19" t="s">
        <v>9</v>
      </c>
      <c r="C21" s="11">
        <v>15</v>
      </c>
      <c r="D21" s="12" t="s">
        <v>65</v>
      </c>
      <c r="E21" s="12" t="s">
        <v>6</v>
      </c>
      <c r="F21" s="14">
        <v>650</v>
      </c>
      <c r="G21" s="12">
        <v>15</v>
      </c>
      <c r="H21" s="12"/>
      <c r="I21" s="12"/>
      <c r="J21" s="12">
        <f t="shared" si="2"/>
        <v>15</v>
      </c>
      <c r="K21" s="14">
        <f t="shared" si="0"/>
        <v>9750</v>
      </c>
    </row>
    <row r="22" spans="1:11" x14ac:dyDescent="0.25">
      <c r="A22" s="11" t="str">
        <f t="shared" si="1"/>
        <v>6245CMSTONE</v>
      </c>
      <c r="B22" s="19" t="s">
        <v>9</v>
      </c>
      <c r="C22" s="11">
        <v>8</v>
      </c>
      <c r="D22" s="12" t="s">
        <v>65</v>
      </c>
      <c r="E22" s="12" t="s">
        <v>75</v>
      </c>
      <c r="F22" s="14">
        <v>650</v>
      </c>
      <c r="G22" s="12">
        <v>8</v>
      </c>
      <c r="H22" s="12"/>
      <c r="I22" s="12"/>
      <c r="J22" s="12">
        <f t="shared" si="2"/>
        <v>8</v>
      </c>
      <c r="K22" s="14">
        <f t="shared" si="0"/>
        <v>5200</v>
      </c>
    </row>
    <row r="23" spans="1:11" x14ac:dyDescent="0.25">
      <c r="A23" s="11" t="str">
        <f t="shared" si="1"/>
        <v>6245CMWHITE</v>
      </c>
      <c r="B23" s="19" t="s">
        <v>9</v>
      </c>
      <c r="C23" s="11">
        <v>6</v>
      </c>
      <c r="D23" s="12" t="s">
        <v>65</v>
      </c>
      <c r="E23" s="12" t="s">
        <v>5</v>
      </c>
      <c r="F23" s="14">
        <v>650</v>
      </c>
      <c r="G23" s="12">
        <v>6</v>
      </c>
      <c r="H23" s="12"/>
      <c r="I23" s="12"/>
      <c r="J23" s="12">
        <f t="shared" si="2"/>
        <v>6</v>
      </c>
      <c r="K23" s="14">
        <f t="shared" si="0"/>
        <v>3900</v>
      </c>
    </row>
    <row r="24" spans="1:11" x14ac:dyDescent="0.25">
      <c r="A24" s="11" t="str">
        <f t="shared" si="1"/>
        <v>6089MWHITE</v>
      </c>
      <c r="B24" s="19" t="s">
        <v>9</v>
      </c>
      <c r="C24" s="11">
        <v>12</v>
      </c>
      <c r="D24" s="12" t="s">
        <v>14</v>
      </c>
      <c r="E24" s="12" t="s">
        <v>5</v>
      </c>
      <c r="F24" s="14">
        <v>609</v>
      </c>
      <c r="G24" s="12">
        <v>12</v>
      </c>
      <c r="H24" s="12"/>
      <c r="I24" s="12"/>
      <c r="J24" s="12">
        <f t="shared" si="2"/>
        <v>12</v>
      </c>
      <c r="K24" s="14">
        <f t="shared" si="0"/>
        <v>7308</v>
      </c>
    </row>
    <row r="25" spans="1:11" x14ac:dyDescent="0.25">
      <c r="A25" s="11" t="str">
        <f t="shared" si="1"/>
        <v>6089MTBLACK/PURPLE</v>
      </c>
      <c r="B25" s="19" t="s">
        <v>9</v>
      </c>
      <c r="C25" s="11">
        <v>12</v>
      </c>
      <c r="D25" s="12" t="s">
        <v>66</v>
      </c>
      <c r="E25" s="12" t="s">
        <v>76</v>
      </c>
      <c r="F25" s="14">
        <v>609</v>
      </c>
      <c r="G25" s="12">
        <v>12</v>
      </c>
      <c r="H25" s="12"/>
      <c r="I25" s="12"/>
      <c r="J25" s="12">
        <f t="shared" si="2"/>
        <v>12</v>
      </c>
      <c r="K25" s="14">
        <f t="shared" si="0"/>
        <v>7308</v>
      </c>
    </row>
    <row r="26" spans="1:11" x14ac:dyDescent="0.25">
      <c r="A26" s="11" t="str">
        <f t="shared" si="1"/>
        <v>6089MTHEATHER/NAVY</v>
      </c>
      <c r="B26" s="19" t="s">
        <v>9</v>
      </c>
      <c r="C26" s="11">
        <v>12</v>
      </c>
      <c r="D26" s="12" t="s">
        <v>66</v>
      </c>
      <c r="E26" s="12" t="s">
        <v>77</v>
      </c>
      <c r="F26" s="14">
        <v>609</v>
      </c>
      <c r="G26" s="12">
        <v>12</v>
      </c>
      <c r="H26" s="12"/>
      <c r="I26" s="12"/>
      <c r="J26" s="12">
        <f t="shared" si="2"/>
        <v>12</v>
      </c>
      <c r="K26" s="14">
        <f t="shared" si="0"/>
        <v>7308</v>
      </c>
    </row>
    <row r="27" spans="1:11" x14ac:dyDescent="0.25">
      <c r="A27" s="11" t="str">
        <f t="shared" si="1"/>
        <v>6089MTNATURAL/BLACK</v>
      </c>
      <c r="B27" s="19" t="s">
        <v>9</v>
      </c>
      <c r="C27" s="11">
        <v>5</v>
      </c>
      <c r="D27" s="12" t="s">
        <v>66</v>
      </c>
      <c r="E27" s="12" t="s">
        <v>78</v>
      </c>
      <c r="F27" s="14">
        <v>609</v>
      </c>
      <c r="G27" s="12">
        <v>5</v>
      </c>
      <c r="H27" s="12"/>
      <c r="I27" s="12"/>
      <c r="J27" s="12">
        <f t="shared" si="2"/>
        <v>5</v>
      </c>
      <c r="K27" s="14">
        <f t="shared" ref="K27:K34" si="3">J27*F27</f>
        <v>3045</v>
      </c>
    </row>
    <row r="28" spans="1:11" x14ac:dyDescent="0.25">
      <c r="A28" s="11" t="str">
        <f t="shared" si="1"/>
        <v>6005FFBLACK</v>
      </c>
      <c r="B28" s="19" t="s">
        <v>9</v>
      </c>
      <c r="C28" s="11">
        <v>52</v>
      </c>
      <c r="D28" s="12" t="s">
        <v>67</v>
      </c>
      <c r="E28" s="12" t="s">
        <v>4</v>
      </c>
      <c r="F28" s="14">
        <v>541</v>
      </c>
      <c r="G28" s="12">
        <v>52</v>
      </c>
      <c r="H28" s="12"/>
      <c r="I28" s="12"/>
      <c r="J28" s="12">
        <f t="shared" si="2"/>
        <v>52</v>
      </c>
      <c r="K28" s="14">
        <f t="shared" si="3"/>
        <v>28132</v>
      </c>
    </row>
    <row r="29" spans="1:11" x14ac:dyDescent="0.25">
      <c r="A29" s="11" t="str">
        <f t="shared" si="1"/>
        <v>6005FFNAVY</v>
      </c>
      <c r="B29" s="19" t="s">
        <v>9</v>
      </c>
      <c r="C29" s="11">
        <v>11</v>
      </c>
      <c r="D29" s="12" t="s">
        <v>67</v>
      </c>
      <c r="E29" s="12" t="s">
        <v>6</v>
      </c>
      <c r="F29" s="14">
        <v>541</v>
      </c>
      <c r="G29" s="12">
        <v>11</v>
      </c>
      <c r="H29" s="12"/>
      <c r="I29" s="12"/>
      <c r="J29" s="12">
        <f t="shared" si="2"/>
        <v>11</v>
      </c>
      <c r="K29" s="14">
        <f t="shared" si="3"/>
        <v>5951</v>
      </c>
    </row>
    <row r="30" spans="1:11" x14ac:dyDescent="0.25">
      <c r="A30" s="11" t="str">
        <f t="shared" si="1"/>
        <v>6005FFRED</v>
      </c>
      <c r="B30" s="19" t="s">
        <v>9</v>
      </c>
      <c r="C30" s="11">
        <v>4</v>
      </c>
      <c r="D30" s="12" t="s">
        <v>67</v>
      </c>
      <c r="E30" s="12" t="s">
        <v>7</v>
      </c>
      <c r="F30" s="14">
        <v>541</v>
      </c>
      <c r="G30" s="12">
        <v>4</v>
      </c>
      <c r="H30" s="12"/>
      <c r="I30" s="12"/>
      <c r="J30" s="12">
        <f t="shared" si="2"/>
        <v>4</v>
      </c>
      <c r="K30" s="14">
        <f t="shared" si="3"/>
        <v>2164</v>
      </c>
    </row>
    <row r="31" spans="1:11" x14ac:dyDescent="0.25">
      <c r="A31" s="11" t="str">
        <f t="shared" si="1"/>
        <v>6005FFROYAL</v>
      </c>
      <c r="B31" s="19" t="s">
        <v>9</v>
      </c>
      <c r="C31" s="11">
        <v>6</v>
      </c>
      <c r="D31" s="12" t="s">
        <v>67</v>
      </c>
      <c r="E31" s="12" t="s">
        <v>79</v>
      </c>
      <c r="F31" s="14">
        <v>541</v>
      </c>
      <c r="G31" s="12">
        <v>6</v>
      </c>
      <c r="H31" s="12"/>
      <c r="I31" s="12"/>
      <c r="J31" s="12">
        <f t="shared" si="2"/>
        <v>6</v>
      </c>
      <c r="K31" s="14">
        <f t="shared" si="3"/>
        <v>3246</v>
      </c>
    </row>
    <row r="32" spans="1:11" x14ac:dyDescent="0.25">
      <c r="A32" s="11" t="str">
        <f t="shared" si="1"/>
        <v>6005FWBLACK/WHITE/BLACK</v>
      </c>
      <c r="B32" s="19" t="s">
        <v>9</v>
      </c>
      <c r="C32" s="11">
        <v>20</v>
      </c>
      <c r="D32" s="12" t="s">
        <v>68</v>
      </c>
      <c r="E32" s="12" t="s">
        <v>20</v>
      </c>
      <c r="F32" s="14">
        <v>541</v>
      </c>
      <c r="G32" s="12">
        <v>20</v>
      </c>
      <c r="H32" s="12"/>
      <c r="I32" s="12"/>
      <c r="J32" s="12">
        <f t="shared" si="2"/>
        <v>20</v>
      </c>
      <c r="K32" s="14">
        <f t="shared" si="3"/>
        <v>10820</v>
      </c>
    </row>
    <row r="33" spans="1:11" x14ac:dyDescent="0.25">
      <c r="A33" s="11" t="str">
        <f t="shared" si="1"/>
        <v>6005FWNAVY/WHITE/NAVY</v>
      </c>
      <c r="B33" s="19" t="s">
        <v>9</v>
      </c>
      <c r="C33" s="11">
        <v>10</v>
      </c>
      <c r="D33" s="12" t="s">
        <v>68</v>
      </c>
      <c r="E33" s="12" t="s">
        <v>21</v>
      </c>
      <c r="F33" s="14">
        <v>541</v>
      </c>
      <c r="G33" s="12">
        <v>10</v>
      </c>
      <c r="H33" s="12"/>
      <c r="I33" s="12"/>
      <c r="J33" s="12">
        <f t="shared" si="2"/>
        <v>10</v>
      </c>
      <c r="K33" s="14">
        <f t="shared" si="3"/>
        <v>5410</v>
      </c>
    </row>
    <row r="34" spans="1:11" x14ac:dyDescent="0.25">
      <c r="A34" s="11" t="str">
        <f t="shared" si="1"/>
        <v>6005FWROYAL/WHITE/ROYAL</v>
      </c>
      <c r="B34" s="19" t="s">
        <v>9</v>
      </c>
      <c r="C34" s="11">
        <v>6</v>
      </c>
      <c r="D34" s="12" t="s">
        <v>68</v>
      </c>
      <c r="E34" s="12" t="s">
        <v>80</v>
      </c>
      <c r="F34" s="14">
        <v>541</v>
      </c>
      <c r="G34" s="12">
        <v>6</v>
      </c>
      <c r="H34" s="12"/>
      <c r="I34" s="12"/>
      <c r="J34" s="12">
        <f t="shared" si="2"/>
        <v>6</v>
      </c>
      <c r="K34" s="14">
        <f t="shared" si="3"/>
        <v>3246</v>
      </c>
    </row>
  </sheetData>
  <pageMargins left="0.7" right="0.7" top="0.75" bottom="0.75" header="0.3" footer="0.3"/>
  <pageSetup paperSize="9" orientation="portrait" r:id="rId1"/>
  <ignoredErrors>
    <ignoredError sqref="J2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22</xdr:col>
                    <xdr:colOff>0</xdr:colOff>
                    <xdr:row>0</xdr:row>
                    <xdr:rowOff>0</xdr:rowOff>
                  </from>
                  <to>
                    <xdr:col>24</xdr:col>
                    <xdr:colOff>476250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866B7-E8D1-4A49-9C25-64B246AAEE17}">
  <sheetPr codeName="Лист2"/>
  <dimension ref="A1:G37"/>
  <sheetViews>
    <sheetView workbookViewId="0">
      <selection activeCell="G2" sqref="G2:G37"/>
    </sheetView>
  </sheetViews>
  <sheetFormatPr defaultRowHeight="15" x14ac:dyDescent="0.25"/>
  <cols>
    <col min="1" max="1" width="83.7109375" bestFit="1" customWidth="1"/>
    <col min="2" max="2" width="7.85546875" bestFit="1" customWidth="1"/>
    <col min="3" max="3" width="20.140625" bestFit="1" customWidth="1"/>
    <col min="4" max="4" width="5.7109375" bestFit="1" customWidth="1"/>
    <col min="5" max="5" width="6.28515625" bestFit="1" customWidth="1"/>
    <col min="6" max="6" width="5.42578125" bestFit="1" customWidth="1"/>
    <col min="7" max="7" width="7" bestFit="1" customWidth="1"/>
  </cols>
  <sheetData>
    <row r="1" spans="1:7" x14ac:dyDescent="0.25">
      <c r="A1" s="17" t="s">
        <v>81</v>
      </c>
      <c r="B1" s="17" t="s">
        <v>12</v>
      </c>
      <c r="C1" s="17" t="s">
        <v>3</v>
      </c>
      <c r="D1" s="17" t="s">
        <v>1</v>
      </c>
      <c r="E1" s="17" t="s">
        <v>2</v>
      </c>
      <c r="F1" s="17" t="s">
        <v>61</v>
      </c>
      <c r="G1" s="17" t="s">
        <v>62</v>
      </c>
    </row>
    <row r="2" spans="1:7" x14ac:dyDescent="0.25">
      <c r="A2" s="18" t="s">
        <v>26</v>
      </c>
      <c r="B2" s="18" t="s">
        <v>63</v>
      </c>
      <c r="C2" s="18" t="s">
        <v>69</v>
      </c>
      <c r="D2" s="18" t="s">
        <v>9</v>
      </c>
      <c r="E2" s="18">
        <v>6</v>
      </c>
      <c r="F2" s="18">
        <v>609</v>
      </c>
      <c r="G2" s="18">
        <v>3654</v>
      </c>
    </row>
    <row r="3" spans="1:7" x14ac:dyDescent="0.25">
      <c r="A3" s="18" t="s">
        <v>27</v>
      </c>
      <c r="B3" s="18" t="s">
        <v>64</v>
      </c>
      <c r="C3" s="18" t="s">
        <v>6</v>
      </c>
      <c r="D3" s="18" t="s">
        <v>9</v>
      </c>
      <c r="E3" s="18">
        <v>10</v>
      </c>
      <c r="F3" s="18">
        <v>711</v>
      </c>
      <c r="G3" s="18">
        <v>7110</v>
      </c>
    </row>
    <row r="4" spans="1:7" x14ac:dyDescent="0.25">
      <c r="A4" s="18" t="s">
        <v>28</v>
      </c>
      <c r="B4" s="18" t="s">
        <v>16</v>
      </c>
      <c r="C4" s="18" t="s">
        <v>4</v>
      </c>
      <c r="D4" s="18" t="s">
        <v>11</v>
      </c>
      <c r="E4" s="18">
        <v>40</v>
      </c>
      <c r="F4" s="18">
        <v>650</v>
      </c>
      <c r="G4" s="18">
        <v>26000</v>
      </c>
    </row>
    <row r="5" spans="1:7" x14ac:dyDescent="0.25">
      <c r="A5" s="18" t="s">
        <v>29</v>
      </c>
      <c r="B5" s="18" t="s">
        <v>16</v>
      </c>
      <c r="C5" s="18" t="s">
        <v>4</v>
      </c>
      <c r="D5" s="18" t="s">
        <v>10</v>
      </c>
      <c r="E5" s="18">
        <v>40</v>
      </c>
      <c r="F5" s="18">
        <v>650</v>
      </c>
      <c r="G5" s="18">
        <v>26000</v>
      </c>
    </row>
    <row r="6" spans="1:7" x14ac:dyDescent="0.25">
      <c r="A6" s="18" t="s">
        <v>30</v>
      </c>
      <c r="B6" s="18" t="s">
        <v>16</v>
      </c>
      <c r="C6" s="18" t="s">
        <v>17</v>
      </c>
      <c r="D6" s="18" t="s">
        <v>10</v>
      </c>
      <c r="E6" s="18">
        <v>2</v>
      </c>
      <c r="F6" s="18">
        <v>650</v>
      </c>
      <c r="G6" s="18">
        <v>1300</v>
      </c>
    </row>
    <row r="7" spans="1:7" x14ac:dyDescent="0.25">
      <c r="A7" s="18" t="s">
        <v>31</v>
      </c>
      <c r="B7" s="18" t="s">
        <v>16</v>
      </c>
      <c r="C7" s="18" t="s">
        <v>70</v>
      </c>
      <c r="D7" s="18" t="s">
        <v>10</v>
      </c>
      <c r="E7" s="18">
        <v>11</v>
      </c>
      <c r="F7" s="18">
        <v>650</v>
      </c>
      <c r="G7" s="18">
        <v>7150</v>
      </c>
    </row>
    <row r="8" spans="1:7" x14ac:dyDescent="0.25">
      <c r="A8" s="18" t="s">
        <v>32</v>
      </c>
      <c r="B8" s="18" t="s">
        <v>16</v>
      </c>
      <c r="C8" s="18" t="s">
        <v>70</v>
      </c>
      <c r="D8" s="18" t="s">
        <v>11</v>
      </c>
      <c r="E8" s="18">
        <v>6</v>
      </c>
      <c r="F8" s="18">
        <v>650</v>
      </c>
      <c r="G8" s="18">
        <v>3900</v>
      </c>
    </row>
    <row r="9" spans="1:7" x14ac:dyDescent="0.25">
      <c r="A9" s="18" t="s">
        <v>33</v>
      </c>
      <c r="B9" s="18" t="s">
        <v>16</v>
      </c>
      <c r="C9" s="18" t="s">
        <v>15</v>
      </c>
      <c r="D9" s="18" t="s">
        <v>10</v>
      </c>
      <c r="E9" s="18">
        <v>8</v>
      </c>
      <c r="F9" s="18">
        <v>650</v>
      </c>
      <c r="G9" s="18">
        <v>5200</v>
      </c>
    </row>
    <row r="10" spans="1:7" x14ac:dyDescent="0.25">
      <c r="A10" s="18" t="s">
        <v>34</v>
      </c>
      <c r="B10" s="18" t="s">
        <v>13</v>
      </c>
      <c r="C10" s="18" t="s">
        <v>8</v>
      </c>
      <c r="D10" s="18" t="s">
        <v>9</v>
      </c>
      <c r="E10" s="18">
        <v>20</v>
      </c>
      <c r="F10" s="18">
        <v>609</v>
      </c>
      <c r="G10" s="18">
        <v>12180</v>
      </c>
    </row>
    <row r="11" spans="1:7" x14ac:dyDescent="0.25">
      <c r="A11" s="18" t="s">
        <v>35</v>
      </c>
      <c r="B11" s="18" t="s">
        <v>13</v>
      </c>
      <c r="C11" s="18" t="s">
        <v>71</v>
      </c>
      <c r="D11" s="18" t="s">
        <v>9</v>
      </c>
      <c r="E11" s="18">
        <v>20</v>
      </c>
      <c r="F11" s="18">
        <v>609</v>
      </c>
      <c r="G11" s="18">
        <v>12180</v>
      </c>
    </row>
    <row r="12" spans="1:7" x14ac:dyDescent="0.25">
      <c r="A12" s="18" t="s">
        <v>36</v>
      </c>
      <c r="B12" s="18" t="s">
        <v>13</v>
      </c>
      <c r="C12" s="18" t="s">
        <v>22</v>
      </c>
      <c r="D12" s="18" t="s">
        <v>9</v>
      </c>
      <c r="E12" s="18">
        <v>16</v>
      </c>
      <c r="F12" s="18">
        <v>609</v>
      </c>
      <c r="G12" s="18">
        <v>9744</v>
      </c>
    </row>
    <row r="13" spans="1:7" x14ac:dyDescent="0.25">
      <c r="A13" s="18" t="s">
        <v>37</v>
      </c>
      <c r="B13" s="18" t="s">
        <v>13</v>
      </c>
      <c r="C13" s="18" t="s">
        <v>6</v>
      </c>
      <c r="D13" s="18" t="s">
        <v>9</v>
      </c>
      <c r="E13" s="18">
        <v>40</v>
      </c>
      <c r="F13" s="18">
        <v>609</v>
      </c>
      <c r="G13" s="18">
        <v>24360</v>
      </c>
    </row>
    <row r="14" spans="1:7" x14ac:dyDescent="0.25">
      <c r="A14" s="18" t="s">
        <v>38</v>
      </c>
      <c r="B14" s="18" t="s">
        <v>13</v>
      </c>
      <c r="C14" s="18" t="s">
        <v>7</v>
      </c>
      <c r="D14" s="18" t="s">
        <v>9</v>
      </c>
      <c r="E14" s="18">
        <v>6</v>
      </c>
      <c r="F14" s="18">
        <v>609</v>
      </c>
      <c r="G14" s="18">
        <v>3654</v>
      </c>
    </row>
    <row r="15" spans="1:7" x14ac:dyDescent="0.25">
      <c r="A15" s="18" t="s">
        <v>39</v>
      </c>
      <c r="B15" s="18" t="s">
        <v>13</v>
      </c>
      <c r="C15" s="18" t="s">
        <v>5</v>
      </c>
      <c r="D15" s="18" t="s">
        <v>9</v>
      </c>
      <c r="E15" s="18">
        <v>10</v>
      </c>
      <c r="F15" s="18">
        <v>609</v>
      </c>
      <c r="G15" s="18">
        <v>6090</v>
      </c>
    </row>
    <row r="16" spans="1:7" x14ac:dyDescent="0.25">
      <c r="A16" s="18" t="s">
        <v>40</v>
      </c>
      <c r="B16" s="18" t="s">
        <v>18</v>
      </c>
      <c r="C16" s="18" t="s">
        <v>19</v>
      </c>
      <c r="D16" s="18" t="s">
        <v>9</v>
      </c>
      <c r="E16" s="18">
        <v>5</v>
      </c>
      <c r="F16" s="18">
        <v>541</v>
      </c>
      <c r="G16" s="18">
        <v>2705</v>
      </c>
    </row>
    <row r="17" spans="1:7" x14ac:dyDescent="0.25">
      <c r="A17" s="18" t="s">
        <v>41</v>
      </c>
      <c r="B17" s="18" t="s">
        <v>18</v>
      </c>
      <c r="C17" s="18" t="s">
        <v>72</v>
      </c>
      <c r="D17" s="18" t="s">
        <v>9</v>
      </c>
      <c r="E17" s="18">
        <v>11</v>
      </c>
      <c r="F17" s="18">
        <v>541</v>
      </c>
      <c r="G17" s="18">
        <v>5951</v>
      </c>
    </row>
    <row r="18" spans="1:7" x14ac:dyDescent="0.25">
      <c r="A18" s="18" t="s">
        <v>42</v>
      </c>
      <c r="B18" s="18" t="s">
        <v>18</v>
      </c>
      <c r="C18" s="18" t="s">
        <v>73</v>
      </c>
      <c r="D18" s="18" t="s">
        <v>9</v>
      </c>
      <c r="E18" s="18">
        <v>20</v>
      </c>
      <c r="F18" s="18">
        <v>541</v>
      </c>
      <c r="G18" s="18">
        <v>10820</v>
      </c>
    </row>
    <row r="19" spans="1:7" x14ac:dyDescent="0.25">
      <c r="A19" s="18" t="s">
        <v>43</v>
      </c>
      <c r="B19" s="18" t="s">
        <v>18</v>
      </c>
      <c r="C19" s="18" t="s">
        <v>5</v>
      </c>
      <c r="D19" s="18" t="s">
        <v>9</v>
      </c>
      <c r="E19" s="18">
        <v>10</v>
      </c>
      <c r="F19" s="18">
        <v>541</v>
      </c>
      <c r="G19" s="18">
        <v>5410</v>
      </c>
    </row>
    <row r="20" spans="1:7" x14ac:dyDescent="0.25">
      <c r="A20" s="18" t="s">
        <v>44</v>
      </c>
      <c r="B20" s="18" t="s">
        <v>65</v>
      </c>
      <c r="C20" s="18" t="s">
        <v>4</v>
      </c>
      <c r="D20" s="18" t="s">
        <v>9</v>
      </c>
      <c r="E20" s="18">
        <v>15</v>
      </c>
      <c r="F20" s="18">
        <v>650</v>
      </c>
      <c r="G20" s="18">
        <v>9750</v>
      </c>
    </row>
    <row r="21" spans="1:7" x14ac:dyDescent="0.25">
      <c r="A21" s="18" t="s">
        <v>45</v>
      </c>
      <c r="B21" s="18" t="s">
        <v>65</v>
      </c>
      <c r="C21" s="18" t="s">
        <v>8</v>
      </c>
      <c r="D21" s="18" t="s">
        <v>9</v>
      </c>
      <c r="E21" s="18">
        <v>15</v>
      </c>
      <c r="F21" s="18">
        <v>650</v>
      </c>
      <c r="G21" s="18">
        <v>9750</v>
      </c>
    </row>
    <row r="22" spans="1:7" x14ac:dyDescent="0.25">
      <c r="A22" s="18" t="s">
        <v>46</v>
      </c>
      <c r="B22" s="18" t="s">
        <v>65</v>
      </c>
      <c r="C22" s="18" t="s">
        <v>74</v>
      </c>
      <c r="D22" s="18" t="s">
        <v>9</v>
      </c>
      <c r="E22" s="18">
        <v>15</v>
      </c>
      <c r="F22" s="18">
        <v>650</v>
      </c>
      <c r="G22" s="18">
        <v>9750</v>
      </c>
    </row>
    <row r="23" spans="1:7" x14ac:dyDescent="0.25">
      <c r="A23" s="18" t="s">
        <v>47</v>
      </c>
      <c r="B23" s="18" t="s">
        <v>65</v>
      </c>
      <c r="C23" s="18" t="s">
        <v>6</v>
      </c>
      <c r="D23" s="18" t="s">
        <v>9</v>
      </c>
      <c r="E23" s="18">
        <v>15</v>
      </c>
      <c r="F23" s="18">
        <v>650</v>
      </c>
      <c r="G23" s="18">
        <v>9750</v>
      </c>
    </row>
    <row r="24" spans="1:7" x14ac:dyDescent="0.25">
      <c r="A24" s="18" t="s">
        <v>48</v>
      </c>
      <c r="B24" s="18" t="s">
        <v>65</v>
      </c>
      <c r="C24" s="18" t="s">
        <v>75</v>
      </c>
      <c r="D24" s="18" t="s">
        <v>9</v>
      </c>
      <c r="E24" s="18">
        <v>8</v>
      </c>
      <c r="F24" s="18">
        <v>650</v>
      </c>
      <c r="G24" s="18">
        <v>5200</v>
      </c>
    </row>
    <row r="25" spans="1:7" x14ac:dyDescent="0.25">
      <c r="A25" s="18" t="s">
        <v>49</v>
      </c>
      <c r="B25" s="18" t="s">
        <v>65</v>
      </c>
      <c r="C25" s="18" t="s">
        <v>5</v>
      </c>
      <c r="D25" s="18" t="s">
        <v>9</v>
      </c>
      <c r="E25" s="18">
        <v>6</v>
      </c>
      <c r="F25" s="18">
        <v>650</v>
      </c>
      <c r="G25" s="18">
        <v>3900</v>
      </c>
    </row>
    <row r="26" spans="1:7" x14ac:dyDescent="0.25">
      <c r="A26" s="18" t="s">
        <v>50</v>
      </c>
      <c r="B26" s="18" t="s">
        <v>14</v>
      </c>
      <c r="C26" s="18" t="s">
        <v>5</v>
      </c>
      <c r="D26" s="18" t="s">
        <v>9</v>
      </c>
      <c r="E26" s="18">
        <v>12</v>
      </c>
      <c r="F26" s="18">
        <v>609</v>
      </c>
      <c r="G26" s="18">
        <v>7308</v>
      </c>
    </row>
    <row r="27" spans="1:7" x14ac:dyDescent="0.25">
      <c r="A27" s="18" t="s">
        <v>51</v>
      </c>
      <c r="B27" s="18" t="s">
        <v>66</v>
      </c>
      <c r="C27" s="18" t="s">
        <v>76</v>
      </c>
      <c r="D27" s="18" t="s">
        <v>9</v>
      </c>
      <c r="E27" s="18">
        <v>12</v>
      </c>
      <c r="F27" s="18">
        <v>609</v>
      </c>
      <c r="G27" s="18">
        <v>7308</v>
      </c>
    </row>
    <row r="28" spans="1:7" x14ac:dyDescent="0.25">
      <c r="A28" s="18" t="s">
        <v>52</v>
      </c>
      <c r="B28" s="18" t="s">
        <v>66</v>
      </c>
      <c r="C28" s="18" t="s">
        <v>77</v>
      </c>
      <c r="D28" s="18" t="s">
        <v>9</v>
      </c>
      <c r="E28" s="18">
        <v>12</v>
      </c>
      <c r="F28" s="18">
        <v>609</v>
      </c>
      <c r="G28" s="18">
        <v>7308</v>
      </c>
    </row>
    <row r="29" spans="1:7" x14ac:dyDescent="0.25">
      <c r="A29" s="18" t="s">
        <v>53</v>
      </c>
      <c r="B29" s="18" t="s">
        <v>66</v>
      </c>
      <c r="C29" s="18" t="s">
        <v>78</v>
      </c>
      <c r="D29" s="18" t="s">
        <v>9</v>
      </c>
      <c r="E29" s="18">
        <v>5</v>
      </c>
      <c r="F29" s="18">
        <v>609</v>
      </c>
      <c r="G29" s="18">
        <v>3045</v>
      </c>
    </row>
    <row r="30" spans="1:7" x14ac:dyDescent="0.25">
      <c r="A30" s="18" t="s">
        <v>54</v>
      </c>
      <c r="B30" s="18" t="s">
        <v>67</v>
      </c>
      <c r="C30" s="18" t="s">
        <v>4</v>
      </c>
      <c r="D30" s="18" t="s">
        <v>9</v>
      </c>
      <c r="E30" s="18">
        <v>52</v>
      </c>
      <c r="F30" s="18">
        <v>541</v>
      </c>
      <c r="G30" s="18">
        <v>28132</v>
      </c>
    </row>
    <row r="31" spans="1:7" x14ac:dyDescent="0.25">
      <c r="A31" s="18" t="s">
        <v>55</v>
      </c>
      <c r="B31" s="18" t="s">
        <v>67</v>
      </c>
      <c r="C31" s="18" t="s">
        <v>6</v>
      </c>
      <c r="D31" s="18" t="s">
        <v>9</v>
      </c>
      <c r="E31" s="18">
        <v>11</v>
      </c>
      <c r="F31" s="18">
        <v>541</v>
      </c>
      <c r="G31" s="18">
        <v>5951</v>
      </c>
    </row>
    <row r="32" spans="1:7" x14ac:dyDescent="0.25">
      <c r="A32" s="18" t="s">
        <v>56</v>
      </c>
      <c r="B32" s="18" t="s">
        <v>67</v>
      </c>
      <c r="C32" s="18" t="s">
        <v>7</v>
      </c>
      <c r="D32" s="18" t="s">
        <v>9</v>
      </c>
      <c r="E32" s="18">
        <v>4</v>
      </c>
      <c r="F32" s="18">
        <v>541</v>
      </c>
      <c r="G32" s="18">
        <v>2164</v>
      </c>
    </row>
    <row r="33" spans="1:7" x14ac:dyDescent="0.25">
      <c r="A33" s="18" t="s">
        <v>57</v>
      </c>
      <c r="B33" s="18" t="s">
        <v>67</v>
      </c>
      <c r="C33" s="18" t="s">
        <v>79</v>
      </c>
      <c r="D33" s="18" t="s">
        <v>9</v>
      </c>
      <c r="E33" s="18">
        <v>6</v>
      </c>
      <c r="F33" s="18">
        <v>541</v>
      </c>
      <c r="G33" s="18">
        <v>3246</v>
      </c>
    </row>
    <row r="34" spans="1:7" x14ac:dyDescent="0.25">
      <c r="A34" s="18" t="s">
        <v>58</v>
      </c>
      <c r="B34" s="18" t="s">
        <v>68</v>
      </c>
      <c r="C34" s="18" t="s">
        <v>20</v>
      </c>
      <c r="D34" s="18" t="s">
        <v>9</v>
      </c>
      <c r="E34" s="18">
        <v>20</v>
      </c>
      <c r="F34" s="18">
        <v>541</v>
      </c>
      <c r="G34" s="18">
        <v>10820</v>
      </c>
    </row>
    <row r="35" spans="1:7" x14ac:dyDescent="0.25">
      <c r="A35" s="18" t="s">
        <v>59</v>
      </c>
      <c r="B35" s="18" t="s">
        <v>68</v>
      </c>
      <c r="C35" s="18" t="s">
        <v>21</v>
      </c>
      <c r="D35" s="18" t="s">
        <v>9</v>
      </c>
      <c r="E35" s="18">
        <v>10</v>
      </c>
      <c r="F35" s="18">
        <v>541</v>
      </c>
      <c r="G35" s="18">
        <v>5410</v>
      </c>
    </row>
    <row r="36" spans="1:7" x14ac:dyDescent="0.25">
      <c r="A36" s="18" t="s">
        <v>60</v>
      </c>
      <c r="B36" s="18" t="s">
        <v>68</v>
      </c>
      <c r="C36" s="18" t="s">
        <v>80</v>
      </c>
      <c r="D36" s="18" t="s">
        <v>9</v>
      </c>
      <c r="E36" s="18">
        <v>6</v>
      </c>
      <c r="F36" s="18">
        <v>541</v>
      </c>
      <c r="G36" s="18">
        <v>3246</v>
      </c>
    </row>
    <row r="37" spans="1:7" x14ac:dyDescent="0.25">
      <c r="G37">
        <f>SUM(G2:G36)</f>
        <v>305446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Транспонирование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2022-06-15T12:31:45Z</dcterms:modified>
</cp:coreProperties>
</file>